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66925"/>
  <mc:AlternateContent xmlns:mc="http://schemas.openxmlformats.org/markup-compatibility/2006">
    <mc:Choice Requires="x15">
      <x15ac:absPath xmlns:x15ac="http://schemas.microsoft.com/office/spreadsheetml/2010/11/ac" url="E:\Annual_Results_Acex_exe\Updated_Excel\"/>
    </mc:Choice>
  </mc:AlternateContent>
  <xr:revisionPtr revIDLastSave="0" documentId="8_{95CE940A-69ED-4148-A844-8FF36C11F5A6}" xr6:coauthVersionLast="47" xr6:coauthVersionMax="47" xr10:uidLastSave="{00000000-0000-0000-0000-000000000000}"/>
  <bookViews>
    <workbookView xWindow="4455" yWindow="4455" windowWidth="21600" windowHeight="12735" xr2:uid="{00000000-000D-0000-FFFF-FFFF00000000}"/>
  </bookViews>
  <sheets>
    <sheet name="Template" sheetId="1" r:id="rId1"/>
    <sheet name="QTR Raw" sheetId="3" r:id="rId2"/>
    <sheet name="Annual Raw" sheetId="2" r:id="rId3"/>
    <sheet name="QTR Share Price" sheetId="4" r:id="rId4"/>
    <sheet name="QTR No. of Shares" sheetId="6" r:id="rId5"/>
    <sheet name="Share price Daily" sheetId="9" r:id="rId6"/>
    <sheet name="Sheet2" sheetId="5" state="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05" i="1" l="1"/>
  <c r="CN107" i="1"/>
  <c r="CO107" i="1" l="1"/>
  <c r="CP107" i="1" s="1"/>
  <c r="CQ107" i="1" l="1"/>
  <c r="CM56" i="1"/>
  <c r="CN56" i="1" s="1"/>
  <c r="CO56" i="1" s="1"/>
  <c r="CP56" i="1" s="1"/>
  <c r="CM55" i="1"/>
  <c r="CN55" i="1" l="1"/>
  <c r="CO55" i="1" s="1"/>
  <c r="CR107" i="1"/>
  <c r="CQ56" i="1"/>
  <c r="CP55" i="1" l="1"/>
  <c r="CS107" i="1"/>
  <c r="CR56" i="1"/>
  <c r="CS56" i="1" l="1"/>
  <c r="CQ55" i="1"/>
  <c r="CT107" i="1"/>
  <c r="CT56" i="1" l="1"/>
  <c r="CU56" i="1" s="1"/>
  <c r="CR55" i="1"/>
  <c r="CS55" i="1"/>
  <c r="CU107" i="1"/>
  <c r="CV107" i="1" s="1"/>
  <c r="CT55" i="1" l="1"/>
  <c r="CV56" i="1"/>
  <c r="CW56" i="1" s="1"/>
  <c r="CW107" i="1"/>
  <c r="CX107" i="1"/>
  <c r="CU55" i="1" l="1"/>
  <c r="CX56" i="1"/>
  <c r="CY56" i="1" s="1"/>
  <c r="CZ56" i="1" s="1"/>
  <c r="CY107" i="1"/>
  <c r="CZ107" i="1" s="1"/>
  <c r="CV55" i="1" l="1"/>
  <c r="DA56" i="1"/>
  <c r="DB56" i="1" s="1"/>
  <c r="DA107" i="1"/>
  <c r="DB107" i="1" s="1"/>
  <c r="CW55" i="1" l="1"/>
  <c r="CX55" i="1" l="1"/>
  <c r="CY55" i="1"/>
  <c r="CN57" i="1"/>
  <c r="CO57" i="1" s="1"/>
  <c r="AA66" i="1"/>
  <c r="AB66" i="1"/>
  <c r="AC66" i="1"/>
  <c r="AD66" i="1"/>
  <c r="AE66" i="1"/>
  <c r="AA65" i="1"/>
  <c r="CJ62" i="1"/>
  <c r="CK62" i="1"/>
  <c r="CL62" i="1"/>
  <c r="CL63" i="1"/>
  <c r="CZ55" i="1" l="1"/>
  <c r="CL40" i="1"/>
  <c r="CL41" i="1"/>
  <c r="CL305" i="1"/>
  <c r="CO46" i="1"/>
  <c r="CS46" i="1" s="1"/>
  <c r="CS64" i="1" s="1"/>
  <c r="CN46" i="1"/>
  <c r="CN64" i="1" s="1"/>
  <c r="CZ58" i="1"/>
  <c r="DA58" i="1" s="1"/>
  <c r="DB58" i="1" s="1"/>
  <c r="CR58" i="1"/>
  <c r="CS58" i="1" s="1"/>
  <c r="Y62" i="1"/>
  <c r="Z62" i="1"/>
  <c r="Y65" i="1"/>
  <c r="Z65" i="1"/>
  <c r="Y64" i="1"/>
  <c r="Z64" i="1"/>
  <c r="CJ61" i="1"/>
  <c r="CI61" i="1"/>
  <c r="CI67" i="1" s="1"/>
  <c r="CH61" i="1"/>
  <c r="CH67" i="1" s="1"/>
  <c r="CG61" i="1"/>
  <c r="CG67" i="1" s="1"/>
  <c r="CF61" i="1"/>
  <c r="CF67" i="1" s="1"/>
  <c r="CE61" i="1"/>
  <c r="CE67" i="1" s="1"/>
  <c r="CD61" i="1"/>
  <c r="CD67" i="1" s="1"/>
  <c r="CC61" i="1"/>
  <c r="CC67" i="1" s="1"/>
  <c r="CK61" i="1"/>
  <c r="AA47" i="1"/>
  <c r="AA48" i="1"/>
  <c r="AB48" i="1"/>
  <c r="AC48" i="1"/>
  <c r="AD48" i="1"/>
  <c r="AE48" i="1"/>
  <c r="AA49" i="1"/>
  <c r="AB49" i="1"/>
  <c r="AC49" i="1"/>
  <c r="AD49" i="1"/>
  <c r="AE49" i="1"/>
  <c r="CM64" i="1"/>
  <c r="CH40" i="1"/>
  <c r="CG40" i="1"/>
  <c r="CF40" i="1"/>
  <c r="CE40" i="1"/>
  <c r="CD40" i="1"/>
  <c r="CC40" i="1"/>
  <c r="CB40" i="1"/>
  <c r="CA40" i="1"/>
  <c r="BZ40" i="1"/>
  <c r="BY40" i="1"/>
  <c r="BX40" i="1"/>
  <c r="BW40" i="1"/>
  <c r="BV40" i="1"/>
  <c r="BU40" i="1"/>
  <c r="CJ40" i="1"/>
  <c r="CI40" i="1"/>
  <c r="CK40" i="1"/>
  <c r="DA55" i="1" l="1"/>
  <c r="DB55" i="1" s="1"/>
  <c r="CR46" i="1"/>
  <c r="CV46" i="1"/>
  <c r="CZ46" i="1" s="1"/>
  <c r="CM40" i="1"/>
  <c r="CO64" i="1"/>
  <c r="CW46" i="1"/>
  <c r="DA46" i="1" s="1"/>
  <c r="DA64" i="1" s="1"/>
  <c r="CQ46" i="1"/>
  <c r="CQ64" i="1" s="1"/>
  <c r="CP46" i="1"/>
  <c r="CP64" i="1" s="1"/>
  <c r="Y61" i="1"/>
  <c r="Y67" i="1" s="1"/>
  <c r="Z61" i="1"/>
  <c r="Z67" i="1" s="1"/>
  <c r="CT58" i="1"/>
  <c r="CU58" i="1" s="1"/>
  <c r="CV58" i="1" s="1"/>
  <c r="CW58" i="1" s="1"/>
  <c r="CX58" i="1" s="1"/>
  <c r="CR64" i="1" l="1"/>
  <c r="CN40" i="1"/>
  <c r="CT46" i="1"/>
  <c r="CT64" i="1" s="1"/>
  <c r="CU46" i="1"/>
  <c r="CW64" i="1"/>
  <c r="CZ64" i="1"/>
  <c r="CV64" i="1"/>
  <c r="CO40" i="1" l="1"/>
  <c r="CP40" i="1" s="1"/>
  <c r="CY46" i="1"/>
  <c r="CY64" i="1" s="1"/>
  <c r="CU64" i="1"/>
  <c r="CX46" i="1"/>
  <c r="DB46" i="1" s="1"/>
  <c r="CQ40" i="1" l="1"/>
  <c r="CR40" i="1"/>
  <c r="CS40" i="1" s="1"/>
  <c r="CT40" i="1" s="1"/>
  <c r="CU40" i="1" l="1"/>
  <c r="CV40" i="1" l="1"/>
  <c r="CW40" i="1" l="1"/>
  <c r="CX40" i="1"/>
  <c r="AD30" i="1"/>
  <c r="AC30" i="1"/>
  <c r="AB30" i="1"/>
  <c r="AA30" i="1"/>
  <c r="AA28" i="1"/>
  <c r="Z28" i="1"/>
  <c r="Y28" i="1"/>
  <c r="X28" i="1"/>
  <c r="W28" i="1"/>
  <c r="AA27" i="1"/>
  <c r="Z27" i="1"/>
  <c r="Y27" i="1"/>
  <c r="X27" i="1"/>
  <c r="W27" i="1"/>
  <c r="AA26" i="1"/>
  <c r="Z26" i="1"/>
  <c r="Y26" i="1"/>
  <c r="X26" i="1"/>
  <c r="W26" i="1"/>
  <c r="CD23" i="1"/>
  <c r="CC23" i="1"/>
  <c r="CB23" i="1"/>
  <c r="CA23" i="1"/>
  <c r="BZ23" i="1"/>
  <c r="BY23" i="1"/>
  <c r="BX23" i="1"/>
  <c r="BW23" i="1"/>
  <c r="Z24" i="1"/>
  <c r="Y24" i="1"/>
  <c r="X24" i="1"/>
  <c r="W24" i="1"/>
  <c r="AE23" i="1"/>
  <c r="AD23" i="1"/>
  <c r="AC23" i="1"/>
  <c r="AB23" i="1"/>
  <c r="W23" i="1"/>
  <c r="Z21" i="1"/>
  <c r="Y21" i="1"/>
  <c r="X21" i="1"/>
  <c r="W21" i="1"/>
  <c r="CI24" i="1"/>
  <c r="CH23" i="1"/>
  <c r="CG23" i="1"/>
  <c r="CF23" i="1"/>
  <c r="CE23" i="1"/>
  <c r="CJ24" i="1"/>
  <c r="CI21" i="1"/>
  <c r="CJ21" i="1"/>
  <c r="CY9" i="1"/>
  <c r="CZ9" i="1" s="1"/>
  <c r="DA9" i="1" s="1"/>
  <c r="DB9" i="1" s="1"/>
  <c r="DB17" i="1" s="1"/>
  <c r="DB37" i="1" s="1"/>
  <c r="CP8" i="1"/>
  <c r="CP16" i="1" s="1"/>
  <c r="CP36" i="1" s="1"/>
  <c r="CP65" i="1" s="1"/>
  <c r="CY7" i="1"/>
  <c r="CU7" i="1"/>
  <c r="CQ7" i="1"/>
  <c r="CM7" i="1"/>
  <c r="CM15" i="1" s="1"/>
  <c r="CI7" i="1"/>
  <c r="CJ7" i="1" s="1"/>
  <c r="CK7" i="1" s="1"/>
  <c r="CL7" i="1" s="1"/>
  <c r="CE7" i="1"/>
  <c r="CF7" i="1" s="1"/>
  <c r="CG7" i="1" s="1"/>
  <c r="CH7" i="1" s="1"/>
  <c r="CA7" i="1"/>
  <c r="CB7" i="1" s="1"/>
  <c r="CC7" i="1" s="1"/>
  <c r="CD7" i="1" s="1"/>
  <c r="CJ35" i="1"/>
  <c r="CJ63" i="1" s="1"/>
  <c r="CI35" i="1"/>
  <c r="CH35" i="1"/>
  <c r="CG35" i="1"/>
  <c r="CF35" i="1"/>
  <c r="CE35" i="1"/>
  <c r="AD17" i="1"/>
  <c r="AD37" i="1" s="1"/>
  <c r="AC17" i="1"/>
  <c r="AC37" i="1" s="1"/>
  <c r="AB17" i="1"/>
  <c r="AB37" i="1" s="1"/>
  <c r="AA17" i="1"/>
  <c r="AA37" i="1" s="1"/>
  <c r="Z17" i="1"/>
  <c r="Z37" i="1" s="1"/>
  <c r="Y17" i="1"/>
  <c r="Y37" i="1" s="1"/>
  <c r="X17" i="1"/>
  <c r="X37" i="1" s="1"/>
  <c r="W17" i="1"/>
  <c r="W37" i="1" s="1"/>
  <c r="AA16" i="1"/>
  <c r="AA36" i="1" s="1"/>
  <c r="AA58" i="1" s="1"/>
  <c r="Z16" i="1"/>
  <c r="Z36" i="1" s="1"/>
  <c r="Y16" i="1"/>
  <c r="Y36" i="1" s="1"/>
  <c r="X16" i="1"/>
  <c r="X36" i="1" s="1"/>
  <c r="W16" i="1"/>
  <c r="W36" i="1" s="1"/>
  <c r="Z15" i="1"/>
  <c r="Y15" i="1"/>
  <c r="X15" i="1"/>
  <c r="W15" i="1"/>
  <c r="Z14" i="1"/>
  <c r="Y14" i="1"/>
  <c r="X14" i="1"/>
  <c r="W14" i="1"/>
  <c r="AA12" i="1"/>
  <c r="Z12" i="1"/>
  <c r="Y12" i="1"/>
  <c r="X12" i="1"/>
  <c r="W12" i="1"/>
  <c r="AA11" i="1"/>
  <c r="Z11" i="1"/>
  <c r="Y11" i="1"/>
  <c r="X11" i="1"/>
  <c r="W11" i="1"/>
  <c r="CZ11" i="1"/>
  <c r="DA11" i="1" s="1"/>
  <c r="DB11" i="1" s="1"/>
  <c r="CV11" i="1"/>
  <c r="CW11" i="1" s="1"/>
  <c r="CR11" i="1"/>
  <c r="CS11" i="1" s="1"/>
  <c r="CN11" i="1"/>
  <c r="CN13" i="1" s="1"/>
  <c r="CV12" i="1"/>
  <c r="CR12" i="1"/>
  <c r="CP12" i="1"/>
  <c r="AB12" i="1" s="1"/>
  <c r="CM13" i="1"/>
  <c r="CQ13" i="1"/>
  <c r="CU13" i="1"/>
  <c r="CL13" i="1"/>
  <c r="CJ13" i="1"/>
  <c r="CI13" i="1"/>
  <c r="CH13" i="1"/>
  <c r="CG13" i="1"/>
  <c r="CF13" i="1"/>
  <c r="CE13" i="1"/>
  <c r="CK13" i="1"/>
  <c r="CK14" i="1"/>
  <c r="CL14" i="1" s="1"/>
  <c r="CK15" i="1"/>
  <c r="CK35" i="1" s="1"/>
  <c r="CK63" i="1" s="1"/>
  <c r="CK67" i="1" s="1"/>
  <c r="AC8" i="1"/>
  <c r="CQ8" i="1" s="1"/>
  <c r="CR8" i="1" s="1"/>
  <c r="CS8" i="1" s="1"/>
  <c r="CT8" i="1" s="1"/>
  <c r="CT16" i="1" s="1"/>
  <c r="CT36" i="1" s="1"/>
  <c r="AC6" i="1"/>
  <c r="CT6" i="1" s="1"/>
  <c r="AB6" i="1"/>
  <c r="CM6" i="1" s="1"/>
  <c r="CI6" i="1"/>
  <c r="CJ6" i="1" s="1"/>
  <c r="CK6" i="1" s="1"/>
  <c r="CL6" i="1" s="1"/>
  <c r="CY5" i="1"/>
  <c r="CZ5" i="1" s="1"/>
  <c r="DA5" i="1" s="1"/>
  <c r="DB5" i="1" s="1"/>
  <c r="CU5" i="1"/>
  <c r="CV5" i="1" s="1"/>
  <c r="CW5" i="1" s="1"/>
  <c r="CX5" i="1" s="1"/>
  <c r="CQ5" i="1"/>
  <c r="CR5" i="1" s="1"/>
  <c r="CS5" i="1" s="1"/>
  <c r="CT5" i="1" s="1"/>
  <c r="CM5" i="1"/>
  <c r="CN5" i="1" s="1"/>
  <c r="CO5" i="1" s="1"/>
  <c r="CP5" i="1" s="1"/>
  <c r="CI5" i="1"/>
  <c r="CJ5" i="1" s="1"/>
  <c r="CK5" i="1" s="1"/>
  <c r="CL5" i="1" s="1"/>
  <c r="CE5" i="1"/>
  <c r="CF5" i="1" s="1"/>
  <c r="CG5" i="1" s="1"/>
  <c r="CH5" i="1" s="1"/>
  <c r="CA5" i="1"/>
  <c r="CB5" i="1" s="1"/>
  <c r="CC5" i="1" s="1"/>
  <c r="CD5" i="1" s="1"/>
  <c r="CZ7" i="1" l="1"/>
  <c r="CY15" i="1"/>
  <c r="CV7" i="1"/>
  <c r="CU15" i="1"/>
  <c r="CR7" i="1"/>
  <c r="CQ15" i="1"/>
  <c r="AA63" i="1"/>
  <c r="CJ67" i="1"/>
  <c r="CY40" i="1"/>
  <c r="CZ40" i="1" s="1"/>
  <c r="CN7" i="1"/>
  <c r="CN15" i="1" s="1"/>
  <c r="CN6" i="1"/>
  <c r="CM14" i="1"/>
  <c r="Z35" i="1"/>
  <c r="Y35" i="1"/>
  <c r="CJ31" i="1"/>
  <c r="W35" i="1"/>
  <c r="CK41" i="1"/>
  <c r="X35" i="1"/>
  <c r="CT26" i="1"/>
  <c r="CT65" i="1"/>
  <c r="CP26" i="1"/>
  <c r="AB26" i="1" s="1"/>
  <c r="AB65" i="1"/>
  <c r="DB30" i="1"/>
  <c r="X34" i="1"/>
  <c r="Y34" i="1"/>
  <c r="W34" i="1"/>
  <c r="AA14" i="1"/>
  <c r="Z34" i="1"/>
  <c r="Y23" i="1"/>
  <c r="Y13" i="1"/>
  <c r="X23" i="1"/>
  <c r="X13" i="1"/>
  <c r="CQ16" i="1"/>
  <c r="CQ36" i="1" s="1"/>
  <c r="CQ65" i="1" s="1"/>
  <c r="Z23" i="1"/>
  <c r="CR13" i="1"/>
  <c r="CI23" i="1"/>
  <c r="AA23" i="1" s="1"/>
  <c r="Z13" i="1"/>
  <c r="CK24" i="1"/>
  <c r="CR16" i="1"/>
  <c r="CR36" i="1" s="1"/>
  <c r="CW12" i="1"/>
  <c r="CX12" i="1" s="1"/>
  <c r="CY12" i="1" s="1"/>
  <c r="CL21" i="1"/>
  <c r="W13" i="1"/>
  <c r="W33" i="1" s="1"/>
  <c r="AA13" i="1"/>
  <c r="CY17" i="1"/>
  <c r="CY37" i="1" s="1"/>
  <c r="CK21" i="1"/>
  <c r="CT14" i="1"/>
  <c r="CS6" i="1"/>
  <c r="CT11" i="1"/>
  <c r="CS12" i="1"/>
  <c r="CT12" i="1" s="1"/>
  <c r="AE11" i="1"/>
  <c r="DA17" i="1"/>
  <c r="DA37" i="1" s="1"/>
  <c r="CL15" i="1"/>
  <c r="CS16" i="1"/>
  <c r="CS36" i="1" s="1"/>
  <c r="CS65" i="1" s="1"/>
  <c r="CZ17" i="1"/>
  <c r="CZ37" i="1" s="1"/>
  <c r="AB16" i="1"/>
  <c r="AB36" i="1" s="1"/>
  <c r="CX11" i="1"/>
  <c r="CV13" i="1"/>
  <c r="AD8" i="1"/>
  <c r="CZ15" i="1" l="1"/>
  <c r="DA7" i="1"/>
  <c r="CV15" i="1"/>
  <c r="CW7" i="1"/>
  <c r="CR15" i="1"/>
  <c r="CS7" i="1"/>
  <c r="DA40" i="1"/>
  <c r="DB40" i="1" s="1"/>
  <c r="AB58" i="1"/>
  <c r="CO6" i="1"/>
  <c r="CN14" i="1"/>
  <c r="CO7" i="1"/>
  <c r="CO15" i="1" s="1"/>
  <c r="CN35" i="1"/>
  <c r="CN63" i="1" s="1"/>
  <c r="CK31" i="1"/>
  <c r="CL61" i="1"/>
  <c r="Y33" i="1"/>
  <c r="Y55" i="1" s="1"/>
  <c r="CZ30" i="1"/>
  <c r="CQ26" i="1"/>
  <c r="DA30" i="1"/>
  <c r="CY30" i="1"/>
  <c r="CR26" i="1"/>
  <c r="CR65" i="1"/>
  <c r="Z33" i="1"/>
  <c r="Z55" i="1" s="1"/>
  <c r="X33" i="1"/>
  <c r="CU27" i="1"/>
  <c r="CT21" i="1"/>
  <c r="CM24" i="1"/>
  <c r="CM34" i="1" s="1"/>
  <c r="CM62" i="1" s="1"/>
  <c r="CM35" i="1"/>
  <c r="CM63" i="1" s="1"/>
  <c r="CL24" i="1"/>
  <c r="CL31" i="1" s="1"/>
  <c r="CM31" i="1" s="1"/>
  <c r="CN24" i="1"/>
  <c r="AA21" i="1"/>
  <c r="AA33" i="1" s="1"/>
  <c r="CW13" i="1"/>
  <c r="CX13" i="1"/>
  <c r="CY24" i="1"/>
  <c r="CY27" i="1"/>
  <c r="AC16" i="1"/>
  <c r="AC36" i="1" s="1"/>
  <c r="CS26" i="1"/>
  <c r="AE17" i="1"/>
  <c r="AE37" i="1" s="1"/>
  <c r="CQ24" i="1"/>
  <c r="CQ27" i="1"/>
  <c r="AD11" i="1"/>
  <c r="CU24" i="1"/>
  <c r="CM21" i="1"/>
  <c r="CT13" i="1"/>
  <c r="AD12" i="1"/>
  <c r="AA15" i="1"/>
  <c r="AA35" i="1" s="1"/>
  <c r="AA57" i="1" s="1"/>
  <c r="CP11" i="1"/>
  <c r="CP13" i="1" s="1"/>
  <c r="CO13" i="1"/>
  <c r="CS14" i="1"/>
  <c r="CR6" i="1"/>
  <c r="CR14" i="1" s="1"/>
  <c r="AC11" i="1"/>
  <c r="AE8" i="1"/>
  <c r="CY8" i="1" s="1"/>
  <c r="AC12" i="1"/>
  <c r="CS13" i="1"/>
  <c r="CY13" i="1"/>
  <c r="CZ12" i="1"/>
  <c r="CU8" i="1"/>
  <c r="DA15" i="1" l="1"/>
  <c r="DB7" i="1"/>
  <c r="DB15" i="1" s="1"/>
  <c r="CW15" i="1"/>
  <c r="CX7" i="1"/>
  <c r="CX15" i="1" s="1"/>
  <c r="CS15" i="1"/>
  <c r="CT7" i="1"/>
  <c r="CT15" i="1" s="1"/>
  <c r="CN21" i="1"/>
  <c r="CN33" i="1" s="1"/>
  <c r="CN61" i="1" s="1"/>
  <c r="CR24" i="1"/>
  <c r="CR27" i="1"/>
  <c r="CV24" i="1"/>
  <c r="CV27" i="1"/>
  <c r="CZ24" i="1"/>
  <c r="CZ27" i="1"/>
  <c r="AC65" i="1"/>
  <c r="AC58" i="1" s="1"/>
  <c r="AA61" i="1"/>
  <c r="AA55" i="1" s="1"/>
  <c r="CL67" i="1"/>
  <c r="CP7" i="1"/>
  <c r="CP15" i="1" s="1"/>
  <c r="CN31" i="1"/>
  <c r="CO31" i="1" s="1"/>
  <c r="CP6" i="1"/>
  <c r="CO14" i="1"/>
  <c r="CY35" i="1"/>
  <c r="CY63" i="1" s="1"/>
  <c r="CU35" i="1"/>
  <c r="CU63" i="1" s="1"/>
  <c r="CM33" i="1"/>
  <c r="CM44" i="1" s="1"/>
  <c r="CN34" i="1"/>
  <c r="CM50" i="1"/>
  <c r="AC26" i="1"/>
  <c r="AE30" i="1"/>
  <c r="CQ28" i="1"/>
  <c r="CT33" i="1"/>
  <c r="CT61" i="1" s="1"/>
  <c r="CQ35" i="1"/>
  <c r="CQ63" i="1" s="1"/>
  <c r="AA24" i="1"/>
  <c r="AA34" i="1" s="1"/>
  <c r="CS21" i="1"/>
  <c r="CS33" i="1" s="1"/>
  <c r="CS61" i="1" s="1"/>
  <c r="CR35" i="1"/>
  <c r="CR63" i="1" s="1"/>
  <c r="CY16" i="1"/>
  <c r="CY36" i="1" s="1"/>
  <c r="CZ8" i="1"/>
  <c r="CZ16" i="1" s="1"/>
  <c r="CZ36" i="1" s="1"/>
  <c r="AD13" i="1"/>
  <c r="AC13" i="1"/>
  <c r="CR21" i="1"/>
  <c r="AB11" i="1"/>
  <c r="AB13" i="1" s="1"/>
  <c r="CV8" i="1"/>
  <c r="CU16" i="1"/>
  <c r="CU36" i="1" s="1"/>
  <c r="DA12" i="1"/>
  <c r="CZ13" i="1"/>
  <c r="CZ35" i="1" l="1"/>
  <c r="CZ63" i="1" s="1"/>
  <c r="CV35" i="1"/>
  <c r="CV63" i="1" s="1"/>
  <c r="AE15" i="1"/>
  <c r="DA27" i="1"/>
  <c r="DA35" i="1" s="1"/>
  <c r="DA63" i="1" s="1"/>
  <c r="DA24" i="1"/>
  <c r="DB27" i="1"/>
  <c r="DB24" i="1"/>
  <c r="AD15" i="1"/>
  <c r="CW27" i="1"/>
  <c r="CW24" i="1"/>
  <c r="CX27" i="1"/>
  <c r="CX24" i="1"/>
  <c r="AC15" i="1"/>
  <c r="CS27" i="1"/>
  <c r="CS24" i="1"/>
  <c r="CT27" i="1"/>
  <c r="CT28" i="1" s="1"/>
  <c r="CT24" i="1"/>
  <c r="CR28" i="1"/>
  <c r="CR34" i="1" s="1"/>
  <c r="CR62" i="1" s="1"/>
  <c r="CN50" i="1"/>
  <c r="CO21" i="1"/>
  <c r="CO24" i="1"/>
  <c r="CO35" i="1"/>
  <c r="CO63" i="1" s="1"/>
  <c r="AB15" i="1"/>
  <c r="CP14" i="1"/>
  <c r="CQ6" i="1"/>
  <c r="CQ14" i="1" s="1"/>
  <c r="CP27" i="1"/>
  <c r="CP35" i="1" s="1"/>
  <c r="CP63" i="1" s="1"/>
  <c r="CP24" i="1"/>
  <c r="CN62" i="1"/>
  <c r="CN67" i="1" s="1"/>
  <c r="CM61" i="1"/>
  <c r="CM67" i="1" s="1"/>
  <c r="CP31" i="1"/>
  <c r="AA62" i="1"/>
  <c r="DA8" i="1"/>
  <c r="DB8" i="1" s="1"/>
  <c r="DB16" i="1" s="1"/>
  <c r="DB36" i="1" s="1"/>
  <c r="CZ26" i="1"/>
  <c r="CZ28" i="1" s="1"/>
  <c r="CZ65" i="1"/>
  <c r="CU26" i="1"/>
  <c r="CU28" i="1" s="1"/>
  <c r="CU65" i="1"/>
  <c r="CY26" i="1"/>
  <c r="CY28" i="1" s="1"/>
  <c r="CY65" i="1"/>
  <c r="CR33" i="1"/>
  <c r="CR61" i="1" s="1"/>
  <c r="CW8" i="1"/>
  <c r="CV16" i="1"/>
  <c r="CV36" i="1" s="1"/>
  <c r="DA13" i="1"/>
  <c r="DB12" i="1"/>
  <c r="DB13" i="1" s="1"/>
  <c r="AE27" i="1" l="1"/>
  <c r="AE35" i="1" s="1"/>
  <c r="AC27" i="1"/>
  <c r="AC35" i="1" s="1"/>
  <c r="AC24" i="1"/>
  <c r="CW35" i="1"/>
  <c r="CW63" i="1" s="1"/>
  <c r="AD27" i="1"/>
  <c r="AD35" i="1" s="1"/>
  <c r="CS35" i="1"/>
  <c r="CS63" i="1" s="1"/>
  <c r="CS28" i="1"/>
  <c r="AC28" i="1"/>
  <c r="CR67" i="1"/>
  <c r="AE24" i="1"/>
  <c r="AD24" i="1"/>
  <c r="CT34" i="1"/>
  <c r="CT62" i="1" s="1"/>
  <c r="DB35" i="1"/>
  <c r="DB63" i="1" s="1"/>
  <c r="AE63" i="1" s="1"/>
  <c r="CX35" i="1"/>
  <c r="CX63" i="1" s="1"/>
  <c r="CT35" i="1"/>
  <c r="CT63" i="1" s="1"/>
  <c r="CO50" i="1"/>
  <c r="AA56" i="1"/>
  <c r="AB63" i="1"/>
  <c r="CQ21" i="1"/>
  <c r="AC14" i="1"/>
  <c r="CO34" i="1"/>
  <c r="CO62" i="1" s="1"/>
  <c r="AB24" i="1"/>
  <c r="CP21" i="1"/>
  <c r="CP33" i="1" s="1"/>
  <c r="CP61" i="1" s="1"/>
  <c r="CO33" i="1"/>
  <c r="CO61" i="1" s="1"/>
  <c r="AB14" i="1"/>
  <c r="CP28" i="1"/>
  <c r="AB28" i="1" s="1"/>
  <c r="AB27" i="1"/>
  <c r="AB35" i="1" s="1"/>
  <c r="CQ34" i="1"/>
  <c r="CQ62" i="1" s="1"/>
  <c r="DA16" i="1"/>
  <c r="DB26" i="1"/>
  <c r="DB28" i="1" s="1"/>
  <c r="DB65" i="1"/>
  <c r="CV26" i="1"/>
  <c r="CV28" i="1" s="1"/>
  <c r="CV65" i="1"/>
  <c r="CX8" i="1"/>
  <c r="CX16" i="1" s="1"/>
  <c r="CX36" i="1" s="1"/>
  <c r="CW16" i="1"/>
  <c r="CW36" i="1" s="1"/>
  <c r="AE12" i="1"/>
  <c r="AE13" i="1" s="1"/>
  <c r="AC34" i="1" l="1"/>
  <c r="AD63" i="1"/>
  <c r="AC63" i="1"/>
  <c r="CT67" i="1"/>
  <c r="CS34" i="1"/>
  <c r="CS62" i="1" s="1"/>
  <c r="CS67" i="1" s="1"/>
  <c r="AE16" i="1"/>
  <c r="AE36" i="1" s="1"/>
  <c r="DA36" i="1"/>
  <c r="CP50" i="1"/>
  <c r="AB57" i="1"/>
  <c r="CO67" i="1"/>
  <c r="CP34" i="1"/>
  <c r="CP62" i="1" s="1"/>
  <c r="AB62" i="1" s="1"/>
  <c r="AB34" i="1"/>
  <c r="DA26" i="1"/>
  <c r="DA28" i="1" s="1"/>
  <c r="AE28" i="1" s="1"/>
  <c r="AB61" i="1"/>
  <c r="AB21" i="1"/>
  <c r="AB33" i="1" s="1"/>
  <c r="CQ33" i="1"/>
  <c r="CQ61" i="1" s="1"/>
  <c r="CQ67" i="1" s="1"/>
  <c r="AC21" i="1"/>
  <c r="AC33" i="1" s="1"/>
  <c r="CR31" i="1"/>
  <c r="CQ50" i="1"/>
  <c r="CW26" i="1"/>
  <c r="CW28" i="1" s="1"/>
  <c r="CW65" i="1"/>
  <c r="CX26" i="1"/>
  <c r="CX28" i="1" s="1"/>
  <c r="CX65" i="1"/>
  <c r="AD16" i="1"/>
  <c r="AD36" i="1" s="1"/>
  <c r="CN100" i="1"/>
  <c r="CO100" i="1" s="1"/>
  <c r="CP100" i="1" s="1"/>
  <c r="CQ100" i="1" s="1"/>
  <c r="DA65" i="1" l="1"/>
  <c r="AE65" i="1" s="1"/>
  <c r="AE58" i="1" s="1"/>
  <c r="AC62" i="1"/>
  <c r="AC56" i="1" s="1"/>
  <c r="AE26" i="1"/>
  <c r="CR100" i="1"/>
  <c r="CS100" i="1" s="1"/>
  <c r="CT100" i="1" s="1"/>
  <c r="CU100" i="1" s="1"/>
  <c r="CV100" i="1" s="1"/>
  <c r="CW100" i="1" s="1"/>
  <c r="CX100" i="1" s="1"/>
  <c r="CY100" i="1" s="1"/>
  <c r="CZ100" i="1" s="1"/>
  <c r="DA100" i="1" s="1"/>
  <c r="DB100" i="1" s="1"/>
  <c r="AD65" i="1"/>
  <c r="AD58" i="1" s="1"/>
  <c r="AB56" i="1"/>
  <c r="CP67" i="1"/>
  <c r="AB55" i="1"/>
  <c r="AC61" i="1"/>
  <c r="CS31" i="1"/>
  <c r="CR50" i="1"/>
  <c r="AD26" i="1"/>
  <c r="AD28" i="1"/>
  <c r="CK51" i="1"/>
  <c r="AC55" i="1" l="1"/>
  <c r="CT31" i="1"/>
  <c r="CS50" i="1"/>
  <c r="AB91" i="1"/>
  <c r="AC91" i="1"/>
  <c r="AD91" i="1"/>
  <c r="AE91" i="1"/>
  <c r="AB87" i="1"/>
  <c r="AC87" i="1"/>
  <c r="AD87" i="1"/>
  <c r="AE87" i="1"/>
  <c r="AB86" i="1"/>
  <c r="AC86" i="1"/>
  <c r="AD86" i="1"/>
  <c r="AE86" i="1"/>
  <c r="AB85" i="1"/>
  <c r="AC85" i="1"/>
  <c r="AD85" i="1"/>
  <c r="AE85" i="1"/>
  <c r="AB92" i="1"/>
  <c r="AC92" i="1"/>
  <c r="AD92" i="1"/>
  <c r="AE92" i="1"/>
  <c r="AB89" i="1"/>
  <c r="AC89" i="1"/>
  <c r="AD89" i="1"/>
  <c r="AE89" i="1"/>
  <c r="AB84" i="1"/>
  <c r="AC84" i="1"/>
  <c r="AD84" i="1"/>
  <c r="AE84" i="1"/>
  <c r="CU31" i="1" l="1"/>
  <c r="CT50" i="1"/>
  <c r="CV31" i="1" l="1"/>
  <c r="CM38" i="1"/>
  <c r="CN38" i="1" s="1"/>
  <c r="CO38" i="1" s="1"/>
  <c r="CP38" i="1" s="1"/>
  <c r="CQ38" i="1" s="1"/>
  <c r="CR38" i="1" s="1"/>
  <c r="CS38" i="1" s="1"/>
  <c r="CT38" i="1" s="1"/>
  <c r="CU38" i="1" s="1"/>
  <c r="CV38" i="1" s="1"/>
  <c r="CW38" i="1" s="1"/>
  <c r="CX38" i="1" s="1"/>
  <c r="CY38" i="1" s="1"/>
  <c r="CZ38" i="1" s="1"/>
  <c r="DA38" i="1" s="1"/>
  <c r="DB38" i="1" s="1"/>
  <c r="AE6" i="1"/>
  <c r="CY6" i="1" s="1"/>
  <c r="AD6" i="1"/>
  <c r="CU6" i="1" s="1"/>
  <c r="AA46" i="1"/>
  <c r="AB46" i="1"/>
  <c r="CI41" i="1"/>
  <c r="CH41" i="1"/>
  <c r="CG41" i="1"/>
  <c r="CF41" i="1"/>
  <c r="CE41" i="1"/>
  <c r="CD41" i="1"/>
  <c r="CC41" i="1"/>
  <c r="CB41" i="1"/>
  <c r="CA41" i="1"/>
  <c r="BZ41" i="1"/>
  <c r="BY41" i="1"/>
  <c r="BX41" i="1"/>
  <c r="BW41" i="1"/>
  <c r="BV41" i="1"/>
  <c r="CJ41" i="1"/>
  <c r="CM41" i="1" s="1"/>
  <c r="CN41" i="1" l="1"/>
  <c r="CW31" i="1"/>
  <c r="CQ47" i="1"/>
  <c r="CP47" i="1"/>
  <c r="AB47" i="1" s="1"/>
  <c r="AB42" i="1" s="1"/>
  <c r="CV6" i="1"/>
  <c r="CU14" i="1"/>
  <c r="CZ6" i="1"/>
  <c r="CY14" i="1"/>
  <c r="AC46" i="1"/>
  <c r="CR42" i="1"/>
  <c r="CO41" i="1" l="1"/>
  <c r="CX64" i="1"/>
  <c r="AB64" i="1"/>
  <c r="AB67" i="1" s="1"/>
  <c r="CX31" i="1"/>
  <c r="CS42" i="1"/>
  <c r="CR47" i="1"/>
  <c r="CY21" i="1"/>
  <c r="CY33" i="1" s="1"/>
  <c r="CY61" i="1" s="1"/>
  <c r="CY34" i="1"/>
  <c r="CY62" i="1" s="1"/>
  <c r="CU21" i="1"/>
  <c r="CU34" i="1"/>
  <c r="CU62" i="1" s="1"/>
  <c r="DA6" i="1"/>
  <c r="CZ14" i="1"/>
  <c r="CW6" i="1"/>
  <c r="CV14" i="1"/>
  <c r="W45" i="1"/>
  <c r="X45" i="1"/>
  <c r="Y45" i="1"/>
  <c r="Z45" i="1"/>
  <c r="W46" i="1"/>
  <c r="X46" i="1"/>
  <c r="Y46" i="1"/>
  <c r="Z46" i="1"/>
  <c r="W48" i="1"/>
  <c r="X48" i="1"/>
  <c r="Y48" i="1"/>
  <c r="Z48" i="1"/>
  <c r="W49" i="1"/>
  <c r="X49" i="1"/>
  <c r="Y49" i="1"/>
  <c r="Z49" i="1"/>
  <c r="W50" i="1"/>
  <c r="X50" i="1"/>
  <c r="Y50" i="1"/>
  <c r="Z50" i="1"/>
  <c r="Z44" i="1"/>
  <c r="Y44" i="1"/>
  <c r="X44" i="1"/>
  <c r="W44" i="1"/>
  <c r="CI51" i="1"/>
  <c r="CH51" i="1"/>
  <c r="CG51" i="1"/>
  <c r="CF51" i="1"/>
  <c r="CE51" i="1"/>
  <c r="CD51" i="1"/>
  <c r="CC51" i="1"/>
  <c r="CB51" i="1"/>
  <c r="CA51" i="1"/>
  <c r="BZ51" i="1"/>
  <c r="BY51" i="1"/>
  <c r="BX51" i="1"/>
  <c r="BW51" i="1"/>
  <c r="BV51" i="1"/>
  <c r="BU51" i="1"/>
  <c r="BT51" i="1"/>
  <c r="BS51" i="1"/>
  <c r="BR51" i="1"/>
  <c r="BQ51" i="1"/>
  <c r="BP51" i="1"/>
  <c r="BO51" i="1"/>
  <c r="BN51" i="1"/>
  <c r="BM51" i="1"/>
  <c r="BL51" i="1"/>
  <c r="BK51" i="1"/>
  <c r="BJ51" i="1"/>
  <c r="BI51" i="1"/>
  <c r="BH51" i="1"/>
  <c r="BG51" i="1"/>
  <c r="BF51" i="1"/>
  <c r="BE51" i="1"/>
  <c r="BD51" i="1"/>
  <c r="BC51" i="1"/>
  <c r="BB51" i="1"/>
  <c r="BA51" i="1"/>
  <c r="AZ51" i="1"/>
  <c r="AY51" i="1"/>
  <c r="AX51" i="1"/>
  <c r="AW51" i="1"/>
  <c r="AV51" i="1"/>
  <c r="AU51" i="1"/>
  <c r="AT51" i="1"/>
  <c r="AS51" i="1"/>
  <c r="AR51" i="1"/>
  <c r="AQ51" i="1"/>
  <c r="AP51" i="1"/>
  <c r="AO51" i="1"/>
  <c r="AN51" i="1"/>
  <c r="AM51" i="1"/>
  <c r="AL51" i="1"/>
  <c r="AK51" i="1"/>
  <c r="AJ51" i="1"/>
  <c r="AI51" i="1"/>
  <c r="W38" i="1"/>
  <c r="X38" i="1"/>
  <c r="Y38" i="1"/>
  <c r="Z38" i="1"/>
  <c r="AA38" i="1"/>
  <c r="AB38" i="1"/>
  <c r="AC38" i="1"/>
  <c r="AD38" i="1"/>
  <c r="AE38" i="1"/>
  <c r="CJ51" i="1"/>
  <c r="FG2" i="4"/>
  <c r="FH2" i="4" s="1"/>
  <c r="FI2" i="4" s="1"/>
  <c r="FJ2" i="4" s="1"/>
  <c r="FK2" i="4" s="1"/>
  <c r="FL2" i="4" s="1"/>
  <c r="FM2" i="4" s="1"/>
  <c r="FN2" i="4" s="1"/>
  <c r="FO2" i="4" s="1"/>
  <c r="FP2" i="4" s="1"/>
  <c r="FQ2" i="4" s="1"/>
  <c r="FR2" i="4" s="1"/>
  <c r="FS2" i="4" s="1"/>
  <c r="FT2" i="4" s="1"/>
  <c r="FU2" i="4" s="1"/>
  <c r="FV2" i="4" s="1"/>
  <c r="FW2" i="4" s="1"/>
  <c r="FX2" i="4" s="1"/>
  <c r="FY2" i="4" s="1"/>
  <c r="FZ2" i="4" s="1"/>
  <c r="GA2" i="4" s="1"/>
  <c r="GB2" i="4" s="1"/>
  <c r="GC2" i="4" s="1"/>
  <c r="GD2" i="4" s="1"/>
  <c r="GE2" i="4" s="1"/>
  <c r="GF2" i="4" s="1"/>
  <c r="GG2" i="4" s="1"/>
  <c r="GH2" i="4" s="1"/>
  <c r="GI2" i="4" s="1"/>
  <c r="GJ2" i="4" s="1"/>
  <c r="GK2" i="4" s="1"/>
  <c r="GL2" i="4" s="1"/>
  <c r="GM2" i="4" s="1"/>
  <c r="GN2" i="4" s="1"/>
  <c r="GO2" i="4" s="1"/>
  <c r="GP2" i="4" s="1"/>
  <c r="GQ2" i="4" s="1"/>
  <c r="GR2" i="4" s="1"/>
  <c r="GS2" i="4" s="1"/>
  <c r="GT2" i="4" s="1"/>
  <c r="GU2" i="4" s="1"/>
  <c r="GV2" i="4" s="1"/>
  <c r="GW2" i="4" s="1"/>
  <c r="GX2" i="4" s="1"/>
  <c r="GY2" i="4" s="1"/>
  <c r="GZ2" i="4" s="1"/>
  <c r="HA2" i="4" s="1"/>
  <c r="HB2" i="4" s="1"/>
  <c r="HC2" i="4" s="1"/>
  <c r="HD2" i="4" s="1"/>
  <c r="HE2" i="4" s="1"/>
  <c r="HF2" i="4" s="1"/>
  <c r="HG2" i="4" s="1"/>
  <c r="HH2" i="4" s="1"/>
  <c r="AK202" i="1"/>
  <c r="AB73" i="1"/>
  <c r="AC73" i="1"/>
  <c r="AD73" i="1"/>
  <c r="AE73" i="1"/>
  <c r="AJ275" i="1"/>
  <c r="AD10" i="2"/>
  <c r="AB21" i="2"/>
  <c r="AF31" i="2"/>
  <c r="AD45" i="2"/>
  <c r="AB56" i="2"/>
  <c r="AA193" i="1" s="1"/>
  <c r="AE16" i="2"/>
  <c r="AE32" i="2"/>
  <c r="AE51" i="2"/>
  <c r="AF16" i="2"/>
  <c r="AD40" i="2"/>
  <c r="AD60" i="2"/>
  <c r="AB71" i="2"/>
  <c r="AA206" i="1" s="1"/>
  <c r="AF81" i="2"/>
  <c r="AD92" i="2"/>
  <c r="AB107" i="2"/>
  <c r="AA145" i="1" s="1"/>
  <c r="AF10" i="2"/>
  <c r="AB55" i="2"/>
  <c r="AC22" i="2"/>
  <c r="AC57" i="2"/>
  <c r="AE74" i="2"/>
  <c r="AE90" i="2"/>
  <c r="AB24" i="2"/>
  <c r="AD65" i="2"/>
  <c r="AD75" i="2"/>
  <c r="AB96" i="2"/>
  <c r="AE61" i="2"/>
  <c r="AC96" i="2"/>
  <c r="AD69" i="2"/>
  <c r="AB90" i="2"/>
  <c r="AE11" i="2"/>
  <c r="AE85" i="2"/>
  <c r="AD23" i="2"/>
  <c r="AE33" i="2"/>
  <c r="AC75" i="2"/>
  <c r="AD27" i="2"/>
  <c r="AC47" i="2"/>
  <c r="AF82" i="2"/>
  <c r="AD107" i="2"/>
  <c r="AE83" i="2"/>
  <c r="AB86" i="2"/>
  <c r="AA201" i="1" s="1"/>
  <c r="AC86" i="2"/>
  <c r="AD106" i="2"/>
  <c r="AE48" i="2"/>
  <c r="AF64" i="2"/>
  <c r="AE19" i="2"/>
  <c r="AB94" i="2"/>
  <c r="AF5" i="2"/>
  <c r="AD16" i="2"/>
  <c r="AB27" i="2"/>
  <c r="AA99" i="1" s="1"/>
  <c r="AF40" i="2"/>
  <c r="AD51" i="2"/>
  <c r="AC9" i="2"/>
  <c r="AC25" i="2"/>
  <c r="AC44" i="2"/>
  <c r="AB6" i="2"/>
  <c r="AA72" i="1" s="1"/>
  <c r="AF28" i="2"/>
  <c r="AD52" i="2"/>
  <c r="AD66" i="2"/>
  <c r="AB77" i="2"/>
  <c r="AA211" i="1" s="1"/>
  <c r="AA246" i="1" s="1"/>
  <c r="AF87" i="2"/>
  <c r="AD98" i="2"/>
  <c r="AB12" i="2"/>
  <c r="AA79" i="1" s="1"/>
  <c r="AE25" i="2"/>
  <c r="AC79" i="2"/>
  <c r="AF41" i="2"/>
  <c r="AE63" i="2"/>
  <c r="AB106" i="2"/>
  <c r="AA144" i="1" s="1"/>
  <c r="AF75" i="2"/>
  <c r="AE29" i="2"/>
  <c r="AE106" i="2"/>
  <c r="AF90" i="2"/>
  <c r="AD109" i="2"/>
  <c r="AB9" i="2"/>
  <c r="AF19" i="2"/>
  <c r="AD30" i="2"/>
  <c r="AB44" i="2"/>
  <c r="AF54" i="2"/>
  <c r="AE14" i="2"/>
  <c r="AE30" i="2"/>
  <c r="AE49" i="2"/>
  <c r="AD13" i="2"/>
  <c r="AB34" i="2"/>
  <c r="AB59" i="2"/>
  <c r="AF69" i="2"/>
  <c r="AD80" i="2"/>
  <c r="AB91" i="2"/>
  <c r="AF105" i="2"/>
  <c r="AF6" i="2"/>
  <c r="AD50" i="2"/>
  <c r="AC18" i="2"/>
  <c r="AC53" i="2"/>
  <c r="AE72" i="2"/>
  <c r="AE88" i="2"/>
  <c r="AD19" i="2"/>
  <c r="AB62" i="2"/>
  <c r="AB72" i="2"/>
  <c r="AA208" i="1" s="1"/>
  <c r="AF94" i="2"/>
  <c r="AC51" i="2"/>
  <c r="AC92" i="2"/>
  <c r="AB66" i="2"/>
  <c r="AF88" i="2"/>
  <c r="AE81" i="2"/>
  <c r="AF9" i="2"/>
  <c r="AB31" i="2"/>
  <c r="AD55" i="2"/>
  <c r="AC50" i="2"/>
  <c r="AF36" i="2"/>
  <c r="AD62" i="2"/>
  <c r="AB81" i="2"/>
  <c r="AF18" i="2"/>
  <c r="AC73" i="2"/>
  <c r="AE87" i="2"/>
  <c r="AC98" i="2"/>
  <c r="AB23" i="2"/>
  <c r="AA102" i="1" s="1"/>
  <c r="AD47" i="2"/>
  <c r="AC19" i="2"/>
  <c r="AC42" i="2"/>
  <c r="AF20" i="2"/>
  <c r="AF83" i="2"/>
  <c r="AD42" i="2"/>
  <c r="AC77" i="2"/>
  <c r="AB104" i="2"/>
  <c r="AF84" i="2"/>
  <c r="AC104" i="2"/>
  <c r="AD93" i="2"/>
  <c r="AE89" i="2"/>
  <c r="AB13" i="2"/>
  <c r="AA92" i="1" s="1"/>
  <c r="AF23" i="2"/>
  <c r="AD34" i="2"/>
  <c r="AB48" i="2"/>
  <c r="AA191" i="1" s="1"/>
  <c r="AF58" i="2"/>
  <c r="AE20" i="2"/>
  <c r="AE36" i="2"/>
  <c r="AE55" i="2"/>
  <c r="AD21" i="2"/>
  <c r="AB45" i="2"/>
  <c r="AA188" i="1" s="1"/>
  <c r="AB63" i="2"/>
  <c r="AA198" i="1" s="1"/>
  <c r="AF73" i="2"/>
  <c r="AD84" i="2"/>
  <c r="AB95" i="2"/>
  <c r="AA237" i="1" s="1"/>
  <c r="AF109" i="2"/>
  <c r="AB20" i="2"/>
  <c r="AF62" i="2"/>
  <c r="AC30" i="2"/>
  <c r="AE62" i="2"/>
  <c r="AE78" i="2"/>
  <c r="AC95" i="2"/>
  <c r="AD35" i="2"/>
  <c r="AE31" i="2"/>
  <c r="AB80" i="2"/>
  <c r="AA213" i="1" s="1"/>
  <c r="AF106" i="2"/>
  <c r="AC72" i="2"/>
  <c r="AC108" i="2"/>
  <c r="AB74" i="2"/>
  <c r="AF96" i="2"/>
  <c r="AE46" i="2"/>
  <c r="AE93" i="2"/>
  <c r="AB47" i="2"/>
  <c r="AA190" i="1" s="1"/>
  <c r="AE44" i="2"/>
  <c r="AC83" i="2"/>
  <c r="AB51" i="2"/>
  <c r="AA216" i="1" s="1"/>
  <c r="AF66" i="2"/>
  <c r="AD87" i="2"/>
  <c r="AE99" i="2"/>
  <c r="AD97" i="2"/>
  <c r="AC106" i="2"/>
  <c r="AE108" i="2"/>
  <c r="AC65" i="2"/>
  <c r="AB68" i="2"/>
  <c r="AA202" i="1" s="1"/>
  <c r="AE79" i="2"/>
  <c r="AC43" i="2"/>
  <c r="AD8" i="2"/>
  <c r="AB19" i="2"/>
  <c r="AA87" i="1" s="1"/>
  <c r="AF29" i="2"/>
  <c r="AD43" i="2"/>
  <c r="AB54" i="2"/>
  <c r="AA219" i="1" s="1"/>
  <c r="AA249" i="1" s="1"/>
  <c r="AC13" i="2"/>
  <c r="AC29" i="2"/>
  <c r="AC48" i="2"/>
  <c r="AF12" i="2"/>
  <c r="AD33" i="2"/>
  <c r="AB57" i="2"/>
  <c r="AA221" i="1" s="1"/>
  <c r="AB69" i="2"/>
  <c r="AF79" i="2"/>
  <c r="AD90" i="2"/>
  <c r="AB105" i="2"/>
  <c r="AF34" i="2"/>
  <c r="AE52" i="2"/>
  <c r="AC87" i="2"/>
  <c r="AE67" i="2"/>
  <c r="AF76" i="2"/>
  <c r="AC24" i="2"/>
  <c r="AF91" i="2"/>
  <c r="AC69" i="2"/>
  <c r="AD46" i="2"/>
  <c r="AF110" i="2"/>
  <c r="AC66" i="2"/>
  <c r="AF11" i="2"/>
  <c r="AD22" i="2"/>
  <c r="AB33" i="2"/>
  <c r="AA113" i="1" s="1"/>
  <c r="AF46" i="2"/>
  <c r="AD57" i="2"/>
  <c r="AE18" i="2"/>
  <c r="AE34" i="2"/>
  <c r="AE53" i="2"/>
  <c r="AB18" i="2"/>
  <c r="AA89" i="1" s="1"/>
  <c r="AF43" i="2"/>
  <c r="AF61" i="2"/>
  <c r="AD72" i="2"/>
  <c r="AB83" i="2"/>
  <c r="AA230" i="1" s="1"/>
  <c r="AF93" i="2"/>
  <c r="AD108" i="2"/>
  <c r="AD15" i="2"/>
  <c r="AD59" i="2"/>
  <c r="AC26" i="2"/>
  <c r="AE60" i="2"/>
  <c r="AE76" i="2"/>
  <c r="AE92" i="2"/>
  <c r="AF30" i="2"/>
  <c r="AE15" i="2"/>
  <c r="AF78" i="2"/>
  <c r="AD99" i="2"/>
  <c r="AC68" i="2"/>
  <c r="AF72" i="2"/>
  <c r="AE27" i="2"/>
  <c r="AB15" i="2"/>
  <c r="AA90" i="1" s="1"/>
  <c r="AB5" i="2"/>
  <c r="AB112" i="2" s="1"/>
  <c r="AA140" i="1" s="1"/>
  <c r="AF15" i="2"/>
  <c r="AD26" i="2"/>
  <c r="AB40" i="2"/>
  <c r="AF50" i="2"/>
  <c r="AE8" i="2"/>
  <c r="AE24" i="2"/>
  <c r="AE43" i="2"/>
  <c r="AD5" i="2"/>
  <c r="AD113" i="2" s="1"/>
  <c r="AB26" i="2"/>
  <c r="AF51" i="2"/>
  <c r="AF65" i="2"/>
  <c r="AD76" i="2"/>
  <c r="AB87" i="2"/>
  <c r="AA192" i="1" s="1"/>
  <c r="AF97" i="2"/>
  <c r="AC97" i="2"/>
  <c r="AD31" i="2"/>
  <c r="AC6" i="2"/>
  <c r="AC41" i="2"/>
  <c r="AE66" i="2"/>
  <c r="AE82" i="2"/>
  <c r="AC107" i="2"/>
  <c r="AF49" i="2"/>
  <c r="AC64" i="2"/>
  <c r="AF86" i="2"/>
  <c r="AC80" i="2"/>
  <c r="AC36" i="2"/>
  <c r="AF80" i="2"/>
  <c r="AD105" i="2"/>
  <c r="AE69" i="2"/>
  <c r="AE105" i="2"/>
  <c r="AD63" i="2"/>
  <c r="AC59" i="2"/>
  <c r="AC91" i="2"/>
  <c r="AD61" i="2"/>
  <c r="AD71" i="2"/>
  <c r="AB92" i="2"/>
  <c r="AE35" i="2"/>
  <c r="AE42" i="2"/>
  <c r="AC62" i="2"/>
  <c r="AD78" i="2"/>
  <c r="AB28" i="2"/>
  <c r="AE94" i="2"/>
  <c r="AB84" i="2"/>
  <c r="AE23" i="2"/>
  <c r="AC74" i="2"/>
  <c r="AB11" i="2"/>
  <c r="AA77" i="1" s="1"/>
  <c r="AF21" i="2"/>
  <c r="AD32" i="2"/>
  <c r="AB46" i="2"/>
  <c r="AF56" i="2"/>
  <c r="AC17" i="2"/>
  <c r="AC33" i="2"/>
  <c r="AC52" i="2"/>
  <c r="AD17" i="2"/>
  <c r="AB41" i="2"/>
  <c r="AA183" i="1" s="1"/>
  <c r="AB61" i="2"/>
  <c r="AF71" i="2"/>
  <c r="AD82" i="2"/>
  <c r="AB93" i="2"/>
  <c r="AA238" i="1" s="1"/>
  <c r="AF107" i="2"/>
  <c r="AD58" i="2"/>
  <c r="AC63" i="2"/>
  <c r="AE98" i="2"/>
  <c r="AE91" i="2"/>
  <c r="AD81" i="2"/>
  <c r="AC70" i="2"/>
  <c r="AE96" i="2"/>
  <c r="AC81" i="2"/>
  <c r="AC28" i="2"/>
  <c r="AE54" i="2"/>
  <c r="AC90" i="2"/>
  <c r="AD14" i="2"/>
  <c r="AB25" i="2"/>
  <c r="AA103" i="1" s="1"/>
  <c r="AF35" i="2"/>
  <c r="AD49" i="2"/>
  <c r="AE6" i="2"/>
  <c r="AE22" i="2"/>
  <c r="AE41" i="2"/>
  <c r="AE57" i="2"/>
  <c r="AF24" i="2"/>
  <c r="AD48" i="2"/>
  <c r="AD64" i="2"/>
  <c r="AB75" i="2"/>
  <c r="AA225" i="1" s="1"/>
  <c r="AF85" i="2"/>
  <c r="AD96" i="2"/>
  <c r="AC93" i="2"/>
  <c r="AF26" i="2"/>
  <c r="AB64" i="2"/>
  <c r="AA199" i="1" s="1"/>
  <c r="AC34" i="2"/>
  <c r="AE64" i="2"/>
  <c r="AE80" i="2"/>
  <c r="AC99" i="2"/>
  <c r="AB43" i="2"/>
  <c r="AA185" i="1" s="1"/>
  <c r="AE50" i="2"/>
  <c r="AD83" i="2"/>
  <c r="AB108" i="2"/>
  <c r="AA146" i="1" s="1"/>
  <c r="AC76" i="2"/>
  <c r="AC20" i="2"/>
  <c r="AD77" i="2"/>
  <c r="AB98" i="2"/>
  <c r="AE65" i="2"/>
  <c r="AE97" i="2"/>
  <c r="AD20" i="2"/>
  <c r="AF44" i="2"/>
  <c r="AC15" i="2"/>
  <c r="AB14" i="2"/>
  <c r="AA88" i="1" s="1"/>
  <c r="AB49" i="2"/>
  <c r="AA229" i="1" s="1"/>
  <c r="AF67" i="2"/>
  <c r="AF99" i="2"/>
  <c r="AE13" i="2"/>
  <c r="AD11" i="2"/>
  <c r="AB78" i="2"/>
  <c r="AA226" i="1" s="1"/>
  <c r="AD12" i="2"/>
  <c r="AF33" i="2"/>
  <c r="AB58" i="2"/>
  <c r="AC31" i="2"/>
  <c r="AC54" i="2"/>
  <c r="AF55" i="2"/>
  <c r="AB97" i="2"/>
  <c r="AE40" i="2"/>
  <c r="AE59" i="2"/>
  <c r="AE95" i="2"/>
  <c r="AC8" i="2"/>
  <c r="AD18" i="2"/>
  <c r="AE12" i="2"/>
  <c r="AF32" i="2"/>
  <c r="AF89" i="2"/>
  <c r="AC14" i="2"/>
  <c r="AB110" i="2"/>
  <c r="AA134" i="1" s="1"/>
  <c r="AF98" i="2"/>
  <c r="AC40" i="2"/>
  <c r="AF63" i="2"/>
  <c r="AB17" i="2"/>
  <c r="AA91" i="1" s="1"/>
  <c r="AC10" i="2"/>
  <c r="AD36" i="2"/>
  <c r="AE58" i="2"/>
  <c r="AE71" i="2"/>
  <c r="AB29" i="2"/>
  <c r="AA114" i="1" s="1"/>
  <c r="AE28" i="2"/>
  <c r="AD56" i="2"/>
  <c r="AD104" i="2"/>
  <c r="AC49" i="2"/>
  <c r="AF60" i="2"/>
  <c r="AC88" i="2"/>
  <c r="AE77" i="2"/>
  <c r="AE110" i="2"/>
  <c r="AE75" i="2"/>
  <c r="AE5" i="2"/>
  <c r="AC110" i="2"/>
  <c r="AF48" i="2"/>
  <c r="AC56" i="2"/>
  <c r="AD74" i="2"/>
  <c r="AE9" i="2"/>
  <c r="AF92" i="2"/>
  <c r="AF74" i="2"/>
  <c r="AF27" i="2"/>
  <c r="AE26" i="2"/>
  <c r="AB53" i="2"/>
  <c r="AB99" i="2"/>
  <c r="AC45" i="2"/>
  <c r="AD54" i="2"/>
  <c r="AC84" i="2"/>
  <c r="AE73" i="2"/>
  <c r="AB50" i="2"/>
  <c r="AA215" i="1" s="1"/>
  <c r="AD25" i="2"/>
  <c r="AD70" i="2"/>
  <c r="AE56" i="2"/>
  <c r="AF104" i="2"/>
  <c r="AB42" i="2"/>
  <c r="AA184" i="1" s="1"/>
  <c r="AC35" i="2"/>
  <c r="AB73" i="2"/>
  <c r="AA209" i="1" s="1"/>
  <c r="AC61" i="2"/>
  <c r="AF68" i="2"/>
  <c r="AC7" i="2"/>
  <c r="AC85" i="2"/>
  <c r="AB7" i="2"/>
  <c r="AA73" i="1" s="1"/>
  <c r="AC46" i="2"/>
  <c r="AB89" i="2"/>
  <c r="AD89" i="2"/>
  <c r="AD24" i="2"/>
  <c r="AB16" i="2"/>
  <c r="AB52" i="2"/>
  <c r="AA217" i="1" s="1"/>
  <c r="AF8" i="2"/>
  <c r="AE84" i="2"/>
  <c r="AB88" i="2"/>
  <c r="AF25" i="2"/>
  <c r="AB109" i="2"/>
  <c r="AF17" i="2"/>
  <c r="AD9" i="2"/>
  <c r="AC82" i="2"/>
  <c r="AF14" i="2"/>
  <c r="AB35" i="2"/>
  <c r="AA118" i="1" s="1"/>
  <c r="AE7" i="2"/>
  <c r="AE10" i="2"/>
  <c r="AD88" i="2"/>
  <c r="AF108" i="2"/>
  <c r="AC58" i="2"/>
  <c r="AD28" i="2"/>
  <c r="AE21" i="2"/>
  <c r="AF42" i="2"/>
  <c r="AE47" i="2"/>
  <c r="AD68" i="2"/>
  <c r="AC109" i="2"/>
  <c r="AE70" i="2"/>
  <c r="AF70" i="2"/>
  <c r="AC60" i="2"/>
  <c r="AE104" i="2"/>
  <c r="AC12" i="2"/>
  <c r="AB70" i="2"/>
  <c r="AF22" i="2"/>
  <c r="AF13" i="2"/>
  <c r="AC5" i="2"/>
  <c r="AB22" i="2"/>
  <c r="AB85" i="2"/>
  <c r="AA236" i="1" s="1"/>
  <c r="AC71" i="2"/>
  <c r="AC94" i="2"/>
  <c r="AE107" i="2"/>
  <c r="AD41" i="2"/>
  <c r="AE45" i="2"/>
  <c r="AB67" i="2"/>
  <c r="AA203" i="1" s="1"/>
  <c r="AC105" i="2"/>
  <c r="AE68" i="2"/>
  <c r="AD67" i="2"/>
  <c r="AC55" i="2"/>
  <c r="AE109" i="2"/>
  <c r="AD44" i="2"/>
  <c r="AD86" i="2"/>
  <c r="AF52" i="2"/>
  <c r="AF57" i="2"/>
  <c r="AF47" i="2"/>
  <c r="AF53" i="2"/>
  <c r="AB36" i="2"/>
  <c r="AB82" i="2"/>
  <c r="AF59" i="2"/>
  <c r="AD7" i="2"/>
  <c r="AD94" i="2"/>
  <c r="AC89" i="2"/>
  <c r="AB8" i="2"/>
  <c r="AB60" i="2"/>
  <c r="AB30" i="2"/>
  <c r="AA106" i="1" s="1"/>
  <c r="AF7" i="2"/>
  <c r="AD53" i="2"/>
  <c r="AB10" i="2"/>
  <c r="AB79" i="2"/>
  <c r="AA212" i="1" s="1"/>
  <c r="AF45" i="2"/>
  <c r="AE86" i="2"/>
  <c r="AD91" i="2"/>
  <c r="AD85" i="2"/>
  <c r="AE17" i="2"/>
  <c r="AB76" i="2"/>
  <c r="AA210" i="1" s="1"/>
  <c r="AC78" i="2"/>
  <c r="AD95" i="2"/>
  <c r="AC21" i="2"/>
  <c r="AF95" i="2"/>
  <c r="AD6" i="2"/>
  <c r="AF77" i="2"/>
  <c r="AC23" i="2"/>
  <c r="AB32" i="2"/>
  <c r="AA112" i="1" s="1"/>
  <c r="AC11" i="2"/>
  <c r="AD79" i="2"/>
  <c r="AC32" i="2"/>
  <c r="AC67" i="2"/>
  <c r="AD73" i="2"/>
  <c r="AD110" i="2"/>
  <c r="AD29" i="2"/>
  <c r="AC16" i="2"/>
  <c r="AB65" i="2"/>
  <c r="AC27" i="2"/>
  <c r="AA197" i="1" l="1"/>
  <c r="AA260" i="1"/>
  <c r="AA319" i="1"/>
  <c r="AA74" i="1"/>
  <c r="AA297" i="1"/>
  <c r="AA318" i="1"/>
  <c r="AA239" i="1"/>
  <c r="AA245" i="1"/>
  <c r="AA220" i="1"/>
  <c r="AA222" i="1" s="1"/>
  <c r="AA251" i="1" s="1"/>
  <c r="AA250" i="1" s="1"/>
  <c r="AA214" i="1"/>
  <c r="AA194" i="1"/>
  <c r="AA93" i="1"/>
  <c r="AA186" i="1"/>
  <c r="AA227" i="1"/>
  <c r="AD111" i="2"/>
  <c r="CP41" i="1"/>
  <c r="CY67" i="1"/>
  <c r="CU33" i="1"/>
  <c r="CU61" i="1" s="1"/>
  <c r="CU67" i="1" s="1"/>
  <c r="CU50" i="1"/>
  <c r="AC64" i="1"/>
  <c r="AC67" i="1" s="1"/>
  <c r="DB64" i="1"/>
  <c r="AD64" i="1"/>
  <c r="AD46" i="1"/>
  <c r="CT42" i="1"/>
  <c r="CS47" i="1"/>
  <c r="CV21" i="1"/>
  <c r="CV34" i="1"/>
  <c r="CV62" i="1" s="1"/>
  <c r="CZ21" i="1"/>
  <c r="CZ33" i="1" s="1"/>
  <c r="CZ61" i="1" s="1"/>
  <c r="CZ34" i="1"/>
  <c r="CZ62" i="1" s="1"/>
  <c r="DB6" i="1"/>
  <c r="DB14" i="1" s="1"/>
  <c r="DA14" i="1"/>
  <c r="DA34" i="1" s="1"/>
  <c r="DA62" i="1" s="1"/>
  <c r="CX6" i="1"/>
  <c r="CX14" i="1" s="1"/>
  <c r="CW14" i="1"/>
  <c r="Z40" i="1"/>
  <c r="W40" i="1"/>
  <c r="Z41" i="1"/>
  <c r="X40" i="1"/>
  <c r="Y41" i="1"/>
  <c r="W41" i="1"/>
  <c r="Y40" i="1"/>
  <c r="X41" i="1"/>
  <c r="Y51" i="1"/>
  <c r="Z51" i="1"/>
  <c r="AA45" i="1"/>
  <c r="W51" i="1"/>
  <c r="X51" i="1"/>
  <c r="B1" i="9"/>
  <c r="AF112" i="2"/>
  <c r="AE111" i="2"/>
  <c r="AD112" i="2"/>
  <c r="A1" i="9"/>
  <c r="AF111" i="2"/>
  <c r="AF113" i="2"/>
  <c r="AB111" i="2"/>
  <c r="AB113" i="2"/>
  <c r="AA141" i="1" s="1"/>
  <c r="AC111" i="2"/>
  <c r="AE112" i="2"/>
  <c r="AE113" i="2"/>
  <c r="AC112" i="2"/>
  <c r="AC113" i="2"/>
  <c r="L1" i="9"/>
  <c r="AA104" i="1" l="1"/>
  <c r="AA241" i="1"/>
  <c r="AA200" i="1"/>
  <c r="AA165" i="1"/>
  <c r="AA80" i="1"/>
  <c r="AA248" i="1"/>
  <c r="AA223" i="1"/>
  <c r="AA234" i="1"/>
  <c r="AA175" i="1" s="1"/>
  <c r="AA195" i="1"/>
  <c r="AA314" i="1"/>
  <c r="AA94" i="1"/>
  <c r="CQ41" i="1"/>
  <c r="CR41" i="1" s="1"/>
  <c r="AA41" i="1"/>
  <c r="CZ67" i="1"/>
  <c r="CV33" i="1"/>
  <c r="CV61" i="1" s="1"/>
  <c r="CV67" i="1" s="1"/>
  <c r="CV50" i="1"/>
  <c r="AE64" i="1"/>
  <c r="AE46" i="1"/>
  <c r="CZ31" i="1"/>
  <c r="CY50" i="1"/>
  <c r="CT47" i="1"/>
  <c r="AC47" i="1" s="1"/>
  <c r="AC42" i="1" s="1"/>
  <c r="CW21" i="1"/>
  <c r="CW50" i="1" s="1"/>
  <c r="CW34" i="1"/>
  <c r="CW62" i="1" s="1"/>
  <c r="CX21" i="1"/>
  <c r="CX34" i="1"/>
  <c r="CX62" i="1" s="1"/>
  <c r="DB21" i="1"/>
  <c r="DB33" i="1" s="1"/>
  <c r="DB61" i="1" s="1"/>
  <c r="DB34" i="1"/>
  <c r="AE14" i="1"/>
  <c r="AE34" i="1" s="1"/>
  <c r="DA21" i="1"/>
  <c r="AD14" i="1"/>
  <c r="AD34" i="1" s="1"/>
  <c r="CM45" i="1"/>
  <c r="DB305" i="1"/>
  <c r="DA305" i="1"/>
  <c r="CZ305" i="1"/>
  <c r="CY305" i="1"/>
  <c r="CX305" i="1"/>
  <c r="CW305" i="1"/>
  <c r="CV305" i="1"/>
  <c r="CU305" i="1"/>
  <c r="CT305" i="1"/>
  <c r="CS305" i="1"/>
  <c r="CR305" i="1"/>
  <c r="CQ305" i="1"/>
  <c r="CP305" i="1"/>
  <c r="CO305" i="1"/>
  <c r="CN305" i="1"/>
  <c r="CM305" i="1"/>
  <c r="CK305" i="1"/>
  <c r="CK202" i="1"/>
  <c r="CM202" i="1" s="1"/>
  <c r="CN202" i="1" s="1"/>
  <c r="CO202" i="1" s="1"/>
  <c r="CP202" i="1" s="1"/>
  <c r="CQ202" i="1" s="1"/>
  <c r="CR202" i="1" s="1"/>
  <c r="CS202" i="1" s="1"/>
  <c r="CT202" i="1" s="1"/>
  <c r="CU202" i="1" s="1"/>
  <c r="CV202" i="1" s="1"/>
  <c r="CW202" i="1" s="1"/>
  <c r="CX202" i="1" s="1"/>
  <c r="CY202" i="1" s="1"/>
  <c r="CZ202" i="1" s="1"/>
  <c r="DA202" i="1" s="1"/>
  <c r="DB202" i="1" s="1"/>
  <c r="CH218" i="1"/>
  <c r="CJ305" i="1"/>
  <c r="Z305" i="1"/>
  <c r="AA100" i="1" l="1"/>
  <c r="AA204" i="1"/>
  <c r="AA95" i="1"/>
  <c r="AA81" i="1"/>
  <c r="AA252" i="1"/>
  <c r="AA247" i="1"/>
  <c r="CS41" i="1"/>
  <c r="DB62" i="1"/>
  <c r="AE62" i="1" s="1"/>
  <c r="AE56" i="1" s="1"/>
  <c r="DA31" i="1"/>
  <c r="CZ50" i="1"/>
  <c r="CX33" i="1"/>
  <c r="CX61" i="1" s="1"/>
  <c r="CX67" i="1" s="1"/>
  <c r="CX50" i="1"/>
  <c r="AD62" i="1"/>
  <c r="AD56" i="1" s="1"/>
  <c r="AD21" i="1"/>
  <c r="AD33" i="1" s="1"/>
  <c r="CW33" i="1"/>
  <c r="CW61" i="1" s="1"/>
  <c r="CW67" i="1" s="1"/>
  <c r="CU47" i="1"/>
  <c r="CV42" i="1"/>
  <c r="AE21" i="1"/>
  <c r="AE33" i="1" s="1"/>
  <c r="DA33" i="1"/>
  <c r="DA61" i="1" s="1"/>
  <c r="DA67" i="1" s="1"/>
  <c r="CN45" i="1"/>
  <c r="CN44" i="1"/>
  <c r="CI305" i="1"/>
  <c r="CG202" i="1"/>
  <c r="CG305" i="1"/>
  <c r="CH305" i="1"/>
  <c r="AB77" i="1"/>
  <c r="AC77" i="1"/>
  <c r="AD77" i="1"/>
  <c r="AE77" i="1"/>
  <c r="AB78" i="1"/>
  <c r="AC78" i="1"/>
  <c r="AD78" i="1"/>
  <c r="AE78" i="1"/>
  <c r="AB114" i="1"/>
  <c r="AC114" i="1"/>
  <c r="AD114" i="1"/>
  <c r="AE114" i="1"/>
  <c r="AB225" i="1"/>
  <c r="AC225" i="1"/>
  <c r="AD225" i="1"/>
  <c r="AE225" i="1"/>
  <c r="AB239" i="1"/>
  <c r="AC239" i="1"/>
  <c r="AD239" i="1"/>
  <c r="AE239" i="1"/>
  <c r="CE202" i="1"/>
  <c r="CE305" i="1"/>
  <c r="CF305" i="1"/>
  <c r="AI263" i="1"/>
  <c r="AI268" i="1"/>
  <c r="AI272" i="1"/>
  <c r="AI275" i="1"/>
  <c r="AI305" i="1"/>
  <c r="Y305" i="1"/>
  <c r="AM202" i="1"/>
  <c r="AO202" i="1"/>
  <c r="AQ202" i="1"/>
  <c r="AS202" i="1"/>
  <c r="AU202" i="1"/>
  <c r="AW202" i="1"/>
  <c r="AY202" i="1"/>
  <c r="BA202" i="1"/>
  <c r="BC202" i="1"/>
  <c r="BE202" i="1"/>
  <c r="BG202" i="1"/>
  <c r="BI202" i="1"/>
  <c r="BK202" i="1"/>
  <c r="BM202" i="1"/>
  <c r="BO202" i="1"/>
  <c r="BQ202" i="1"/>
  <c r="BS202" i="1"/>
  <c r="BU202" i="1"/>
  <c r="BW202" i="1"/>
  <c r="BY202" i="1"/>
  <c r="CA202" i="1"/>
  <c r="CC202" i="1"/>
  <c r="CD305" i="1"/>
  <c r="CC305" i="1"/>
  <c r="AJ305" i="1"/>
  <c r="AK305" i="1"/>
  <c r="AL305" i="1"/>
  <c r="CB305" i="1"/>
  <c r="CA305" i="1"/>
  <c r="BZ305" i="1"/>
  <c r="BY305" i="1"/>
  <c r="BX305" i="1"/>
  <c r="BW305" i="1"/>
  <c r="BV305" i="1"/>
  <c r="BU305" i="1"/>
  <c r="BT305" i="1"/>
  <c r="BS305" i="1"/>
  <c r="BR305" i="1"/>
  <c r="BQ305" i="1"/>
  <c r="BP305" i="1"/>
  <c r="BO305" i="1"/>
  <c r="BN305" i="1"/>
  <c r="BM305" i="1"/>
  <c r="BL305" i="1"/>
  <c r="BK305" i="1"/>
  <c r="BJ305" i="1"/>
  <c r="BI305" i="1"/>
  <c r="BH305" i="1"/>
  <c r="BG305" i="1"/>
  <c r="BF305" i="1"/>
  <c r="BE305" i="1"/>
  <c r="BD305" i="1"/>
  <c r="BC305" i="1"/>
  <c r="BB305" i="1"/>
  <c r="BA305" i="1"/>
  <c r="AZ305" i="1"/>
  <c r="AY305" i="1"/>
  <c r="AX305" i="1"/>
  <c r="AW305" i="1"/>
  <c r="AV305" i="1"/>
  <c r="AU305" i="1"/>
  <c r="AT305" i="1"/>
  <c r="AS305" i="1"/>
  <c r="AR305" i="1"/>
  <c r="AQ305" i="1"/>
  <c r="AP305" i="1"/>
  <c r="AO305" i="1"/>
  <c r="AN305" i="1"/>
  <c r="AM305" i="1"/>
  <c r="X305" i="1"/>
  <c r="W305" i="1"/>
  <c r="V305" i="1"/>
  <c r="U305" i="1"/>
  <c r="T305" i="1"/>
  <c r="S305" i="1"/>
  <c r="R305" i="1"/>
  <c r="Q305" i="1"/>
  <c r="P305" i="1"/>
  <c r="O305" i="1"/>
  <c r="N305" i="1"/>
  <c r="M305" i="1"/>
  <c r="L305" i="1"/>
  <c r="K305" i="1"/>
  <c r="J305" i="1"/>
  <c r="I305" i="1"/>
  <c r="H305" i="1"/>
  <c r="G305" i="1"/>
  <c r="F305" i="1"/>
  <c r="E305" i="1"/>
  <c r="D305" i="1"/>
  <c r="C305" i="1"/>
  <c r="B305" i="1"/>
  <c r="C1" i="1"/>
  <c r="D1" i="1" s="1"/>
  <c r="E1" i="1" s="1"/>
  <c r="F1" i="1" s="1"/>
  <c r="G1" i="1" s="1"/>
  <c r="H1" i="1" s="1"/>
  <c r="I1" i="1" s="1"/>
  <c r="J1" i="1" s="1"/>
  <c r="K1" i="1" s="1"/>
  <c r="L1" i="1" s="1"/>
  <c r="M1" i="1" s="1"/>
  <c r="N1" i="1" s="1"/>
  <c r="O1" i="1" s="1"/>
  <c r="P1" i="1" s="1"/>
  <c r="Q1" i="1" s="1"/>
  <c r="R1" i="1" s="1"/>
  <c r="S1" i="1" s="1"/>
  <c r="T1" i="1" s="1"/>
  <c r="U1" i="1" s="1"/>
  <c r="V1" i="1" s="1"/>
  <c r="W1" i="1" s="1"/>
  <c r="X1" i="1" s="1"/>
  <c r="AA312" i="1" l="1"/>
  <c r="AA310" i="1"/>
  <c r="AA231" i="1"/>
  <c r="AA232" i="1" s="1"/>
  <c r="AA298" i="1"/>
  <c r="AA299" i="1" s="1"/>
  <c r="AA178" i="1"/>
  <c r="AA96" i="1"/>
  <c r="AA101" i="1"/>
  <c r="CT41" i="1"/>
  <c r="DB67" i="1"/>
  <c r="DB31" i="1"/>
  <c r="DB50" i="1" s="1"/>
  <c r="DA50" i="1"/>
  <c r="AD61" i="1"/>
  <c r="AD67" i="1" s="1"/>
  <c r="AE61" i="1"/>
  <c r="AE67" i="1" s="1"/>
  <c r="CV47" i="1"/>
  <c r="CW42" i="1"/>
  <c r="CO45" i="1"/>
  <c r="AA44" i="1"/>
  <c r="AC50" i="1"/>
  <c r="Y1" i="1"/>
  <c r="Z1" i="1" s="1"/>
  <c r="CU41" i="1" l="1"/>
  <c r="AA122" i="1"/>
  <c r="AA105" i="1"/>
  <c r="AE55" i="1"/>
  <c r="AD55" i="1"/>
  <c r="CW47" i="1"/>
  <c r="CX42" i="1"/>
  <c r="CP45" i="1"/>
  <c r="AB45" i="1" s="1"/>
  <c r="AB41" i="1" s="1"/>
  <c r="AA40" i="1"/>
  <c r="CP44" i="1"/>
  <c r="CO44" i="1"/>
  <c r="AA1" i="1"/>
  <c r="AB1" i="1" s="1"/>
  <c r="AC1" i="1" s="1"/>
  <c r="AD1" i="1" s="1"/>
  <c r="AE1" i="1" s="1"/>
  <c r="CV41" i="1" l="1"/>
  <c r="AA107" i="1"/>
  <c r="AA108" i="1"/>
  <c r="CX47" i="1"/>
  <c r="AD47" i="1" s="1"/>
  <c r="AD42" i="1" s="1"/>
  <c r="CQ45" i="1"/>
  <c r="AB44" i="1"/>
  <c r="CQ44" i="1"/>
  <c r="A1" i="3"/>
  <c r="CW41" i="1" l="1"/>
  <c r="AA109" i="1"/>
  <c r="AA311" i="1" s="1"/>
  <c r="AA300" i="1"/>
  <c r="AA115" i="1"/>
  <c r="CY47" i="1"/>
  <c r="CZ42" i="1"/>
  <c r="CS45" i="1"/>
  <c r="CQ51" i="1"/>
  <c r="AB40" i="1"/>
  <c r="A1" i="6"/>
  <c r="A1" i="4"/>
  <c r="CX41" i="1" l="1"/>
  <c r="AA119" i="1"/>
  <c r="AA121" i="1"/>
  <c r="AA259" i="1"/>
  <c r="AA261" i="1" s="1"/>
  <c r="CQ72" i="1"/>
  <c r="CQ74" i="1" s="1"/>
  <c r="CZ47" i="1"/>
  <c r="DA42" i="1"/>
  <c r="CR45" i="1"/>
  <c r="CT45" i="1"/>
  <c r="CR44" i="1"/>
  <c r="CT44" i="1"/>
  <c r="AD50" i="1"/>
  <c r="BU12" i="3"/>
  <c r="BU20" i="3"/>
  <c r="BU28" i="3"/>
  <c r="BU36" i="3"/>
  <c r="BU46" i="3"/>
  <c r="BR12" i="3"/>
  <c r="BT15" i="3"/>
  <c r="BK26" i="3"/>
  <c r="BH12" i="3"/>
  <c r="BH38" i="3"/>
  <c r="BG27" i="3"/>
  <c r="BJ10" i="3"/>
  <c r="BV19" i="3"/>
  <c r="BV27" i="3"/>
  <c r="BV35" i="3"/>
  <c r="BV45" i="3"/>
  <c r="BS11" i="3"/>
  <c r="BS19" i="3"/>
  <c r="BS27" i="3"/>
  <c r="BO36" i="3"/>
  <c r="BT10" i="3"/>
  <c r="BG36" i="3"/>
  <c r="BF27" i="3"/>
  <c r="BE14" i="3"/>
  <c r="BK41" i="3"/>
  <c r="BT12" i="3"/>
  <c r="BP15" i="3"/>
  <c r="BG6" i="3"/>
  <c r="BK12" i="3"/>
  <c r="BE19" i="3"/>
  <c r="BI25" i="3"/>
  <c r="BJ13" i="3"/>
  <c r="BJ39" i="3"/>
  <c r="BM26" i="3"/>
  <c r="BN8" i="3"/>
  <c r="BH17" i="3"/>
  <c r="BN42" i="3"/>
  <c r="BF40" i="3"/>
  <c r="BT9" i="3"/>
  <c r="BP34" i="3"/>
  <c r="BM45" i="3"/>
  <c r="BH26" i="3"/>
  <c r="BG9" i="3"/>
  <c r="BI30" i="3"/>
  <c r="BJ40" i="3"/>
  <c r="Y60" i="2"/>
  <c r="Y88" i="2"/>
  <c r="AA80" i="2"/>
  <c r="AA90" i="2"/>
  <c r="Z13" i="2"/>
  <c r="BA17" i="3"/>
  <c r="BB22" i="3"/>
  <c r="BC12" i="3"/>
  <c r="Y17" i="2"/>
  <c r="Y49" i="2"/>
  <c r="Y62" i="2"/>
  <c r="AA76" i="2"/>
  <c r="AA41" i="2"/>
  <c r="BA32" i="3"/>
  <c r="BA5" i="3"/>
  <c r="AA16" i="2"/>
  <c r="Z35" i="2"/>
  <c r="Y31" i="2"/>
  <c r="Z98" i="2"/>
  <c r="AA21" i="2"/>
  <c r="BD46" i="3"/>
  <c r="AA27" i="2"/>
  <c r="Y66" i="2"/>
  <c r="BA23" i="3"/>
  <c r="AA67" i="2"/>
  <c r="Z56" i="2"/>
  <c r="Y18" i="2"/>
  <c r="AA107" i="2"/>
  <c r="AA57" i="2"/>
  <c r="EY11" i="4" a="1"/>
  <c r="EZ14" i="4" a="1"/>
  <c r="FA11" i="4" a="1"/>
  <c r="EY12" i="4" a="1"/>
  <c r="FD13" i="4" a="1"/>
  <c r="EZ9" i="4" a="1"/>
  <c r="FE13" i="4" a="1"/>
  <c r="Z79" i="2"/>
  <c r="AA73" i="2"/>
  <c r="Y84" i="2"/>
  <c r="Y7" i="2"/>
  <c r="BB10" i="3"/>
  <c r="Z43" i="2"/>
  <c r="EX11" i="4" a="1"/>
  <c r="FC13" i="4" a="1"/>
  <c r="BQ9" i="3"/>
  <c r="BQ17" i="3"/>
  <c r="BQ25" i="3"/>
  <c r="BQ33" i="3"/>
  <c r="BQ41" i="3"/>
  <c r="BV10" i="3"/>
  <c r="BO46" i="3"/>
  <c r="BG28" i="3"/>
  <c r="BL14" i="3"/>
  <c r="BN39" i="3"/>
  <c r="BK29" i="3"/>
  <c r="BF20" i="3"/>
  <c r="CL73" i="1" s="1"/>
  <c r="BR20" i="3"/>
  <c r="BR28" i="3"/>
  <c r="BR36" i="3"/>
  <c r="BR46" i="3"/>
  <c r="BU6" i="3"/>
  <c r="BU14" i="3"/>
  <c r="BU22" i="3"/>
  <c r="BU30" i="3"/>
  <c r="BU38" i="3"/>
  <c r="BR6" i="3"/>
  <c r="BS35" i="3"/>
  <c r="BT41" i="3"/>
  <c r="BK32" i="3"/>
  <c r="BF19" i="3"/>
  <c r="BG7" i="3"/>
  <c r="BE34" i="3"/>
  <c r="BH39" i="3"/>
  <c r="BV21" i="3"/>
  <c r="BV29" i="3"/>
  <c r="BV37" i="3"/>
  <c r="BS5" i="3"/>
  <c r="BS13" i="3"/>
  <c r="BS21" i="3"/>
  <c r="BS29" i="3"/>
  <c r="BO40" i="3"/>
  <c r="BP16" i="3"/>
  <c r="BE45" i="3"/>
  <c r="BL34" i="3"/>
  <c r="BI20" i="3"/>
  <c r="BF26" i="3"/>
  <c r="CL114" i="1" s="1"/>
  <c r="BT28" i="3"/>
  <c r="BP11" i="3"/>
  <c r="BM7" i="3"/>
  <c r="BG14" i="3"/>
  <c r="BK20" i="3"/>
  <c r="BE35" i="3"/>
  <c r="BH20" i="3"/>
  <c r="BE6" i="3"/>
  <c r="BK33" i="3"/>
  <c r="BF36" i="3"/>
  <c r="BL23" i="3"/>
  <c r="BJ6" i="3"/>
  <c r="BF24" i="3"/>
  <c r="BT31" i="3"/>
  <c r="BE29" i="3"/>
  <c r="BN9" i="3"/>
  <c r="BH32" i="3"/>
  <c r="BI14" i="3"/>
  <c r="BK35" i="3"/>
  <c r="BN16" i="3"/>
  <c r="Y83" i="2"/>
  <c r="Y51" i="2"/>
  <c r="Y26" i="2"/>
  <c r="AA29" i="2"/>
  <c r="Z72" i="2"/>
  <c r="BB9" i="3"/>
  <c r="BB30" i="3"/>
  <c r="BB38" i="3"/>
  <c r="Z110" i="2"/>
  <c r="AA30" i="2"/>
  <c r="AA35" i="2"/>
  <c r="Y50" i="2"/>
  <c r="BA15" i="3"/>
  <c r="BB19" i="3"/>
  <c r="BD19" i="3"/>
  <c r="Z23" i="2"/>
  <c r="AA85" i="2"/>
  <c r="AA71" i="2"/>
  <c r="Y81" i="2"/>
  <c r="AA33" i="2"/>
  <c r="BC21" i="3"/>
  <c r="AA97" i="2"/>
  <c r="BD25" i="3"/>
  <c r="Y59" i="2"/>
  <c r="Z26" i="2"/>
  <c r="BB23" i="3"/>
  <c r="Z60" i="2"/>
  <c r="Y41" i="2"/>
  <c r="AA45" i="2"/>
  <c r="FC9" i="4" a="1"/>
  <c r="FC8" i="4" a="1"/>
  <c r="FB13" i="4" a="1"/>
  <c r="EZ15" i="4" a="1"/>
  <c r="FA13" i="4" a="1"/>
  <c r="FD5" i="4" a="1"/>
  <c r="FB15" i="4" a="1"/>
  <c r="Y78" i="2"/>
  <c r="AA74" i="2"/>
  <c r="AA34" i="2"/>
  <c r="Y86" i="2"/>
  <c r="Z52" i="2"/>
  <c r="Z41" i="2"/>
  <c r="FB8" i="4" a="1"/>
  <c r="FF7" i="4" a="1"/>
  <c r="BQ11" i="3"/>
  <c r="BQ19" i="3"/>
  <c r="BQ27" i="3"/>
  <c r="BQ35" i="3"/>
  <c r="BQ45" i="3"/>
  <c r="BV12" i="3"/>
  <c r="BT23" i="3"/>
  <c r="BM33" i="3"/>
  <c r="BF21" i="3"/>
  <c r="CL87" i="1" s="1"/>
  <c r="BM8" i="3"/>
  <c r="BI36" i="3"/>
  <c r="BR14" i="3"/>
  <c r="BR22" i="3"/>
  <c r="BR30" i="3"/>
  <c r="BR38" i="3"/>
  <c r="BO6" i="3"/>
  <c r="BO14" i="3"/>
  <c r="BO22" i="3"/>
  <c r="BO30" i="3"/>
  <c r="BO41" i="3"/>
  <c r="BP22" i="3"/>
  <c r="BH6" i="3"/>
  <c r="BL36" i="3"/>
  <c r="BM22" i="3"/>
  <c r="BN30" i="3"/>
  <c r="BT32" i="3"/>
  <c r="BP19" i="3"/>
  <c r="BG8" i="3"/>
  <c r="BK14" i="3"/>
  <c r="BE21" i="3"/>
  <c r="BK36" i="3"/>
  <c r="BN21" i="3"/>
  <c r="BE8" i="3"/>
  <c r="BG35" i="3"/>
  <c r="BJ42" i="3"/>
  <c r="BH25" i="3"/>
  <c r="BU8" i="3"/>
  <c r="BU16" i="3"/>
  <c r="BU24" i="3"/>
  <c r="BU32" i="3"/>
  <c r="BU40" i="3"/>
  <c r="BR8" i="3"/>
  <c r="BO39" i="3"/>
  <c r="BT26" i="3"/>
  <c r="BE39" i="3"/>
  <c r="BJ25" i="3"/>
  <c r="BK13" i="3"/>
  <c r="BG41" i="3"/>
  <c r="BV15" i="3"/>
  <c r="BV23" i="3"/>
  <c r="BV31" i="3"/>
  <c r="BV39" i="3"/>
  <c r="BS7" i="3"/>
  <c r="BS15" i="3"/>
  <c r="BS23" i="3"/>
  <c r="BS31" i="3"/>
  <c r="BS46" i="3"/>
  <c r="BP42" i="3"/>
  <c r="BF11" i="3"/>
  <c r="CL79" i="1" s="1"/>
  <c r="BJ41" i="3"/>
  <c r="BK27" i="3"/>
  <c r="BL5" i="3"/>
  <c r="BT46" i="3"/>
  <c r="BP45" i="3"/>
  <c r="BI9" i="3"/>
  <c r="BM15" i="3"/>
  <c r="BG22" i="3"/>
  <c r="BK40" i="3"/>
  <c r="BN25" i="3"/>
  <c r="BG13" i="3"/>
  <c r="BI40" i="3"/>
  <c r="BJ29" i="3"/>
  <c r="BF30" i="3"/>
  <c r="BF32" i="3"/>
  <c r="BJ22" i="3"/>
  <c r="BT18" i="3"/>
  <c r="BI33" i="3"/>
  <c r="BJ15" i="3"/>
  <c r="BJ37" i="3"/>
  <c r="BK19" i="3"/>
  <c r="BM40" i="3"/>
  <c r="BN40" i="3"/>
  <c r="Y22" i="2"/>
  <c r="Z89" i="2"/>
  <c r="C4" i="2"/>
  <c r="Z50" i="2"/>
  <c r="BB20" i="3"/>
  <c r="BD18" i="3"/>
  <c r="BA29" i="3"/>
  <c r="Y6" i="2"/>
  <c r="AA66" i="2"/>
  <c r="Y33" i="2"/>
  <c r="AA6" i="2"/>
  <c r="AA58" i="2"/>
  <c r="BC17" i="3"/>
  <c r="BA37" i="3"/>
  <c r="BC45" i="3"/>
  <c r="Z59" i="2"/>
  <c r="Z10" i="2"/>
  <c r="Y45" i="2"/>
  <c r="AA92" i="2"/>
  <c r="BA12" i="3"/>
  <c r="BB8" i="3"/>
  <c r="Z88" i="2"/>
  <c r="BA13" i="3"/>
  <c r="Z71" i="2"/>
  <c r="AA49" i="2"/>
  <c r="BA46" i="3"/>
  <c r="BC35" i="3"/>
  <c r="Z42" i="2"/>
  <c r="BB34" i="3"/>
  <c r="EY7" i="4" a="1"/>
  <c r="EY13" i="4" a="1"/>
  <c r="FB9" i="4" a="1"/>
  <c r="FA9" i="4" a="1"/>
  <c r="FE11" i="4" a="1"/>
  <c r="FD9" i="4" a="1"/>
  <c r="BC10" i="3"/>
  <c r="BD8" i="3"/>
  <c r="Z106" i="2"/>
  <c r="BD41" i="3"/>
  <c r="BA21" i="3"/>
  <c r="Y107" i="2"/>
  <c r="Y110" i="2"/>
  <c r="FB7" i="4" a="1"/>
  <c r="BQ5" i="3"/>
  <c r="BQ13" i="3"/>
  <c r="BQ21" i="3"/>
  <c r="BQ29" i="3"/>
  <c r="BQ37" i="3"/>
  <c r="BV6" i="3"/>
  <c r="BU10" i="3"/>
  <c r="BU18" i="3"/>
  <c r="BU26" i="3"/>
  <c r="BU34" i="3"/>
  <c r="BU42" i="3"/>
  <c r="BR10" i="3"/>
  <c r="BO45" i="3"/>
  <c r="BP24" i="3"/>
  <c r="BN5" i="3"/>
  <c r="BN31" i="3"/>
  <c r="BM20" i="3"/>
  <c r="BJ24" i="3"/>
  <c r="BV17" i="3"/>
  <c r="BV25" i="3"/>
  <c r="BV33" i="3"/>
  <c r="BV41" i="3"/>
  <c r="BS9" i="3"/>
  <c r="BS17" i="3"/>
  <c r="BS25" i="3"/>
  <c r="BS33" i="3"/>
  <c r="BT21" i="3"/>
  <c r="BI29" i="3"/>
  <c r="BJ17" i="3"/>
  <c r="BM6" i="3"/>
  <c r="BM34" i="3"/>
  <c r="BH31" i="3"/>
  <c r="BP33" i="3"/>
  <c r="BP23" i="3"/>
  <c r="BE11" i="3"/>
  <c r="BI17" i="3"/>
  <c r="BM23" i="3"/>
  <c r="BL6" i="3"/>
  <c r="BL32" i="3"/>
  <c r="BE20" i="3"/>
  <c r="BH21" i="3"/>
  <c r="BN10" i="3"/>
  <c r="BJ36" i="3"/>
  <c r="BJ14" i="3"/>
  <c r="BH11" i="3"/>
  <c r="BP14" i="3"/>
  <c r="BK38" i="3"/>
  <c r="BL20" i="3"/>
  <c r="BF45" i="3"/>
  <c r="CL130" i="1" s="1"/>
  <c r="CK130" i="1" s="1"/>
  <c r="CJ130" i="1" s="1"/>
  <c r="BG25" i="3"/>
  <c r="BJ16" i="3"/>
  <c r="AA109" i="2"/>
  <c r="Z9" i="2"/>
  <c r="AA87" i="2"/>
  <c r="Z21" i="2"/>
  <c r="AA5" i="2"/>
  <c r="BB33" i="3"/>
  <c r="BD17" i="3"/>
  <c r="BD20" i="3"/>
  <c r="FE9" i="4" a="1"/>
  <c r="Y80" i="2"/>
  <c r="BC30" i="3"/>
  <c r="BQ7" i="3"/>
  <c r="BQ39" i="3"/>
  <c r="BT34" i="3"/>
  <c r="BL26" i="3"/>
  <c r="BM42" i="3"/>
  <c r="BR24" i="3"/>
  <c r="BR40" i="3"/>
  <c r="BO12" i="3"/>
  <c r="BO24" i="3"/>
  <c r="BO34" i="3"/>
  <c r="BT22" i="3"/>
  <c r="BL12" i="3"/>
  <c r="BI8" i="3"/>
  <c r="BH5" i="3"/>
  <c r="BP9" i="3"/>
  <c r="BE5" i="3"/>
  <c r="BE13" i="3"/>
  <c r="BK22" i="3"/>
  <c r="BH8" i="3"/>
  <c r="BF41" i="3"/>
  <c r="BE42" i="3"/>
  <c r="BJ12" i="3"/>
  <c r="BL45" i="3"/>
  <c r="BM46" i="3"/>
  <c r="BT13" i="3"/>
  <c r="BP40" i="3"/>
  <c r="BJ5" i="3"/>
  <c r="BJ27" i="3"/>
  <c r="BM10" i="3"/>
  <c r="BK31" i="3"/>
  <c r="BH45" i="3"/>
  <c r="Y85" i="2"/>
  <c r="Z55" i="2"/>
  <c r="Y46" i="2"/>
  <c r="Z22" i="2"/>
  <c r="Y24" i="2"/>
  <c r="BC18" i="3"/>
  <c r="BC16" i="3"/>
  <c r="BC11" i="3"/>
  <c r="Z107" i="2"/>
  <c r="Y58" i="2"/>
  <c r="AA91" i="2"/>
  <c r="AA63" i="2"/>
  <c r="Z29" i="2"/>
  <c r="BC19" i="3"/>
  <c r="BC29" i="3"/>
  <c r="Z73" i="2"/>
  <c r="Z75" i="2"/>
  <c r="AA98" i="2"/>
  <c r="Y57" i="2"/>
  <c r="AA60" i="2"/>
  <c r="BA8" i="3"/>
  <c r="BC23" i="3"/>
  <c r="Z84" i="2"/>
  <c r="BD38" i="3"/>
  <c r="BD24" i="3"/>
  <c r="Z97" i="2"/>
  <c r="BC40" i="3"/>
  <c r="Y54" i="2"/>
  <c r="BD34" i="3"/>
  <c r="FC14" i="4" a="1"/>
  <c r="EX16" i="4" a="1"/>
  <c r="FA12" i="4" a="1"/>
  <c r="EX9" i="4" a="1"/>
  <c r="FD16" i="4" a="1"/>
  <c r="EZ5" i="4" a="1"/>
  <c r="FB16" i="4" a="1"/>
  <c r="BA39" i="3"/>
  <c r="FE6" i="4" a="1"/>
  <c r="BU7" i="3"/>
  <c r="BU15" i="3"/>
  <c r="BU23" i="3"/>
  <c r="BU31" i="3"/>
  <c r="BU39" i="3"/>
  <c r="BR7" i="3"/>
  <c r="BS37" i="3"/>
  <c r="BT6" i="3"/>
  <c r="BI35" i="3"/>
  <c r="BL22" i="3"/>
  <c r="BI10" i="3"/>
  <c r="BE38" i="3"/>
  <c r="BV14" i="3"/>
  <c r="BV22" i="3"/>
  <c r="BV30" i="3"/>
  <c r="BV38" i="3"/>
  <c r="BS6" i="3"/>
  <c r="BS14" i="3"/>
  <c r="BS22" i="3"/>
  <c r="BS30" i="3"/>
  <c r="BO42" i="3"/>
  <c r="BP32" i="3"/>
  <c r="BN7" i="3"/>
  <c r="BL38" i="3"/>
  <c r="BE24" i="3"/>
  <c r="BH37" i="3"/>
  <c r="BT36" i="3"/>
  <c r="BP27" i="3"/>
  <c r="BK8" i="3"/>
  <c r="BE15" i="3"/>
  <c r="BI21" i="3"/>
  <c r="BG38" i="3"/>
  <c r="BJ23" i="3"/>
  <c r="BE10" i="3"/>
  <c r="BM36" i="3"/>
  <c r="AA110" i="2"/>
  <c r="BA45" i="3"/>
  <c r="Y108" i="2"/>
  <c r="BD11" i="3"/>
  <c r="Z90" i="2"/>
  <c r="BA24" i="3"/>
  <c r="AA83" i="2"/>
  <c r="FE5" i="4" a="1"/>
  <c r="EX6" i="4" a="1"/>
  <c r="BB18" i="3"/>
  <c r="BA38" i="3"/>
  <c r="BQ15" i="3"/>
  <c r="BV8" i="3"/>
  <c r="BP30" i="3"/>
  <c r="BJ33" i="3"/>
  <c r="BJ32" i="3"/>
  <c r="BR26" i="3"/>
  <c r="BR42" i="3"/>
  <c r="BO16" i="3"/>
  <c r="BO26" i="3"/>
  <c r="BO37" i="3"/>
  <c r="BN19" i="3"/>
  <c r="BE16" i="3"/>
  <c r="BF12" i="3"/>
  <c r="CL78" i="1" s="1"/>
  <c r="BP41" i="3"/>
  <c r="BK6" i="3"/>
  <c r="BG16" i="3"/>
  <c r="BG24" i="3"/>
  <c r="BF15" i="3"/>
  <c r="CL92" i="1" s="1"/>
  <c r="BM14" i="3"/>
  <c r="BL27" i="3"/>
  <c r="BN18" i="3"/>
  <c r="BN12" i="3"/>
  <c r="BN36" i="3"/>
  <c r="BT37" i="3"/>
  <c r="BG30" i="3"/>
  <c r="BJ11" i="3"/>
  <c r="BN33" i="3"/>
  <c r="BK15" i="3"/>
  <c r="BG37" i="3"/>
  <c r="BH23" i="3"/>
  <c r="Y14" i="2"/>
  <c r="AA17" i="2"/>
  <c r="Z36" i="2"/>
  <c r="AA44" i="2"/>
  <c r="Z64" i="2"/>
  <c r="BA20" i="3"/>
  <c r="BC25" i="3"/>
  <c r="BB15" i="3"/>
  <c r="Y20" i="2"/>
  <c r="Z14" i="2"/>
  <c r="AA86" i="2"/>
  <c r="Z95" i="2"/>
  <c r="Z15" i="2"/>
  <c r="BC7" i="3"/>
  <c r="BD35" i="3"/>
  <c r="Y16" i="2"/>
  <c r="Y8" i="2"/>
  <c r="AA12" i="2"/>
  <c r="AA22" i="2"/>
  <c r="Z105" i="2"/>
  <c r="BA7" i="3"/>
  <c r="Y93" i="2"/>
  <c r="BD16" i="3"/>
  <c r="BA34" i="3"/>
  <c r="AA69" i="2"/>
  <c r="Y79" i="2"/>
  <c r="AA75" i="2"/>
  <c r="AA95" i="2"/>
  <c r="Y53" i="2"/>
  <c r="FD7" i="4" a="1"/>
  <c r="FA5" i="4" a="1"/>
  <c r="FC16" i="4" a="1"/>
  <c r="FF12" i="4" a="1"/>
  <c r="EY8" i="4" a="1"/>
  <c r="FF5" i="4" a="1"/>
  <c r="BD36" i="3"/>
  <c r="BB11" i="3"/>
  <c r="FB6" i="4" a="1"/>
  <c r="BU9" i="3"/>
  <c r="BU17" i="3"/>
  <c r="BU25" i="3"/>
  <c r="BU33" i="3"/>
  <c r="BU41" i="3"/>
  <c r="BR9" i="3"/>
  <c r="BS41" i="3"/>
  <c r="BP12" i="3"/>
  <c r="BK42" i="3"/>
  <c r="BH28" i="3"/>
  <c r="BG17" i="3"/>
  <c r="BF10" i="3"/>
  <c r="CL77" i="1" s="1"/>
  <c r="BV16" i="3"/>
  <c r="BV24" i="3"/>
  <c r="BV32" i="3"/>
  <c r="BV40" i="3"/>
  <c r="BS8" i="3"/>
  <c r="BS16" i="3"/>
  <c r="BS24" i="3"/>
  <c r="BS32" i="3"/>
  <c r="BT11" i="3"/>
  <c r="BG26" i="3"/>
  <c r="BH14" i="3"/>
  <c r="BL46" i="3"/>
  <c r="BM30" i="3"/>
  <c r="BJ18" i="3"/>
  <c r="BP17" i="3"/>
  <c r="BP29" i="3"/>
  <c r="BG10" i="3"/>
  <c r="BK16" i="3"/>
  <c r="BE23" i="3"/>
  <c r="BK46" i="3"/>
  <c r="BN29" i="3"/>
  <c r="BI16" i="3"/>
  <c r="BN6" i="3"/>
  <c r="BF14" i="3"/>
  <c r="CL90" i="1" s="1"/>
  <c r="BL39" i="3"/>
  <c r="BH27" i="3"/>
  <c r="BT19" i="3"/>
  <c r="BM25" i="3"/>
  <c r="BF7" i="3"/>
  <c r="BL28" i="3"/>
  <c r="BG11" i="3"/>
  <c r="BG33" i="3"/>
  <c r="BH7" i="3"/>
  <c r="Y73" i="2"/>
  <c r="AA24" i="2"/>
  <c r="AA14" i="2"/>
  <c r="Z30" i="2"/>
  <c r="AA93" i="2"/>
  <c r="Y28" i="2"/>
  <c r="BC41" i="3"/>
  <c r="Z53" i="2"/>
  <c r="BA41" i="3"/>
  <c r="AA65" i="2"/>
  <c r="AA23" i="2"/>
  <c r="BD27" i="3"/>
  <c r="FF15" i="4" a="1"/>
  <c r="FC11" i="4" a="1"/>
  <c r="Z74" i="2"/>
  <c r="FD14" i="4" a="1"/>
  <c r="BQ23" i="3"/>
  <c r="BS36" i="3"/>
  <c r="BM41" i="3"/>
  <c r="BG15" i="3"/>
  <c r="BR16" i="3"/>
  <c r="BR32" i="3"/>
  <c r="BO8" i="3"/>
  <c r="BO18" i="3"/>
  <c r="BO28" i="3"/>
  <c r="BP5" i="3"/>
  <c r="BI31" i="3"/>
  <c r="BF29" i="3"/>
  <c r="CL106" i="1" s="1"/>
  <c r="BG29" i="3"/>
  <c r="BL37" i="3"/>
  <c r="BP31" i="3"/>
  <c r="BM9" i="3"/>
  <c r="BM17" i="3"/>
  <c r="BE27" i="3"/>
  <c r="BN27" i="3"/>
  <c r="BK21" i="3"/>
  <c r="BH15" i="3"/>
  <c r="BL31" i="3"/>
  <c r="BJ38" i="3"/>
  <c r="BN28" i="3"/>
  <c r="BT30" i="3"/>
  <c r="BK34" i="3"/>
  <c r="BF17" i="3"/>
  <c r="CL91" i="1" s="1"/>
  <c r="BF39" i="3"/>
  <c r="BG21" i="3"/>
  <c r="BI42" i="3"/>
  <c r="BK45" i="3"/>
  <c r="AA61" i="2"/>
  <c r="Y36" i="2"/>
  <c r="AA68" i="2"/>
  <c r="AA105" i="2"/>
  <c r="BC38" i="3"/>
  <c r="AY29" i="3"/>
  <c r="BC27" i="3"/>
  <c r="BC15" i="3"/>
  <c r="Z40" i="2"/>
  <c r="AA79" i="2"/>
  <c r="Z77" i="2"/>
  <c r="Z91" i="2"/>
  <c r="BC28" i="3"/>
  <c r="BC39" i="3"/>
  <c r="BA27" i="3"/>
  <c r="Y96" i="2"/>
  <c r="Z85" i="2"/>
  <c r="AA64" i="2"/>
  <c r="Y90" i="2"/>
  <c r="Y74" i="2"/>
  <c r="BD7" i="3"/>
  <c r="Z65" i="2"/>
  <c r="BA11" i="3"/>
  <c r="Y70" i="2"/>
  <c r="Y27" i="2"/>
  <c r="BD15" i="3"/>
  <c r="Y40" i="2"/>
  <c r="Y63" i="2"/>
  <c r="Y87" i="2"/>
  <c r="EZ12" i="4" a="1"/>
  <c r="EX13" i="4" a="1"/>
  <c r="FF9" i="4" a="1"/>
  <c r="EZ7" i="4" a="1"/>
  <c r="FC15" i="4" a="1"/>
  <c r="FE15" i="4" a="1"/>
  <c r="Y65" i="2"/>
  <c r="EZ11" i="4" a="1"/>
  <c r="FE7" i="4" a="1"/>
  <c r="BU11" i="3"/>
  <c r="BU19" i="3"/>
  <c r="BU27" i="3"/>
  <c r="BU35" i="3"/>
  <c r="BU45" i="3"/>
  <c r="BR11" i="3"/>
  <c r="BT5" i="3"/>
  <c r="BP38" i="3"/>
  <c r="BF9" i="3"/>
  <c r="BJ35" i="3"/>
  <c r="BI24" i="3"/>
  <c r="BN38" i="3"/>
  <c r="BV18" i="3"/>
  <c r="BV26" i="3"/>
  <c r="BV34" i="3"/>
  <c r="BV42" i="3"/>
  <c r="BS10" i="3"/>
  <c r="BS18" i="3"/>
  <c r="BS26" i="3"/>
  <c r="BS34" i="3"/>
  <c r="BT33" i="3"/>
  <c r="BE33" i="3"/>
  <c r="BJ21" i="3"/>
  <c r="BK9" i="3"/>
  <c r="BK37" i="3"/>
  <c r="BI46" i="3"/>
  <c r="BP21" i="3"/>
  <c r="BI5" i="3"/>
  <c r="BM11" i="3"/>
  <c r="BG18" i="3"/>
  <c r="BK24" i="3"/>
  <c r="BH10" i="3"/>
  <c r="BN35" i="3"/>
  <c r="BG23" i="3"/>
  <c r="BF34" i="3"/>
  <c r="CL112" i="1" s="1"/>
  <c r="BJ20" i="3"/>
  <c r="BJ46" i="3"/>
  <c r="BL9" i="3"/>
  <c r="BT45" i="3"/>
  <c r="AA7" i="2"/>
  <c r="BA19" i="3"/>
  <c r="Z61" i="2"/>
  <c r="AA28" i="2"/>
  <c r="Z99" i="2"/>
  <c r="BC22" i="3"/>
  <c r="Z82" i="2"/>
  <c r="FD12" i="4" a="1"/>
  <c r="FE16" i="4" a="1"/>
  <c r="BB26" i="3"/>
  <c r="FB12" i="4" a="1"/>
  <c r="BQ31" i="3"/>
  <c r="BS40" i="3"/>
  <c r="BJ7" i="3"/>
  <c r="BI22" i="3"/>
  <c r="BR18" i="3"/>
  <c r="BR34" i="3"/>
  <c r="BO10" i="3"/>
  <c r="BO20" i="3"/>
  <c r="BO32" i="3"/>
  <c r="BT27" i="3"/>
  <c r="BM37" i="3"/>
  <c r="BN45" i="3"/>
  <c r="BE36" i="3"/>
  <c r="BT16" i="3"/>
  <c r="BP13" i="3"/>
  <c r="BI11" i="3"/>
  <c r="BI19" i="3"/>
  <c r="BI45" i="3"/>
  <c r="BH34" i="3"/>
  <c r="BI28" i="3"/>
  <c r="BF6" i="3"/>
  <c r="CL72" i="1" s="1"/>
  <c r="BF38" i="3"/>
  <c r="BN20" i="3"/>
  <c r="BJ30" i="3"/>
  <c r="BP20" i="3"/>
  <c r="BG40" i="3"/>
  <c r="BH22" i="3"/>
  <c r="BK5" i="3"/>
  <c r="BI26" i="3"/>
  <c r="BN22" i="3"/>
  <c r="AB39" i="3"/>
  <c r="Z67" i="2"/>
  <c r="AA53" i="2"/>
  <c r="Y23" i="2"/>
  <c r="Y12" i="2"/>
  <c r="BD42" i="3"/>
  <c r="BD22" i="3"/>
  <c r="BD37" i="3"/>
  <c r="AA62" i="2"/>
  <c r="AA9" i="2"/>
  <c r="Z49" i="2"/>
  <c r="AA11" i="2"/>
  <c r="Y71" i="2"/>
  <c r="BA6" i="3"/>
  <c r="BB14" i="3"/>
  <c r="BB46" i="3"/>
  <c r="Y109" i="2"/>
  <c r="C5" i="2"/>
  <c r="AA46" i="2"/>
  <c r="Y34" i="2"/>
  <c r="BD28" i="3"/>
  <c r="BA33" i="3"/>
  <c r="Z58" i="2"/>
  <c r="BB6" i="3"/>
  <c r="Z27" i="2"/>
  <c r="Z33" i="2"/>
  <c r="BD14" i="3"/>
  <c r="Y105" i="2"/>
  <c r="Z69" i="2"/>
  <c r="BC24" i="3"/>
  <c r="FA7" i="4" a="1"/>
  <c r="FF14" i="4" a="1"/>
  <c r="FB14" i="4" a="1"/>
  <c r="EY15" i="4" a="1"/>
  <c r="FC6" i="4" a="1"/>
  <c r="EY16" i="4" a="1"/>
  <c r="AA26" i="2"/>
  <c r="FE8" i="4" a="1"/>
  <c r="BU5" i="3"/>
  <c r="BU13" i="3"/>
  <c r="BU21" i="3"/>
  <c r="BU29" i="3"/>
  <c r="BU37" i="3"/>
  <c r="BR5" i="3"/>
  <c r="BR13" i="3"/>
  <c r="BT29" i="3"/>
  <c r="BM29" i="3"/>
  <c r="BH16" i="3"/>
  <c r="BN41" i="3"/>
  <c r="BG31" i="3"/>
  <c r="BN24" i="3"/>
  <c r="BV20" i="3"/>
  <c r="BV28" i="3"/>
  <c r="BV36" i="3"/>
  <c r="BV46" i="3"/>
  <c r="BS12" i="3"/>
  <c r="BS20" i="3"/>
  <c r="BS28" i="3"/>
  <c r="BS38" i="3"/>
  <c r="BT38" i="3"/>
  <c r="BI39" i="3"/>
  <c r="BF31" i="3"/>
  <c r="BK17" i="3"/>
  <c r="BL11" i="3"/>
  <c r="BT20" i="3"/>
  <c r="BP39" i="3"/>
  <c r="BE7" i="3"/>
  <c r="BI13" i="3"/>
  <c r="BM19" i="3"/>
  <c r="BK28" i="3"/>
  <c r="BL16" i="3"/>
  <c r="BL42" i="3"/>
  <c r="BE30" i="3"/>
  <c r="BL21" i="3"/>
  <c r="BN26" i="3"/>
  <c r="BH19" i="3"/>
  <c r="BH35" i="3"/>
  <c r="BT42" i="3"/>
  <c r="BM35" i="3"/>
  <c r="BL18" i="3"/>
  <c r="BL40" i="3"/>
  <c r="BE22" i="3"/>
  <c r="BJ8" i="3"/>
  <c r="Y94" i="2"/>
  <c r="Y75" i="2"/>
  <c r="BL7" i="3"/>
  <c r="BP26" i="3"/>
  <c r="BN23" i="3"/>
  <c r="BE28" i="3"/>
  <c r="AA40" i="2"/>
  <c r="AA72" i="2"/>
  <c r="Z109" i="2"/>
  <c r="BB24" i="3"/>
  <c r="BA31" i="3"/>
  <c r="BD39" i="3"/>
  <c r="BD13" i="3"/>
  <c r="Y42" i="2"/>
  <c r="Z5" i="2"/>
  <c r="Y91" i="2"/>
  <c r="Y15" i="2"/>
  <c r="BC13" i="3"/>
  <c r="BB5" i="3"/>
  <c r="BD45" i="3"/>
  <c r="AA20" i="2"/>
  <c r="Y92" i="2"/>
  <c r="AA84" i="2"/>
  <c r="AA32" i="2"/>
  <c r="BB13" i="3"/>
  <c r="BB12" i="3"/>
  <c r="Z83" i="2"/>
  <c r="BB31" i="3"/>
  <c r="Z24" i="2"/>
  <c r="Y52" i="2"/>
  <c r="BC26" i="3"/>
  <c r="BA30" i="3"/>
  <c r="Z17" i="2"/>
  <c r="BC46" i="3"/>
  <c r="FF16" i="4" a="1"/>
  <c r="EX5" i="4" a="1"/>
  <c r="FA16" i="4" a="1"/>
  <c r="EX15" i="4" a="1"/>
  <c r="EX14" i="4" a="1"/>
  <c r="W6" i="2"/>
  <c r="Z12" i="2"/>
  <c r="AA42" i="2"/>
  <c r="AA89" i="2"/>
  <c r="Z32" i="2"/>
  <c r="BB28" i="3"/>
  <c r="FA15" i="4" a="1"/>
  <c r="EY6" i="4" a="1"/>
  <c r="BQ12" i="3"/>
  <c r="BQ20" i="3"/>
  <c r="BQ28" i="3"/>
  <c r="BQ36" i="3"/>
  <c r="BQ46" i="3"/>
  <c r="BV11" i="3"/>
  <c r="BT7" i="3"/>
  <c r="BP46" i="3"/>
  <c r="BL10" i="3"/>
  <c r="BF37" i="3"/>
  <c r="BE26" i="3"/>
  <c r="BF46" i="3"/>
  <c r="CL131" i="1" s="1"/>
  <c r="CK131" i="1" s="1"/>
  <c r="CJ131" i="1" s="1"/>
  <c r="BR19" i="3"/>
  <c r="BR27" i="3"/>
  <c r="BR35" i="3"/>
  <c r="BR45" i="3"/>
  <c r="BO11" i="3"/>
  <c r="BO19" i="3"/>
  <c r="BO27" i="3"/>
  <c r="BO35" i="3"/>
  <c r="BT39" i="3"/>
  <c r="BG34" i="3"/>
  <c r="BF23" i="3"/>
  <c r="CL102" i="1" s="1"/>
  <c r="BI12" i="3"/>
  <c r="BG39" i="3"/>
  <c r="BP37" i="3"/>
  <c r="BM5" i="3"/>
  <c r="BM90" i="3" s="1"/>
  <c r="BG12" i="3"/>
  <c r="BK18" i="3"/>
  <c r="BE25" i="3"/>
  <c r="BN11" i="3"/>
  <c r="BN37" i="3"/>
  <c r="BM24" i="3"/>
  <c r="BF42" i="3"/>
  <c r="CL118" i="1" s="1"/>
  <c r="BF22" i="3"/>
  <c r="BL17" i="3"/>
  <c r="BT25" i="3"/>
  <c r="BI27" i="3"/>
  <c r="BL8" i="3"/>
  <c r="BL30" i="3"/>
  <c r="BM12" i="3"/>
  <c r="BI34" i="3"/>
  <c r="BL13" i="3"/>
  <c r="Y13" i="2"/>
  <c r="Y104" i="2"/>
  <c r="Y21" i="2"/>
  <c r="Y72" i="2"/>
  <c r="BA26" i="3"/>
  <c r="Y43" i="2"/>
  <c r="Z57" i="2"/>
  <c r="BD31" i="3"/>
  <c r="FB5" i="4" a="1"/>
  <c r="BH33" i="3"/>
  <c r="BE31" i="3"/>
  <c r="BF35" i="3"/>
  <c r="CL113" i="1" s="1"/>
  <c r="BI38" i="3"/>
  <c r="AA55" i="2"/>
  <c r="Z104" i="2"/>
  <c r="AA78" i="2"/>
  <c r="BD32" i="3"/>
  <c r="BB32" i="3"/>
  <c r="BB41" i="3"/>
  <c r="Z47" i="2"/>
  <c r="Y19" i="2"/>
  <c r="Z11" i="2"/>
  <c r="Y98" i="2"/>
  <c r="Y61" i="2"/>
  <c r="BD10" i="3"/>
  <c r="BA40" i="3"/>
  <c r="AA88" i="2"/>
  <c r="Z31" i="2"/>
  <c r="Y11" i="2"/>
  <c r="AA13" i="2"/>
  <c r="Y30" i="2"/>
  <c r="BC31" i="3"/>
  <c r="BC36" i="3"/>
  <c r="Z16" i="2"/>
  <c r="BB35" i="3"/>
  <c r="BC5" i="3"/>
  <c r="Y95" i="2"/>
  <c r="BB36" i="3"/>
  <c r="Z93" i="2"/>
  <c r="AA59" i="2"/>
  <c r="FF13" i="4" a="1"/>
  <c r="EZ8" i="4" a="1"/>
  <c r="FF11" i="4" a="1"/>
  <c r="EZ16" i="4" a="1"/>
  <c r="FF8" i="4" a="1"/>
  <c r="EZ13" i="4" a="1"/>
  <c r="AA81" i="2"/>
  <c r="BB16" i="3"/>
  <c r="AA104" i="2"/>
  <c r="BA14" i="3"/>
  <c r="BB42" i="3"/>
  <c r="Y89" i="2"/>
  <c r="EY5" i="4" a="1"/>
  <c r="BQ6" i="3"/>
  <c r="BQ14" i="3"/>
  <c r="BQ22" i="3"/>
  <c r="BQ30" i="3"/>
  <c r="BQ38" i="3"/>
  <c r="BV5" i="3"/>
  <c r="BV13" i="3"/>
  <c r="BT35" i="3"/>
  <c r="BM31" i="3"/>
  <c r="BN17" i="3"/>
  <c r="BJ45" i="3"/>
  <c r="BM32" i="3"/>
  <c r="BN32" i="3"/>
  <c r="BR21" i="3"/>
  <c r="BR29" i="3"/>
  <c r="BR37" i="3"/>
  <c r="BO5" i="3"/>
  <c r="BO13" i="3"/>
  <c r="BO21" i="3"/>
  <c r="BO29" i="3"/>
  <c r="BS39" i="3"/>
  <c r="BP10" i="3"/>
  <c r="BE41" i="3"/>
  <c r="BF33" i="3"/>
  <c r="BM18" i="3"/>
  <c r="BF18" i="3"/>
  <c r="CL89" i="1" s="1"/>
  <c r="BT24" i="3"/>
  <c r="BI7" i="3"/>
  <c r="BM13" i="3"/>
  <c r="BG20" i="3"/>
  <c r="BK30" i="3"/>
  <c r="BH18" i="3"/>
  <c r="BH46" i="3"/>
  <c r="BE32" i="3"/>
  <c r="BL29" i="3"/>
  <c r="BJ28" i="3"/>
  <c r="BL25" i="3"/>
  <c r="BF16" i="3"/>
  <c r="CL88" i="1" s="1"/>
  <c r="BT8" i="3"/>
  <c r="BG32" i="3"/>
  <c r="BN13" i="3"/>
  <c r="BH36" i="3"/>
  <c r="BE18" i="3"/>
  <c r="BE40" i="3"/>
  <c r="BJ34" i="3"/>
  <c r="Z76" i="2"/>
  <c r="V6" i="2"/>
  <c r="Y10" i="2"/>
  <c r="Y99" i="2"/>
  <c r="BC20" i="3"/>
  <c r="BB17" i="3"/>
  <c r="BA16" i="3"/>
  <c r="AA106" i="2"/>
  <c r="Z44" i="2"/>
  <c r="BD30" i="3"/>
  <c r="Z92" i="2"/>
  <c r="Y82" i="2"/>
  <c r="Y67" i="2"/>
  <c r="Y69" i="2"/>
  <c r="Z51" i="2"/>
  <c r="FE12" i="4" a="1"/>
  <c r="EX8" i="4" a="1"/>
  <c r="Y44" i="2"/>
  <c r="Y5" i="2"/>
  <c r="X6" i="2"/>
  <c r="BC34" i="3"/>
  <c r="Y29" i="2"/>
  <c r="FC5" i="4" a="1"/>
  <c r="EZ6" i="4" a="1"/>
  <c r="Y35" i="2"/>
  <c r="AA8" i="2"/>
  <c r="AA70" i="2"/>
  <c r="BE46" i="3"/>
  <c r="BI41" i="3"/>
  <c r="BI6" i="3"/>
  <c r="BH29" i="3"/>
  <c r="Y76" i="2"/>
  <c r="Y68" i="2"/>
  <c r="AA94" i="2"/>
  <c r="BC37" i="3"/>
  <c r="BC32" i="3"/>
  <c r="BA22" i="3"/>
  <c r="Z20" i="2"/>
  <c r="AA48" i="2"/>
  <c r="Z96" i="2"/>
  <c r="Z70" i="2"/>
  <c r="Z86" i="2"/>
  <c r="BC14" i="3"/>
  <c r="BC42" i="3"/>
  <c r="AA56" i="2"/>
  <c r="Z18" i="2"/>
  <c r="Z94" i="2"/>
  <c r="Z45" i="2"/>
  <c r="AA52" i="2"/>
  <c r="AV10" i="3"/>
  <c r="Y48" i="2"/>
  <c r="Z87" i="2"/>
  <c r="BA10" i="3"/>
  <c r="BA18" i="3"/>
  <c r="AA25" i="2"/>
  <c r="BD5" i="3"/>
  <c r="Z63" i="2"/>
  <c r="BB29" i="3"/>
  <c r="FC12" i="4" a="1"/>
  <c r="FC7" i="4" a="1"/>
  <c r="FD8" i="4" a="1"/>
  <c r="FE14" i="4" a="1"/>
  <c r="FB11" i="4" a="1"/>
  <c r="FA14" i="4" a="1"/>
  <c r="Z81" i="2"/>
  <c r="BA42" i="3"/>
  <c r="Z46" i="2"/>
  <c r="BC9" i="3"/>
  <c r="AA43" i="2"/>
  <c r="Y97" i="2"/>
  <c r="FD11" i="4" a="1"/>
  <c r="BQ8" i="3"/>
  <c r="BQ16" i="3"/>
  <c r="BQ24" i="3"/>
  <c r="BQ32" i="3"/>
  <c r="BQ40" i="3"/>
  <c r="BV7" i="3"/>
  <c r="BO38" i="3"/>
  <c r="BT14" i="3"/>
  <c r="BI37" i="3"/>
  <c r="BH24" i="3"/>
  <c r="BE12" i="3"/>
  <c r="BK39" i="3"/>
  <c r="BR15" i="3"/>
  <c r="BR23" i="3"/>
  <c r="BR31" i="3"/>
  <c r="BR39" i="3"/>
  <c r="BO7" i="3"/>
  <c r="BO15" i="3"/>
  <c r="BO23" i="3"/>
  <c r="BO31" i="3"/>
  <c r="BS45" i="3"/>
  <c r="BP36" i="3"/>
  <c r="BJ9" i="3"/>
  <c r="BH40" i="3"/>
  <c r="BK25" i="3"/>
  <c r="BN46" i="3"/>
  <c r="BT40" i="3"/>
  <c r="BP35" i="3"/>
  <c r="BE9" i="3"/>
  <c r="BI15" i="3"/>
  <c r="BM21" i="3"/>
  <c r="BM39" i="3"/>
  <c r="BL24" i="3"/>
  <c r="BK11" i="3"/>
  <c r="BM38" i="3"/>
  <c r="BH9" i="3"/>
  <c r="BN34" i="3"/>
  <c r="BF8" i="3"/>
  <c r="BL41" i="3"/>
  <c r="BP8" i="3"/>
  <c r="BE37" i="3"/>
  <c r="BJ19" i="3"/>
  <c r="BH42" i="3"/>
  <c r="BK23" i="3"/>
  <c r="BH13" i="3"/>
  <c r="Z66" i="2"/>
  <c r="AA18" i="2"/>
  <c r="AA77" i="2"/>
  <c r="AA51" i="2"/>
  <c r="Z62" i="2"/>
  <c r="BD33" i="3"/>
  <c r="BD21" i="3"/>
  <c r="BD23" i="3"/>
  <c r="Z19" i="2"/>
  <c r="BA28" i="3"/>
  <c r="Z34" i="2"/>
  <c r="FA6" i="4" a="1"/>
  <c r="BG45" i="3"/>
  <c r="BF13" i="3"/>
  <c r="BM16" i="3"/>
  <c r="BF28" i="3"/>
  <c r="CL99" i="1" s="1"/>
  <c r="Z48" i="2"/>
  <c r="Z108" i="2"/>
  <c r="AA47" i="2"/>
  <c r="BD26" i="3"/>
  <c r="BA9" i="3"/>
  <c r="BB37" i="3"/>
  <c r="Y9" i="2"/>
  <c r="AA36" i="2"/>
  <c r="AA50" i="2"/>
  <c r="Z80" i="2"/>
  <c r="Z68" i="2"/>
  <c r="BA36" i="3"/>
  <c r="BB21" i="3"/>
  <c r="AA108" i="2"/>
  <c r="Y47" i="2"/>
  <c r="Y55" i="2"/>
  <c r="Y77" i="2"/>
  <c r="AA82" i="2"/>
  <c r="BB27" i="3"/>
  <c r="AA31" i="2"/>
  <c r="BC33" i="3"/>
  <c r="BD12" i="3"/>
  <c r="Z28" i="2"/>
  <c r="Z8" i="2"/>
  <c r="Z78" i="2"/>
  <c r="Z7" i="2"/>
  <c r="AA15" i="2"/>
  <c r="EY14" i="4" a="1"/>
  <c r="FD15" i="4" a="1"/>
  <c r="FD6" i="4" a="1"/>
  <c r="FF6" i="4" a="1"/>
  <c r="EY9" i="4" a="1"/>
  <c r="BD29" i="3"/>
  <c r="Y106" i="2"/>
  <c r="Z6" i="2"/>
  <c r="AA96" i="2"/>
  <c r="Y56" i="2"/>
  <c r="BA25" i="3"/>
  <c r="FA8" i="4" a="1"/>
  <c r="EX12" i="4" a="1"/>
  <c r="BQ10" i="3"/>
  <c r="BQ18" i="3"/>
  <c r="BQ26" i="3"/>
  <c r="BQ34" i="3"/>
  <c r="BQ42" i="3"/>
  <c r="BV9" i="3"/>
  <c r="BS42" i="3"/>
  <c r="BP18" i="3"/>
  <c r="BG46" i="3"/>
  <c r="BH30" i="3"/>
  <c r="BG19" i="3"/>
  <c r="BL19" i="3"/>
  <c r="BR17" i="3"/>
  <c r="BR25" i="3"/>
  <c r="BR33" i="3"/>
  <c r="BR41" i="3"/>
  <c r="BO9" i="3"/>
  <c r="BO17" i="3"/>
  <c r="BO25" i="3"/>
  <c r="BO33" i="3"/>
  <c r="BT17" i="3"/>
  <c r="BM27" i="3"/>
  <c r="BN15" i="3"/>
  <c r="BG5" i="3"/>
  <c r="BI32" i="3"/>
  <c r="BJ26" i="3"/>
  <c r="BP25" i="3"/>
  <c r="BP7" i="3"/>
  <c r="BK10" i="3"/>
  <c r="BE17" i="3"/>
  <c r="BI23" i="3"/>
  <c r="BF5" i="3"/>
  <c r="BJ31" i="3"/>
  <c r="BI18" i="3"/>
  <c r="BN14" i="3"/>
  <c r="BL15" i="3"/>
  <c r="BH41" i="3"/>
  <c r="BL33" i="3"/>
  <c r="BP6" i="3"/>
  <c r="BP28" i="3"/>
  <c r="BG42" i="3"/>
  <c r="BF25" i="3"/>
  <c r="CL103" i="1" s="1"/>
  <c r="BK7" i="3"/>
  <c r="BM28" i="3"/>
  <c r="BL35" i="3"/>
  <c r="AA54" i="2"/>
  <c r="AA19" i="2"/>
  <c r="Y64" i="2"/>
  <c r="Z54" i="2"/>
  <c r="Y32" i="2"/>
  <c r="BB45" i="3"/>
  <c r="BC8" i="3"/>
  <c r="Z25" i="2"/>
  <c r="AA10" i="2"/>
  <c r="Y25" i="2"/>
  <c r="BA35" i="3"/>
  <c r="AA99" i="2"/>
  <c r="BD9" i="3"/>
  <c r="BC6" i="3"/>
  <c r="BB39" i="3"/>
  <c r="BB40" i="3"/>
  <c r="EX7" i="4" a="1"/>
  <c r="BB25" i="3"/>
  <c r="BD6" i="3"/>
  <c r="BB7" i="3"/>
  <c r="BD40" i="3"/>
  <c r="BB85" i="3"/>
  <c r="BB64" i="3"/>
  <c r="BF90" i="3"/>
  <c r="CL192" i="1" s="1"/>
  <c r="BI84" i="3"/>
  <c r="BI54" i="3"/>
  <c r="BF59" i="3"/>
  <c r="BS88" i="3"/>
  <c r="BS91" i="3"/>
  <c r="BV78" i="3"/>
  <c r="BS62" i="3"/>
  <c r="BI65" i="3"/>
  <c r="BF50" i="3"/>
  <c r="CL141" i="1" s="1"/>
  <c r="GN6" i="4" a="1"/>
  <c r="FG6" i="4" a="1"/>
  <c r="FW6" i="4" a="1"/>
  <c r="FY9" i="4" a="1"/>
  <c r="GC7" i="4" a="1"/>
  <c r="FM9" i="4" a="1"/>
  <c r="FW15" i="4" a="1"/>
  <c r="GI6" i="4" a="1"/>
  <c r="FP8" i="4" a="1"/>
  <c r="FU14" i="4" a="1"/>
  <c r="FI8" i="4" a="1"/>
  <c r="HC6" i="4" a="1"/>
  <c r="GD13" i="4" a="1"/>
  <c r="HC7" i="4" a="1"/>
  <c r="GG7" i="4" a="1"/>
  <c r="FP14" i="4" a="1"/>
  <c r="FL8" i="4" a="1"/>
  <c r="FK8" i="4" a="1"/>
  <c r="FM14" i="4" a="1"/>
  <c r="GN11" i="4" a="1"/>
  <c r="GX12" i="4" a="1"/>
  <c r="FN7" i="4" a="1"/>
  <c r="FM12" i="4" a="1"/>
  <c r="FW13" i="4" a="1"/>
  <c r="GG14" i="4" a="1"/>
  <c r="GG11" i="4" a="1"/>
  <c r="FL15" i="4" a="1"/>
  <c r="HD15" i="4" a="1"/>
  <c r="GH16" i="4" a="1"/>
  <c r="FS12" i="4" a="1"/>
  <c r="FN12" i="4" a="1"/>
  <c r="FT15" i="4" a="1"/>
  <c r="FY11" i="4" a="1"/>
  <c r="HC14" i="4" a="1"/>
  <c r="HC15" i="4" a="1"/>
  <c r="GG16" i="4" a="1"/>
  <c r="GY9" i="4" a="1"/>
  <c r="BC63" i="3"/>
  <c r="GQ7" i="4" a="1"/>
  <c r="FO5" i="4" a="1"/>
  <c r="HB9" i="4" a="1"/>
  <c r="FX7" i="4" a="1"/>
  <c r="FO15" i="4" a="1"/>
  <c r="GF8" i="4" a="1"/>
  <c r="FV6" i="4" a="1"/>
  <c r="FJ15" i="4" a="1"/>
  <c r="HG8" i="4" a="1"/>
  <c r="GV11" i="4" a="1"/>
  <c r="GT7" i="4" a="1"/>
  <c r="GE13" i="4" a="1"/>
  <c r="FK12" i="4" a="1"/>
  <c r="HH15" i="4" a="1"/>
  <c r="FN14" i="4" a="1"/>
  <c r="GC13" i="4" a="1"/>
  <c r="GI15" i="4" a="1"/>
  <c r="GS16" i="4" a="1"/>
  <c r="BC81" i="3"/>
  <c r="BC58" i="3"/>
  <c r="BM68" i="3"/>
  <c r="BB97" i="3"/>
  <c r="BI95" i="3"/>
  <c r="BI67" i="3"/>
  <c r="BO95" i="3"/>
  <c r="BS57" i="3"/>
  <c r="BS54" i="3"/>
  <c r="BF57" i="3"/>
  <c r="CL184" i="1" s="1"/>
  <c r="FP5" i="4" a="1"/>
  <c r="GH9" i="4" a="1"/>
  <c r="GX7" i="4" a="1"/>
  <c r="FK13" i="4" a="1"/>
  <c r="FV7" i="4" a="1"/>
  <c r="GT5" i="4" a="1"/>
  <c r="FH9" i="4" a="1"/>
  <c r="FT6" i="4" a="1"/>
  <c r="GY5" i="4" a="1"/>
  <c r="GP11" i="4" a="1"/>
  <c r="GU12" i="4" a="1"/>
  <c r="FH12" i="4" a="1"/>
  <c r="GB14" i="4" a="1"/>
  <c r="HF14" i="4" a="1"/>
  <c r="GF16" i="4" a="1"/>
  <c r="HE11" i="4" a="1"/>
  <c r="FI11" i="4" a="1"/>
  <c r="HA15" i="4" a="1"/>
  <c r="GG9" i="4" a="1"/>
  <c r="BC74" i="3"/>
  <c r="BB56" i="3"/>
  <c r="BB67" i="3"/>
  <c r="BI86" i="3"/>
  <c r="BB54" i="3"/>
  <c r="BI94" i="3"/>
  <c r="BF94" i="3"/>
  <c r="BC47" i="3"/>
  <c r="BB92" i="3"/>
  <c r="BB68" i="3"/>
  <c r="BI83" i="3"/>
  <c r="BB76" i="3"/>
  <c r="BI66" i="3"/>
  <c r="BF66" i="3"/>
  <c r="CL217" i="1" s="1"/>
  <c r="BO84" i="3"/>
  <c r="BO87" i="3"/>
  <c r="BS59" i="3"/>
  <c r="BS69" i="3"/>
  <c r="BF67" i="3"/>
  <c r="BO85" i="3"/>
  <c r="BS74" i="3"/>
  <c r="BI79" i="3"/>
  <c r="GT14" i="4" a="1"/>
  <c r="GR5" i="4" a="1"/>
  <c r="GE9" i="4" a="1"/>
  <c r="GX11" i="4" a="1"/>
  <c r="FH5" i="4" a="1"/>
  <c r="GQ8" i="4" a="1"/>
  <c r="GB11" i="4" a="1"/>
  <c r="FG5" i="4" a="1"/>
  <c r="FQ8" i="4" a="1"/>
  <c r="GZ9" i="4" a="1"/>
  <c r="GP8" i="4" a="1"/>
  <c r="GK7" i="4" a="1"/>
  <c r="FZ9" i="4" a="1"/>
  <c r="FZ15" i="4" a="1"/>
  <c r="FM7" i="4" a="1"/>
  <c r="GR9" i="4" a="1"/>
  <c r="FZ8" i="4" a="1"/>
  <c r="GN7" i="4" a="1"/>
  <c r="GV9" i="4" a="1"/>
  <c r="FR8" i="4" a="1"/>
  <c r="HD11" i="4" a="1"/>
  <c r="FL13" i="4" a="1"/>
  <c r="FK9" i="4" a="1"/>
  <c r="GC12" i="4" a="1"/>
  <c r="GM13" i="4" a="1"/>
  <c r="GW14" i="4" a="1"/>
  <c r="GQ12" i="4" a="1"/>
  <c r="GF15" i="4" a="1"/>
  <c r="FJ16" i="4" a="1"/>
  <c r="GP16" i="4" a="1"/>
  <c r="GY14" i="4" a="1"/>
  <c r="FX13" i="4" a="1"/>
  <c r="FM11" i="4" a="1"/>
  <c r="GL12" i="4" a="1"/>
  <c r="GB15" i="4" a="1"/>
  <c r="FI16" i="4" a="1"/>
  <c r="GO16" i="4" a="1"/>
  <c r="GN13" i="4" a="1"/>
  <c r="BC78" i="3"/>
  <c r="BC76" i="3"/>
  <c r="BF62" i="3"/>
  <c r="CL190" i="1" s="1"/>
  <c r="FL5" i="4" a="1"/>
  <c r="FR9" i="4" a="1"/>
  <c r="GE7" i="4" a="1"/>
  <c r="GO12" i="4" a="1"/>
  <c r="GB6" i="4" a="1"/>
  <c r="GF5" i="4" a="1"/>
  <c r="GU6" i="4" a="1"/>
  <c r="GU5" i="4" a="1"/>
  <c r="GD5" i="4" a="1"/>
  <c r="FS9" i="4" a="1"/>
  <c r="FZ12" i="4" a="1"/>
  <c r="GQ11" i="4" a="1"/>
  <c r="FI14" i="4" a="1"/>
  <c r="FO14" i="4" a="1"/>
  <c r="FV16" i="4" a="1"/>
  <c r="FV9" i="4" a="1"/>
  <c r="GU9" i="4" a="1"/>
  <c r="GY15" i="4" a="1"/>
  <c r="GL8" i="4" a="1"/>
  <c r="BC69" i="3"/>
  <c r="BB74" i="3"/>
  <c r="BI97" i="3"/>
  <c r="BF61" i="3"/>
  <c r="BO71" i="3"/>
  <c r="BS73" i="3"/>
  <c r="BO54" i="3"/>
  <c r="HF7" i="4" a="1"/>
  <c r="GI9" i="4" a="1"/>
  <c r="GE8" i="4" a="1"/>
  <c r="GS9" i="4" a="1"/>
  <c r="GK9" i="4" a="1"/>
  <c r="FH7" i="4" a="1"/>
  <c r="GV14" i="4" a="1"/>
  <c r="FU9" i="4" a="1"/>
  <c r="FP7" i="4" a="1"/>
  <c r="GV5" i="4" a="1"/>
  <c r="FY13" i="4" a="1"/>
  <c r="GN12" i="4" a="1"/>
  <c r="HH14" i="4" a="1"/>
  <c r="GL15" i="4" a="1"/>
  <c r="GV16" i="4" a="1"/>
  <c r="FK14" i="4" a="1"/>
  <c r="GK13" i="4" a="1"/>
  <c r="FO16" i="4" a="1"/>
  <c r="BC54" i="3"/>
  <c r="BC80" i="3"/>
  <c r="BB93" i="3"/>
  <c r="BB79" i="3"/>
  <c r="BB63" i="3"/>
  <c r="BB83" i="3"/>
  <c r="BI96" i="3"/>
  <c r="BC85" i="3"/>
  <c r="BF78" i="3"/>
  <c r="CL208" i="1" s="1"/>
  <c r="BO76" i="3"/>
  <c r="BO77" i="3"/>
  <c r="BS68" i="3"/>
  <c r="BT63" i="3"/>
  <c r="BT79" i="3"/>
  <c r="BO48" i="3"/>
  <c r="BS66" i="3"/>
  <c r="BA49" i="3"/>
  <c r="BA95" i="3"/>
  <c r="BC50" i="3"/>
  <c r="BF63" i="3"/>
  <c r="CL191" i="1" s="1"/>
  <c r="BB62" i="3"/>
  <c r="BB94" i="3"/>
  <c r="BI64" i="3"/>
  <c r="BB77" i="3"/>
  <c r="BA79" i="3"/>
  <c r="BL78" i="3"/>
  <c r="BL59" i="3"/>
  <c r="BI68" i="3"/>
  <c r="BF89" i="3"/>
  <c r="CL219" i="1" s="1"/>
  <c r="BF85" i="3"/>
  <c r="CL213" i="1" s="1"/>
  <c r="BT61" i="3"/>
  <c r="BO97" i="3"/>
  <c r="BO50" i="3"/>
  <c r="BS48" i="3"/>
  <c r="BS55" i="3"/>
  <c r="BS56" i="3"/>
  <c r="BT88" i="3"/>
  <c r="BT87" i="3"/>
  <c r="BF55" i="3"/>
  <c r="BO61" i="3"/>
  <c r="BS87" i="3"/>
  <c r="BI91" i="3"/>
  <c r="BF58" i="3"/>
  <c r="CL185" i="1" s="1"/>
  <c r="FS5" i="4" a="1"/>
  <c r="FU7" i="4" a="1"/>
  <c r="GB8" i="4" a="1"/>
  <c r="GA13" i="4" a="1"/>
  <c r="GC6" i="4" a="1"/>
  <c r="GG6" i="4" a="1"/>
  <c r="GU11" i="4" a="1"/>
  <c r="GL5" i="4" a="1"/>
  <c r="GX5" i="4" a="1"/>
  <c r="GK5" i="4" a="1"/>
  <c r="GI5" i="4" a="1"/>
  <c r="GS8" i="4" a="1"/>
  <c r="FX11" i="4" a="1"/>
  <c r="GE5" i="4" a="1"/>
  <c r="GI8" i="4" a="1"/>
  <c r="GZ6" i="4" a="1"/>
  <c r="FJ5" i="4" a="1"/>
  <c r="HA8" i="4" a="1"/>
  <c r="GO6" i="4" a="1"/>
  <c r="FG11" i="4" a="1"/>
  <c r="FR12" i="4" a="1"/>
  <c r="GB13" i="4" a="1"/>
  <c r="GI11" i="4" a="1"/>
  <c r="GS12" i="4" a="1"/>
  <c r="HC13" i="4" a="1"/>
  <c r="FO6" i="4" a="1"/>
  <c r="HA13" i="4" a="1"/>
  <c r="GN15" i="4" a="1"/>
  <c r="FR16" i="4" a="1"/>
  <c r="GX16" i="4" a="1"/>
  <c r="FV8" i="4" a="1"/>
  <c r="FV14" i="4" a="1"/>
  <c r="GI14" i="4" a="1"/>
  <c r="GV13" i="4" a="1"/>
  <c r="GM15" i="4" a="1"/>
  <c r="FQ16" i="4" a="1"/>
  <c r="GW16" i="4" a="1"/>
  <c r="BC96" i="3"/>
  <c r="BC61" i="3"/>
  <c r="BO73" i="3"/>
  <c r="BI56" i="3"/>
  <c r="GH7" i="4" a="1"/>
  <c r="HE8" i="4" a="1"/>
  <c r="FS8" i="4" a="1"/>
  <c r="GX8" i="4" a="1"/>
  <c r="FJ9" i="4" a="1"/>
  <c r="GD6" i="4" a="1"/>
  <c r="FX14" i="4" a="1"/>
  <c r="GV8" i="4" a="1"/>
  <c r="GA6" i="4" a="1"/>
  <c r="FG15" i="4" a="1"/>
  <c r="HF12" i="4" a="1"/>
  <c r="FU12" i="4" a="1"/>
  <c r="GO14" i="4" a="1"/>
  <c r="FS15" i="4" a="1"/>
  <c r="GL16" i="4" a="1"/>
  <c r="GT12" i="4" a="1"/>
  <c r="FP13" i="4" a="1"/>
  <c r="FM16" i="4" a="1"/>
  <c r="BC55" i="3"/>
  <c r="BC62" i="3"/>
  <c r="BA93" i="3"/>
  <c r="BF83" i="3"/>
  <c r="CL226" i="1" s="1"/>
  <c r="BB88" i="3"/>
  <c r="BB61" i="3"/>
  <c r="BL65" i="3"/>
  <c r="BI82" i="3"/>
  <c r="BF93" i="3"/>
  <c r="BT69" i="3"/>
  <c r="BO94" i="3"/>
  <c r="BS60" i="3"/>
  <c r="BT77" i="3"/>
  <c r="BO83" i="3"/>
  <c r="FY8" i="4" a="1"/>
  <c r="GF14" i="4" a="1"/>
  <c r="GJ9" i="4" a="1"/>
  <c r="HA6" i="4" a="1"/>
  <c r="HF11" i="4" a="1"/>
  <c r="FR6" i="4" a="1"/>
  <c r="GJ5" i="4" a="1"/>
  <c r="HC11" i="4" a="1"/>
  <c r="GW6" i="4" a="1"/>
  <c r="FS11" i="4" a="1"/>
  <c r="HE6" i="4" a="1"/>
  <c r="FR13" i="4" a="1"/>
  <c r="FQ11" i="4" a="1"/>
  <c r="HB15" i="4" a="1"/>
  <c r="GO11" i="4" a="1"/>
  <c r="FM15" i="4" a="1"/>
  <c r="GX14" i="4" a="1"/>
  <c r="GE16" i="4" a="1"/>
  <c r="BC73" i="3"/>
  <c r="BA81" i="3"/>
  <c r="BA58" i="3"/>
  <c r="BC72" i="3"/>
  <c r="BM60" i="3"/>
  <c r="BM95" i="3"/>
  <c r="BM76" i="3"/>
  <c r="BB95" i="3"/>
  <c r="BB66" i="3"/>
  <c r="BI89" i="3"/>
  <c r="BB81" i="3"/>
  <c r="BA77" i="3"/>
  <c r="BL68" i="3"/>
  <c r="BL91" i="3"/>
  <c r="BI85" i="3"/>
  <c r="BF80" i="3"/>
  <c r="CL225" i="1" s="1"/>
  <c r="BL81" i="3"/>
  <c r="BA56" i="3"/>
  <c r="BA71" i="3"/>
  <c r="BL88" i="3"/>
  <c r="BM61" i="3"/>
  <c r="BB71" i="3"/>
  <c r="BB89" i="3"/>
  <c r="BM88" i="3"/>
  <c r="BI92" i="3"/>
  <c r="BB75" i="3"/>
  <c r="BA86" i="3"/>
  <c r="BL83" i="3"/>
  <c r="BL96" i="3"/>
  <c r="BL69" i="3"/>
  <c r="BI90" i="3"/>
  <c r="BF92" i="3"/>
  <c r="CL221" i="1" s="1"/>
  <c r="BT92" i="3"/>
  <c r="BO63" i="3"/>
  <c r="BO65" i="3"/>
  <c r="BS83" i="3"/>
  <c r="BS97" i="3"/>
  <c r="BF97" i="3"/>
  <c r="BT57" i="3"/>
  <c r="BT89" i="3"/>
  <c r="BO78" i="3"/>
  <c r="BS94" i="3"/>
  <c r="BL54" i="3"/>
  <c r="BM75" i="3"/>
  <c r="BF96" i="3"/>
  <c r="CL229" i="1" s="1"/>
  <c r="GB5" i="4" a="1"/>
  <c r="GK8" i="4" a="1"/>
  <c r="GX9" i="4" a="1"/>
  <c r="HA14" i="4" a="1"/>
  <c r="GW5" i="4" a="1"/>
  <c r="GX6" i="4" a="1"/>
  <c r="GI13" i="4" a="1"/>
  <c r="FW7" i="4" a="1"/>
  <c r="HF8" i="4" a="1"/>
  <c r="GB12" i="4" a="1"/>
  <c r="FP6" i="4" a="1"/>
  <c r="FK7" i="4" a="1"/>
  <c r="GM11" i="4" a="1"/>
  <c r="FM6" i="4" a="1"/>
  <c r="GR6" i="4" a="1"/>
  <c r="FY12" i="4" a="1"/>
  <c r="FU6" i="4" a="1"/>
  <c r="HB7" i="4" a="1"/>
  <c r="FL12" i="4" a="1"/>
  <c r="FW11" i="4" a="1"/>
  <c r="GH12" i="4" a="1"/>
  <c r="GR13" i="4" a="1"/>
  <c r="GY11" i="4" a="1"/>
  <c r="FG13" i="4" a="1"/>
  <c r="FQ14" i="4" a="1"/>
  <c r="FQ9" i="4" a="1"/>
  <c r="GE14" i="4" a="1"/>
  <c r="GV15" i="4" a="1"/>
  <c r="FZ16" i="4" a="1"/>
  <c r="HF16" i="4" a="1"/>
  <c r="HG9" i="4" a="1"/>
  <c r="HB14" i="4" a="1"/>
  <c r="GD8" i="4" a="1"/>
  <c r="FW14" i="4" a="1"/>
  <c r="GU15" i="4" a="1"/>
  <c r="FY16" i="4" a="1"/>
  <c r="HE16" i="4" a="1"/>
  <c r="BC95" i="3"/>
  <c r="BI50" i="3"/>
  <c r="FO8" i="4" a="1"/>
  <c r="FH14" i="4" a="1"/>
  <c r="FL9" i="4" a="1"/>
  <c r="GF6" i="4" a="1"/>
  <c r="GH11" i="4" a="1"/>
  <c r="FL6" i="4" a="1"/>
  <c r="FZ5" i="4" a="1"/>
  <c r="GN9" i="4" a="1"/>
  <c r="GN5" i="4" a="1"/>
  <c r="FO11" i="4" a="1"/>
  <c r="GJ13" i="4" a="1"/>
  <c r="HA12" i="4" a="1"/>
  <c r="FN8" i="4" a="1"/>
  <c r="GR15" i="4" a="1"/>
  <c r="HB16" i="4" a="1"/>
  <c r="FI15" i="4" a="1"/>
  <c r="GM14" i="4" a="1"/>
  <c r="GC16" i="4" a="1"/>
  <c r="BC75" i="3"/>
  <c r="BA55" i="3"/>
  <c r="BL97" i="3"/>
  <c r="BB96" i="3"/>
  <c r="BB60" i="3"/>
  <c r="BF88" i="3"/>
  <c r="CL193" i="1" s="1"/>
  <c r="BA64" i="3"/>
  <c r="BQ57" i="3"/>
  <c r="BL49" i="3"/>
  <c r="BT84" i="3"/>
  <c r="BO72" i="3"/>
  <c r="BS92" i="3"/>
  <c r="BT55" i="3"/>
  <c r="BF81" i="3"/>
  <c r="CL210" i="1" s="1"/>
  <c r="BS70" i="3"/>
  <c r="BM63" i="3"/>
  <c r="FG9" i="4" a="1"/>
  <c r="GA5" i="4" a="1"/>
  <c r="FL11" i="4" a="1"/>
  <c r="GV7" i="4" a="1"/>
  <c r="FI7" i="4" a="1"/>
  <c r="HD8" i="4" a="1"/>
  <c r="GT6" i="4" a="1"/>
  <c r="GE6" i="4" a="1"/>
  <c r="GC9" i="4" a="1"/>
  <c r="HA11" i="4" a="1"/>
  <c r="GF9" i="4" a="1"/>
  <c r="GX13" i="4" a="1"/>
  <c r="GF13" i="4" a="1"/>
  <c r="FP16" i="4" a="1"/>
  <c r="GJ7" i="4" a="1"/>
  <c r="HE13" i="4" a="1"/>
  <c r="GK15" i="4" a="1"/>
  <c r="GU16" i="4" a="1"/>
  <c r="BC77" i="3"/>
  <c r="BA68" i="3"/>
  <c r="BA91" i="3"/>
  <c r="BF60" i="3"/>
  <c r="CL188" i="1" s="1"/>
  <c r="BB58" i="3"/>
  <c r="BB90" i="3"/>
  <c r="BB80" i="3"/>
  <c r="BA47" i="3"/>
  <c r="BL60" i="3"/>
  <c r="BL56" i="3"/>
  <c r="BI62" i="3"/>
  <c r="BQ93" i="3"/>
  <c r="BT50" i="3"/>
  <c r="BO49" i="3"/>
  <c r="BO57" i="3"/>
  <c r="BS71" i="3"/>
  <c r="BS78" i="3"/>
  <c r="BS50" i="3"/>
  <c r="BR83" i="3"/>
  <c r="BT96" i="3"/>
  <c r="BT54" i="3"/>
  <c r="BS89" i="3"/>
  <c r="BI61" i="3"/>
  <c r="GC5" i="4" a="1"/>
  <c r="GS7" i="4" a="1"/>
  <c r="GZ8" i="4" a="1"/>
  <c r="GQ13" i="4" a="1"/>
  <c r="HD6" i="4" a="1"/>
  <c r="GA7" i="4" a="1"/>
  <c r="FQ12" i="4" a="1"/>
  <c r="FH6" i="4" a="1"/>
  <c r="FQ6" i="4" a="1"/>
  <c r="FH8" i="4" a="1"/>
  <c r="FT5" i="4" a="1"/>
  <c r="GP5" i="4" a="1"/>
  <c r="HD5" i="4" a="1"/>
  <c r="FN5" i="4" a="1"/>
  <c r="BO88" i="3"/>
  <c r="BS65" i="3"/>
  <c r="BT72" i="3"/>
  <c r="BO56" i="3"/>
  <c r="BI71" i="3"/>
  <c r="FJ7" i="4" a="1"/>
  <c r="GH6" i="4" a="1"/>
  <c r="FR15" i="4" a="1"/>
  <c r="HA7" i="4" a="1"/>
  <c r="GJ6" i="4" a="1"/>
  <c r="GU7" i="4" a="1"/>
  <c r="GN8" i="4" a="1"/>
  <c r="GO9" i="4" a="1"/>
  <c r="HG7" i="4" a="1"/>
  <c r="HB13" i="4" a="1"/>
  <c r="GF7" i="4" a="1"/>
  <c r="HD9" i="4" a="1"/>
  <c r="GD9" i="4" a="1"/>
  <c r="FJ8" i="4" a="1"/>
  <c r="FH11" i="4" a="1"/>
  <c r="FN9" i="4" a="1"/>
  <c r="FG12" i="4" a="1"/>
  <c r="FQ13" i="4" a="1"/>
  <c r="FP9" i="4" a="1"/>
  <c r="GF12" i="4" a="1"/>
  <c r="GP13" i="4" a="1"/>
  <c r="GZ14" i="4" a="1"/>
  <c r="HB12" i="4" a="1"/>
  <c r="GH15" i="4" a="1"/>
  <c r="FL16" i="4" a="1"/>
  <c r="GR16" i="4" a="1"/>
  <c r="FV15" i="4" a="1"/>
  <c r="GS13" i="4" a="1"/>
  <c r="GD12" i="4" a="1"/>
  <c r="HG12" i="4" a="1"/>
  <c r="GG15" i="4" a="1"/>
  <c r="FK16" i="4" a="1"/>
  <c r="GQ16" i="4" a="1"/>
  <c r="FS14" i="4" a="1"/>
  <c r="BC88" i="3"/>
  <c r="BC97" i="3"/>
  <c r="BA73" i="3"/>
  <c r="BA89" i="3"/>
  <c r="BL63" i="3"/>
  <c r="BB70" i="3"/>
  <c r="BM97" i="3"/>
  <c r="BI80" i="3"/>
  <c r="BA83" i="3"/>
  <c r="BQ47" i="3"/>
  <c r="BL62" i="3"/>
  <c r="BL87" i="3"/>
  <c r="BI70" i="3"/>
  <c r="BF65" i="3"/>
  <c r="CL216" i="1" s="1"/>
  <c r="BQ91" i="3"/>
  <c r="BT94" i="3"/>
  <c r="BO58" i="3"/>
  <c r="BS80" i="3"/>
  <c r="BS47" i="3"/>
  <c r="BT64" i="3"/>
  <c r="BT60" i="3"/>
  <c r="BF75" i="3"/>
  <c r="BO93" i="3"/>
  <c r="GE15" i="4" a="1"/>
  <c r="FQ7" i="4" a="1"/>
  <c r="GH5" i="4" a="1"/>
  <c r="GD7" i="4" a="1"/>
  <c r="GM8" i="4" a="1"/>
  <c r="FI5" i="4" a="1"/>
  <c r="HF9" i="4" a="1"/>
  <c r="FG8" i="4" a="1"/>
  <c r="FK5" i="4" a="1"/>
  <c r="FT11" i="4" a="1"/>
  <c r="FJ12" i="4" a="1"/>
  <c r="GA9" i="4" a="1"/>
  <c r="GU13" i="4" a="1"/>
  <c r="FU13" i="4" a="1"/>
  <c r="FN16" i="4" a="1"/>
  <c r="GP6" i="4" a="1"/>
  <c r="FQ15" i="4" a="1"/>
  <c r="GK16" i="4" a="1"/>
  <c r="BA87" i="3"/>
  <c r="BM59" i="3"/>
  <c r="BA97" i="3"/>
  <c r="BS63" i="3"/>
  <c r="BF69" i="3"/>
  <c r="HH7" i="4" a="1"/>
  <c r="FY5" i="4" a="1"/>
  <c r="FW8" i="4" a="1"/>
  <c r="GD11" i="4" a="1"/>
  <c r="FM8" i="4" a="1"/>
  <c r="FH16" i="4" a="1"/>
  <c r="GD15" i="4" a="1"/>
  <c r="FU15" i="4" a="1"/>
  <c r="GM16" i="4" a="1"/>
  <c r="BT75" i="3"/>
  <c r="BS96" i="3"/>
  <c r="BL95" i="3"/>
  <c r="BI77" i="3"/>
  <c r="BF72" i="3"/>
  <c r="CL201" i="1" s="1"/>
  <c r="FN6" i="4" a="1"/>
  <c r="HH9" i="4" a="1"/>
  <c r="HA9" i="4" a="1"/>
  <c r="HC8" i="4" a="1"/>
  <c r="HG13" i="4" a="1"/>
  <c r="HB6" i="4" a="1"/>
  <c r="FJ11" i="4" a="1"/>
  <c r="GV6" i="4" a="1"/>
  <c r="GW7" i="4" a="1"/>
  <c r="GZ7" i="4" a="1"/>
  <c r="GW8" i="4" a="1"/>
  <c r="GY7" i="4" a="1"/>
  <c r="FR5" i="4" a="1"/>
  <c r="HF5" i="4" a="1"/>
  <c r="FS7" i="4" a="1"/>
  <c r="FK11" i="4" a="1"/>
  <c r="FW12" i="4" a="1"/>
  <c r="GG13" i="4" a="1"/>
  <c r="GL11" i="4" a="1"/>
  <c r="GV12" i="4" a="1"/>
  <c r="HF13" i="4" a="1"/>
  <c r="FY7" i="4" a="1"/>
  <c r="FJ14" i="4" a="1"/>
  <c r="GP15" i="4" a="1"/>
  <c r="FT16" i="4" a="1"/>
  <c r="GZ16" i="4" a="1"/>
  <c r="HB8" i="4" a="1"/>
  <c r="GA14" i="4" a="1"/>
  <c r="FH15" i="4" a="1"/>
  <c r="HD13" i="4" a="1"/>
  <c r="GO15" i="4" a="1"/>
  <c r="FS16" i="4" a="1"/>
  <c r="GY16" i="4" a="1"/>
  <c r="BC59" i="3"/>
  <c r="BP50" i="3"/>
  <c r="BF87" i="3"/>
  <c r="CL218" i="1" s="1"/>
  <c r="BA90" i="3"/>
  <c r="BA63" i="3"/>
  <c r="BP81" i="3"/>
  <c r="BL90" i="3"/>
  <c r="BP66" i="3"/>
  <c r="BM86" i="3"/>
  <c r="BB84" i="3"/>
  <c r="BB69" i="3"/>
  <c r="BB72" i="3"/>
  <c r="BP49" i="3"/>
  <c r="BI74" i="3"/>
  <c r="BB86" i="3"/>
  <c r="BA57" i="3"/>
  <c r="BL55" i="3"/>
  <c r="BL80" i="3"/>
  <c r="BI47" i="3"/>
  <c r="BT80" i="3"/>
  <c r="BO68" i="3"/>
  <c r="BO70" i="3"/>
  <c r="BS85" i="3"/>
  <c r="BS93" i="3"/>
  <c r="BT56" i="3"/>
  <c r="BT95" i="3"/>
  <c r="Y112" i="2"/>
  <c r="BS67" i="3"/>
  <c r="HG5" i="4" a="1"/>
  <c r="FR11" i="4" a="1"/>
  <c r="GQ6" i="4" a="1"/>
  <c r="GC14" i="4" a="1"/>
  <c r="GM6" i="4" a="1"/>
  <c r="FO7" i="4" a="1"/>
  <c r="GG12" i="4" a="1"/>
  <c r="FO9" i="4" a="1"/>
  <c r="FR7" i="4" a="1"/>
  <c r="FN13" i="4" a="1"/>
  <c r="GP12" i="4" a="1"/>
  <c r="HG11" i="4" a="1"/>
  <c r="FY14" i="4" a="1"/>
  <c r="GU14" i="4" a="1"/>
  <c r="GD16" i="4" a="1"/>
  <c r="GJ11" i="4" a="1"/>
  <c r="FY15" i="4" a="1"/>
  <c r="GQ15" i="4" a="1"/>
  <c r="HA16" i="4" a="1"/>
  <c r="BP67" i="3"/>
  <c r="BA50" i="3"/>
  <c r="BM66" i="3"/>
  <c r="BM94" i="3"/>
  <c r="BB47" i="3"/>
  <c r="BI78" i="3"/>
  <c r="BL89" i="3"/>
  <c r="BF54" i="3"/>
  <c r="BO81" i="3"/>
  <c r="BS75" i="3"/>
  <c r="BT59" i="3"/>
  <c r="BT97" i="3"/>
  <c r="Y111" i="2"/>
  <c r="BP63" i="3"/>
  <c r="FX6" i="4" a="1"/>
  <c r="FZ11" i="4" a="1"/>
  <c r="HG6" i="4" a="1"/>
  <c r="HD14" i="4" a="1"/>
  <c r="GB7" i="4" a="1"/>
  <c r="GP7" i="4" a="1"/>
  <c r="HH12" i="4" a="1"/>
  <c r="FJ6" i="4" a="1"/>
  <c r="GM7" i="4" a="1"/>
  <c r="GL13" i="4" a="1"/>
  <c r="GE12" i="4" a="1"/>
  <c r="GT11" i="4" a="1"/>
  <c r="FL14" i="4" a="1"/>
  <c r="FZ14" i="4" a="1"/>
  <c r="FX16" i="4" a="1"/>
  <c r="GQ9" i="4" a="1"/>
  <c r="HC16" i="4" a="1"/>
  <c r="BC89" i="3"/>
  <c r="FI13" i="4" a="1"/>
  <c r="FM13" i="4" a="1"/>
  <c r="BC68" i="3"/>
  <c r="BO90" i="3"/>
  <c r="BS64" i="3"/>
  <c r="BF77" i="3"/>
  <c r="CL206" i="1" s="1"/>
  <c r="BS76" i="3"/>
  <c r="BM47" i="3"/>
  <c r="FK15" i="4" a="1"/>
  <c r="GU8" i="4" a="1"/>
  <c r="FZ6" i="4" a="1"/>
  <c r="FV5" i="4" a="1"/>
  <c r="GR7" i="4" a="1"/>
  <c r="GO7" i="4" a="1"/>
  <c r="GC8" i="4" a="1"/>
  <c r="GW12" i="4" a="1"/>
  <c r="HE5" i="4" a="1"/>
  <c r="GT9" i="4" a="1"/>
  <c r="GK6" i="4" a="1"/>
  <c r="GL7" i="4" a="1"/>
  <c r="GZ12" i="4" a="1"/>
  <c r="GS6" i="4" a="1"/>
  <c r="FT9" i="4" a="1"/>
  <c r="GR12" i="4" a="1"/>
  <c r="GA11" i="4" a="1"/>
  <c r="GM12" i="4" a="1"/>
  <c r="GW13" i="4" a="1"/>
  <c r="HB11" i="4" a="1"/>
  <c r="FJ13" i="4" a="1"/>
  <c r="FT14" i="4" a="1"/>
  <c r="GL9" i="4" a="1"/>
  <c r="GP14" i="4" a="1"/>
  <c r="GX15" i="4" a="1"/>
  <c r="GB16" i="4" a="1"/>
  <c r="HH16" i="4" a="1"/>
  <c r="FU11" i="4" a="1"/>
  <c r="HG14" i="4" a="1"/>
  <c r="HH8" i="4" a="1"/>
  <c r="GH14" i="4" a="1"/>
  <c r="GW15" i="4" a="1"/>
  <c r="GA16" i="4" a="1"/>
  <c r="HG16" i="4" a="1"/>
  <c r="BC79" i="3"/>
  <c r="BA70" i="3"/>
  <c r="BA75" i="3"/>
  <c r="BC49" i="3"/>
  <c r="BM50" i="3"/>
  <c r="BP78" i="3"/>
  <c r="BM78" i="3"/>
  <c r="BB55" i="3"/>
  <c r="BB73" i="3"/>
  <c r="BP91" i="3"/>
  <c r="BI69" i="3"/>
  <c r="BI48" i="3"/>
  <c r="BA80" i="3"/>
  <c r="BC57" i="3"/>
  <c r="BL64" i="3"/>
  <c r="BL67" i="3"/>
  <c r="BF49" i="3"/>
  <c r="CL140" i="1" s="1"/>
  <c r="BT73" i="3"/>
  <c r="BO79" i="3"/>
  <c r="BS90" i="3"/>
  <c r="BS82" i="3"/>
  <c r="BT58" i="3"/>
  <c r="BT81" i="3"/>
  <c r="BP85" i="3"/>
  <c r="BO69" i="3"/>
  <c r="BS79" i="3"/>
  <c r="BI60" i="3"/>
  <c r="GL6" i="4" a="1"/>
  <c r="GJ12" i="4" a="1"/>
  <c r="HC5" i="4" a="1"/>
  <c r="GG5" i="4" a="1"/>
  <c r="FV11" i="4" a="1"/>
  <c r="FU8" i="4" a="1"/>
  <c r="FI9" i="4" a="1"/>
  <c r="FN11" i="4" a="1"/>
  <c r="GA8" i="4" a="1"/>
  <c r="GW9" i="4" a="1"/>
  <c r="FT13" i="4" a="1"/>
  <c r="GK12" i="4" a="1"/>
  <c r="HE14" i="4" a="1"/>
  <c r="GJ15" i="4" a="1"/>
  <c r="GT16" i="4" a="1"/>
  <c r="HH13" i="4" a="1"/>
  <c r="HH11" i="4" a="1"/>
  <c r="HG15" i="4" a="1"/>
  <c r="GZ11" i="4" a="1"/>
  <c r="BA85" i="3"/>
  <c r="BL72" i="3"/>
  <c r="BB78" i="3"/>
  <c r="BM96" i="3"/>
  <c r="BB57" i="3"/>
  <c r="BL77" i="3"/>
  <c r="BL79" i="3"/>
  <c r="BI58" i="3"/>
  <c r="BT93" i="3"/>
  <c r="BS77" i="3"/>
  <c r="BT70" i="3"/>
  <c r="BO60" i="3"/>
  <c r="GY6" i="4" a="1"/>
  <c r="HE12" i="4" a="1"/>
  <c r="FY6" i="4" a="1"/>
  <c r="FX5" i="4" a="1"/>
  <c r="GS5" i="4" a="1"/>
  <c r="GG8" i="4" a="1"/>
  <c r="FQ5" i="4" a="1"/>
  <c r="GF11" i="4" a="1"/>
  <c r="GO8" i="4" a="1"/>
  <c r="HE9" i="4" a="1"/>
  <c r="FX12" i="4" a="1"/>
  <c r="GR14" i="4" a="1"/>
  <c r="GN16" i="4" a="1"/>
  <c r="FG16" i="4" a="1"/>
  <c r="BO66" i="3"/>
  <c r="BS84" i="3"/>
  <c r="BT48" i="3"/>
  <c r="BS58" i="3"/>
  <c r="BM58" i="3"/>
  <c r="GQ5" i="4" a="1"/>
  <c r="HH6" i="4" a="1"/>
  <c r="FT12" i="4" a="1"/>
  <c r="FS6" i="4" a="1"/>
  <c r="GP9" i="4" a="1"/>
  <c r="FU5" i="4" a="1"/>
  <c r="GB9" i="4" a="1"/>
  <c r="GS14" i="4" a="1"/>
  <c r="HD7" i="4" a="1"/>
  <c r="FI12" i="4" a="1"/>
  <c r="GZ5" i="4" a="1"/>
  <c r="FX8" i="4" a="1"/>
  <c r="GN14" i="4" a="1"/>
  <c r="HH5" i="4" a="1"/>
  <c r="GJ8" i="4" a="1"/>
  <c r="GK14" i="4" a="1"/>
  <c r="GS11" i="4" a="1"/>
  <c r="HC12" i="4" a="1"/>
  <c r="GI7" i="4" a="1"/>
  <c r="FP12" i="4" a="1"/>
  <c r="FZ13" i="4" a="1"/>
  <c r="GJ14" i="4" a="1"/>
  <c r="GR11" i="4" a="1"/>
  <c r="FP15" i="4" a="1"/>
  <c r="HF15" i="4" a="1"/>
  <c r="GJ16" i="4" a="1"/>
  <c r="FH13" i="4" a="1"/>
  <c r="GI12" i="4" a="1"/>
  <c r="FX15" i="4" a="1"/>
  <c r="GW11" i="4" a="1"/>
  <c r="FN15" i="4" a="1"/>
  <c r="HE15" i="4" a="1"/>
  <c r="GI16" i="4" a="1"/>
  <c r="GC11" i="4" a="1"/>
  <c r="BC64" i="3"/>
  <c r="BC93" i="3"/>
  <c r="BT49" i="3"/>
  <c r="BA67" i="3"/>
  <c r="BA62" i="3"/>
  <c r="BC94" i="3"/>
  <c r="BM56" i="3"/>
  <c r="BM74" i="3"/>
  <c r="BF84" i="3"/>
  <c r="CL212" i="1" s="1"/>
  <c r="BB49" i="3"/>
  <c r="BB48" i="3"/>
  <c r="BI93" i="3"/>
  <c r="BB91" i="3"/>
  <c r="BA78" i="3"/>
  <c r="BL57" i="3"/>
  <c r="BL75" i="3"/>
  <c r="BI76" i="3"/>
  <c r="BT74" i="3"/>
  <c r="BO92" i="3"/>
  <c r="BS95" i="3"/>
  <c r="BS61" i="3"/>
  <c r="BT76" i="3"/>
  <c r="BT85" i="3"/>
  <c r="BF73" i="3"/>
  <c r="BS49" i="3"/>
  <c r="BL85" i="3"/>
  <c r="BM54" i="3"/>
  <c r="GM5" i="4" a="1"/>
  <c r="FT7" i="4" a="1"/>
  <c r="FT8" i="4" a="1"/>
  <c r="GO5" i="4" a="1"/>
  <c r="FS13" i="4" a="1"/>
  <c r="FW9" i="4" a="1"/>
  <c r="FG7" i="4" a="1"/>
  <c r="FV13" i="4" a="1"/>
  <c r="GM9" i="4" a="1"/>
  <c r="GE11" i="4" a="1"/>
  <c r="GZ13" i="4" a="1"/>
  <c r="FO13" i="4" a="1"/>
  <c r="HC9" i="4" a="1"/>
  <c r="GZ15" i="4" a="1"/>
  <c r="HE7" i="4" a="1"/>
  <c r="GL14" i="4" a="1"/>
  <c r="FG14" i="4" a="1"/>
  <c r="FU16" i="4" a="1"/>
  <c r="BC70" i="3"/>
  <c r="Y113" i="2"/>
  <c r="BM72" i="3"/>
  <c r="BB65" i="3"/>
  <c r="BI73" i="3"/>
  <c r="BA94" i="3"/>
  <c r="BL93" i="3"/>
  <c r="BI59" i="3"/>
  <c r="BO82" i="3"/>
  <c r="BS72" i="3"/>
  <c r="BT82" i="3"/>
  <c r="BO96" i="3"/>
  <c r="BL73" i="3"/>
  <c r="BM85" i="3"/>
  <c r="FI6" i="4" a="1"/>
  <c r="GH8" i="4" a="1"/>
  <c r="GR8" i="4" a="1"/>
  <c r="FK6" i="4" a="1"/>
  <c r="GY13" i="4" a="1"/>
  <c r="HA5" i="4" a="1"/>
  <c r="FZ7" i="4" a="1"/>
  <c r="GT13" i="4" a="1"/>
  <c r="FL7" i="4" a="1"/>
  <c r="GK11" i="4" a="1"/>
  <c r="GO13" i="4" a="1"/>
  <c r="HD12" i="4" a="1"/>
  <c r="GT8" i="4" a="1"/>
  <c r="GT15" i="4" a="1"/>
  <c r="HD16" i="4" a="1"/>
  <c r="GQ14" i="4" a="1"/>
  <c r="FR14" i="4" a="1"/>
  <c r="FW16" i="4" a="1"/>
  <c r="BC67" i="3"/>
  <c r="GA15" i="4" a="1"/>
  <c r="BB59" i="3"/>
  <c r="BI88" i="3"/>
  <c r="BL70" i="3"/>
  <c r="BF47" i="3"/>
  <c r="BO59" i="3"/>
  <c r="BF91" i="3"/>
  <c r="CL220" i="1" s="1"/>
  <c r="BS81" i="3"/>
  <c r="BF74" i="3"/>
  <c r="CL203" i="1" s="1"/>
  <c r="FM5" i="4" a="1"/>
  <c r="HB5" i="4" a="1"/>
  <c r="FX9" i="4" a="1"/>
  <c r="GY8" i="4" a="1"/>
  <c r="FP11" i="4" a="1"/>
  <c r="FW5" i="4" a="1"/>
  <c r="FO12" i="4" a="1"/>
  <c r="GH13" i="4" a="1"/>
  <c r="FV12" i="4" a="1"/>
  <c r="GD14" i="4" a="1"/>
  <c r="BC83" i="3"/>
  <c r="HF6" i="4" a="1"/>
  <c r="GS15" i="4" a="1"/>
  <c r="GC15" i="4" a="1"/>
  <c r="GA12" i="4" a="1"/>
  <c r="GY12" i="4" a="1"/>
  <c r="BP60" i="3" l="1"/>
  <c r="BA88" i="3"/>
  <c r="BT71" i="3"/>
  <c r="BI75" i="3"/>
  <c r="BA69" i="3"/>
  <c r="BI49" i="3"/>
  <c r="BL94" i="3"/>
  <c r="BI81" i="3"/>
  <c r="BT90" i="3"/>
  <c r="BS86" i="3"/>
  <c r="BA96" i="3"/>
  <c r="BA92" i="3"/>
  <c r="BA54" i="3"/>
  <c r="BH50" i="3"/>
  <c r="BL47" i="3"/>
  <c r="BL92" i="3"/>
  <c r="BT91" i="3"/>
  <c r="BT78" i="3"/>
  <c r="BT66" i="3"/>
  <c r="BP79" i="3"/>
  <c r="BP65" i="3"/>
  <c r="BL50" i="3"/>
  <c r="BA48" i="3"/>
  <c r="BA74" i="3"/>
  <c r="BL76" i="3"/>
  <c r="BT62" i="3"/>
  <c r="BP92" i="3"/>
  <c r="BL84" i="3"/>
  <c r="BA72" i="3"/>
  <c r="BA84" i="3"/>
  <c r="BP64" i="3"/>
  <c r="BL86" i="3"/>
  <c r="BP71" i="3"/>
  <c r="BP58" i="3"/>
  <c r="BA61" i="3"/>
  <c r="BL58" i="3"/>
  <c r="BL74" i="3"/>
  <c r="BL61" i="3"/>
  <c r="BP61" i="3"/>
  <c r="BA82" i="3"/>
  <c r="BP89" i="3"/>
  <c r="BP96" i="3"/>
  <c r="BA66" i="3"/>
  <c r="BL66" i="3"/>
  <c r="BL48" i="3"/>
  <c r="BT67" i="3"/>
  <c r="BT65" i="3"/>
  <c r="BA65" i="3"/>
  <c r="BA59" i="3"/>
  <c r="BL82" i="3"/>
  <c r="BA60" i="3"/>
  <c r="BP76" i="3"/>
  <c r="BP86" i="3"/>
  <c r="BA76" i="3"/>
  <c r="BL71" i="3"/>
  <c r="BP82" i="3"/>
  <c r="BP80" i="3"/>
  <c r="BP48" i="3"/>
  <c r="BP69" i="3"/>
  <c r="BP77" i="3"/>
  <c r="BP97" i="3"/>
  <c r="BP88" i="3"/>
  <c r="BP70" i="3"/>
  <c r="BP62" i="3"/>
  <c r="BP95" i="3"/>
  <c r="BP94" i="3"/>
  <c r="BP68" i="3"/>
  <c r="BP56" i="3"/>
  <c r="BP54" i="3"/>
  <c r="BP87" i="3"/>
  <c r="BP47" i="3"/>
  <c r="BP84" i="3"/>
  <c r="BP93" i="3"/>
  <c r="BP74" i="3"/>
  <c r="BP73" i="3"/>
  <c r="CY41" i="1"/>
  <c r="BK84" i="3"/>
  <c r="BK64" i="3"/>
  <c r="BE63" i="3"/>
  <c r="BE61" i="3"/>
  <c r="BN61" i="3"/>
  <c r="BN72" i="3"/>
  <c r="BK77" i="3"/>
  <c r="BK79" i="3"/>
  <c r="BD68" i="3"/>
  <c r="BE47" i="3"/>
  <c r="BK88" i="3"/>
  <c r="BK93" i="3"/>
  <c r="BD58" i="3"/>
  <c r="BD75" i="3"/>
  <c r="BE80" i="3"/>
  <c r="BN76" i="3"/>
  <c r="BN47" i="3"/>
  <c r="BE69" i="3"/>
  <c r="BK66" i="3"/>
  <c r="BD69" i="3"/>
  <c r="BE74" i="3"/>
  <c r="BD94" i="3"/>
  <c r="BE87" i="3"/>
  <c r="BD93" i="3"/>
  <c r="BD92" i="3"/>
  <c r="BE84" i="3"/>
  <c r="BE92" i="3"/>
  <c r="BN78" i="3"/>
  <c r="BN77" i="3"/>
  <c r="BN58" i="3"/>
  <c r="BN81" i="3"/>
  <c r="BE54" i="3"/>
  <c r="BK75" i="3"/>
  <c r="BK94" i="3"/>
  <c r="BD91" i="3"/>
  <c r="BE67" i="3"/>
  <c r="BK80" i="3"/>
  <c r="BD80" i="3"/>
  <c r="BD83" i="3"/>
  <c r="BE71" i="3"/>
  <c r="BN82" i="3"/>
  <c r="BN73" i="3"/>
  <c r="BK92" i="3"/>
  <c r="BK78" i="3"/>
  <c r="BK50" i="3"/>
  <c r="BD89" i="3"/>
  <c r="BE83" i="3"/>
  <c r="BE48" i="3"/>
  <c r="BN57" i="3"/>
  <c r="BN55" i="3"/>
  <c r="BN63" i="3"/>
  <c r="BE49" i="3"/>
  <c r="BE96" i="3"/>
  <c r="BD82" i="3"/>
  <c r="BD85" i="3"/>
  <c r="BE93" i="3"/>
  <c r="BN95" i="3"/>
  <c r="BN94" i="3"/>
  <c r="BN91" i="3"/>
  <c r="BE65" i="3"/>
  <c r="BK48" i="3"/>
  <c r="BK54" i="3"/>
  <c r="BD47" i="3"/>
  <c r="BD63" i="3"/>
  <c r="BK57" i="3"/>
  <c r="BE90" i="3"/>
  <c r="BD61" i="3"/>
  <c r="BN50" i="3"/>
  <c r="BK97" i="3"/>
  <c r="BD59" i="3"/>
  <c r="BE55" i="3"/>
  <c r="BD50" i="3"/>
  <c r="BE78" i="3"/>
  <c r="BE97" i="3"/>
  <c r="BE82" i="3"/>
  <c r="BD62" i="3"/>
  <c r="BE68" i="3"/>
  <c r="BN54" i="3"/>
  <c r="BN56" i="3"/>
  <c r="BE73" i="3"/>
  <c r="BK73" i="3"/>
  <c r="BK60" i="3"/>
  <c r="BD66" i="3"/>
  <c r="BK65" i="3"/>
  <c r="BE56" i="3"/>
  <c r="BE94" i="3"/>
  <c r="BN48" i="3"/>
  <c r="BE79" i="3"/>
  <c r="BK83" i="3"/>
  <c r="BK61" i="3"/>
  <c r="BE60" i="3"/>
  <c r="BN59" i="3"/>
  <c r="BN71" i="3"/>
  <c r="BN97" i="3"/>
  <c r="BE59" i="3"/>
  <c r="BK85" i="3"/>
  <c r="BK49" i="3"/>
  <c r="BN79" i="3"/>
  <c r="BN83" i="3"/>
  <c r="BK59" i="3"/>
  <c r="BK96" i="3"/>
  <c r="BN49" i="3"/>
  <c r="BE50" i="3"/>
  <c r="BN80" i="3"/>
  <c r="BN96" i="3"/>
  <c r="BE58" i="3"/>
  <c r="BE76" i="3"/>
  <c r="BE91" i="3"/>
  <c r="BN93" i="3"/>
  <c r="BK87" i="3"/>
  <c r="BK89" i="3"/>
  <c r="BD48" i="3"/>
  <c r="BE62" i="3"/>
  <c r="BE66" i="3"/>
  <c r="BE57" i="3"/>
  <c r="BN75" i="3"/>
  <c r="BN68" i="3"/>
  <c r="BE81" i="3"/>
  <c r="BK62" i="3"/>
  <c r="BE88" i="3"/>
  <c r="BN70" i="3"/>
  <c r="BK76" i="3"/>
  <c r="BN92" i="3"/>
  <c r="BN60" i="3"/>
  <c r="BE89" i="3"/>
  <c r="BK81" i="3"/>
  <c r="BK90" i="3"/>
  <c r="BD74" i="3"/>
  <c r="BK70" i="3"/>
  <c r="BD55" i="3"/>
  <c r="BE86" i="3"/>
  <c r="BE70" i="3"/>
  <c r="BN86" i="3"/>
  <c r="BN90" i="3"/>
  <c r="BN69" i="3"/>
  <c r="BN84" i="3"/>
  <c r="BK72" i="3"/>
  <c r="BN67" i="3"/>
  <c r="BN87" i="3"/>
  <c r="BK91" i="3"/>
  <c r="BN66" i="3"/>
  <c r="BE77" i="3"/>
  <c r="BK55" i="3"/>
  <c r="BK56" i="3"/>
  <c r="BD56" i="3"/>
  <c r="BE75" i="3"/>
  <c r="BD86" i="3"/>
  <c r="BE72" i="3"/>
  <c r="BE64" i="3"/>
  <c r="BN65" i="3"/>
  <c r="BN89" i="3"/>
  <c r="BN62" i="3"/>
  <c r="BN85" i="3"/>
  <c r="BK69" i="3"/>
  <c r="BK63" i="3"/>
  <c r="BE95" i="3"/>
  <c r="BN88" i="3"/>
  <c r="BN64" i="3"/>
  <c r="BK82" i="3"/>
  <c r="BK71" i="3"/>
  <c r="BD65" i="3"/>
  <c r="BN74" i="3"/>
  <c r="BK58" i="3"/>
  <c r="BD64" i="3"/>
  <c r="BD79" i="3"/>
  <c r="BG79" i="3"/>
  <c r="BP72" i="3"/>
  <c r="BD76" i="3"/>
  <c r="BO75" i="3"/>
  <c r="BH75" i="3"/>
  <c r="BH55" i="3"/>
  <c r="BH59" i="3"/>
  <c r="BH62" i="3"/>
  <c r="BJ95" i="3"/>
  <c r="BJ63" i="3"/>
  <c r="BJ93" i="3"/>
  <c r="BG78" i="3"/>
  <c r="BG77" i="3"/>
  <c r="BH57" i="3"/>
  <c r="BJ92" i="3"/>
  <c r="BG76" i="3"/>
  <c r="BG95" i="3"/>
  <c r="BH67" i="3"/>
  <c r="BJ88" i="3"/>
  <c r="BH63" i="3"/>
  <c r="BG85" i="3"/>
  <c r="BG64" i="3"/>
  <c r="BH76" i="3"/>
  <c r="BH95" i="3"/>
  <c r="BH92" i="3"/>
  <c r="BG62" i="3"/>
  <c r="BJ84" i="3"/>
  <c r="BJ87" i="3"/>
  <c r="BJ71" i="3"/>
  <c r="BJ64" i="3"/>
  <c r="BH87" i="3"/>
  <c r="BG67" i="3"/>
  <c r="BH77" i="3"/>
  <c r="BH85" i="3"/>
  <c r="BG48" i="3"/>
  <c r="BJ82" i="3"/>
  <c r="BJ69" i="3"/>
  <c r="BJ56" i="3"/>
  <c r="BH47" i="3"/>
  <c r="BG89" i="3"/>
  <c r="BH54" i="3"/>
  <c r="BH94" i="3"/>
  <c r="BG82" i="3"/>
  <c r="BH86" i="3"/>
  <c r="BG88" i="3"/>
  <c r="BG75" i="3"/>
  <c r="BG93" i="3"/>
  <c r="BH60" i="3"/>
  <c r="BH84" i="3"/>
  <c r="BH97" i="3"/>
  <c r="BJ66" i="3"/>
  <c r="BJ55" i="3"/>
  <c r="BJ79" i="3"/>
  <c r="BJ74" i="3"/>
  <c r="BJ67" i="3"/>
  <c r="BJ90" i="3"/>
  <c r="BG96" i="3"/>
  <c r="BH70" i="3"/>
  <c r="BG81" i="3"/>
  <c r="BH82" i="3"/>
  <c r="BH89" i="3"/>
  <c r="BJ72" i="3"/>
  <c r="BJ85" i="3"/>
  <c r="BG59" i="3"/>
  <c r="BH72" i="3"/>
  <c r="BG70" i="3"/>
  <c r="BG91" i="3"/>
  <c r="BG72" i="3"/>
  <c r="BH83" i="3"/>
  <c r="BH90" i="3"/>
  <c r="BG69" i="3"/>
  <c r="BG73" i="3"/>
  <c r="BH69" i="3"/>
  <c r="BJ76" i="3"/>
  <c r="BJ94" i="3"/>
  <c r="BH91" i="3"/>
  <c r="BJ70" i="3"/>
  <c r="BJ83" i="3"/>
  <c r="BJ97" i="3"/>
  <c r="BH61" i="3"/>
  <c r="BH66" i="3"/>
  <c r="BG50" i="3"/>
  <c r="BG80" i="3"/>
  <c r="BU61" i="3"/>
  <c r="BH79" i="3"/>
  <c r="BH48" i="3"/>
  <c r="BU74" i="3"/>
  <c r="BU86" i="3"/>
  <c r="BH93" i="3"/>
  <c r="BJ68" i="3"/>
  <c r="BJ62" i="3"/>
  <c r="BJ81" i="3"/>
  <c r="BG47" i="3"/>
  <c r="BJ78" i="3"/>
  <c r="BJ65" i="3"/>
  <c r="BG92" i="3"/>
  <c r="BG56" i="3"/>
  <c r="BH71" i="3"/>
  <c r="BH56" i="3"/>
  <c r="BU75" i="3"/>
  <c r="BU64" i="3"/>
  <c r="BJ54" i="3"/>
  <c r="BH58" i="3"/>
  <c r="BU70" i="3"/>
  <c r="BJ48" i="3"/>
  <c r="BJ89" i="3"/>
  <c r="BJ73" i="3"/>
  <c r="BH49" i="3"/>
  <c r="BG68" i="3"/>
  <c r="BJ57" i="3"/>
  <c r="BH81" i="3"/>
  <c r="BH68" i="3"/>
  <c r="BH74" i="3"/>
  <c r="BJ61" i="3"/>
  <c r="BJ49" i="3"/>
  <c r="BJ91" i="3"/>
  <c r="BJ59" i="3"/>
  <c r="BH78" i="3"/>
  <c r="BG74" i="3"/>
  <c r="BH64" i="3"/>
  <c r="BH88" i="3"/>
  <c r="BG84" i="3"/>
  <c r="BJ58" i="3"/>
  <c r="BJ75" i="3"/>
  <c r="BG63" i="3"/>
  <c r="BG54" i="3"/>
  <c r="BJ60" i="3"/>
  <c r="BJ77" i="3"/>
  <c r="BJ47" i="3"/>
  <c r="BJ50" i="3"/>
  <c r="BH96" i="3"/>
  <c r="BG49" i="3"/>
  <c r="BG94" i="3"/>
  <c r="BH73" i="3"/>
  <c r="BH80" i="3"/>
  <c r="BJ80" i="3"/>
  <c r="BJ86" i="3"/>
  <c r="BH65" i="3"/>
  <c r="BJ96" i="3"/>
  <c r="BG60" i="3"/>
  <c r="BK47" i="3"/>
  <c r="BD60" i="3"/>
  <c r="BF79" i="3"/>
  <c r="BI57" i="3"/>
  <c r="BR82" i="3"/>
  <c r="BP83" i="3"/>
  <c r="BM77" i="3"/>
  <c r="BG97" i="3"/>
  <c r="BD88" i="3"/>
  <c r="BI72" i="3"/>
  <c r="BU88" i="3"/>
  <c r="BM55" i="3"/>
  <c r="BC48" i="3"/>
  <c r="BG87" i="3"/>
  <c r="BU68" i="3"/>
  <c r="BC84" i="3"/>
  <c r="BR68" i="3"/>
  <c r="BT47" i="3"/>
  <c r="BP90" i="3"/>
  <c r="BO91" i="3"/>
  <c r="BC87" i="3"/>
  <c r="BC86" i="3"/>
  <c r="BD87" i="3"/>
  <c r="BR89" i="3"/>
  <c r="BU90" i="3"/>
  <c r="BD67" i="3"/>
  <c r="BQ58" i="3"/>
  <c r="BC82" i="3"/>
  <c r="BM49" i="3"/>
  <c r="BM81" i="3"/>
  <c r="BD73" i="3"/>
  <c r="BF71" i="3"/>
  <c r="BF48" i="3"/>
  <c r="BO86" i="3"/>
  <c r="BF64" i="3"/>
  <c r="CL215" i="1" s="1"/>
  <c r="BQ62" i="3"/>
  <c r="BM48" i="3"/>
  <c r="BQ64" i="3"/>
  <c r="BR87" i="3"/>
  <c r="BD49" i="3"/>
  <c r="BQ66" i="3"/>
  <c r="BU66" i="3"/>
  <c r="BQ60" i="3"/>
  <c r="BQ79" i="3"/>
  <c r="BQ83" i="3"/>
  <c r="BR65" i="3"/>
  <c r="BU91" i="3"/>
  <c r="BR49" i="3"/>
  <c r="BQ84" i="3"/>
  <c r="BR47" i="3"/>
  <c r="BU50" i="3"/>
  <c r="BQ85" i="3"/>
  <c r="BQ92" i="3"/>
  <c r="BR54" i="3"/>
  <c r="BU84" i="3"/>
  <c r="BR73" i="3"/>
  <c r="AA112" i="2"/>
  <c r="BR71" i="3"/>
  <c r="Z111" i="2"/>
  <c r="BQ54" i="3"/>
  <c r="BQ70" i="3"/>
  <c r="BQ80" i="3"/>
  <c r="BQ65" i="3"/>
  <c r="BQ74" i="3"/>
  <c r="BQ87" i="3"/>
  <c r="BR50" i="3"/>
  <c r="BU67" i="3"/>
  <c r="BU95" i="3"/>
  <c r="BR64" i="3"/>
  <c r="BR90" i="3"/>
  <c r="BR61" i="3"/>
  <c r="BQ82" i="3"/>
  <c r="BU57" i="3"/>
  <c r="BR48" i="3"/>
  <c r="BQ73" i="3"/>
  <c r="BQ76" i="3"/>
  <c r="BQ69" i="3"/>
  <c r="BR92" i="3"/>
  <c r="BU60" i="3"/>
  <c r="BU92" i="3"/>
  <c r="BR78" i="3"/>
  <c r="BR77" i="3"/>
  <c r="BQ61" i="3"/>
  <c r="BU55" i="3"/>
  <c r="BQ90" i="3"/>
  <c r="BU72" i="3"/>
  <c r="BR57" i="3"/>
  <c r="BU73" i="3"/>
  <c r="BU81" i="3"/>
  <c r="BR60" i="3"/>
  <c r="BR79" i="3"/>
  <c r="BU54" i="3"/>
  <c r="BU78" i="3"/>
  <c r="BU80" i="3"/>
  <c r="BR59" i="3"/>
  <c r="BQ59" i="3"/>
  <c r="BU47" i="3"/>
  <c r="BQ97" i="3"/>
  <c r="BQ96" i="3"/>
  <c r="BU63" i="3"/>
  <c r="Z113" i="2"/>
  <c r="BQ50" i="3"/>
  <c r="BQ89" i="3"/>
  <c r="BQ71" i="3"/>
  <c r="BU87" i="3"/>
  <c r="BU77" i="3"/>
  <c r="BR81" i="3"/>
  <c r="BR85" i="3"/>
  <c r="BR67" i="3"/>
  <c r="AA111" i="2"/>
  <c r="BQ67" i="3"/>
  <c r="BR75" i="3"/>
  <c r="BU69" i="3"/>
  <c r="BR74" i="3"/>
  <c r="BR62" i="3"/>
  <c r="BU85" i="3"/>
  <c r="Z112" i="2"/>
  <c r="BR56" i="3"/>
  <c r="BQ55" i="3"/>
  <c r="BQ86" i="3"/>
  <c r="BQ81" i="3"/>
  <c r="BR70" i="3"/>
  <c r="BU89" i="3"/>
  <c r="BR86" i="3"/>
  <c r="BR84" i="3"/>
  <c r="BQ78" i="3"/>
  <c r="BU71" i="3"/>
  <c r="BR55" i="3"/>
  <c r="BR58" i="3"/>
  <c r="BU97" i="3"/>
  <c r="BR94" i="3"/>
  <c r="BQ88" i="3"/>
  <c r="BQ72" i="3"/>
  <c r="BQ75" i="3"/>
  <c r="BU62" i="3"/>
  <c r="BU93" i="3"/>
  <c r="BR76" i="3"/>
  <c r="BR69" i="3"/>
  <c r="BU79" i="3"/>
  <c r="BQ48" i="3"/>
  <c r="BQ68" i="3"/>
  <c r="BU76" i="3"/>
  <c r="BU49" i="3"/>
  <c r="BR88" i="3"/>
  <c r="AA113" i="2"/>
  <c r="BQ49" i="3"/>
  <c r="BU48" i="3"/>
  <c r="BQ94" i="3"/>
  <c r="BQ95" i="3"/>
  <c r="BR63" i="3"/>
  <c r="BU82" i="3"/>
  <c r="BU65" i="3"/>
  <c r="BR72" i="3"/>
  <c r="BR97" i="3"/>
  <c r="BQ77" i="3"/>
  <c r="BQ63" i="3"/>
  <c r="BR91" i="3"/>
  <c r="BU94" i="3"/>
  <c r="BR96" i="3"/>
  <c r="BU58" i="3"/>
  <c r="BG66" i="3"/>
  <c r="BK68" i="3"/>
  <c r="BB50" i="3"/>
  <c r="BP59" i="3"/>
  <c r="BC56" i="3"/>
  <c r="BV47" i="3"/>
  <c r="BO74" i="3"/>
  <c r="BU59" i="3"/>
  <c r="BR80" i="3"/>
  <c r="BT68" i="3"/>
  <c r="BO47" i="3"/>
  <c r="BK86" i="3"/>
  <c r="BD97" i="3"/>
  <c r="BV54" i="3"/>
  <c r="BV63" i="3"/>
  <c r="BV83" i="3"/>
  <c r="BV67" i="3"/>
  <c r="BV92" i="3"/>
  <c r="BV49" i="3"/>
  <c r="BV79" i="3"/>
  <c r="BV65" i="3"/>
  <c r="BV57" i="3"/>
  <c r="BV82" i="3"/>
  <c r="BV90" i="3"/>
  <c r="BV55" i="3"/>
  <c r="BV91" i="3"/>
  <c r="BV76" i="3"/>
  <c r="BV74" i="3"/>
  <c r="BV70" i="3"/>
  <c r="BV93" i="3"/>
  <c r="BV69" i="3"/>
  <c r="BV59" i="3"/>
  <c r="BV58" i="3"/>
  <c r="BV75" i="3"/>
  <c r="BV73" i="3"/>
  <c r="BV64" i="3"/>
  <c r="BV88" i="3"/>
  <c r="BV85" i="3"/>
  <c r="BV50" i="3"/>
  <c r="BV60" i="3"/>
  <c r="BV72" i="3"/>
  <c r="BV48" i="3"/>
  <c r="BV86" i="3"/>
  <c r="BV56" i="3"/>
  <c r="BV87" i="3"/>
  <c r="BV68" i="3"/>
  <c r="BV89" i="3"/>
  <c r="BV97" i="3"/>
  <c r="BM91" i="3"/>
  <c r="BM93" i="3"/>
  <c r="BM79" i="3"/>
  <c r="BM87" i="3"/>
  <c r="BM83" i="3"/>
  <c r="BM71" i="3"/>
  <c r="BM92" i="3"/>
  <c r="BM82" i="3"/>
  <c r="BM80" i="3"/>
  <c r="BM57" i="3"/>
  <c r="BM89" i="3"/>
  <c r="BM67" i="3"/>
  <c r="BM64" i="3"/>
  <c r="BM70" i="3"/>
  <c r="BM62" i="3"/>
  <c r="BM73" i="3"/>
  <c r="BM84" i="3"/>
  <c r="BM65" i="3"/>
  <c r="BM69" i="3"/>
  <c r="BP57" i="3"/>
  <c r="BP55" i="3"/>
  <c r="BP75" i="3"/>
  <c r="BT86" i="3"/>
  <c r="BT83" i="3"/>
  <c r="BI55" i="3"/>
  <c r="BI63" i="3"/>
  <c r="BI87" i="3"/>
  <c r="BK74" i="3"/>
  <c r="BK95" i="3"/>
  <c r="BK67" i="3"/>
  <c r="BU96" i="3"/>
  <c r="BU83" i="3"/>
  <c r="BU56" i="3"/>
  <c r="BR66" i="3"/>
  <c r="BR93" i="3"/>
  <c r="BR95" i="3"/>
  <c r="BB87" i="3"/>
  <c r="BB82" i="3"/>
  <c r="BC60" i="3"/>
  <c r="BC66" i="3"/>
  <c r="BC90" i="3"/>
  <c r="BC91" i="3"/>
  <c r="BC65" i="3"/>
  <c r="BC71" i="3"/>
  <c r="BC92" i="3"/>
  <c r="BV77" i="3"/>
  <c r="BV61" i="3"/>
  <c r="BV84" i="3"/>
  <c r="BV66" i="3"/>
  <c r="BV71" i="3"/>
  <c r="BV81" i="3"/>
  <c r="BV95" i="3"/>
  <c r="BV94" i="3"/>
  <c r="BV62" i="3"/>
  <c r="BV96" i="3"/>
  <c r="BV80" i="3"/>
  <c r="BO55" i="3"/>
  <c r="BO67" i="3"/>
  <c r="BO80" i="3"/>
  <c r="BO62" i="3"/>
  <c r="BO89" i="3"/>
  <c r="BO64" i="3"/>
  <c r="BD78" i="3"/>
  <c r="CJ208" i="1" s="1"/>
  <c r="BD95" i="3"/>
  <c r="CJ230" i="1" s="1"/>
  <c r="CK230" i="1" s="1"/>
  <c r="BD70" i="3"/>
  <c r="CJ199" i="1" s="1"/>
  <c r="CK199" i="1" s="1"/>
  <c r="BD71" i="3"/>
  <c r="BD54" i="3"/>
  <c r="BD81" i="3"/>
  <c r="CJ210" i="1" s="1"/>
  <c r="BD90" i="3"/>
  <c r="CJ192" i="1" s="1"/>
  <c r="CK192" i="1" s="1"/>
  <c r="CM192" i="1" s="1"/>
  <c r="CN192" i="1" s="1"/>
  <c r="CO192" i="1" s="1"/>
  <c r="CP192" i="1" s="1"/>
  <c r="CQ192" i="1" s="1"/>
  <c r="CR192" i="1" s="1"/>
  <c r="CS192" i="1" s="1"/>
  <c r="CT192" i="1" s="1"/>
  <c r="CU192" i="1" s="1"/>
  <c r="CV192" i="1" s="1"/>
  <c r="CW192" i="1" s="1"/>
  <c r="CX192" i="1" s="1"/>
  <c r="CY192" i="1" s="1"/>
  <c r="CZ192" i="1" s="1"/>
  <c r="DA192" i="1" s="1"/>
  <c r="DB192" i="1" s="1"/>
  <c r="BD96" i="3"/>
  <c r="CJ229" i="1" s="1"/>
  <c r="CK229" i="1" s="1"/>
  <c r="CM229" i="1" s="1"/>
  <c r="CN229" i="1" s="1"/>
  <c r="CO229" i="1" s="1"/>
  <c r="CP229" i="1" s="1"/>
  <c r="CQ229" i="1" s="1"/>
  <c r="CR229" i="1" s="1"/>
  <c r="CS229" i="1" s="1"/>
  <c r="CT229" i="1" s="1"/>
  <c r="CU229" i="1" s="1"/>
  <c r="CV229" i="1" s="1"/>
  <c r="CW229" i="1" s="1"/>
  <c r="BD77" i="3"/>
  <c r="CJ206" i="1" s="1"/>
  <c r="BD84" i="3"/>
  <c r="CJ212" i="1" s="1"/>
  <c r="BD57" i="3"/>
  <c r="CJ184" i="1" s="1"/>
  <c r="CK184" i="1" s="1"/>
  <c r="CM184" i="1" s="1"/>
  <c r="CN184" i="1" s="1"/>
  <c r="CO184" i="1" s="1"/>
  <c r="CP184" i="1" s="1"/>
  <c r="CQ184" i="1" s="1"/>
  <c r="CR184" i="1" s="1"/>
  <c r="CS184" i="1" s="1"/>
  <c r="CT184" i="1" s="1"/>
  <c r="CU184" i="1" s="1"/>
  <c r="CV184" i="1" s="1"/>
  <c r="CW184" i="1" s="1"/>
  <c r="CX184" i="1" s="1"/>
  <c r="CY184" i="1" s="1"/>
  <c r="CZ184" i="1" s="1"/>
  <c r="DA184" i="1" s="1"/>
  <c r="DB184" i="1" s="1"/>
  <c r="BD72" i="3"/>
  <c r="CJ201" i="1" s="1"/>
  <c r="CK201" i="1" s="1"/>
  <c r="CM201" i="1" s="1"/>
  <c r="CN201" i="1" s="1"/>
  <c r="CO201" i="1" s="1"/>
  <c r="CP201" i="1" s="1"/>
  <c r="CQ201" i="1" s="1"/>
  <c r="CR201" i="1" s="1"/>
  <c r="CS201" i="1" s="1"/>
  <c r="CT201" i="1" s="1"/>
  <c r="CU201" i="1" s="1"/>
  <c r="CV201" i="1" s="1"/>
  <c r="CW201" i="1" s="1"/>
  <c r="CX201" i="1" s="1"/>
  <c r="CY201" i="1" s="1"/>
  <c r="CZ201" i="1" s="1"/>
  <c r="DA201" i="1" s="1"/>
  <c r="DB201" i="1" s="1"/>
  <c r="BG65" i="3"/>
  <c r="BG90" i="3"/>
  <c r="BG71" i="3"/>
  <c r="BG55" i="3"/>
  <c r="BG61" i="3"/>
  <c r="BG57" i="3"/>
  <c r="BG83" i="3"/>
  <c r="BG58" i="3"/>
  <c r="BG86" i="3"/>
  <c r="BF70" i="3"/>
  <c r="CL199" i="1" s="1"/>
  <c r="BF95" i="3"/>
  <c r="CL230" i="1" s="1"/>
  <c r="BF56" i="3"/>
  <c r="CL183" i="1" s="1"/>
  <c r="CL186" i="1" s="1"/>
  <c r="BF86" i="3"/>
  <c r="BF76" i="3"/>
  <c r="BF68" i="3"/>
  <c r="CL200" i="1" s="1"/>
  <c r="CL204" i="1" s="1"/>
  <c r="BF82" i="3"/>
  <c r="CL211" i="1" s="1"/>
  <c r="CL246" i="1" s="1"/>
  <c r="CL297" i="1"/>
  <c r="CL74" i="1"/>
  <c r="CL260" i="1"/>
  <c r="CL319" i="1"/>
  <c r="CL318" i="1"/>
  <c r="CL227" i="1"/>
  <c r="CL194" i="1"/>
  <c r="CL249" i="1"/>
  <c r="CL93" i="1"/>
  <c r="CL132" i="1"/>
  <c r="CL245" i="1"/>
  <c r="DA47" i="1"/>
  <c r="DB42" i="1"/>
  <c r="DB47" i="1" s="1"/>
  <c r="CU45" i="1"/>
  <c r="CR51" i="1"/>
  <c r="CR72" i="1" s="1"/>
  <c r="CR74" i="1" s="1"/>
  <c r="CR76" i="1" s="1"/>
  <c r="CJ72" i="1"/>
  <c r="CJ297" i="1" s="1"/>
  <c r="CH103" i="1"/>
  <c r="CI72" i="1"/>
  <c r="CG113" i="1"/>
  <c r="X103" i="1"/>
  <c r="Y103" i="1"/>
  <c r="X112" i="1"/>
  <c r="Y219" i="1"/>
  <c r="X199" i="1"/>
  <c r="Z87" i="1"/>
  <c r="Z219" i="1"/>
  <c r="CH219" i="1" s="1"/>
  <c r="CK91" i="1"/>
  <c r="CG103" i="1"/>
  <c r="X193" i="1"/>
  <c r="Y72" i="1"/>
  <c r="Y297" i="1" s="1"/>
  <c r="X144" i="1"/>
  <c r="CJ106" i="1"/>
  <c r="Z90" i="1"/>
  <c r="Y73" i="1"/>
  <c r="Y226" i="1"/>
  <c r="CJ78" i="1"/>
  <c r="X211" i="1"/>
  <c r="X190" i="1"/>
  <c r="Z146" i="1"/>
  <c r="CH87" i="1"/>
  <c r="Y202" i="1"/>
  <c r="Y213" i="1"/>
  <c r="Z215" i="1"/>
  <c r="CH215" i="1" s="1"/>
  <c r="CJ114" i="1"/>
  <c r="Z190" i="1"/>
  <c r="CH190" i="1" s="1"/>
  <c r="CI190" i="1" s="1"/>
  <c r="Y146" i="1"/>
  <c r="Y191" i="1"/>
  <c r="CG99" i="1"/>
  <c r="CG260" i="1" s="1"/>
  <c r="Y87" i="1"/>
  <c r="CJ102" i="1"/>
  <c r="CJ87" i="1"/>
  <c r="Z216" i="1"/>
  <c r="CH216" i="1" s="1"/>
  <c r="Z211" i="1"/>
  <c r="CH211" i="1" s="1"/>
  <c r="Z89" i="1"/>
  <c r="CK78" i="1"/>
  <c r="Z185" i="1"/>
  <c r="CH185" i="1" s="1"/>
  <c r="CG118" i="1"/>
  <c r="CH106" i="1"/>
  <c r="Y198" i="1"/>
  <c r="Z103" i="1"/>
  <c r="CG89" i="1"/>
  <c r="CG77" i="1"/>
  <c r="Y192" i="1"/>
  <c r="Y220" i="1" s="1"/>
  <c r="X191" i="1"/>
  <c r="Z217" i="1"/>
  <c r="CH217" i="1" s="1"/>
  <c r="Y188" i="1"/>
  <c r="Y89" i="1"/>
  <c r="Z193" i="1"/>
  <c r="CH193" i="1" s="1"/>
  <c r="CI193" i="1" s="1"/>
  <c r="CI118" i="1"/>
  <c r="CI90" i="1"/>
  <c r="Y201" i="1"/>
  <c r="Y197" i="1" s="1"/>
  <c r="Z191" i="1"/>
  <c r="CH191" i="1" s="1"/>
  <c r="CI191" i="1" s="1"/>
  <c r="X202" i="1"/>
  <c r="X210" i="1"/>
  <c r="X118" i="1"/>
  <c r="X114" i="1"/>
  <c r="CI112" i="1"/>
  <c r="Y216" i="1"/>
  <c r="X203" i="1"/>
  <c r="Z144" i="1"/>
  <c r="CG88" i="1"/>
  <c r="CH91" i="1"/>
  <c r="CI73" i="1"/>
  <c r="Y210" i="1"/>
  <c r="CK89" i="1"/>
  <c r="CH118" i="1"/>
  <c r="CG90" i="1"/>
  <c r="CH88" i="1"/>
  <c r="CP88" i="1" s="1"/>
  <c r="CT88" i="1" s="1"/>
  <c r="JN16" i="4" s="1"/>
  <c r="Y238" i="1"/>
  <c r="X237" i="1"/>
  <c r="CH113" i="1"/>
  <c r="X106" i="1"/>
  <c r="Z92" i="1"/>
  <c r="X77" i="1"/>
  <c r="CJ77" i="1"/>
  <c r="Y77" i="1"/>
  <c r="X87" i="1"/>
  <c r="Y190" i="1"/>
  <c r="Z226" i="1"/>
  <c r="CH226" i="1" s="1"/>
  <c r="Y221" i="1"/>
  <c r="X185" i="1"/>
  <c r="CG114" i="1"/>
  <c r="X208" i="1"/>
  <c r="X92" i="1"/>
  <c r="CK103" i="1"/>
  <c r="CK114" i="1"/>
  <c r="CH99" i="1"/>
  <c r="CH260" i="1" s="1"/>
  <c r="Y112" i="1"/>
  <c r="Z184" i="1"/>
  <c r="CH184" i="1" s="1"/>
  <c r="CI184" i="1" s="1"/>
  <c r="Y79" i="1"/>
  <c r="JP16" i="4" s="1"/>
  <c r="Y91" i="1"/>
  <c r="CI114" i="1"/>
  <c r="X217" i="1"/>
  <c r="Y230" i="1"/>
  <c r="CH78" i="1"/>
  <c r="Z112" i="1"/>
  <c r="CI130" i="1"/>
  <c r="CH130" i="1" s="1"/>
  <c r="CG130" i="1" s="1"/>
  <c r="CF130" i="1" s="1"/>
  <c r="CE130" i="1" s="1"/>
  <c r="CD130" i="1" s="1"/>
  <c r="CC130" i="1" s="1"/>
  <c r="CB130" i="1" s="1"/>
  <c r="CA130" i="1" s="1"/>
  <c r="BZ130" i="1" s="1"/>
  <c r="BY130" i="1" s="1"/>
  <c r="BX130" i="1" s="1"/>
  <c r="BW130" i="1" s="1"/>
  <c r="BV130" i="1" s="1"/>
  <c r="BU130" i="1" s="1"/>
  <c r="BT130" i="1" s="1"/>
  <c r="BS130" i="1" s="1"/>
  <c r="BR130" i="1" s="1"/>
  <c r="BQ130" i="1" s="1"/>
  <c r="BP130" i="1" s="1"/>
  <c r="BO130" i="1" s="1"/>
  <c r="BN130" i="1" s="1"/>
  <c r="BM130" i="1" s="1"/>
  <c r="BL130" i="1" s="1"/>
  <c r="BK130" i="1" s="1"/>
  <c r="BJ130" i="1" s="1"/>
  <c r="BI130" i="1" s="1"/>
  <c r="BH130" i="1" s="1"/>
  <c r="BG130" i="1" s="1"/>
  <c r="BF130" i="1" s="1"/>
  <c r="BE130" i="1" s="1"/>
  <c r="BD130" i="1" s="1"/>
  <c r="BC130" i="1" s="1"/>
  <c r="BB130" i="1" s="1"/>
  <c r="BA130" i="1" s="1"/>
  <c r="AZ130" i="1" s="1"/>
  <c r="AY130" i="1" s="1"/>
  <c r="AX130" i="1" s="1"/>
  <c r="AW130" i="1" s="1"/>
  <c r="AV130" i="1" s="1"/>
  <c r="AU130" i="1" s="1"/>
  <c r="AT130" i="1" s="1"/>
  <c r="AS130" i="1" s="1"/>
  <c r="AR130" i="1" s="1"/>
  <c r="AQ130" i="1" s="1"/>
  <c r="AP130" i="1" s="1"/>
  <c r="AO130" i="1" s="1"/>
  <c r="AN130" i="1" s="1"/>
  <c r="AM130" i="1" s="1"/>
  <c r="AL130" i="1" s="1"/>
  <c r="AK130" i="1" s="1"/>
  <c r="AJ130" i="1" s="1"/>
  <c r="AI130" i="1" s="1"/>
  <c r="X90" i="1"/>
  <c r="X184" i="1"/>
  <c r="Z208" i="1"/>
  <c r="CH208" i="1" s="1"/>
  <c r="CK99" i="1"/>
  <c r="X225" i="1"/>
  <c r="CJ90" i="1"/>
  <c r="Y113" i="1"/>
  <c r="Y99" i="1"/>
  <c r="Y260" i="1" s="1"/>
  <c r="CH72" i="1"/>
  <c r="CJ99" i="1"/>
  <c r="CJ260" i="1" s="1"/>
  <c r="CH90" i="1"/>
  <c r="CG72" i="1"/>
  <c r="CG297" i="1" s="1"/>
  <c r="X206" i="1"/>
  <c r="Z77" i="1"/>
  <c r="Y229" i="1"/>
  <c r="CJ118" i="1"/>
  <c r="X79" i="1"/>
  <c r="X102" i="1"/>
  <c r="Y203" i="1"/>
  <c r="CH114" i="1"/>
  <c r="Z73" i="1"/>
  <c r="JP9" i="4" s="1"/>
  <c r="X192" i="1"/>
  <c r="X220" i="1" s="1"/>
  <c r="X198" i="1"/>
  <c r="CJ92" i="1"/>
  <c r="X99" i="1"/>
  <c r="X260" i="1" s="1"/>
  <c r="CG79" i="1"/>
  <c r="Z199" i="1"/>
  <c r="CH199" i="1" s="1"/>
  <c r="CI199" i="1" s="1"/>
  <c r="Y236" i="1"/>
  <c r="CI99" i="1"/>
  <c r="CI260" i="1" s="1"/>
  <c r="Y211" i="1"/>
  <c r="Z212" i="1"/>
  <c r="CH212" i="1" s="1"/>
  <c r="CI92" i="1"/>
  <c r="CE106" i="1"/>
  <c r="Z202" i="1"/>
  <c r="CH202" i="1" s="1"/>
  <c r="CI202" i="1" s="1"/>
  <c r="Z102" i="1"/>
  <c r="Z238" i="1"/>
  <c r="Y106" i="1"/>
  <c r="Z88" i="1"/>
  <c r="X209" i="1"/>
  <c r="CK102" i="1"/>
  <c r="CH79" i="1"/>
  <c r="JO16" i="4" s="1"/>
  <c r="Z237" i="1"/>
  <c r="Z225" i="1"/>
  <c r="CH225" i="1" s="1"/>
  <c r="X212" i="1"/>
  <c r="CG112" i="1"/>
  <c r="CJ88" i="1"/>
  <c r="CN88" i="1" s="1"/>
  <c r="CR88" i="1" s="1"/>
  <c r="CV88" i="1" s="1"/>
  <c r="CZ88" i="1" s="1"/>
  <c r="X238" i="1"/>
  <c r="Z79" i="1"/>
  <c r="CJ113" i="1"/>
  <c r="Y90" i="1"/>
  <c r="Y237" i="1"/>
  <c r="Z201" i="1"/>
  <c r="CH201" i="1" s="1"/>
  <c r="CI201" i="1" s="1"/>
  <c r="Y88" i="1"/>
  <c r="CH92" i="1"/>
  <c r="CI103" i="1"/>
  <c r="CG73" i="1"/>
  <c r="Y199" i="1"/>
  <c r="Z91" i="1"/>
  <c r="X88" i="1"/>
  <c r="CK88" i="1"/>
  <c r="CH89" i="1"/>
  <c r="Z230" i="1"/>
  <c r="CH230" i="1" s="1"/>
  <c r="CI230" i="1" s="1"/>
  <c r="CJ79" i="1"/>
  <c r="X146" i="1"/>
  <c r="Z134" i="1"/>
  <c r="CK77" i="1"/>
  <c r="CK92" i="1"/>
  <c r="CJ112" i="1"/>
  <c r="X219" i="1"/>
  <c r="CI102" i="1"/>
  <c r="X221" i="1"/>
  <c r="Y225" i="1"/>
  <c r="Y209" i="1"/>
  <c r="CI106" i="1"/>
  <c r="Y114" i="1"/>
  <c r="Z198" i="1"/>
  <c r="CH198" i="1" s="1"/>
  <c r="Y145" i="1"/>
  <c r="CI79" i="1"/>
  <c r="CI88" i="1"/>
  <c r="CQ88" i="1" s="1"/>
  <c r="CU88" i="1" s="1"/>
  <c r="CI89" i="1"/>
  <c r="X236" i="1"/>
  <c r="CK118" i="1"/>
  <c r="X213" i="1"/>
  <c r="CJ73" i="1"/>
  <c r="CJ91" i="1"/>
  <c r="Z192" i="1"/>
  <c r="CH192" i="1" s="1"/>
  <c r="CI192" i="1" s="1"/>
  <c r="CK73" i="1"/>
  <c r="CK79" i="1"/>
  <c r="X134" i="1"/>
  <c r="X145" i="1"/>
  <c r="CG87" i="1"/>
  <c r="Y144" i="1"/>
  <c r="CI77" i="1"/>
  <c r="CH112" i="1"/>
  <c r="Y184" i="1"/>
  <c r="CI113" i="1"/>
  <c r="Z229" i="1"/>
  <c r="CH229" i="1" s="1"/>
  <c r="CI229" i="1" s="1"/>
  <c r="Y206" i="1"/>
  <c r="CG78" i="1"/>
  <c r="X188" i="1"/>
  <c r="CI91" i="1"/>
  <c r="Z72" i="1"/>
  <c r="X113" i="1"/>
  <c r="X72" i="1"/>
  <c r="X297" i="1" s="1"/>
  <c r="CG106" i="1"/>
  <c r="CJ89" i="1"/>
  <c r="CH73" i="1"/>
  <c r="Y215" i="1"/>
  <c r="CK87" i="1"/>
  <c r="Y183" i="1"/>
  <c r="Y217" i="1"/>
  <c r="X201" i="1"/>
  <c r="X197" i="1" s="1"/>
  <c r="X226" i="1"/>
  <c r="JO8" i="4" s="1"/>
  <c r="JO9" i="4" s="1"/>
  <c r="Z188" i="1"/>
  <c r="CH188" i="1" s="1"/>
  <c r="CI188" i="1" s="1"/>
  <c r="X183" i="1"/>
  <c r="CH102" i="1"/>
  <c r="CJ103" i="1"/>
  <c r="CI87" i="1"/>
  <c r="Z113" i="1"/>
  <c r="Z206" i="1"/>
  <c r="AA268" i="1" s="1"/>
  <c r="Z236" i="1"/>
  <c r="Y102" i="1"/>
  <c r="CG92" i="1"/>
  <c r="X215" i="1"/>
  <c r="Z118" i="1"/>
  <c r="Z106" i="1"/>
  <c r="Y134" i="1"/>
  <c r="Y208" i="1"/>
  <c r="Z114" i="1"/>
  <c r="X216" i="1"/>
  <c r="X230" i="1"/>
  <c r="CK106" i="1"/>
  <c r="CK72" i="1"/>
  <c r="CK113" i="1"/>
  <c r="CK112" i="1"/>
  <c r="Y185" i="1"/>
  <c r="CH77" i="1"/>
  <c r="X73" i="1"/>
  <c r="Z209" i="1"/>
  <c r="CH209" i="1" s="1"/>
  <c r="Y212" i="1"/>
  <c r="JN9" i="4" s="1"/>
  <c r="Z221" i="1"/>
  <c r="CH221" i="1" s="1"/>
  <c r="Z145" i="1"/>
  <c r="X89" i="1"/>
  <c r="Y193" i="1"/>
  <c r="Z203" i="1"/>
  <c r="CH203" i="1" s="1"/>
  <c r="CI203" i="1" s="1"/>
  <c r="CG102" i="1"/>
  <c r="Z99" i="1"/>
  <c r="Z260" i="1" s="1"/>
  <c r="CI131" i="1"/>
  <c r="CH131" i="1" s="1"/>
  <c r="CG131" i="1" s="1"/>
  <c r="CF131" i="1" s="1"/>
  <c r="CE131" i="1" s="1"/>
  <c r="CD131" i="1" s="1"/>
  <c r="CC131" i="1" s="1"/>
  <c r="CB131" i="1" s="1"/>
  <c r="CA131" i="1" s="1"/>
  <c r="BZ131" i="1" s="1"/>
  <c r="BY131" i="1" s="1"/>
  <c r="BX131" i="1" s="1"/>
  <c r="BW131" i="1" s="1"/>
  <c r="BV131" i="1" s="1"/>
  <c r="BU131" i="1" s="1"/>
  <c r="BT131" i="1" s="1"/>
  <c r="BS131" i="1" s="1"/>
  <c r="BR131" i="1" s="1"/>
  <c r="BQ131" i="1" s="1"/>
  <c r="BP131" i="1" s="1"/>
  <c r="BO131" i="1" s="1"/>
  <c r="BN131" i="1" s="1"/>
  <c r="BM131" i="1" s="1"/>
  <c r="BL131" i="1" s="1"/>
  <c r="BK131" i="1" s="1"/>
  <c r="BJ131" i="1" s="1"/>
  <c r="BI131" i="1" s="1"/>
  <c r="BH131" i="1" s="1"/>
  <c r="BG131" i="1" s="1"/>
  <c r="BF131" i="1" s="1"/>
  <c r="BE131" i="1" s="1"/>
  <c r="BD131" i="1" s="1"/>
  <c r="BC131" i="1" s="1"/>
  <c r="BB131" i="1" s="1"/>
  <c r="BA131" i="1" s="1"/>
  <c r="AZ131" i="1" s="1"/>
  <c r="AY131" i="1" s="1"/>
  <c r="AX131" i="1" s="1"/>
  <c r="AW131" i="1" s="1"/>
  <c r="AV131" i="1" s="1"/>
  <c r="AU131" i="1" s="1"/>
  <c r="AT131" i="1" s="1"/>
  <c r="AS131" i="1" s="1"/>
  <c r="AR131" i="1" s="1"/>
  <c r="AQ131" i="1" s="1"/>
  <c r="AP131" i="1" s="1"/>
  <c r="AO131" i="1" s="1"/>
  <c r="AN131" i="1" s="1"/>
  <c r="AM131" i="1" s="1"/>
  <c r="AL131" i="1" s="1"/>
  <c r="AK131" i="1" s="1"/>
  <c r="AJ131" i="1" s="1"/>
  <c r="AI131" i="1" s="1"/>
  <c r="Y118" i="1"/>
  <c r="Z183" i="1"/>
  <c r="CH183" i="1" s="1"/>
  <c r="CI183" i="1" s="1"/>
  <c r="Z210" i="1"/>
  <c r="CH210" i="1" s="1"/>
  <c r="X229" i="1"/>
  <c r="X91" i="1"/>
  <c r="CI78" i="1"/>
  <c r="CG91" i="1"/>
  <c r="Y92" i="1"/>
  <c r="Z213" i="1"/>
  <c r="CH213" i="1" s="1"/>
  <c r="CK90" i="1"/>
  <c r="AC45" i="1"/>
  <c r="AC41" i="1" s="1"/>
  <c r="CG141" i="1"/>
  <c r="X140" i="1"/>
  <c r="CH140" i="1"/>
  <c r="CI140" i="1"/>
  <c r="CI141" i="1"/>
  <c r="CG140" i="1"/>
  <c r="CT51" i="1"/>
  <c r="CT72" i="1" s="1"/>
  <c r="CT74" i="1" s="1"/>
  <c r="CS44" i="1"/>
  <c r="CS51" i="1" s="1"/>
  <c r="CS72" i="1" s="1"/>
  <c r="CS74" i="1" s="1"/>
  <c r="CU44" i="1"/>
  <c r="CV44" i="1"/>
  <c r="X141" i="1"/>
  <c r="CB77" i="1"/>
  <c r="BE85" i="3"/>
  <c r="BQ56" i="3"/>
  <c r="CZ41" i="1" l="1"/>
  <c r="CL209" i="1"/>
  <c r="CK141" i="1"/>
  <c r="CK140" i="1"/>
  <c r="CJ215" i="1"/>
  <c r="KA16" i="4" s="1"/>
  <c r="JV16" i="4" s="1"/>
  <c r="KG9" i="4" s="1"/>
  <c r="JV9" i="4" s="1"/>
  <c r="CJ216" i="1"/>
  <c r="JU16" i="4" s="1"/>
  <c r="JX16" i="4" s="1"/>
  <c r="JW9" i="4" s="1"/>
  <c r="KA9" i="4" s="1"/>
  <c r="JS9" i="4" s="1"/>
  <c r="JQ9" i="4" s="1"/>
  <c r="CJ183" i="1"/>
  <c r="CK183" i="1" s="1"/>
  <c r="CJ203" i="1"/>
  <c r="CK203" i="1" s="1"/>
  <c r="CM203" i="1" s="1"/>
  <c r="CN203" i="1" s="1"/>
  <c r="CO203" i="1" s="1"/>
  <c r="CP203" i="1" s="1"/>
  <c r="CQ203" i="1" s="1"/>
  <c r="CR203" i="1" s="1"/>
  <c r="CS203" i="1" s="1"/>
  <c r="CT203" i="1" s="1"/>
  <c r="CU203" i="1" s="1"/>
  <c r="CV203" i="1" s="1"/>
  <c r="CW203" i="1" s="1"/>
  <c r="CX203" i="1" s="1"/>
  <c r="CY203" i="1" s="1"/>
  <c r="CZ203" i="1" s="1"/>
  <c r="DA203" i="1" s="1"/>
  <c r="DB203" i="1" s="1"/>
  <c r="KE16" i="4" s="1"/>
  <c r="JW16" i="4" s="1"/>
  <c r="KH16" i="4" s="1"/>
  <c r="JZ16" i="4" s="1"/>
  <c r="JR16" i="4" s="1"/>
  <c r="JX9" i="4" s="1"/>
  <c r="KB9" i="4" s="1"/>
  <c r="KH9" i="4" s="1"/>
  <c r="CJ141" i="1"/>
  <c r="CJ219" i="1"/>
  <c r="CJ226" i="1"/>
  <c r="CJ225" i="1"/>
  <c r="CJ185" i="1"/>
  <c r="CJ200" i="1"/>
  <c r="CJ217" i="1"/>
  <c r="CJ191" i="1"/>
  <c r="CK191" i="1" s="1"/>
  <c r="CJ220" i="1"/>
  <c r="CJ213" i="1"/>
  <c r="CJ221" i="1"/>
  <c r="CJ190" i="1"/>
  <c r="CK190" i="1" s="1"/>
  <c r="CM190" i="1" s="1"/>
  <c r="CJ211" i="1"/>
  <c r="CL94" i="1"/>
  <c r="CJ209" i="1"/>
  <c r="CL222" i="1"/>
  <c r="CL251" i="1" s="1"/>
  <c r="CH245" i="1"/>
  <c r="CI245" i="1" s="1"/>
  <c r="CJ140" i="1"/>
  <c r="Z141" i="1"/>
  <c r="CJ193" i="1"/>
  <c r="CK193" i="1" s="1"/>
  <c r="CM193" i="1" s="1"/>
  <c r="CN193" i="1" s="1"/>
  <c r="CO193" i="1" s="1"/>
  <c r="CP193" i="1" s="1"/>
  <c r="CQ193" i="1" s="1"/>
  <c r="CR193" i="1" s="1"/>
  <c r="CS193" i="1" s="1"/>
  <c r="CT193" i="1" s="1"/>
  <c r="CU193" i="1" s="1"/>
  <c r="CV193" i="1" s="1"/>
  <c r="CW193" i="1" s="1"/>
  <c r="CX193" i="1" s="1"/>
  <c r="CY193" i="1" s="1"/>
  <c r="CZ193" i="1" s="1"/>
  <c r="DA193" i="1" s="1"/>
  <c r="DB193" i="1" s="1"/>
  <c r="JY9" i="4" s="1"/>
  <c r="JS16" i="4" s="1"/>
  <c r="KD16" i="4" s="1"/>
  <c r="JU9" i="4" s="1"/>
  <c r="KC9" i="4" s="1"/>
  <c r="JZ9" i="4" s="1"/>
  <c r="Z140" i="1"/>
  <c r="CJ218" i="1"/>
  <c r="KC16" i="4" s="1"/>
  <c r="CJ188" i="1"/>
  <c r="CK188" i="1" s="1"/>
  <c r="CM188" i="1" s="1"/>
  <c r="CN188" i="1" s="1"/>
  <c r="CO188" i="1" s="1"/>
  <c r="CP188" i="1" s="1"/>
  <c r="CQ188" i="1" s="1"/>
  <c r="CR188" i="1" s="1"/>
  <c r="CS188" i="1" s="1"/>
  <c r="CT188" i="1" s="1"/>
  <c r="CU188" i="1" s="1"/>
  <c r="CV188" i="1" s="1"/>
  <c r="CW188" i="1" s="1"/>
  <c r="CX188" i="1" s="1"/>
  <c r="CY188" i="1" s="1"/>
  <c r="CZ188" i="1" s="1"/>
  <c r="DA188" i="1" s="1"/>
  <c r="DB188" i="1" s="1"/>
  <c r="KE9" i="4" s="1"/>
  <c r="KG16" i="4" s="1"/>
  <c r="JY16" i="4" s="1"/>
  <c r="JQ16" i="4" s="1"/>
  <c r="KB16" i="4" s="1"/>
  <c r="JT16" i="4" s="1"/>
  <c r="KD9" i="4" s="1"/>
  <c r="Y141" i="1"/>
  <c r="Y140" i="1"/>
  <c r="CH141" i="1"/>
  <c r="JP15" i="4"/>
  <c r="JP8" i="4"/>
  <c r="JO14" i="4"/>
  <c r="JO7" i="4"/>
  <c r="KH21" i="4"/>
  <c r="JS21" i="4"/>
  <c r="JN21" i="4"/>
  <c r="CH144" i="1" s="1"/>
  <c r="JP21" i="4"/>
  <c r="CJ144" i="1" s="1"/>
  <c r="CH206" i="1"/>
  <c r="CI206" i="1" s="1"/>
  <c r="CL159" i="1"/>
  <c r="JN15" i="4"/>
  <c r="JO21" i="4"/>
  <c r="CI144" i="1" s="1"/>
  <c r="X186" i="1"/>
  <c r="JV21" i="4"/>
  <c r="CM183" i="1"/>
  <c r="CN183" i="1" s="1"/>
  <c r="CO183" i="1" s="1"/>
  <c r="CP183" i="1" s="1"/>
  <c r="CQ183" i="1" s="1"/>
  <c r="CR183" i="1" s="1"/>
  <c r="CS183" i="1" s="1"/>
  <c r="CT183" i="1" s="1"/>
  <c r="CU183" i="1" s="1"/>
  <c r="CV183" i="1" s="1"/>
  <c r="CW183" i="1" s="1"/>
  <c r="CX183" i="1" s="1"/>
  <c r="JN8" i="4"/>
  <c r="CM230" i="1"/>
  <c r="CN230" i="1" s="1"/>
  <c r="CO230" i="1" s="1"/>
  <c r="CP230" i="1" s="1"/>
  <c r="CQ230" i="1" s="1"/>
  <c r="CR230" i="1" s="1"/>
  <c r="CS230" i="1" s="1"/>
  <c r="CT230" i="1" s="1"/>
  <c r="CU230" i="1" s="1"/>
  <c r="CV230" i="1" s="1"/>
  <c r="CW230" i="1" s="1"/>
  <c r="CX230" i="1" s="1"/>
  <c r="CY230" i="1" s="1"/>
  <c r="CZ230" i="1" s="1"/>
  <c r="DA230" i="1" s="1"/>
  <c r="DB230" i="1" s="1"/>
  <c r="CM199" i="1"/>
  <c r="CN199" i="1" s="1"/>
  <c r="CO199" i="1" s="1"/>
  <c r="CP199" i="1" s="1"/>
  <c r="CL80" i="1"/>
  <c r="CL314" i="1"/>
  <c r="CL195" i="1"/>
  <c r="CL234" i="1"/>
  <c r="CL175" i="1" s="1"/>
  <c r="JN14" i="4"/>
  <c r="KH7" i="4"/>
  <c r="KE15" i="4"/>
  <c r="KC15" i="4"/>
  <c r="CI297" i="1"/>
  <c r="CL165" i="1"/>
  <c r="CL166" i="1" s="1"/>
  <c r="CV45" i="1"/>
  <c r="AE47" i="1"/>
  <c r="AE42" i="1" s="1"/>
  <c r="X227" i="1"/>
  <c r="Y93" i="1"/>
  <c r="CK132" i="1"/>
  <c r="Y227" i="1"/>
  <c r="Z275" i="1" s="1"/>
  <c r="Z220" i="1"/>
  <c r="CH220" i="1" s="1"/>
  <c r="CH222" i="1" s="1"/>
  <c r="CH251" i="1" s="1"/>
  <c r="CI318" i="1"/>
  <c r="CI74" i="1"/>
  <c r="Y194" i="1"/>
  <c r="CJ319" i="1"/>
  <c r="CH319" i="1"/>
  <c r="CI198" i="1"/>
  <c r="CJ198" i="1" s="1"/>
  <c r="X74" i="1"/>
  <c r="X165" i="1" s="1"/>
  <c r="CJ318" i="1"/>
  <c r="Z318" i="1"/>
  <c r="CH227" i="1"/>
  <c r="CI275" i="1" s="1"/>
  <c r="CH93" i="1"/>
  <c r="Y186" i="1"/>
  <c r="Y241" i="1" s="1"/>
  <c r="CG318" i="1"/>
  <c r="X246" i="1"/>
  <c r="X318" i="1"/>
  <c r="Z194" i="1"/>
  <c r="CJ93" i="1"/>
  <c r="Y200" i="1"/>
  <c r="Y204" i="1" s="1"/>
  <c r="CH246" i="1"/>
  <c r="CI246" i="1" s="1"/>
  <c r="Y239" i="1"/>
  <c r="CI132" i="1"/>
  <c r="CI319" i="1"/>
  <c r="CJ245" i="1"/>
  <c r="CK245" i="1" s="1"/>
  <c r="CG74" i="1"/>
  <c r="CJ249" i="1"/>
  <c r="CK249" i="1" s="1"/>
  <c r="CG132" i="1"/>
  <c r="Z245" i="1"/>
  <c r="X245" i="1"/>
  <c r="Z239" i="1"/>
  <c r="CI93" i="1"/>
  <c r="X239" i="1"/>
  <c r="X249" i="1"/>
  <c r="CG93" i="1"/>
  <c r="JP14" i="4"/>
  <c r="CJ74" i="1"/>
  <c r="CJ52" i="1" s="1"/>
  <c r="Z227" i="1"/>
  <c r="AA275" i="1" s="1"/>
  <c r="X319" i="1"/>
  <c r="JZ21" i="4"/>
  <c r="Z268" i="1"/>
  <c r="JN7" i="4"/>
  <c r="JN19" i="4" s="1"/>
  <c r="CH145" i="1" s="1"/>
  <c r="JP7" i="4"/>
  <c r="JP19" i="4" s="1"/>
  <c r="CJ145" i="1" s="1"/>
  <c r="Y268" i="1"/>
  <c r="CH74" i="1"/>
  <c r="JO15" i="4"/>
  <c r="JO20" i="4" s="1"/>
  <c r="CI146" i="1" s="1"/>
  <c r="Y222" i="1"/>
  <c r="Y251" i="1" s="1"/>
  <c r="X93" i="1"/>
  <c r="Y214" i="1"/>
  <c r="Y248" i="1" s="1"/>
  <c r="CI194" i="1"/>
  <c r="X214" i="1"/>
  <c r="X248" i="1" s="1"/>
  <c r="Z93" i="1"/>
  <c r="CH186" i="1"/>
  <c r="JY14" i="4"/>
  <c r="CH194" i="1"/>
  <c r="CG319" i="1"/>
  <c r="Y319" i="1"/>
  <c r="X200" i="1"/>
  <c r="X204" i="1" s="1"/>
  <c r="X222" i="1"/>
  <c r="Y74" i="1"/>
  <c r="Y52" i="1" s="1"/>
  <c r="Y318" i="1"/>
  <c r="KG14" i="4"/>
  <c r="Y246" i="1"/>
  <c r="Y249" i="1"/>
  <c r="CH214" i="1"/>
  <c r="CH248" i="1" s="1"/>
  <c r="CH132" i="1"/>
  <c r="CH318" i="1"/>
  <c r="Y245" i="1"/>
  <c r="Z319" i="1"/>
  <c r="Z197" i="1"/>
  <c r="Z200" i="1" s="1"/>
  <c r="Z204" i="1" s="1"/>
  <c r="AA269" i="1" s="1"/>
  <c r="AA267" i="1" s="1"/>
  <c r="CJ132" i="1"/>
  <c r="Z74" i="1"/>
  <c r="CJ165" i="1"/>
  <c r="Z214" i="1"/>
  <c r="AA262" i="1" s="1"/>
  <c r="Z297" i="1"/>
  <c r="Z249" i="1"/>
  <c r="CH249" i="1"/>
  <c r="CI249" i="1" s="1"/>
  <c r="CH297" i="1"/>
  <c r="X194" i="1"/>
  <c r="Z246" i="1"/>
  <c r="CO88" i="1"/>
  <c r="CS88" i="1" s="1"/>
  <c r="CW88" i="1" s="1"/>
  <c r="DA88" i="1" s="1"/>
  <c r="Z186" i="1"/>
  <c r="AA273" i="1" s="1"/>
  <c r="JX7" i="4"/>
  <c r="JT14" i="4"/>
  <c r="JY21" i="4"/>
  <c r="KE21" i="4"/>
  <c r="JU8" i="4"/>
  <c r="CK165" i="1"/>
  <c r="KC7" i="4"/>
  <c r="JT7" i="4"/>
  <c r="CK74" i="1"/>
  <c r="JW14" i="4"/>
  <c r="CK93" i="1"/>
  <c r="KH15" i="4"/>
  <c r="KA15" i="4"/>
  <c r="JR15" i="4"/>
  <c r="JR14" i="4"/>
  <c r="KF14" i="4"/>
  <c r="JR8" i="4"/>
  <c r="JY7" i="4"/>
  <c r="KE7" i="4"/>
  <c r="KA8" i="4"/>
  <c r="KH8" i="4"/>
  <c r="JU15" i="4"/>
  <c r="JX15" i="4"/>
  <c r="KE8" i="4"/>
  <c r="JQ8" i="4"/>
  <c r="JS14" i="4"/>
  <c r="JU14" i="4"/>
  <c r="JZ15" i="4"/>
  <c r="KB14" i="4"/>
  <c r="JQ15" i="4"/>
  <c r="KG8" i="4"/>
  <c r="KD14" i="4"/>
  <c r="JY8" i="4"/>
  <c r="JV14" i="4"/>
  <c r="KB15" i="4"/>
  <c r="KE14" i="4"/>
  <c r="KF8" i="4"/>
  <c r="KB7" i="4"/>
  <c r="JW8" i="4"/>
  <c r="JS7" i="4"/>
  <c r="KA7" i="4"/>
  <c r="JT8" i="4"/>
  <c r="JX8" i="4"/>
  <c r="CK206" i="1"/>
  <c r="KC8" i="4"/>
  <c r="JW15" i="4"/>
  <c r="JY15" i="4"/>
  <c r="JS8" i="4"/>
  <c r="JV7" i="4"/>
  <c r="JX14" i="4"/>
  <c r="KH14" i="4"/>
  <c r="JR7" i="4"/>
  <c r="KF7" i="4"/>
  <c r="KB8" i="4"/>
  <c r="JV8" i="4"/>
  <c r="KA14" i="4"/>
  <c r="JZ7" i="4"/>
  <c r="JZ14" i="4"/>
  <c r="JT15" i="4"/>
  <c r="JV15" i="4"/>
  <c r="JS15" i="4"/>
  <c r="KG15" i="4"/>
  <c r="JU7" i="4"/>
  <c r="JQ7" i="4"/>
  <c r="KF15" i="4"/>
  <c r="KG7" i="4"/>
  <c r="JQ14" i="4"/>
  <c r="JQ19" i="4" s="1"/>
  <c r="CK145" i="1" s="1"/>
  <c r="JZ8" i="4"/>
  <c r="JW7" i="4"/>
  <c r="KD8" i="4"/>
  <c r="KD15" i="4"/>
  <c r="KC14" i="4"/>
  <c r="CY88" i="1"/>
  <c r="CX88" i="1"/>
  <c r="CT76" i="1"/>
  <c r="CS76" i="1"/>
  <c r="CU51" i="1"/>
  <c r="CU72" i="1" s="1"/>
  <c r="CU74" i="1" s="1"/>
  <c r="AC44" i="1"/>
  <c r="CW45" i="1"/>
  <c r="CX229" i="1"/>
  <c r="JP20" i="4"/>
  <c r="CJ146" i="1" s="1"/>
  <c r="KE20" i="4" l="1"/>
  <c r="JW21" i="4"/>
  <c r="DA41" i="1"/>
  <c r="CL250" i="1"/>
  <c r="CL214" i="1"/>
  <c r="CL312" i="1" s="1"/>
  <c r="CK100" i="1"/>
  <c r="CJ227" i="1"/>
  <c r="CK275" i="1" s="1"/>
  <c r="CJ204" i="1"/>
  <c r="CJ186" i="1"/>
  <c r="CJ214" i="1"/>
  <c r="CJ248" i="1" s="1"/>
  <c r="CN190" i="1"/>
  <c r="JX21" i="4"/>
  <c r="KB21" i="4"/>
  <c r="KA21" i="4"/>
  <c r="JU21" i="4"/>
  <c r="JO19" i="4"/>
  <c r="CI145" i="1" s="1"/>
  <c r="KC21" i="4"/>
  <c r="KF16" i="4" s="1"/>
  <c r="KD7" i="4" s="1"/>
  <c r="CJ197" i="1"/>
  <c r="CK197" i="1" s="1"/>
  <c r="CJ246" i="1"/>
  <c r="CK246" i="1" s="1"/>
  <c r="AA315" i="1"/>
  <c r="AA272" i="1"/>
  <c r="AA271" i="1" s="1"/>
  <c r="CG52" i="1"/>
  <c r="AA75" i="1"/>
  <c r="AA254" i="1"/>
  <c r="JQ21" i="4"/>
  <c r="CK144" i="1" s="1"/>
  <c r="CL248" i="1"/>
  <c r="KG21" i="4"/>
  <c r="X314" i="1"/>
  <c r="CI268" i="1"/>
  <c r="X241" i="1"/>
  <c r="X195" i="1"/>
  <c r="JR21" i="4"/>
  <c r="CL144" i="1" s="1"/>
  <c r="CK194" i="1"/>
  <c r="CJ268" i="1"/>
  <c r="CJ194" i="1"/>
  <c r="KD21" i="4"/>
  <c r="CJ222" i="1"/>
  <c r="CJ251" i="1" s="1"/>
  <c r="JN20" i="4"/>
  <c r="CH146" i="1" s="1"/>
  <c r="Z52" i="1"/>
  <c r="Z248" i="1"/>
  <c r="Z241" i="1"/>
  <c r="JY19" i="4"/>
  <c r="KE19" i="4"/>
  <c r="JX20" i="4"/>
  <c r="JQ20" i="4"/>
  <c r="CK146" i="1" s="1"/>
  <c r="CK174" i="1" s="1"/>
  <c r="AB199" i="1"/>
  <c r="CQ199" i="1"/>
  <c r="CR199" i="1" s="1"/>
  <c r="CS199" i="1" s="1"/>
  <c r="CT199" i="1" s="1"/>
  <c r="CL95" i="1"/>
  <c r="CL81" i="1"/>
  <c r="JS19" i="4"/>
  <c r="KC20" i="4"/>
  <c r="KH19" i="4"/>
  <c r="KG19" i="4"/>
  <c r="CI52" i="1"/>
  <c r="CL310" i="1"/>
  <c r="CL291" i="1"/>
  <c r="CH52" i="1"/>
  <c r="CL75" i="1"/>
  <c r="CK52" i="1"/>
  <c r="CL254" i="1"/>
  <c r="CL76" i="1"/>
  <c r="CK268" i="1"/>
  <c r="CL268" i="1"/>
  <c r="X94" i="1"/>
  <c r="Z222" i="1"/>
  <c r="AA263" i="1" s="1"/>
  <c r="AA264" i="1" s="1"/>
  <c r="AA265" i="1" s="1"/>
  <c r="CK166" i="1"/>
  <c r="CG94" i="1"/>
  <c r="Y275" i="1"/>
  <c r="Y234" i="1"/>
  <c r="Y175" i="1" s="1"/>
  <c r="CG80" i="1"/>
  <c r="Y263" i="1"/>
  <c r="CJ76" i="1"/>
  <c r="CI80" i="1"/>
  <c r="CI95" i="1" s="1"/>
  <c r="Z315" i="1"/>
  <c r="Z272" i="1"/>
  <c r="Y104" i="1"/>
  <c r="CI94" i="1"/>
  <c r="Y195" i="1"/>
  <c r="Z104" i="1"/>
  <c r="X247" i="1"/>
  <c r="X80" i="1"/>
  <c r="X95" i="1" s="1"/>
  <c r="X101" i="1" s="1"/>
  <c r="X52" i="1"/>
  <c r="Y314" i="1"/>
  <c r="X100" i="1"/>
  <c r="Z234" i="1"/>
  <c r="Z175" i="1" s="1"/>
  <c r="CI315" i="1"/>
  <c r="X223" i="1"/>
  <c r="X231" i="1" s="1"/>
  <c r="CH234" i="1"/>
  <c r="CH175" i="1" s="1"/>
  <c r="CH247" i="1"/>
  <c r="CI247" i="1" s="1"/>
  <c r="CI212" i="1" s="1"/>
  <c r="Y100" i="1"/>
  <c r="CI272" i="1"/>
  <c r="X251" i="1"/>
  <c r="X252" i="1" s="1"/>
  <c r="Y254" i="1"/>
  <c r="Y75" i="1"/>
  <c r="CK75" i="1"/>
  <c r="Z100" i="1"/>
  <c r="CJ94" i="1"/>
  <c r="Y94" i="1"/>
  <c r="CH197" i="1"/>
  <c r="CI197" i="1" s="1"/>
  <c r="CI200" i="1" s="1"/>
  <c r="CJ100" i="1" s="1"/>
  <c r="CH195" i="1"/>
  <c r="Z254" i="1"/>
  <c r="Z94" i="1"/>
  <c r="CJ80" i="1"/>
  <c r="CJ81" i="1" s="1"/>
  <c r="Z262" i="1"/>
  <c r="KC19" i="4"/>
  <c r="JW20" i="4"/>
  <c r="CH250" i="1"/>
  <c r="CI250" i="1" s="1"/>
  <c r="CI251" i="1" s="1"/>
  <c r="CJ166" i="1"/>
  <c r="CJ169" i="1" s="1"/>
  <c r="Z195" i="1"/>
  <c r="Y165" i="1"/>
  <c r="Y80" i="1"/>
  <c r="Y81" i="1" s="1"/>
  <c r="KF19" i="4"/>
  <c r="KH20" i="4"/>
  <c r="JR20" i="4"/>
  <c r="CL146" i="1" s="1"/>
  <c r="KA20" i="4"/>
  <c r="CH159" i="1"/>
  <c r="CH161" i="1" s="1"/>
  <c r="Y247" i="1"/>
  <c r="CI76" i="1"/>
  <c r="Y272" i="1"/>
  <c r="X234" i="1"/>
  <c r="X175" i="1" s="1"/>
  <c r="Z165" i="1"/>
  <c r="Y223" i="1"/>
  <c r="Y231" i="1" s="1"/>
  <c r="Y262" i="1"/>
  <c r="Y312" i="1"/>
  <c r="CH76" i="1"/>
  <c r="CJ291" i="1"/>
  <c r="Y315" i="1"/>
  <c r="X104" i="1"/>
  <c r="Z80" i="1"/>
  <c r="AA82" i="1" s="1"/>
  <c r="JX19" i="4"/>
  <c r="CH314" i="1"/>
  <c r="CH80" i="1"/>
  <c r="CH94" i="1"/>
  <c r="Z75" i="1"/>
  <c r="KD20" i="4"/>
  <c r="JU20" i="4"/>
  <c r="JW19" i="4"/>
  <c r="JT19" i="4"/>
  <c r="Y310" i="1"/>
  <c r="CH252" i="1"/>
  <c r="JV19" i="4"/>
  <c r="CH223" i="1"/>
  <c r="JZ19" i="4"/>
  <c r="Z314" i="1"/>
  <c r="JV20" i="4"/>
  <c r="JR19" i="4"/>
  <c r="CL145" i="1" s="1"/>
  <c r="JY20" i="4"/>
  <c r="CK94" i="1"/>
  <c r="KB20" i="4"/>
  <c r="CK80" i="1"/>
  <c r="CL83" i="1" s="1"/>
  <c r="CK76" i="1"/>
  <c r="KB19" i="4"/>
  <c r="KA19" i="4"/>
  <c r="JT20" i="4"/>
  <c r="JS20" i="4"/>
  <c r="KG20" i="4"/>
  <c r="JU19" i="4"/>
  <c r="KF20" i="4"/>
  <c r="JZ20" i="4"/>
  <c r="CK173" i="1"/>
  <c r="DB88" i="1"/>
  <c r="AC40" i="1"/>
  <c r="AC51" i="1"/>
  <c r="CU75" i="1"/>
  <c r="CU76" i="1"/>
  <c r="CW44" i="1"/>
  <c r="CX44" i="1"/>
  <c r="CX45" i="1"/>
  <c r="AD45" i="1" s="1"/>
  <c r="AD41" i="1" s="1"/>
  <c r="CV51" i="1"/>
  <c r="CV72" i="1" s="1"/>
  <c r="CV74" i="1" s="1"/>
  <c r="X310" i="1"/>
  <c r="X312" i="1"/>
  <c r="Y269" i="1"/>
  <c r="Y267" i="1" s="1"/>
  <c r="Y250" i="1"/>
  <c r="Y252" i="1"/>
  <c r="CM191" i="1"/>
  <c r="Z269" i="1"/>
  <c r="Z267" i="1" s="1"/>
  <c r="Z312" i="1"/>
  <c r="Z310" i="1"/>
  <c r="CJ174" i="1"/>
  <c r="CH173" i="1"/>
  <c r="CI174" i="1"/>
  <c r="CJ173" i="1"/>
  <c r="CY183" i="1"/>
  <c r="CY229" i="1"/>
  <c r="CL223" i="1" l="1"/>
  <c r="CL231" i="1" s="1"/>
  <c r="CL232" i="1" s="1"/>
  <c r="DB41" i="1"/>
  <c r="CJ314" i="1"/>
  <c r="CJ159" i="1"/>
  <c r="CJ161" i="1" s="1"/>
  <c r="CJ312" i="1"/>
  <c r="CJ310" i="1"/>
  <c r="CO190" i="1"/>
  <c r="CI173" i="1"/>
  <c r="KD19" i="4"/>
  <c r="KF9" i="4"/>
  <c r="CJ247" i="1"/>
  <c r="CK247" i="1" s="1"/>
  <c r="AA276" i="1"/>
  <c r="AA277" i="1" s="1"/>
  <c r="AA279" i="1"/>
  <c r="CG81" i="1"/>
  <c r="CL247" i="1"/>
  <c r="CL252" i="1"/>
  <c r="CL169" i="1"/>
  <c r="CL161" i="1"/>
  <c r="X232" i="1"/>
  <c r="CL272" i="1"/>
  <c r="CL315" i="1"/>
  <c r="CJ250" i="1"/>
  <c r="CK250" i="1" s="1"/>
  <c r="CK315" i="1"/>
  <c r="CJ272" i="1"/>
  <c r="CJ195" i="1"/>
  <c r="CJ315" i="1"/>
  <c r="CJ223" i="1"/>
  <c r="CJ231" i="1" s="1"/>
  <c r="CJ252" i="1"/>
  <c r="CK272" i="1"/>
  <c r="Z247" i="1"/>
  <c r="CH174" i="1"/>
  <c r="Z263" i="1"/>
  <c r="Z95" i="1"/>
  <c r="Z68" i="1"/>
  <c r="CU199" i="1"/>
  <c r="CV199" i="1" s="1"/>
  <c r="CW199" i="1" s="1"/>
  <c r="CX199" i="1" s="1"/>
  <c r="AC199" i="1"/>
  <c r="CL101" i="1"/>
  <c r="CL105" i="1" s="1"/>
  <c r="CL298" i="1"/>
  <c r="CL299" i="1" s="1"/>
  <c r="CL96" i="1"/>
  <c r="Z251" i="1"/>
  <c r="Z223" i="1"/>
  <c r="Z231" i="1" s="1"/>
  <c r="Z232" i="1" s="1"/>
  <c r="CK169" i="1"/>
  <c r="CK170" i="1"/>
  <c r="CL171" i="1"/>
  <c r="CL163" i="1"/>
  <c r="CL174" i="1"/>
  <c r="CL177" i="1" s="1"/>
  <c r="CH95" i="1"/>
  <c r="CH298" i="1" s="1"/>
  <c r="CH299" i="1" s="1"/>
  <c r="CL82" i="1"/>
  <c r="CL170" i="1"/>
  <c r="CL162" i="1"/>
  <c r="CL173" i="1"/>
  <c r="CL176" i="1" s="1"/>
  <c r="CI298" i="1"/>
  <c r="CI299" i="1" s="1"/>
  <c r="CI68" i="1"/>
  <c r="CG95" i="1"/>
  <c r="CK171" i="1"/>
  <c r="CI81" i="1"/>
  <c r="Y264" i="1"/>
  <c r="CH83" i="1"/>
  <c r="CI248" i="1"/>
  <c r="CI83" i="1"/>
  <c r="Y232" i="1"/>
  <c r="CH200" i="1"/>
  <c r="CI100" i="1" s="1"/>
  <c r="CI104" i="1"/>
  <c r="CJ95" i="1"/>
  <c r="X81" i="1"/>
  <c r="X250" i="1"/>
  <c r="CI101" i="1"/>
  <c r="CH81" i="1"/>
  <c r="CI96" i="1"/>
  <c r="CJ83" i="1"/>
  <c r="CH163" i="1"/>
  <c r="CK83" i="1"/>
  <c r="CH162" i="1"/>
  <c r="X96" i="1"/>
  <c r="CM206" i="1"/>
  <c r="CN206" i="1" s="1"/>
  <c r="Z81" i="1"/>
  <c r="Y82" i="1"/>
  <c r="X298" i="1"/>
  <c r="X299" i="1" s="1"/>
  <c r="CI204" i="1"/>
  <c r="CJ269" i="1" s="1"/>
  <c r="CJ267" i="1" s="1"/>
  <c r="Z82" i="1"/>
  <c r="CJ170" i="1"/>
  <c r="X178" i="1"/>
  <c r="CI218" i="1"/>
  <c r="CJ171" i="1"/>
  <c r="Y95" i="1"/>
  <c r="CK82" i="1"/>
  <c r="CK95" i="1"/>
  <c r="CK81" i="1"/>
  <c r="AD44" i="1"/>
  <c r="CV75" i="1"/>
  <c r="CV76" i="1"/>
  <c r="CW51" i="1"/>
  <c r="CW72" i="1" s="1"/>
  <c r="CW74" i="1" s="1"/>
  <c r="CW76" i="1" s="1"/>
  <c r="CY44" i="1"/>
  <c r="CY45" i="1"/>
  <c r="AE50" i="1"/>
  <c r="Y255" i="1"/>
  <c r="Y256" i="1" s="1"/>
  <c r="CN191" i="1"/>
  <c r="CM194" i="1"/>
  <c r="CM315" i="1" s="1"/>
  <c r="CH176" i="1"/>
  <c r="CK260" i="1"/>
  <c r="CK198" i="1"/>
  <c r="X105" i="1"/>
  <c r="X122" i="1"/>
  <c r="CZ229" i="1"/>
  <c r="CZ183" i="1"/>
  <c r="CN112" i="1"/>
  <c r="CO112" i="1" s="1"/>
  <c r="CP112" i="1" s="1"/>
  <c r="CQ112" i="1" s="1"/>
  <c r="CR112" i="1" s="1"/>
  <c r="CS112" i="1" s="1"/>
  <c r="CT112" i="1" s="1"/>
  <c r="CU112" i="1" s="1"/>
  <c r="CJ162" i="1" l="1"/>
  <c r="CK248" i="1"/>
  <c r="CL255" i="1"/>
  <c r="CJ163" i="1"/>
  <c r="CM247" i="1"/>
  <c r="CN247" i="1" s="1"/>
  <c r="CO247" i="1" s="1"/>
  <c r="CP247" i="1" s="1"/>
  <c r="CQ247" i="1" s="1"/>
  <c r="CR247" i="1" s="1"/>
  <c r="CS247" i="1" s="1"/>
  <c r="CT247" i="1" s="1"/>
  <c r="CU247" i="1" s="1"/>
  <c r="CV247" i="1" s="1"/>
  <c r="CW247" i="1" s="1"/>
  <c r="CX247" i="1" s="1"/>
  <c r="CY247" i="1" s="1"/>
  <c r="CZ247" i="1" s="1"/>
  <c r="DA247" i="1" s="1"/>
  <c r="DB247" i="1" s="1"/>
  <c r="CP190" i="1"/>
  <c r="KF21" i="4"/>
  <c r="JR9" i="4"/>
  <c r="JT9" i="4" s="1"/>
  <c r="JT21" i="4" s="1"/>
  <c r="AA97" i="1"/>
  <c r="AA316" i="1"/>
  <c r="AA317" i="1" s="1"/>
  <c r="CG68" i="1"/>
  <c r="CK251" i="1"/>
  <c r="Z264" i="1"/>
  <c r="CJ232" i="1"/>
  <c r="Z178" i="1"/>
  <c r="Z96" i="1"/>
  <c r="Z298" i="1"/>
  <c r="Z299" i="1" s="1"/>
  <c r="CH177" i="1"/>
  <c r="Z101" i="1"/>
  <c r="Z122" i="1" s="1"/>
  <c r="CM81" i="1"/>
  <c r="CI98" i="1"/>
  <c r="CH101" i="1"/>
  <c r="CH105" i="1" s="1"/>
  <c r="CI316" i="1"/>
  <c r="CI317" i="1" s="1"/>
  <c r="Y178" i="1"/>
  <c r="Y68" i="1"/>
  <c r="CY199" i="1"/>
  <c r="CZ199" i="1" s="1"/>
  <c r="DA199" i="1" s="1"/>
  <c r="DB199" i="1" s="1"/>
  <c r="AE199" i="1" s="1"/>
  <c r="AD199" i="1"/>
  <c r="CL97" i="1"/>
  <c r="CH68" i="1"/>
  <c r="CH96" i="1"/>
  <c r="CL98" i="1"/>
  <c r="CL316" i="1"/>
  <c r="CL317" i="1" s="1"/>
  <c r="CL107" i="1"/>
  <c r="CL108" i="1"/>
  <c r="Z252" i="1"/>
  <c r="AA255" i="1" s="1"/>
  <c r="AA256" i="1" s="1"/>
  <c r="Z250" i="1"/>
  <c r="CL178" i="1"/>
  <c r="CL292" i="1"/>
  <c r="CI105" i="1"/>
  <c r="CK200" i="1"/>
  <c r="CL198" i="1"/>
  <c r="CL197" i="1" s="1"/>
  <c r="CH98" i="1"/>
  <c r="CH316" i="1"/>
  <c r="CK97" i="1"/>
  <c r="CG298" i="1"/>
  <c r="CG299" i="1" s="1"/>
  <c r="CG101" i="1"/>
  <c r="CG105" i="1" s="1"/>
  <c r="CG108" i="1" s="1"/>
  <c r="CH204" i="1"/>
  <c r="CH312" i="1" s="1"/>
  <c r="CG96" i="1"/>
  <c r="CJ98" i="1"/>
  <c r="CJ68" i="1"/>
  <c r="CJ96" i="1"/>
  <c r="CJ298" i="1"/>
  <c r="CJ299" i="1" s="1"/>
  <c r="CJ178" i="1"/>
  <c r="CM268" i="1"/>
  <c r="CJ292" i="1"/>
  <c r="CJ316" i="1"/>
  <c r="CJ317" i="1" s="1"/>
  <c r="CJ101" i="1"/>
  <c r="Y101" i="1"/>
  <c r="Y105" i="1" s="1"/>
  <c r="Y107" i="1" s="1"/>
  <c r="Y96" i="1"/>
  <c r="Y298" i="1"/>
  <c r="Y299" i="1" s="1"/>
  <c r="Y316" i="1"/>
  <c r="Y317" i="1" s="1"/>
  <c r="Z97" i="1"/>
  <c r="Z316" i="1"/>
  <c r="Z317" i="1" s="1"/>
  <c r="Y97" i="1"/>
  <c r="CK96" i="1"/>
  <c r="CK101" i="1"/>
  <c r="CK105" i="1" s="1"/>
  <c r="CK98" i="1"/>
  <c r="CK178" i="1"/>
  <c r="AD40" i="1"/>
  <c r="AD51" i="1"/>
  <c r="CW75" i="1"/>
  <c r="CZ45" i="1"/>
  <c r="CX51" i="1"/>
  <c r="CX72" i="1" s="1"/>
  <c r="CX74" i="1" s="1"/>
  <c r="CN268" i="1"/>
  <c r="CO206" i="1"/>
  <c r="CO191" i="1"/>
  <c r="CN194" i="1"/>
  <c r="CN315" i="1" s="1"/>
  <c r="CM272" i="1"/>
  <c r="X107" i="1"/>
  <c r="X108" i="1"/>
  <c r="DA183" i="1"/>
  <c r="DA229" i="1"/>
  <c r="CE132" i="1"/>
  <c r="AB112" i="1"/>
  <c r="AC112" i="1"/>
  <c r="CV112" i="1"/>
  <c r="CW112" i="1" s="1"/>
  <c r="CX112" i="1" s="1"/>
  <c r="CY112" i="1" s="1"/>
  <c r="AB102" i="1"/>
  <c r="CN113" i="1"/>
  <c r="CO113" i="1" s="1"/>
  <c r="CP113" i="1" s="1"/>
  <c r="CQ113" i="1" s="1"/>
  <c r="CQ190" i="1" l="1"/>
  <c r="Z105" i="1"/>
  <c r="CK252" i="1"/>
  <c r="CN81" i="1"/>
  <c r="CH108" i="1"/>
  <c r="CH107" i="1"/>
  <c r="Z108" i="1"/>
  <c r="AA110" i="1" s="1"/>
  <c r="Z107" i="1"/>
  <c r="Z255" i="1"/>
  <c r="Z256" i="1" s="1"/>
  <c r="CL110" i="1"/>
  <c r="CI107" i="1"/>
  <c r="CI108" i="1"/>
  <c r="CI109" i="1" s="1"/>
  <c r="CI311" i="1" s="1"/>
  <c r="CL100" i="1"/>
  <c r="CK204" i="1"/>
  <c r="CK269" i="1" s="1"/>
  <c r="CK267" i="1" s="1"/>
  <c r="CL115" i="1"/>
  <c r="CL300" i="1"/>
  <c r="CL109" i="1"/>
  <c r="CL311" i="1" s="1"/>
  <c r="CL180" i="1"/>
  <c r="CL179" i="1"/>
  <c r="CM197" i="1"/>
  <c r="CN197" i="1" s="1"/>
  <c r="CO197" i="1" s="1"/>
  <c r="CP197" i="1" s="1"/>
  <c r="CJ105" i="1"/>
  <c r="CJ107" i="1" s="1"/>
  <c r="CL122" i="1"/>
  <c r="CL269" i="1"/>
  <c r="CL267" i="1" s="1"/>
  <c r="CG107" i="1"/>
  <c r="CI269" i="1"/>
  <c r="CI267" i="1" s="1"/>
  <c r="CH231" i="1"/>
  <c r="CH232" i="1" s="1"/>
  <c r="AA64" i="1"/>
  <c r="CK68" i="1"/>
  <c r="Y108" i="1"/>
  <c r="Y110" i="1" s="1"/>
  <c r="CJ108" i="1"/>
  <c r="Y122" i="1"/>
  <c r="CK107" i="1"/>
  <c r="CK108" i="1"/>
  <c r="CX75" i="1"/>
  <c r="CX76" i="1"/>
  <c r="CZ44" i="1"/>
  <c r="CY51" i="1"/>
  <c r="CY72" i="1" s="1"/>
  <c r="CY74" i="1" s="1"/>
  <c r="DA45" i="1"/>
  <c r="CG109" i="1"/>
  <c r="CG311" i="1" s="1"/>
  <c r="CG300" i="1"/>
  <c r="CG115" i="1"/>
  <c r="CG119" i="1" s="1"/>
  <c r="CH111" i="1"/>
  <c r="CP206" i="1"/>
  <c r="CP268" i="1" s="1"/>
  <c r="CO268" i="1"/>
  <c r="CH115" i="1"/>
  <c r="CH109" i="1"/>
  <c r="CH311" i="1" s="1"/>
  <c r="CH300" i="1"/>
  <c r="CP191" i="1"/>
  <c r="CO194" i="1"/>
  <c r="CO315" i="1" s="1"/>
  <c r="CN272" i="1"/>
  <c r="X300" i="1"/>
  <c r="X109" i="1"/>
  <c r="X311" i="1" s="1"/>
  <c r="X115" i="1"/>
  <c r="Z115" i="1"/>
  <c r="Z109" i="1"/>
  <c r="Z311" i="1" s="1"/>
  <c r="Z300" i="1"/>
  <c r="CB132" i="1"/>
  <c r="BL132" i="1"/>
  <c r="CR190" i="1"/>
  <c r="CC132" i="1"/>
  <c r="DB183" i="1"/>
  <c r="DB229" i="1"/>
  <c r="AL132" i="1"/>
  <c r="CF132" i="1"/>
  <c r="CD132" i="1"/>
  <c r="BY132" i="1"/>
  <c r="BZ132" i="1"/>
  <c r="CA132" i="1"/>
  <c r="AD112" i="1"/>
  <c r="AB113" i="1"/>
  <c r="CZ112" i="1"/>
  <c r="DA112" i="1" s="1"/>
  <c r="DB112" i="1" s="1"/>
  <c r="AE112" i="1" s="1"/>
  <c r="AC102" i="1"/>
  <c r="CR113" i="1"/>
  <c r="CS113" i="1" s="1"/>
  <c r="CT113" i="1" s="1"/>
  <c r="CU113" i="1" s="1"/>
  <c r="AW11" i="3"/>
  <c r="AX29" i="3"/>
  <c r="AF10" i="3"/>
  <c r="AT22" i="3"/>
  <c r="AZ14" i="3"/>
  <c r="AU42" i="3"/>
  <c r="AU38" i="3"/>
  <c r="AT14" i="3"/>
  <c r="AX6" i="3"/>
  <c r="S5" i="6" a="1"/>
  <c r="C6" i="6" a="1"/>
  <c r="AV40" i="3"/>
  <c r="AZ30" i="3"/>
  <c r="AS38" i="3"/>
  <c r="AU19" i="3"/>
  <c r="AF12" i="3"/>
  <c r="AY9" i="3"/>
  <c r="AU5" i="3"/>
  <c r="AT9" i="3"/>
  <c r="AD5" i="6" a="1"/>
  <c r="AZ24" i="3"/>
  <c r="AP6" i="3"/>
  <c r="AX14" i="3"/>
  <c r="AU12" i="3"/>
  <c r="G6" i="6" a="1"/>
  <c r="AW24" i="3"/>
  <c r="AX46" i="3"/>
  <c r="Y6" i="6" a="1"/>
  <c r="AR5" i="6" a="1"/>
  <c r="ET12" i="4" a="1"/>
  <c r="EU12" i="4" a="1"/>
  <c r="EL8" i="4" a="1"/>
  <c r="EV13" i="4" a="1"/>
  <c r="ES15" i="4" a="1"/>
  <c r="ER15" i="4" a="1"/>
  <c r="EQ8" i="4" a="1"/>
  <c r="EL5" i="4" a="1"/>
  <c r="AT17" i="3"/>
  <c r="AY11" i="3"/>
  <c r="AS11" i="3"/>
  <c r="AW19" i="3"/>
  <c r="ER13" i="4" a="1"/>
  <c r="EU16" i="4" a="1"/>
  <c r="EV11" i="4" a="1"/>
  <c r="AY30" i="3"/>
  <c r="AF25" i="3"/>
  <c r="AW6" i="6" a="1"/>
  <c r="AF11" i="3"/>
  <c r="AV38" i="3"/>
  <c r="AX7" i="3"/>
  <c r="AW30" i="3"/>
  <c r="AX38" i="3"/>
  <c r="AY33" i="3"/>
  <c r="AX21" i="3"/>
  <c r="F45" i="3"/>
  <c r="AS36" i="3"/>
  <c r="AZ7" i="3"/>
  <c r="AU6" i="6" a="1"/>
  <c r="AV41" i="3"/>
  <c r="AY23" i="3"/>
  <c r="AY35" i="3"/>
  <c r="AW36" i="3"/>
  <c r="AF34" i="3"/>
  <c r="AV45" i="3"/>
  <c r="AV16" i="3"/>
  <c r="AU26" i="3"/>
  <c r="AY8" i="3"/>
  <c r="AH6" i="6" a="1"/>
  <c r="AV27" i="3"/>
  <c r="AF31" i="3"/>
  <c r="AW9" i="3"/>
  <c r="AZ34" i="3"/>
  <c r="AU37" i="3"/>
  <c r="ET16" i="4" a="1"/>
  <c r="EO9" i="4" a="1"/>
  <c r="ET11" i="4" a="1"/>
  <c r="ES6" i="4" a="1"/>
  <c r="EU6" i="4" a="1"/>
  <c r="EW5" i="4" a="1"/>
  <c r="EP7" i="4" a="1"/>
  <c r="EN12" i="4" a="1"/>
  <c r="AT8" i="3"/>
  <c r="AS12" i="3"/>
  <c r="AU28" i="3"/>
  <c r="AZ22" i="3"/>
  <c r="V5" i="6" a="1"/>
  <c r="AX40" i="3"/>
  <c r="AU21" i="3"/>
  <c r="AV5" i="3"/>
  <c r="AF36" i="3"/>
  <c r="AV17" i="3"/>
  <c r="AS28" i="3"/>
  <c r="AX5" i="6" a="1"/>
  <c r="X6" i="6" a="1"/>
  <c r="EL6" i="4" a="1"/>
  <c r="EN11" i="4" a="1"/>
  <c r="AS39" i="3"/>
  <c r="AY24" i="3"/>
  <c r="O5" i="6" a="1"/>
  <c r="AY6" i="6" a="1"/>
  <c r="AV42" i="3"/>
  <c r="AZ39" i="3"/>
  <c r="AY32" i="3"/>
  <c r="AW21" i="3"/>
  <c r="AS18" i="3"/>
  <c r="AG5" i="6" a="1"/>
  <c r="C5" i="6" a="1"/>
  <c r="AY6" i="3"/>
  <c r="AB5" i="3"/>
  <c r="AW20" i="3"/>
  <c r="AY12" i="3"/>
  <c r="AU24" i="3"/>
  <c r="AV46" i="3"/>
  <c r="AT30" i="3"/>
  <c r="AF8" i="3"/>
  <c r="G5" i="6" a="1"/>
  <c r="AO6" i="6" a="1"/>
  <c r="AV37" i="3"/>
  <c r="AV35" i="3"/>
  <c r="AR5" i="3"/>
  <c r="AU32" i="3"/>
  <c r="AF15" i="3"/>
  <c r="AF23" i="3"/>
  <c r="AU31" i="3"/>
  <c r="AY39" i="3"/>
  <c r="AF17" i="3"/>
  <c r="EP8" i="4" a="1"/>
  <c r="ET6" i="4" a="1"/>
  <c r="EM11" i="4" a="1"/>
  <c r="EN8" i="4" a="1"/>
  <c r="EO8" i="4" a="1"/>
  <c r="EM13" i="4" a="1"/>
  <c r="ET7" i="4" a="1"/>
  <c r="EV16" i="4" a="1"/>
  <c r="AZ6" i="3"/>
  <c r="AF35" i="3"/>
  <c r="AF32" i="3"/>
  <c r="AG6" i="6" a="1"/>
  <c r="AX6" i="6" a="1"/>
  <c r="AW40" i="3"/>
  <c r="AY31" i="3"/>
  <c r="E6" i="6" a="1"/>
  <c r="AZ45" i="3"/>
  <c r="AH5" i="6" a="1"/>
  <c r="AT6" i="3"/>
  <c r="AV6" i="6" a="1"/>
  <c r="AS42" i="3"/>
  <c r="EP11" i="4" a="1"/>
  <c r="ER6" i="4" a="1"/>
  <c r="EV5" i="4" a="1"/>
  <c r="EV8" i="4" a="1"/>
  <c r="AU41" i="3"/>
  <c r="AX28" i="3"/>
  <c r="AT5" i="3"/>
  <c r="AW17" i="3"/>
  <c r="AT46" i="3"/>
  <c r="AX39" i="3"/>
  <c r="AS23" i="3"/>
  <c r="AS6" i="6" a="1"/>
  <c r="AW26" i="3"/>
  <c r="EQ13" i="4" a="1"/>
  <c r="EO5" i="4" a="1"/>
  <c r="AU18" i="3"/>
  <c r="AU36" i="3"/>
  <c r="AZ10" i="3"/>
  <c r="AM6" i="6" a="1"/>
  <c r="AT36" i="3"/>
  <c r="EV12" i="4" a="1"/>
  <c r="AS35" i="3"/>
  <c r="AT10" i="3"/>
  <c r="AY45" i="3"/>
  <c r="AX22" i="3"/>
  <c r="T5" i="6" a="1"/>
  <c r="AW5" i="3"/>
  <c r="AV39" i="3"/>
  <c r="AU10" i="3"/>
  <c r="AO5" i="6" a="1"/>
  <c r="AV30" i="3"/>
  <c r="AJ5" i="6" a="1"/>
  <c r="AX19" i="3"/>
  <c r="AS40" i="3"/>
  <c r="AU16" i="3"/>
  <c r="AV28" i="3"/>
  <c r="AE5" i="6" a="1"/>
  <c r="AY25" i="3"/>
  <c r="AY34" i="3"/>
  <c r="AU14" i="3"/>
  <c r="AZ11" i="3"/>
  <c r="AP5" i="6" a="1"/>
  <c r="T6" i="6" a="1"/>
  <c r="J6" i="6" a="1"/>
  <c r="W6" i="6" a="1"/>
  <c r="AX37" i="3"/>
  <c r="AY15" i="3"/>
  <c r="AY41" i="3"/>
  <c r="AZ13" i="3"/>
  <c r="AY37" i="3"/>
  <c r="EQ9" i="4" a="1"/>
  <c r="EU11" i="4" a="1"/>
  <c r="EN7" i="4" a="1"/>
  <c r="EW14" i="4" a="1"/>
  <c r="EU13" i="4" a="1"/>
  <c r="EO6" i="4" a="1"/>
  <c r="EQ14" i="4" a="1"/>
  <c r="EW11" i="4" a="1"/>
  <c r="AF24" i="3"/>
  <c r="AK6" i="6" a="1"/>
  <c r="AF6" i="3"/>
  <c r="AV31" i="3"/>
  <c r="EN14" i="4" a="1"/>
  <c r="EU15" i="4" a="1"/>
  <c r="AU34" i="3"/>
  <c r="AF26" i="3"/>
  <c r="AT13" i="3"/>
  <c r="AW39" i="3"/>
  <c r="AW6" i="3"/>
  <c r="AT37" i="3"/>
  <c r="AF30" i="3"/>
  <c r="E5" i="6" a="1"/>
  <c r="AX17" i="3"/>
  <c r="AX5" i="3"/>
  <c r="AV29" i="3"/>
  <c r="AV14" i="3"/>
  <c r="AT29" i="3"/>
  <c r="AU23" i="3"/>
  <c r="AW7" i="3"/>
  <c r="AZ37" i="3"/>
  <c r="AY13" i="3"/>
  <c r="AT45" i="3"/>
  <c r="AW10" i="3"/>
  <c r="AS34" i="3"/>
  <c r="AV36" i="3"/>
  <c r="AU40" i="3"/>
  <c r="AV23" i="3"/>
  <c r="AX8" i="3"/>
  <c r="AB5" i="6" a="1"/>
  <c r="AF16" i="3"/>
  <c r="AF13" i="3"/>
  <c r="AP7" i="3"/>
  <c r="AZ19" i="3"/>
  <c r="EM15" i="4" a="1"/>
  <c r="EU14" i="4" a="1"/>
  <c r="EM9" i="4" a="1"/>
  <c r="EL11" i="4" a="1"/>
  <c r="EV7" i="4" a="1"/>
  <c r="ES8" i="4" a="1"/>
  <c r="ET5" i="4" a="1"/>
  <c r="EN9" i="4" a="1"/>
  <c r="EP16" i="4" a="1"/>
  <c r="AZ17" i="3"/>
  <c r="AF19" i="3"/>
  <c r="AZ36" i="3"/>
  <c r="AX16" i="3"/>
  <c r="AY27" i="3"/>
  <c r="AU39" i="3"/>
  <c r="AS37" i="3"/>
  <c r="AZ15" i="3"/>
  <c r="AV18" i="3"/>
  <c r="AT26" i="3"/>
  <c r="F46" i="3"/>
  <c r="AT16" i="3"/>
  <c r="AT33" i="3"/>
  <c r="ER8" i="4" a="1"/>
  <c r="EO13" i="4" a="1"/>
  <c r="AU25" i="3"/>
  <c r="AV8" i="3"/>
  <c r="Q6" i="6" a="1"/>
  <c r="AI6" i="6" a="1"/>
  <c r="AT38" i="3"/>
  <c r="AZ28" i="3"/>
  <c r="AS45" i="3"/>
  <c r="AF29" i="3"/>
  <c r="AY20" i="3"/>
  <c r="AZ42" i="3"/>
  <c r="AX24" i="3"/>
  <c r="AW41" i="3"/>
  <c r="AX23" i="3"/>
  <c r="AF5" i="3"/>
  <c r="AV24" i="3"/>
  <c r="AW31" i="3"/>
  <c r="AF27" i="3"/>
  <c r="AU11" i="3"/>
  <c r="AV34" i="3"/>
  <c r="AZ9" i="3"/>
  <c r="AX15" i="3"/>
  <c r="AF38" i="3"/>
  <c r="L5" i="6" a="1"/>
  <c r="AS14" i="3"/>
  <c r="AX18" i="3"/>
  <c r="AZ26" i="3"/>
  <c r="AQ5" i="6" a="1"/>
  <c r="D5" i="6" a="1"/>
  <c r="X5" i="6" a="1"/>
  <c r="EQ11" i="4" a="1"/>
  <c r="ER14" i="4" a="1"/>
  <c r="EP12" i="4" a="1"/>
  <c r="EL16" i="4" a="1"/>
  <c r="EQ6" i="4" a="1"/>
  <c r="ET8" i="4" a="1"/>
  <c r="EN15" i="4" a="1"/>
  <c r="EW6" i="4" a="1"/>
  <c r="AT42" i="3"/>
  <c r="AB6" i="6" a="1"/>
  <c r="AW16" i="3"/>
  <c r="AX26" i="3"/>
  <c r="Q5" i="6" a="1"/>
  <c r="AX31" i="3"/>
  <c r="AV33" i="3"/>
  <c r="AU29" i="3"/>
  <c r="AF37" i="3"/>
  <c r="W5" i="6" a="1"/>
  <c r="AY16" i="3"/>
  <c r="AV15" i="3"/>
  <c r="AW15" i="3"/>
  <c r="ES5" i="4" a="1"/>
  <c r="EU7" i="4" a="1"/>
  <c r="ES12" i="4" a="1"/>
  <c r="ES11" i="4" a="1"/>
  <c r="AA5" i="6" a="1"/>
  <c r="AX20" i="3"/>
  <c r="AP6" i="6" a="1"/>
  <c r="AZ20" i="3"/>
  <c r="AY19" i="3"/>
  <c r="AX11" i="3"/>
  <c r="AW32" i="3"/>
  <c r="AX13" i="3"/>
  <c r="EL9" i="4" a="1"/>
  <c r="AS24" i="3"/>
  <c r="AR6" i="6" a="1"/>
  <c r="AZ8" i="3"/>
  <c r="AV7" i="3"/>
  <c r="AT41" i="3"/>
  <c r="V6" i="6" a="1"/>
  <c r="AV5" i="6" a="1"/>
  <c r="AW5" i="6" a="1"/>
  <c r="AY46" i="3"/>
  <c r="AX36" i="3"/>
  <c r="R6" i="6" a="1"/>
  <c r="H6" i="6" a="1"/>
  <c r="AT40" i="3"/>
  <c r="AU27" i="3"/>
  <c r="H5" i="6" a="1"/>
  <c r="AY5" i="3"/>
  <c r="AU15" i="3"/>
  <c r="AF20" i="3"/>
  <c r="AF18" i="3"/>
  <c r="AW28" i="3"/>
  <c r="AP5" i="3"/>
  <c r="F6" i="6" a="1"/>
  <c r="AW23" i="3"/>
  <c r="AW33" i="3"/>
  <c r="AS33" i="3"/>
  <c r="AQ6" i="6" a="1"/>
  <c r="AV22" i="3"/>
  <c r="AT12" i="3"/>
  <c r="AX9" i="3"/>
  <c r="AF14" i="3"/>
  <c r="AL6" i="6" a="1"/>
  <c r="AZ46" i="3"/>
  <c r="AV32" i="3"/>
  <c r="M5" i="6" a="1"/>
  <c r="AY42" i="3"/>
  <c r="EQ16" i="4" a="1"/>
  <c r="C6" i="4" a="1"/>
  <c r="EM5" i="4" a="1"/>
  <c r="C5" i="4" a="1"/>
  <c r="EP6" i="4" a="1"/>
  <c r="EL13" i="4" a="1"/>
  <c r="EO11" i="4" a="1"/>
  <c r="EV14" i="4" a="1"/>
  <c r="ES13" i="4" a="1"/>
  <c r="AW34" i="3"/>
  <c r="AJ6" i="6" a="1"/>
  <c r="AS30" i="3"/>
  <c r="AZ25" i="3"/>
  <c r="EW12" i="4" a="1"/>
  <c r="EL12" i="4" a="1"/>
  <c r="F5" i="6" a="1"/>
  <c r="R5" i="6" a="1"/>
  <c r="AW37" i="3"/>
  <c r="AE6" i="6" a="1"/>
  <c r="P6" i="6" a="1"/>
  <c r="AZ16" i="3"/>
  <c r="AW45" i="3"/>
  <c r="AF21" i="3"/>
  <c r="AU22" i="3"/>
  <c r="AX30" i="3"/>
  <c r="AZ35" i="3"/>
  <c r="AY17" i="3"/>
  <c r="AW13" i="3"/>
  <c r="AS19" i="3"/>
  <c r="K5" i="6" a="1"/>
  <c r="AT27" i="3"/>
  <c r="AY36" i="3"/>
  <c r="AS6" i="3"/>
  <c r="AV20" i="3"/>
  <c r="AU6" i="3"/>
  <c r="AS13" i="3"/>
  <c r="AS25" i="3"/>
  <c r="AW8" i="3"/>
  <c r="AT6" i="6" a="1"/>
  <c r="D6" i="6" a="1"/>
  <c r="AZ29" i="3"/>
  <c r="AV12" i="3"/>
  <c r="AF39" i="3"/>
  <c r="AS27" i="3"/>
  <c r="EP15" i="4" a="1"/>
  <c r="EO16" i="4" a="1"/>
  <c r="EP9" i="4" a="1"/>
  <c r="EN16" i="4" a="1"/>
  <c r="EM7" i="4" a="1"/>
  <c r="ES14" i="4" a="1"/>
  <c r="EU5" i="4" a="1"/>
  <c r="ET9" i="4" a="1"/>
  <c r="EP14" i="4" a="1"/>
  <c r="AU5" i="6" a="1"/>
  <c r="AZ18" i="3"/>
  <c r="AF41" i="3"/>
  <c r="AF45" i="3"/>
  <c r="M6" i="6" a="1"/>
  <c r="AU13" i="3"/>
  <c r="AN6" i="6" a="1"/>
  <c r="AY28" i="3"/>
  <c r="AW29" i="3"/>
  <c r="AU45" i="3"/>
  <c r="AS5" i="6" a="1"/>
  <c r="AT34" i="3"/>
  <c r="EP5" i="4" a="1"/>
  <c r="ER5" i="4" a="1"/>
  <c r="EL7" i="4" a="1"/>
  <c r="AS29" i="3"/>
  <c r="AT20" i="3"/>
  <c r="O6" i="6" a="1"/>
  <c r="AT28" i="3"/>
  <c r="N5" i="6" a="1"/>
  <c r="AT7" i="3"/>
  <c r="I6" i="6" a="1"/>
  <c r="AW27" i="3"/>
  <c r="AU17" i="3"/>
  <c r="AU46" i="3"/>
  <c r="AR7" i="3"/>
  <c r="AL5" i="6" a="1"/>
  <c r="Z5" i="6" a="1"/>
  <c r="AF22" i="3"/>
  <c r="AS9" i="3"/>
  <c r="AZ12" i="3"/>
  <c r="AW22" i="3"/>
  <c r="AZ5" i="3"/>
  <c r="AF46" i="3"/>
  <c r="AT15" i="3"/>
  <c r="AN5" i="6" a="1"/>
  <c r="AA6" i="6" a="1"/>
  <c r="AU33" i="3"/>
  <c r="AS16" i="3"/>
  <c r="AZ27" i="3"/>
  <c r="U5" i="6" a="1"/>
  <c r="AS31" i="3"/>
  <c r="AM5" i="6" a="1"/>
  <c r="AZ40" i="3"/>
  <c r="EN5" i="4" a="1"/>
  <c r="ER16" i="4" a="1"/>
  <c r="EU8" i="4" a="1"/>
  <c r="EN6" i="4" a="1"/>
  <c r="EM14" i="4" a="1"/>
  <c r="EW13" i="4" a="1"/>
  <c r="EO15" i="4" a="1"/>
  <c r="EL14" i="4" a="1"/>
  <c r="AS46" i="3"/>
  <c r="AY26" i="3"/>
  <c r="AR6" i="3"/>
  <c r="AX32" i="3"/>
  <c r="AW38" i="3"/>
  <c r="EQ15" i="4" a="1"/>
  <c r="Z6" i="6" a="1"/>
  <c r="AY21" i="3"/>
  <c r="AT32" i="3"/>
  <c r="AZ32" i="3"/>
  <c r="AT19" i="3"/>
  <c r="AC6" i="6" a="1"/>
  <c r="EW8" i="4" a="1"/>
  <c r="EV9" i="4" a="1"/>
  <c r="ES9" i="4" a="1"/>
  <c r="AU9" i="3"/>
  <c r="AZ21" i="3"/>
  <c r="AF28" i="3"/>
  <c r="AC5" i="6" a="1"/>
  <c r="EM12" i="4" a="1"/>
  <c r="AW12" i="3"/>
  <c r="P5" i="6" a="1"/>
  <c r="AK5" i="6" a="1"/>
  <c r="L6" i="6" a="1"/>
  <c r="AV6" i="3"/>
  <c r="AS17" i="3"/>
  <c r="AZ41" i="3"/>
  <c r="AY14" i="3"/>
  <c r="AX25" i="3"/>
  <c r="AT24" i="3"/>
  <c r="AY22" i="3"/>
  <c r="N6" i="6" a="1"/>
  <c r="AV26" i="3"/>
  <c r="AY10" i="3"/>
  <c r="AW42" i="3"/>
  <c r="AS8" i="3"/>
  <c r="AW14" i="3"/>
  <c r="AV9" i="3"/>
  <c r="C5" i="3"/>
  <c r="AU35" i="3"/>
  <c r="AW18" i="3"/>
  <c r="AT35" i="3"/>
  <c r="AT18" i="3"/>
  <c r="AV19" i="3"/>
  <c r="AX42" i="3"/>
  <c r="AZ38" i="3"/>
  <c r="AS21" i="3"/>
  <c r="AU7" i="3"/>
  <c r="AS5" i="3"/>
  <c r="EW16" i="4" a="1"/>
  <c r="ER11" i="4" a="1"/>
  <c r="EO14" i="4" a="1"/>
  <c r="EN13" i="4" a="1"/>
  <c r="ET15" i="4" a="1"/>
  <c r="ES7" i="4" a="1"/>
  <c r="EW7" i="4" a="1"/>
  <c r="EW9" i="4" a="1"/>
  <c r="ET13" i="4" a="1"/>
  <c r="AY5" i="6" a="1"/>
  <c r="AS26" i="3"/>
  <c r="AY38" i="3"/>
  <c r="EP13" i="4" a="1"/>
  <c r="EQ5" i="4" a="1"/>
  <c r="EM6" i="4" a="1"/>
  <c r="AV21" i="3"/>
  <c r="AT39" i="3"/>
  <c r="AT31" i="3"/>
  <c r="AS15" i="3"/>
  <c r="AY7" i="3"/>
  <c r="AV25" i="3"/>
  <c r="AT25" i="3"/>
  <c r="AF40" i="3"/>
  <c r="AZ31" i="3"/>
  <c r="AW35" i="3"/>
  <c r="AX35" i="3"/>
  <c r="AW46" i="3"/>
  <c r="U6" i="6" a="1"/>
  <c r="AT5" i="6" a="1"/>
  <c r="AI5" i="6" a="1"/>
  <c r="AF9" i="3"/>
  <c r="AS41" i="3"/>
  <c r="AZ23" i="3"/>
  <c r="AS32" i="3"/>
  <c r="AS22" i="3"/>
  <c r="AX45" i="3"/>
  <c r="AT11" i="3"/>
  <c r="AD6" i="6" a="1"/>
  <c r="AZ33" i="3"/>
  <c r="AU8" i="3"/>
  <c r="AV13" i="3"/>
  <c r="AX27" i="3"/>
  <c r="AW25" i="3"/>
  <c r="AF5" i="6" a="1"/>
  <c r="EV15" i="4" a="1"/>
  <c r="EU9" i="4" a="1"/>
  <c r="EO7" i="4" a="1"/>
  <c r="ER12" i="4" a="1"/>
  <c r="EV6" i="4" a="1"/>
  <c r="EM8" i="4" a="1"/>
  <c r="ET14" i="4" a="1"/>
  <c r="EM16" i="4" a="1"/>
  <c r="EL15" i="4" a="1"/>
  <c r="Y5" i="6" a="1"/>
  <c r="AS7" i="3"/>
  <c r="AX41" i="3"/>
  <c r="AV11" i="3"/>
  <c r="AS20" i="3"/>
  <c r="AX34" i="3"/>
  <c r="AY18" i="3"/>
  <c r="AU20" i="3"/>
  <c r="AF7" i="3"/>
  <c r="AF42" i="3"/>
  <c r="S6" i="6" a="1"/>
  <c r="AS10" i="3"/>
  <c r="EO12" i="4" a="1"/>
  <c r="ER7" i="4" a="1"/>
  <c r="ER9" i="4" a="1"/>
  <c r="K6" i="6" a="1"/>
  <c r="AY40" i="3"/>
  <c r="AX33" i="3"/>
  <c r="I5" i="6" a="1"/>
  <c r="AF6" i="6" a="1"/>
  <c r="AX10" i="3"/>
  <c r="J5" i="6" a="1"/>
  <c r="AU30" i="3"/>
  <c r="EQ12" i="4" a="1"/>
  <c r="ES16" i="4" a="1"/>
  <c r="EQ7" i="4" a="1"/>
  <c r="AX12" i="3"/>
  <c r="AT21" i="3"/>
  <c r="AT23" i="3"/>
  <c r="AF33" i="3"/>
  <c r="EW15" i="4" a="1"/>
  <c r="CO81" i="1" l="1"/>
  <c r="CP81" i="1"/>
  <c r="CQ81" i="1" s="1"/>
  <c r="CI300" i="1"/>
  <c r="CI115" i="1"/>
  <c r="CI111" i="1"/>
  <c r="AA67" i="1"/>
  <c r="CI119" i="1"/>
  <c r="CL119" i="1"/>
  <c r="CL259" i="1"/>
  <c r="CL261" i="1" s="1"/>
  <c r="CL133" i="1"/>
  <c r="AB197" i="1"/>
  <c r="CQ197" i="1"/>
  <c r="CR197" i="1" s="1"/>
  <c r="CS197" i="1" s="1"/>
  <c r="CT197" i="1" s="1"/>
  <c r="CI185" i="1"/>
  <c r="CI186" i="1" s="1"/>
  <c r="CJ115" i="1"/>
  <c r="CJ119" i="1" s="1"/>
  <c r="CL293" i="1"/>
  <c r="CK110" i="1"/>
  <c r="CL111" i="1"/>
  <c r="Y115" i="1"/>
  <c r="Y259" i="1" s="1"/>
  <c r="Y261" i="1" s="1"/>
  <c r="Y265" i="1" s="1"/>
  <c r="Y279" i="1" s="1"/>
  <c r="CJ109" i="1"/>
  <c r="CJ311" i="1" s="1"/>
  <c r="CJ111" i="1"/>
  <c r="Z110" i="1"/>
  <c r="Y300" i="1"/>
  <c r="Y109" i="1"/>
  <c r="Y311" i="1" s="1"/>
  <c r="CJ300" i="1"/>
  <c r="CJ293" i="1"/>
  <c r="CK111" i="1"/>
  <c r="CK109" i="1"/>
  <c r="CK115" i="1"/>
  <c r="CG259" i="1"/>
  <c r="CG261" i="1" s="1"/>
  <c r="CR81" i="1"/>
  <c r="CS81" i="1" s="1"/>
  <c r="CY75" i="1"/>
  <c r="CY76" i="1"/>
  <c r="CZ51" i="1"/>
  <c r="CZ72" i="1" s="1"/>
  <c r="CZ74" i="1" s="1"/>
  <c r="DB44" i="1"/>
  <c r="DA44" i="1"/>
  <c r="DB45" i="1"/>
  <c r="AE45" i="1" s="1"/>
  <c r="AE41" i="1" s="1"/>
  <c r="CG133" i="1"/>
  <c r="CQ206" i="1"/>
  <c r="CQ268" i="1" s="1"/>
  <c r="CH259" i="1"/>
  <c r="CH261" i="1" s="1"/>
  <c r="CH133" i="1"/>
  <c r="CH119" i="1"/>
  <c r="CQ191" i="1"/>
  <c r="CP194" i="1"/>
  <c r="CP315" i="1" s="1"/>
  <c r="CO272" i="1"/>
  <c r="BY87" i="1"/>
  <c r="CA73" i="1"/>
  <c r="CE87" i="1"/>
  <c r="CA87" i="1"/>
  <c r="CF87" i="1"/>
  <c r="CD87" i="1"/>
  <c r="BZ87" i="1"/>
  <c r="BL87" i="1"/>
  <c r="CC87" i="1"/>
  <c r="CB87" i="1"/>
  <c r="CF73" i="1"/>
  <c r="CD73" i="1"/>
  <c r="BY73" i="1"/>
  <c r="CE73" i="1"/>
  <c r="BZ73" i="1"/>
  <c r="CC73" i="1"/>
  <c r="CB73" i="1"/>
  <c r="BL73" i="1"/>
  <c r="X259" i="1"/>
  <c r="X261" i="1" s="1"/>
  <c r="X119" i="1"/>
  <c r="X121" i="1"/>
  <c r="Z259" i="1"/>
  <c r="Z261" i="1" s="1"/>
  <c r="Z265" i="1" s="1"/>
  <c r="Z279" i="1" s="1"/>
  <c r="Z273" i="1"/>
  <c r="Z271" i="1" s="1"/>
  <c r="Z121" i="1"/>
  <c r="Z119" i="1"/>
  <c r="CD89" i="1"/>
  <c r="CC112" i="1"/>
  <c r="CA72" i="1"/>
  <c r="CA297" i="1" s="1"/>
  <c r="CD106" i="1"/>
  <c r="AH7" i="6" s="1"/>
  <c r="CD102" i="1"/>
  <c r="CF103" i="1"/>
  <c r="BY112" i="1"/>
  <c r="BL112" i="1"/>
  <c r="CD113" i="1"/>
  <c r="AV7" i="6" s="1"/>
  <c r="CB88" i="1"/>
  <c r="R7" i="6" s="1"/>
  <c r="X7" i="6" s="1"/>
  <c r="CD112" i="1"/>
  <c r="CD79" i="1"/>
  <c r="V7" i="6" s="1"/>
  <c r="BY79" i="1"/>
  <c r="CB72" i="1"/>
  <c r="CB297" i="1" s="1"/>
  <c r="BY118" i="1"/>
  <c r="BL72" i="1"/>
  <c r="AW7" i="6" s="1"/>
  <c r="BY91" i="1"/>
  <c r="CA77" i="1"/>
  <c r="CB90" i="1"/>
  <c r="BZ103" i="1"/>
  <c r="O7" i="6" s="1"/>
  <c r="BL114" i="1"/>
  <c r="AQ7" i="6" s="1"/>
  <c r="CF72" i="1"/>
  <c r="JJ9" i="4" s="1"/>
  <c r="BY113" i="1"/>
  <c r="AM7" i="6" s="1"/>
  <c r="JM16" i="4" s="1"/>
  <c r="CF114" i="1"/>
  <c r="CA92" i="1"/>
  <c r="BL90" i="1"/>
  <c r="BL113" i="1"/>
  <c r="CF102" i="1"/>
  <c r="BL103" i="1"/>
  <c r="BZ112" i="1"/>
  <c r="CC89" i="1"/>
  <c r="CC91" i="1"/>
  <c r="JM9" i="4" s="1"/>
  <c r="CA91" i="1"/>
  <c r="JL16" i="4" s="1"/>
  <c r="BZ92" i="1"/>
  <c r="CB91" i="1"/>
  <c r="CC77" i="1"/>
  <c r="JK16" i="4" s="1"/>
  <c r="CA118" i="1"/>
  <c r="BZ78" i="1"/>
  <c r="CE79" i="1"/>
  <c r="CC78" i="1"/>
  <c r="C7" i="6" s="1"/>
  <c r="T7" i="6" s="1"/>
  <c r="BY92" i="1"/>
  <c r="CC113" i="1"/>
  <c r="CC72" i="1"/>
  <c r="CC297" i="1" s="1"/>
  <c r="CB102" i="1"/>
  <c r="JL9" i="4" s="1"/>
  <c r="CF106" i="1"/>
  <c r="AL7" i="6" s="1"/>
  <c r="BZ99" i="1"/>
  <c r="BZ260" i="1" s="1"/>
  <c r="BZ102" i="1"/>
  <c r="J7" i="6" s="1"/>
  <c r="BY114" i="1"/>
  <c r="Z7" i="6" s="1"/>
  <c r="BL88" i="1"/>
  <c r="CF77" i="1"/>
  <c r="CF90" i="1"/>
  <c r="BZ77" i="1"/>
  <c r="CA79" i="1"/>
  <c r="CD78" i="1"/>
  <c r="BL91" i="1"/>
  <c r="BY78" i="1"/>
  <c r="CE99" i="1"/>
  <c r="CE260" i="1" s="1"/>
  <c r="AD7" i="6" s="1"/>
  <c r="CF89" i="1"/>
  <c r="CE88" i="1"/>
  <c r="CA114" i="1"/>
  <c r="CD103" i="1"/>
  <c r="CB92" i="1"/>
  <c r="CD114" i="1"/>
  <c r="AP7" i="6" s="1"/>
  <c r="Y7" i="6" s="1"/>
  <c r="CA89" i="1"/>
  <c r="AA7" i="6" s="1"/>
  <c r="AJ7" i="6" s="1"/>
  <c r="BY72" i="1"/>
  <c r="BY90" i="1"/>
  <c r="CB106" i="1"/>
  <c r="CE89" i="1"/>
  <c r="I7" i="6" s="1"/>
  <c r="AK7" i="6" s="1"/>
  <c r="CE78" i="1"/>
  <c r="K7" i="6" s="1"/>
  <c r="F7" i="6" s="1"/>
  <c r="CB112" i="1"/>
  <c r="CF92" i="1"/>
  <c r="AC7" i="6" s="1"/>
  <c r="AE7" i="6" s="1"/>
  <c r="M7" i="6" s="1"/>
  <c r="Q7" i="6" s="1"/>
  <c r="CA113" i="1"/>
  <c r="BZ113" i="1"/>
  <c r="CA103" i="1"/>
  <c r="CF113" i="1"/>
  <c r="AU7" i="6" s="1"/>
  <c r="BL79" i="1"/>
  <c r="CE92" i="1"/>
  <c r="CB99" i="1"/>
  <c r="CB260" i="1" s="1"/>
  <c r="CC114" i="1"/>
  <c r="CC118" i="1"/>
  <c r="AX7" i="6" s="1"/>
  <c r="BZ90" i="1"/>
  <c r="AT7" i="6" s="1"/>
  <c r="S7" i="6" s="1"/>
  <c r="BY77" i="1"/>
  <c r="CE102" i="1"/>
  <c r="CA112" i="1"/>
  <c r="CB114" i="1"/>
  <c r="CA102" i="1"/>
  <c r="CF118" i="1"/>
  <c r="CF91" i="1"/>
  <c r="CA88" i="1"/>
  <c r="AN7" i="6" s="1"/>
  <c r="CE113" i="1"/>
  <c r="CC79" i="1"/>
  <c r="CE118" i="1"/>
  <c r="CF79" i="1"/>
  <c r="G7" i="6" s="1"/>
  <c r="BL99" i="1"/>
  <c r="AF7" i="6" s="1"/>
  <c r="CC88" i="1"/>
  <c r="CD88" i="1"/>
  <c r="JJ16" i="4" s="1"/>
  <c r="BY89" i="1"/>
  <c r="CB113" i="1"/>
  <c r="CE72" i="1"/>
  <c r="AB7" i="6" s="1"/>
  <c r="BL78" i="1"/>
  <c r="CD118" i="1"/>
  <c r="BY88" i="1"/>
  <c r="BZ79" i="1"/>
  <c r="CD91" i="1"/>
  <c r="L7" i="6" s="1"/>
  <c r="BL106" i="1"/>
  <c r="BZ72" i="1"/>
  <c r="BZ297" i="1" s="1"/>
  <c r="CA99" i="1"/>
  <c r="BZ106" i="1"/>
  <c r="BY99" i="1"/>
  <c r="BY260" i="1" s="1"/>
  <c r="AI7" i="6" s="1"/>
  <c r="CC106" i="1"/>
  <c r="D7" i="6" s="1"/>
  <c r="BZ91" i="1"/>
  <c r="AG7" i="6" s="1"/>
  <c r="BZ88" i="1"/>
  <c r="BL118" i="1"/>
  <c r="W7" i="6" s="1"/>
  <c r="CB118" i="1"/>
  <c r="CE114" i="1"/>
  <c r="CF88" i="1"/>
  <c r="CC90" i="1"/>
  <c r="CD90" i="1"/>
  <c r="CE77" i="1"/>
  <c r="BY102" i="1"/>
  <c r="CC102" i="1"/>
  <c r="BZ118" i="1"/>
  <c r="AS7" i="6" s="1"/>
  <c r="BZ114" i="1"/>
  <c r="CE103" i="1"/>
  <c r="CD77" i="1"/>
  <c r="BL102" i="1"/>
  <c r="CB78" i="1"/>
  <c r="CC99" i="1"/>
  <c r="CC260" i="1" s="1"/>
  <c r="BY106" i="1"/>
  <c r="H7" i="6" s="1"/>
  <c r="CA90" i="1"/>
  <c r="BZ89" i="1"/>
  <c r="CD72" i="1"/>
  <c r="CD297" i="1" s="1"/>
  <c r="AR7" i="6" s="1"/>
  <c r="CF78" i="1"/>
  <c r="BL77" i="1"/>
  <c r="BL92" i="1"/>
  <c r="JK9" i="4" s="1"/>
  <c r="AO7" i="6" s="1"/>
  <c r="CA106" i="1"/>
  <c r="BL89" i="1"/>
  <c r="CA78" i="1"/>
  <c r="CE112" i="1"/>
  <c r="CD92" i="1"/>
  <c r="P7" i="6" s="1"/>
  <c r="E7" i="6" s="1"/>
  <c r="U7" i="6" s="1"/>
  <c r="CC92" i="1"/>
  <c r="AY7" i="6" s="1"/>
  <c r="CD99" i="1"/>
  <c r="CB79" i="1"/>
  <c r="CC103" i="1"/>
  <c r="CB103" i="1"/>
  <c r="CE90" i="1"/>
  <c r="CE91" i="1"/>
  <c r="CF99" i="1"/>
  <c r="CF260" i="1" s="1"/>
  <c r="CB89" i="1"/>
  <c r="BY103" i="1"/>
  <c r="CF112" i="1"/>
  <c r="N7" i="6" s="1"/>
  <c r="CS190" i="1"/>
  <c r="CJ122" i="1"/>
  <c r="AC113" i="1"/>
  <c r="CV113" i="1"/>
  <c r="CW113" i="1" s="1"/>
  <c r="CX113" i="1" s="1"/>
  <c r="CY113" i="1" s="1"/>
  <c r="AD102" i="1"/>
  <c r="C64" i="3"/>
  <c r="AW49" i="3"/>
  <c r="AF73" i="3"/>
  <c r="AW66" i="3"/>
  <c r="AV75" i="3"/>
  <c r="AU68" i="3"/>
  <c r="AY63" i="3"/>
  <c r="C60" i="3"/>
  <c r="AW90" i="3"/>
  <c r="AU79" i="3"/>
  <c r="AF72" i="3"/>
  <c r="AZ96" i="3"/>
  <c r="C96" i="3"/>
  <c r="AW97" i="3"/>
  <c r="AV68" i="3"/>
  <c r="AU62" i="3"/>
  <c r="AY72" i="3"/>
  <c r="AV49" i="3"/>
  <c r="AV86" i="3"/>
  <c r="AT80" i="3"/>
  <c r="C73" i="3"/>
  <c r="AX61" i="3"/>
  <c r="AW48" i="3"/>
  <c r="AV96" i="3"/>
  <c r="AV50" i="3"/>
  <c r="AU73" i="3"/>
  <c r="AT61" i="3"/>
  <c r="C65" i="3"/>
  <c r="AS76" i="3"/>
  <c r="AT54" i="3"/>
  <c r="AS92" i="3"/>
  <c r="AW93" i="3"/>
  <c r="AV79" i="3"/>
  <c r="AY94" i="3"/>
  <c r="AY60" i="3"/>
  <c r="AW55" i="3"/>
  <c r="AU72" i="3"/>
  <c r="AX89" i="3"/>
  <c r="AS57" i="3"/>
  <c r="AZ61" i="3"/>
  <c r="C84" i="3"/>
  <c r="AW56" i="3"/>
  <c r="AV55" i="3"/>
  <c r="AU81" i="3"/>
  <c r="AY64" i="3"/>
  <c r="C94" i="3"/>
  <c r="AX57" i="3"/>
  <c r="AF87" i="3"/>
  <c r="AF85" i="3"/>
  <c r="AZ66" i="3"/>
  <c r="C82" i="3"/>
  <c r="AY48" i="3"/>
  <c r="AW67" i="3"/>
  <c r="AU97" i="3"/>
  <c r="AY56" i="3"/>
  <c r="AZ74" i="3"/>
  <c r="AW91" i="3"/>
  <c r="AU91" i="3"/>
  <c r="AS65" i="3"/>
  <c r="AX80" i="3"/>
  <c r="AW74" i="3"/>
  <c r="AV67" i="3"/>
  <c r="AW85" i="3"/>
  <c r="AU77" i="3"/>
  <c r="AT91" i="3"/>
  <c r="AS87" i="3"/>
  <c r="AV84" i="3"/>
  <c r="AT75" i="3"/>
  <c r="AV88" i="3"/>
  <c r="AS71" i="3"/>
  <c r="C69" i="3"/>
  <c r="AV65" i="3"/>
  <c r="AW61" i="3"/>
  <c r="AW73" i="3"/>
  <c r="C62" i="3"/>
  <c r="AU89" i="3"/>
  <c r="AY96" i="3"/>
  <c r="AT82" i="3"/>
  <c r="C68" i="3"/>
  <c r="AU94" i="3"/>
  <c r="C86" i="3"/>
  <c r="AW64" i="3"/>
  <c r="AF65" i="3"/>
  <c r="AS66" i="3"/>
  <c r="AS78" i="3"/>
  <c r="AU90" i="3"/>
  <c r="AY89" i="3"/>
  <c r="C72" i="3"/>
  <c r="AY92" i="3"/>
  <c r="AT67" i="3"/>
  <c r="C55" i="3"/>
  <c r="AX94" i="3"/>
  <c r="AV59" i="3"/>
  <c r="AS93" i="3"/>
  <c r="AZ81" i="3"/>
  <c r="AU60" i="3"/>
  <c r="AT89" i="3"/>
  <c r="AU76" i="3"/>
  <c r="AU80" i="3"/>
  <c r="AU95" i="3"/>
  <c r="AY61" i="3"/>
  <c r="AZ72" i="3"/>
  <c r="AS69" i="3"/>
  <c r="AX55" i="3"/>
  <c r="AZ58" i="3"/>
  <c r="AU50" i="3"/>
  <c r="AT77" i="3"/>
  <c r="C79" i="3"/>
  <c r="C81" i="3"/>
  <c r="AY66" i="3"/>
  <c r="C50" i="3"/>
  <c r="AY57" i="3"/>
  <c r="AV57" i="3"/>
  <c r="C83" i="3"/>
  <c r="AZ59" i="3"/>
  <c r="AU54" i="3"/>
  <c r="AT90" i="3"/>
  <c r="AX83" i="3"/>
  <c r="AZ69" i="3"/>
  <c r="AV90" i="3"/>
  <c r="AS59" i="3"/>
  <c r="AX68" i="3"/>
  <c r="C80" i="3"/>
  <c r="AY67" i="3"/>
  <c r="AZ73" i="3"/>
  <c r="AF89" i="3"/>
  <c r="AT55" i="3"/>
  <c r="AZ88" i="3"/>
  <c r="AW95" i="3"/>
  <c r="AY90" i="3"/>
  <c r="AZ79" i="3"/>
  <c r="AX88" i="3"/>
  <c r="AZ48" i="3"/>
  <c r="AT59" i="3"/>
  <c r="C61" i="3"/>
  <c r="AX82" i="3"/>
  <c r="AY71" i="3"/>
  <c r="AU83" i="3"/>
  <c r="C70" i="3"/>
  <c r="AY84" i="3"/>
  <c r="AS82" i="3"/>
  <c r="C56" i="3"/>
  <c r="AZ68" i="3"/>
  <c r="AU86" i="3"/>
  <c r="AT84" i="3"/>
  <c r="AS48" i="3"/>
  <c r="AV54" i="3"/>
  <c r="AT49" i="3"/>
  <c r="C88" i="3"/>
  <c r="AX77" i="3"/>
  <c r="AV89" i="3"/>
  <c r="AS50" i="3"/>
  <c r="AX91" i="3"/>
  <c r="AU58" i="3"/>
  <c r="AT62" i="3"/>
  <c r="AV73" i="3"/>
  <c r="AZ82" i="3"/>
  <c r="AF95" i="3"/>
  <c r="AV78" i="3"/>
  <c r="AX67" i="3"/>
  <c r="AS63" i="3"/>
  <c r="AY97" i="3"/>
  <c r="AZ49" i="3"/>
  <c r="AF74" i="3"/>
  <c r="AT97" i="3"/>
  <c r="AX75" i="3"/>
  <c r="AZ50" i="3"/>
  <c r="AY78" i="3"/>
  <c r="AV95" i="3"/>
  <c r="AF81" i="3"/>
  <c r="AF56" i="3"/>
  <c r="AZ78" i="3"/>
  <c r="C71" i="3"/>
  <c r="AY47" i="3"/>
  <c r="AW82" i="3"/>
  <c r="AU93" i="3"/>
  <c r="AY93" i="3"/>
  <c r="AF54" i="3"/>
  <c r="AW50" i="3"/>
  <c r="AF94" i="3"/>
  <c r="AY81" i="3"/>
  <c r="AZ57" i="3"/>
  <c r="AS74" i="3"/>
  <c r="AX96" i="3"/>
  <c r="AZ91" i="3"/>
  <c r="AU92" i="3"/>
  <c r="AT68" i="3"/>
  <c r="AY59" i="3"/>
  <c r="AZ64" i="3"/>
  <c r="AY50" i="3"/>
  <c r="AS62" i="3"/>
  <c r="AX71" i="3"/>
  <c r="AW62" i="3"/>
  <c r="AV63" i="3"/>
  <c r="AZ70" i="3"/>
  <c r="AF60" i="3"/>
  <c r="AF79" i="3"/>
  <c r="AT63" i="3"/>
  <c r="AT73" i="3"/>
  <c r="AU67" i="3"/>
  <c r="AW92" i="3"/>
  <c r="AT78" i="3"/>
  <c r="AS61" i="3"/>
  <c r="AZ95" i="3"/>
  <c r="AT83" i="3"/>
  <c r="AF49" i="3"/>
  <c r="C54" i="3"/>
  <c r="AX64" i="3"/>
  <c r="AW58" i="3"/>
  <c r="AZ63" i="3"/>
  <c r="AY80" i="3"/>
  <c r="AS86" i="3"/>
  <c r="AW75" i="3"/>
  <c r="AU48" i="3"/>
  <c r="AS54" i="3"/>
  <c r="AX47" i="3"/>
  <c r="AW94" i="3"/>
  <c r="AV72" i="3"/>
  <c r="AW71" i="3"/>
  <c r="AU82" i="3"/>
  <c r="AT64" i="3"/>
  <c r="AZ87" i="3"/>
  <c r="AS85" i="3"/>
  <c r="AY69" i="3"/>
  <c r="AS80" i="3"/>
  <c r="AX48" i="3"/>
  <c r="AW68" i="3"/>
  <c r="AV61" i="3"/>
  <c r="AZ94" i="3"/>
  <c r="AF67" i="3"/>
  <c r="AT56" i="3"/>
  <c r="AW86" i="3"/>
  <c r="AU78" i="3"/>
  <c r="C92" i="3"/>
  <c r="AW59" i="3"/>
  <c r="AF63" i="3"/>
  <c r="AV80" i="3"/>
  <c r="AV64" i="3"/>
  <c r="AU75" i="3"/>
  <c r="AY74" i="3"/>
  <c r="AV81" i="3"/>
  <c r="AF62" i="3"/>
  <c r="AU87" i="3"/>
  <c r="AT87" i="3"/>
  <c r="AT47" i="3"/>
  <c r="AS67" i="3"/>
  <c r="AZ62" i="3"/>
  <c r="AS83" i="3"/>
  <c r="C74" i="3"/>
  <c r="AS89" i="3"/>
  <c r="AT71" i="3"/>
  <c r="AY87" i="3"/>
  <c r="AS55" i="3"/>
  <c r="AX65" i="3"/>
  <c r="AW69" i="3"/>
  <c r="AV92" i="3"/>
  <c r="AZ83" i="3"/>
  <c r="AF69" i="3"/>
  <c r="AT57" i="3"/>
  <c r="AZ80" i="3"/>
  <c r="AV85" i="3"/>
  <c r="AF59" i="3"/>
  <c r="AS91" i="3"/>
  <c r="AX58" i="3"/>
  <c r="AF83" i="3"/>
  <c r="AZ86" i="3"/>
  <c r="AZ71" i="3"/>
  <c r="AF64" i="3"/>
  <c r="AT74" i="3"/>
  <c r="AW77" i="3"/>
  <c r="AF61" i="3"/>
  <c r="AS72" i="3"/>
  <c r="AZ93" i="3"/>
  <c r="AX60" i="3"/>
  <c r="AW57" i="3"/>
  <c r="AV97" i="3"/>
  <c r="AU71" i="3"/>
  <c r="AY65" i="3"/>
  <c r="AY85" i="3"/>
  <c r="C57" i="3"/>
  <c r="AU96" i="3"/>
  <c r="AT93" i="3"/>
  <c r="AY75" i="3"/>
  <c r="AW79" i="3"/>
  <c r="C89" i="3"/>
  <c r="AX95" i="3"/>
  <c r="AV70" i="3"/>
  <c r="AS77" i="3"/>
  <c r="AX97" i="3"/>
  <c r="AU66" i="3"/>
  <c r="AT66" i="3"/>
  <c r="AS96" i="3"/>
  <c r="AW72" i="3"/>
  <c r="AT72" i="3"/>
  <c r="C95" i="3"/>
  <c r="AX92" i="3"/>
  <c r="AW47" i="3"/>
  <c r="AV94" i="3"/>
  <c r="AV47" i="3"/>
  <c r="AU88" i="3"/>
  <c r="AT50" i="3"/>
  <c r="C66" i="3"/>
  <c r="AU85" i="3"/>
  <c r="AF96" i="3"/>
  <c r="AV74" i="3"/>
  <c r="AV71" i="3"/>
  <c r="AW83" i="3"/>
  <c r="C85" i="3"/>
  <c r="AU63" i="3"/>
  <c r="AF82" i="3"/>
  <c r="AX62" i="3"/>
  <c r="AS90" i="3"/>
  <c r="AT81" i="3"/>
  <c r="AV62" i="3"/>
  <c r="AX79" i="3"/>
  <c r="AS75" i="3"/>
  <c r="AX66" i="3"/>
  <c r="AX59" i="3"/>
  <c r="C58" i="3"/>
  <c r="AF78" i="3"/>
  <c r="AS60" i="3"/>
  <c r="AX81" i="3"/>
  <c r="AX56" i="3"/>
  <c r="AV56" i="3"/>
  <c r="C93" i="3"/>
  <c r="AS95" i="3"/>
  <c r="AY76" i="3"/>
  <c r="AT85" i="3"/>
  <c r="AT96" i="3"/>
  <c r="C63" i="3"/>
  <c r="AU49" i="3"/>
  <c r="AW80" i="3"/>
  <c r="AZ56" i="3"/>
  <c r="AY86" i="3"/>
  <c r="AZ55" i="3"/>
  <c r="AZ47" i="3"/>
  <c r="AS58" i="3"/>
  <c r="AY68" i="3"/>
  <c r="AU64" i="3"/>
  <c r="C87" i="3"/>
  <c r="AS73" i="3"/>
  <c r="AX78" i="3"/>
  <c r="AV93" i="3"/>
  <c r="AS97" i="3"/>
  <c r="AX73" i="3"/>
  <c r="C75" i="3"/>
  <c r="AY58" i="3"/>
  <c r="AZ92" i="3"/>
  <c r="AF97" i="3"/>
  <c r="AT60" i="3"/>
  <c r="AX54" i="3"/>
  <c r="AV69" i="3"/>
  <c r="AF90" i="3"/>
  <c r="AV83" i="3"/>
  <c r="AV48" i="3"/>
  <c r="AV76" i="3"/>
  <c r="C91" i="3"/>
  <c r="AU55" i="3"/>
  <c r="AF47" i="3"/>
  <c r="AT70" i="3"/>
  <c r="AY95" i="3"/>
  <c r="AT88" i="3"/>
  <c r="AY82" i="3"/>
  <c r="AZ77" i="3"/>
  <c r="AS64" i="3"/>
  <c r="AX50" i="3"/>
  <c r="AZ60" i="3"/>
  <c r="AU65" i="3"/>
  <c r="AT69" i="3"/>
  <c r="AY54" i="3"/>
  <c r="C78" i="3"/>
  <c r="AF93" i="3"/>
  <c r="AY49" i="3"/>
  <c r="C97" i="3"/>
  <c r="AS81" i="3"/>
  <c r="AU84" i="3"/>
  <c r="AX74" i="3"/>
  <c r="AZ90" i="3"/>
  <c r="AW65" i="3"/>
  <c r="AW89" i="3"/>
  <c r="AF66" i="3"/>
  <c r="AV60" i="3"/>
  <c r="AX69" i="3"/>
  <c r="AV66" i="3"/>
  <c r="AX90" i="3"/>
  <c r="AU47" i="3"/>
  <c r="AF92" i="3"/>
  <c r="AT48" i="3"/>
  <c r="AF58" i="3"/>
  <c r="AZ75" i="3"/>
  <c r="AY70" i="3"/>
  <c r="AW54" i="3"/>
  <c r="AW88" i="3"/>
  <c r="AY83" i="3"/>
  <c r="C90" i="3"/>
  <c r="AU69" i="3"/>
  <c r="AY79" i="3"/>
  <c r="AT92" i="3"/>
  <c r="AS70" i="3"/>
  <c r="AT58" i="3"/>
  <c r="C77" i="3"/>
  <c r="AZ67" i="3"/>
  <c r="AS79" i="3"/>
  <c r="C67" i="3"/>
  <c r="AZ76" i="3"/>
  <c r="AU59" i="3"/>
  <c r="AT65" i="3"/>
  <c r="AS56" i="3"/>
  <c r="AS68" i="3"/>
  <c r="AY73" i="3"/>
  <c r="AV87" i="3"/>
  <c r="AU56" i="3"/>
  <c r="AF57" i="3"/>
  <c r="AS94" i="3"/>
  <c r="AX76" i="3"/>
  <c r="AF77" i="3"/>
  <c r="AW81" i="3"/>
  <c r="AZ65" i="3"/>
  <c r="AF68" i="3"/>
  <c r="AT94" i="3"/>
  <c r="AX93" i="3"/>
  <c r="AZ85" i="3"/>
  <c r="AF84" i="3"/>
  <c r="AS84" i="3"/>
  <c r="AX85" i="3"/>
  <c r="AX72" i="3"/>
  <c r="AY88" i="3"/>
  <c r="AZ89" i="3"/>
  <c r="AF75" i="3"/>
  <c r="AT76" i="3"/>
  <c r="AV82" i="3"/>
  <c r="AF71" i="3"/>
  <c r="AF91" i="3"/>
  <c r="AZ97" i="3"/>
  <c r="C59" i="3"/>
  <c r="AW60" i="3"/>
  <c r="AW87" i="3"/>
  <c r="AU61" i="3"/>
  <c r="AT86" i="3"/>
  <c r="AW78" i="3"/>
  <c r="AU70" i="3"/>
  <c r="AX63" i="3"/>
  <c r="AV77" i="3"/>
  <c r="AV91" i="3"/>
  <c r="AV58" i="3"/>
  <c r="AW63" i="3"/>
  <c r="AU57" i="3"/>
  <c r="AX70" i="3"/>
  <c r="C76" i="3"/>
  <c r="AW70" i="3"/>
  <c r="AF88" i="3"/>
  <c r="AY62" i="3"/>
  <c r="AZ54" i="3"/>
  <c r="AX49" i="3"/>
  <c r="AX84" i="3"/>
  <c r="AW76" i="3"/>
  <c r="AX87" i="3"/>
  <c r="AF86" i="3"/>
  <c r="AY55" i="3"/>
  <c r="AY91" i="3"/>
  <c r="AT79" i="3"/>
  <c r="AW84" i="3"/>
  <c r="AY77" i="3"/>
  <c r="AF55" i="3"/>
  <c r="AF80" i="3"/>
  <c r="AS88" i="3"/>
  <c r="AU74" i="3"/>
  <c r="AX86" i="3"/>
  <c r="AW96" i="3"/>
  <c r="AT95" i="3"/>
  <c r="AF70" i="3"/>
  <c r="AZ84" i="3"/>
  <c r="AF76" i="3"/>
  <c r="Y119" i="1" l="1"/>
  <c r="CJ121" i="1"/>
  <c r="CI259" i="1"/>
  <c r="CI261" i="1" s="1"/>
  <c r="CI133" i="1"/>
  <c r="Y121" i="1"/>
  <c r="CL121" i="1"/>
  <c r="Y273" i="1"/>
  <c r="Y271" i="1" s="1"/>
  <c r="Y276" i="1" s="1"/>
  <c r="Y277" i="1" s="1"/>
  <c r="CJ259" i="1"/>
  <c r="CJ261" i="1" s="1"/>
  <c r="CJ133" i="1"/>
  <c r="CI273" i="1"/>
  <c r="CI271" i="1" s="1"/>
  <c r="CJ273" i="1"/>
  <c r="CJ271" i="1" s="1"/>
  <c r="CI159" i="1"/>
  <c r="CI163" i="1" s="1"/>
  <c r="CI195" i="1"/>
  <c r="AC197" i="1"/>
  <c r="CU197" i="1"/>
  <c r="CV197" i="1" s="1"/>
  <c r="CW197" i="1" s="1"/>
  <c r="CX197" i="1" s="1"/>
  <c r="CK119" i="1"/>
  <c r="CK133" i="1"/>
  <c r="CT81" i="1"/>
  <c r="CZ75" i="1"/>
  <c r="CZ76" i="1"/>
  <c r="DA51" i="1"/>
  <c r="DA72" i="1" s="1"/>
  <c r="DA74" i="1" s="1"/>
  <c r="DB51" i="1"/>
  <c r="DB72" i="1" s="1"/>
  <c r="DB74" i="1" s="1"/>
  <c r="DB75" i="1" s="1"/>
  <c r="AE44" i="1"/>
  <c r="CR206" i="1"/>
  <c r="CR268" i="1" s="1"/>
  <c r="CR191" i="1"/>
  <c r="CQ194" i="1"/>
  <c r="CQ315" i="1" s="1"/>
  <c r="CP272" i="1"/>
  <c r="BZ191" i="1"/>
  <c r="CA191" i="1" s="1"/>
  <c r="BL140" i="1"/>
  <c r="CF141" i="1"/>
  <c r="CB212" i="1"/>
  <c r="CC212" i="1" s="1"/>
  <c r="CD219" i="1"/>
  <c r="CD249" i="1" s="1"/>
  <c r="CE249" i="1" s="1"/>
  <c r="CB230" i="1"/>
  <c r="CC230" i="1" s="1"/>
  <c r="BL190" i="1"/>
  <c r="BM190" i="1" s="1"/>
  <c r="CD199" i="1"/>
  <c r="CD190" i="1"/>
  <c r="CE190" i="1" s="1"/>
  <c r="CF193" i="1"/>
  <c r="CG193" i="1" s="1"/>
  <c r="CB193" i="1"/>
  <c r="CC193" i="1" s="1"/>
  <c r="CB218" i="1"/>
  <c r="CC218" i="1" s="1"/>
  <c r="CB210" i="1"/>
  <c r="CB245" i="1" s="1"/>
  <c r="CC245" i="1" s="1"/>
  <c r="BZ219" i="1"/>
  <c r="BZ249" i="1" s="1"/>
  <c r="CA249" i="1" s="1"/>
  <c r="BZ230" i="1"/>
  <c r="CA230" i="1" s="1"/>
  <c r="BZ220" i="1"/>
  <c r="CA220" i="1" s="1"/>
  <c r="BZ226" i="1"/>
  <c r="BZ216" i="1"/>
  <c r="CA216" i="1" s="1"/>
  <c r="BZ198" i="1"/>
  <c r="BL211" i="1"/>
  <c r="BL246" i="1" s="1"/>
  <c r="BM246" i="1" s="1"/>
  <c r="BL219" i="1"/>
  <c r="BL249" i="1" s="1"/>
  <c r="BM249" i="1" s="1"/>
  <c r="BL188" i="1"/>
  <c r="BM188" i="1" s="1"/>
  <c r="CA140" i="1"/>
  <c r="CF140" i="1"/>
  <c r="CF212" i="1"/>
  <c r="CG212" i="1" s="1"/>
  <c r="CF199" i="1"/>
  <c r="CB141" i="1"/>
  <c r="CF210" i="1"/>
  <c r="CF245" i="1" s="1"/>
  <c r="CG245" i="1" s="1"/>
  <c r="CG210" i="1" s="1"/>
  <c r="CF188" i="1"/>
  <c r="CG188" i="1" s="1"/>
  <c r="CB215" i="1"/>
  <c r="CC215" i="1" s="1"/>
  <c r="CF230" i="1"/>
  <c r="CG230" i="1" s="1"/>
  <c r="CB191" i="1"/>
  <c r="CC191" i="1" s="1"/>
  <c r="CB229" i="1"/>
  <c r="CC229" i="1" s="1"/>
  <c r="CD141" i="1"/>
  <c r="CB225" i="1"/>
  <c r="CD211" i="1"/>
  <c r="CD246" i="1" s="1"/>
  <c r="CE246" i="1" s="1"/>
  <c r="CD188" i="1"/>
  <c r="CE188" i="1" s="1"/>
  <c r="BL191" i="1"/>
  <c r="CD197" i="1"/>
  <c r="CD217" i="1"/>
  <c r="CE217" i="1" s="1"/>
  <c r="CD225" i="1"/>
  <c r="CD208" i="1"/>
  <c r="CE208" i="1" s="1"/>
  <c r="CF206" i="1"/>
  <c r="CF192" i="1"/>
  <c r="CG192" i="1" s="1"/>
  <c r="CB208" i="1"/>
  <c r="CC208" i="1" s="1"/>
  <c r="BL220" i="1"/>
  <c r="BM220" i="1" s="1"/>
  <c r="BL229" i="1"/>
  <c r="BM229" i="1" s="1"/>
  <c r="BL230" i="1"/>
  <c r="CB192" i="1"/>
  <c r="CC192" i="1" s="1"/>
  <c r="CE141" i="1"/>
  <c r="BZ225" i="1"/>
  <c r="BZ229" i="1"/>
  <c r="CA229" i="1" s="1"/>
  <c r="BZ185" i="1"/>
  <c r="BZ193" i="1"/>
  <c r="CA193" i="1" s="1"/>
  <c r="CF211" i="1"/>
  <c r="CF246" i="1" s="1"/>
  <c r="CG246" i="1" s="1"/>
  <c r="CG211" i="1" s="1"/>
  <c r="CF198" i="1"/>
  <c r="CF215" i="1"/>
  <c r="CB185" i="1"/>
  <c r="CB211" i="1"/>
  <c r="CB246" i="1" s="1"/>
  <c r="CC246" i="1" s="1"/>
  <c r="CD226" i="1"/>
  <c r="CD218" i="1"/>
  <c r="CE218" i="1" s="1"/>
  <c r="CB140" i="1"/>
  <c r="BZ221" i="1"/>
  <c r="CA221" i="1" s="1"/>
  <c r="BZ199" i="1"/>
  <c r="BZ183" i="1"/>
  <c r="BZ213" i="1"/>
  <c r="CA213" i="1" s="1"/>
  <c r="BZ141" i="1"/>
  <c r="BZ190" i="1"/>
  <c r="CA190" i="1" s="1"/>
  <c r="BZ192" i="1"/>
  <c r="CA192" i="1" s="1"/>
  <c r="BZ208" i="1"/>
  <c r="CA208" i="1" s="1"/>
  <c r="BZ197" i="1"/>
  <c r="BL199" i="1"/>
  <c r="BL215" i="1"/>
  <c r="BM215" i="1" s="1"/>
  <c r="CF190" i="1"/>
  <c r="CF219" i="1"/>
  <c r="CF249" i="1" s="1"/>
  <c r="CG249" i="1" s="1"/>
  <c r="CG219" i="1" s="1"/>
  <c r="CD220" i="1"/>
  <c r="CE220" i="1" s="1"/>
  <c r="CF220" i="1"/>
  <c r="CG220" i="1" s="1"/>
  <c r="CB197" i="1"/>
  <c r="CB220" i="1"/>
  <c r="CC220" i="1" s="1"/>
  <c r="BY141" i="1"/>
  <c r="CD229" i="1"/>
  <c r="CE229" i="1" s="1"/>
  <c r="CD201" i="1"/>
  <c r="CE201" i="1" s="1"/>
  <c r="BL226" i="1"/>
  <c r="CB219" i="1"/>
  <c r="CB249" i="1" s="1"/>
  <c r="CC249" i="1" s="1"/>
  <c r="CB184" i="1"/>
  <c r="CC184" i="1" s="1"/>
  <c r="BL216" i="1"/>
  <c r="BM216" i="1" s="1"/>
  <c r="CD193" i="1"/>
  <c r="CE193" i="1" s="1"/>
  <c r="CD213" i="1"/>
  <c r="CE213" i="1" s="1"/>
  <c r="CD185" i="1"/>
  <c r="CD212" i="1"/>
  <c r="CE212" i="1" s="1"/>
  <c r="CD221" i="1"/>
  <c r="CE221" i="1" s="1"/>
  <c r="CD206" i="1"/>
  <c r="CE206" i="1" s="1"/>
  <c r="CF183" i="1"/>
  <c r="CF184" i="1"/>
  <c r="CG184" i="1" s="1"/>
  <c r="CF217" i="1"/>
  <c r="CG217" i="1" s="1"/>
  <c r="CF229" i="1"/>
  <c r="CG229" i="1" s="1"/>
  <c r="CB226" i="1"/>
  <c r="CB206" i="1"/>
  <c r="AI141" i="1"/>
  <c r="BL213" i="1"/>
  <c r="BM213" i="1" s="1"/>
  <c r="BL201" i="1"/>
  <c r="BM201" i="1" s="1"/>
  <c r="BL192" i="1"/>
  <c r="BM192" i="1" s="1"/>
  <c r="CB190" i="1"/>
  <c r="CC190" i="1" s="1"/>
  <c r="BL212" i="1"/>
  <c r="BM212" i="1" s="1"/>
  <c r="BZ201" i="1"/>
  <c r="CA201" i="1" s="1"/>
  <c r="BZ140" i="1"/>
  <c r="BL218" i="1"/>
  <c r="BM218" i="1" s="1"/>
  <c r="CB198" i="1"/>
  <c r="CF213" i="1"/>
  <c r="CG213" i="1" s="1"/>
  <c r="CB213" i="1"/>
  <c r="CC213" i="1" s="1"/>
  <c r="CD140" i="1"/>
  <c r="CC141" i="1"/>
  <c r="CD184" i="1"/>
  <c r="CE184" i="1" s="1"/>
  <c r="BL185" i="1"/>
  <c r="CD191" i="1"/>
  <c r="CE191" i="1" s="1"/>
  <c r="CF225" i="1"/>
  <c r="CF218" i="1"/>
  <c r="CG218" i="1" s="1"/>
  <c r="CE140" i="1"/>
  <c r="BZ211" i="1"/>
  <c r="BZ246" i="1" s="1"/>
  <c r="CA246" i="1" s="1"/>
  <c r="BZ188" i="1"/>
  <c r="CA188" i="1" s="1"/>
  <c r="BZ210" i="1"/>
  <c r="BZ245" i="1" s="1"/>
  <c r="CA245" i="1" s="1"/>
  <c r="BZ184" i="1"/>
  <c r="CA184" i="1" s="1"/>
  <c r="BZ215" i="1"/>
  <c r="BZ217" i="1"/>
  <c r="CA217" i="1" s="1"/>
  <c r="BZ212" i="1"/>
  <c r="CA212" i="1" s="1"/>
  <c r="BZ206" i="1"/>
  <c r="CA206" i="1" s="1"/>
  <c r="BZ218" i="1"/>
  <c r="CA218" i="1" s="1"/>
  <c r="BL221" i="1"/>
  <c r="BM221" i="1" s="1"/>
  <c r="BL210" i="1"/>
  <c r="BL245" i="1" s="1"/>
  <c r="BM245" i="1" s="1"/>
  <c r="BL197" i="1"/>
  <c r="BL198" i="1"/>
  <c r="CA141" i="1"/>
  <c r="CF221" i="1"/>
  <c r="CG221" i="1" s="1"/>
  <c r="CF216" i="1"/>
  <c r="CG216" i="1" s="1"/>
  <c r="CF226" i="1"/>
  <c r="CB183" i="1"/>
  <c r="CC183" i="1" s="1"/>
  <c r="CF197" i="1"/>
  <c r="CF185" i="1"/>
  <c r="CG185" i="1" s="1"/>
  <c r="CF191" i="1"/>
  <c r="CG191" i="1" s="1"/>
  <c r="CD192" i="1"/>
  <c r="CE192" i="1" s="1"/>
  <c r="CB221" i="1"/>
  <c r="CC221" i="1" s="1"/>
  <c r="CB201" i="1"/>
  <c r="CC201" i="1" s="1"/>
  <c r="CB217" i="1"/>
  <c r="CC217" i="1" s="1"/>
  <c r="CD183" i="1"/>
  <c r="BL206" i="1"/>
  <c r="CB199" i="1"/>
  <c r="BL193" i="1"/>
  <c r="BM193" i="1" s="1"/>
  <c r="CD198" i="1"/>
  <c r="CD210" i="1"/>
  <c r="CD245" i="1" s="1"/>
  <c r="CE245" i="1" s="1"/>
  <c r="CD216" i="1"/>
  <c r="CE216" i="1" s="1"/>
  <c r="CD215" i="1"/>
  <c r="CE215" i="1" s="1"/>
  <c r="CD230" i="1"/>
  <c r="CE230" i="1" s="1"/>
  <c r="CF201" i="1"/>
  <c r="CG201" i="1" s="1"/>
  <c r="CF208" i="1"/>
  <c r="CG208" i="1" s="1"/>
  <c r="CC140" i="1"/>
  <c r="CB216" i="1"/>
  <c r="CC216" i="1" s="1"/>
  <c r="CB188" i="1"/>
  <c r="CC188" i="1" s="1"/>
  <c r="BL225" i="1"/>
  <c r="BL183" i="1"/>
  <c r="BM183" i="1" s="1"/>
  <c r="BL217" i="1"/>
  <c r="BM217" i="1" s="1"/>
  <c r="BL208" i="1"/>
  <c r="BM208" i="1" s="1"/>
  <c r="BL184" i="1"/>
  <c r="BM184" i="1" s="1"/>
  <c r="BL319" i="1"/>
  <c r="CH165" i="1"/>
  <c r="CH166" i="1" s="1"/>
  <c r="CB203" i="1"/>
  <c r="CC203" i="1" s="1"/>
  <c r="CF203" i="1"/>
  <c r="CG203" i="1" s="1"/>
  <c r="CD203" i="1"/>
  <c r="CE203" i="1" s="1"/>
  <c r="BL203" i="1"/>
  <c r="BM203" i="1" s="1"/>
  <c r="BZ203" i="1"/>
  <c r="CA203" i="1" s="1"/>
  <c r="BL209" i="1"/>
  <c r="CD209" i="1"/>
  <c r="CB209" i="1"/>
  <c r="CF209" i="1"/>
  <c r="BZ209" i="1"/>
  <c r="CA318" i="1"/>
  <c r="JJ21" i="4"/>
  <c r="CD144" i="1" s="1"/>
  <c r="CA74" i="1"/>
  <c r="CA52" i="1" s="1"/>
  <c r="JK14" i="4"/>
  <c r="BL74" i="1"/>
  <c r="BL52" i="1" s="1"/>
  <c r="BY74" i="1"/>
  <c r="BY52" i="1" s="1"/>
  <c r="BL260" i="1"/>
  <c r="CF74" i="1"/>
  <c r="AA125" i="1" s="1"/>
  <c r="CF318" i="1"/>
  <c r="JL21" i="4"/>
  <c r="CF144" i="1" s="1"/>
  <c r="CF165" i="1"/>
  <c r="CF166" i="1" s="1"/>
  <c r="CB93" i="1"/>
  <c r="CE297" i="1"/>
  <c r="CC319" i="1"/>
  <c r="CA93" i="1"/>
  <c r="CE318" i="1"/>
  <c r="CC318" i="1"/>
  <c r="JM7" i="4"/>
  <c r="CA319" i="1"/>
  <c r="JJ8" i="4"/>
  <c r="Z276" i="1"/>
  <c r="Z277" i="1" s="1"/>
  <c r="CF93" i="1"/>
  <c r="BZ318" i="1"/>
  <c r="BZ74" i="1"/>
  <c r="BZ52" i="1" s="1"/>
  <c r="CA260" i="1"/>
  <c r="CD319" i="1"/>
  <c r="CB165" i="1"/>
  <c r="CB166" i="1" s="1"/>
  <c r="JK21" i="4"/>
  <c r="CE144" i="1" s="1"/>
  <c r="JK15" i="4"/>
  <c r="CD318" i="1"/>
  <c r="JL14" i="4"/>
  <c r="CC93" i="1"/>
  <c r="BY93" i="1"/>
  <c r="CI165" i="1"/>
  <c r="CI166" i="1" s="1"/>
  <c r="CI169" i="1" s="1"/>
  <c r="CF297" i="1"/>
  <c r="BY319" i="1"/>
  <c r="JL8" i="4"/>
  <c r="CE93" i="1"/>
  <c r="BL318" i="1"/>
  <c r="CE165" i="1"/>
  <c r="CE166" i="1" s="1"/>
  <c r="CD74" i="1"/>
  <c r="CD52" i="1" s="1"/>
  <c r="CC74" i="1"/>
  <c r="CC52" i="1" s="1"/>
  <c r="CD260" i="1"/>
  <c r="CE74" i="1"/>
  <c r="CE52" i="1" s="1"/>
  <c r="CG165" i="1"/>
  <c r="CG166" i="1" s="1"/>
  <c r="CD165" i="1"/>
  <c r="CD166" i="1" s="1"/>
  <c r="CB74" i="1"/>
  <c r="CB52" i="1" s="1"/>
  <c r="CB318" i="1"/>
  <c r="CC165" i="1"/>
  <c r="CC166" i="1" s="1"/>
  <c r="JJ15" i="4"/>
  <c r="CB319" i="1"/>
  <c r="BY318" i="1"/>
  <c r="CD93" i="1"/>
  <c r="JM8" i="4"/>
  <c r="JL7" i="4"/>
  <c r="CF319" i="1"/>
  <c r="JJ7" i="4"/>
  <c r="JK8" i="4"/>
  <c r="JM21" i="4"/>
  <c r="CG144" i="1" s="1"/>
  <c r="BZ319" i="1"/>
  <c r="CE319" i="1"/>
  <c r="JK7" i="4"/>
  <c r="BL93" i="1"/>
  <c r="JL15" i="4"/>
  <c r="BZ93" i="1"/>
  <c r="JM14" i="4"/>
  <c r="JM15" i="4"/>
  <c r="JJ14" i="4"/>
  <c r="CT190" i="1"/>
  <c r="AD113" i="1"/>
  <c r="CZ113" i="1"/>
  <c r="DA113" i="1" s="1"/>
  <c r="DB113" i="1" s="1"/>
  <c r="AE102" i="1"/>
  <c r="U72" i="1"/>
  <c r="V72" i="1"/>
  <c r="W72" i="1"/>
  <c r="CJ136" i="1" l="1"/>
  <c r="CJ154" i="1" s="1"/>
  <c r="CF52" i="1"/>
  <c r="CI161" i="1"/>
  <c r="CI162" i="1"/>
  <c r="CK136" i="1"/>
  <c r="CK152" i="1" s="1"/>
  <c r="CL136" i="1"/>
  <c r="AD197" i="1"/>
  <c r="CY197" i="1"/>
  <c r="CZ197" i="1" s="1"/>
  <c r="DA197" i="1" s="1"/>
  <c r="DB197" i="1" s="1"/>
  <c r="AE197" i="1" s="1"/>
  <c r="CF156" i="1"/>
  <c r="CJ152" i="1"/>
  <c r="CS206" i="1"/>
  <c r="CS268" i="1" s="1"/>
  <c r="CJ153" i="1"/>
  <c r="AE40" i="1"/>
  <c r="AE51" i="1"/>
  <c r="DB76" i="1"/>
  <c r="DA75" i="1"/>
  <c r="DA76" i="1"/>
  <c r="CA80" i="1"/>
  <c r="CA81" i="1" s="1"/>
  <c r="CD80" i="1"/>
  <c r="CH82" i="1" s="1"/>
  <c r="CB80" i="1"/>
  <c r="CB81" i="1" s="1"/>
  <c r="BY80" i="1"/>
  <c r="BY95" i="1" s="1"/>
  <c r="BL80" i="1"/>
  <c r="BL95" i="1" s="1"/>
  <c r="CS191" i="1"/>
  <c r="CR194" i="1"/>
  <c r="CR315" i="1" s="1"/>
  <c r="CQ272" i="1"/>
  <c r="BZ227" i="1"/>
  <c r="BL227" i="1"/>
  <c r="CB268" i="1"/>
  <c r="CA183" i="1"/>
  <c r="BZ186" i="1"/>
  <c r="BZ159" i="1" s="1"/>
  <c r="BL186" i="1"/>
  <c r="BL159" i="1" s="1"/>
  <c r="CB227" i="1"/>
  <c r="CC275" i="1" s="1"/>
  <c r="CG190" i="1"/>
  <c r="CG194" i="1" s="1"/>
  <c r="CF194" i="1"/>
  <c r="CD200" i="1"/>
  <c r="CE100" i="1" s="1"/>
  <c r="CC206" i="1"/>
  <c r="CE183" i="1"/>
  <c r="CD186" i="1"/>
  <c r="CD159" i="1" s="1"/>
  <c r="CD161" i="1" s="1"/>
  <c r="BM206" i="1"/>
  <c r="BM268" i="1" s="1"/>
  <c r="CD227" i="1"/>
  <c r="CF268" i="1"/>
  <c r="CE194" i="1"/>
  <c r="BM191" i="1"/>
  <c r="BM194" i="1" s="1"/>
  <c r="BL194" i="1"/>
  <c r="CG206" i="1"/>
  <c r="CG215" i="1"/>
  <c r="CG222" i="1" s="1"/>
  <c r="CF222" i="1"/>
  <c r="CF251" i="1" s="1"/>
  <c r="CF250" i="1" s="1"/>
  <c r="CG183" i="1"/>
  <c r="CG186" i="1" s="1"/>
  <c r="CF186" i="1"/>
  <c r="CF159" i="1" s="1"/>
  <c r="CF161" i="1" s="1"/>
  <c r="CA215" i="1"/>
  <c r="BZ222" i="1"/>
  <c r="BZ251" i="1" s="1"/>
  <c r="BZ250" i="1" s="1"/>
  <c r="BZ200" i="1"/>
  <c r="BZ204" i="1" s="1"/>
  <c r="CA194" i="1"/>
  <c r="CB200" i="1"/>
  <c r="CF227" i="1"/>
  <c r="BL200" i="1"/>
  <c r="CF200" i="1"/>
  <c r="CF204" i="1" s="1"/>
  <c r="CC194" i="1"/>
  <c r="CB194" i="1"/>
  <c r="CE268" i="1"/>
  <c r="BZ194" i="1"/>
  <c r="CB222" i="1"/>
  <c r="CB251" i="1" s="1"/>
  <c r="CB250" i="1" s="1"/>
  <c r="BL222" i="1"/>
  <c r="BL251" i="1" s="1"/>
  <c r="BL250" i="1" s="1"/>
  <c r="CD222" i="1"/>
  <c r="CD251" i="1" s="1"/>
  <c r="CD250" i="1" s="1"/>
  <c r="CB186" i="1"/>
  <c r="CD194" i="1"/>
  <c r="CH169" i="1"/>
  <c r="CH170" i="1"/>
  <c r="CH171" i="1"/>
  <c r="BM209" i="1"/>
  <c r="BL214" i="1"/>
  <c r="CE209" i="1"/>
  <c r="CD214" i="1"/>
  <c r="CC209" i="1"/>
  <c r="CB214" i="1"/>
  <c r="CG209" i="1"/>
  <c r="CG214" i="1" s="1"/>
  <c r="CG248" i="1" s="1"/>
  <c r="CG247" i="1" s="1"/>
  <c r="CF214" i="1"/>
  <c r="CA209" i="1"/>
  <c r="BZ214" i="1"/>
  <c r="CD169" i="1"/>
  <c r="CA94" i="1"/>
  <c r="CA76" i="1"/>
  <c r="JK19" i="4"/>
  <c r="CE145" i="1" s="1"/>
  <c r="BL94" i="1"/>
  <c r="CC75" i="1"/>
  <c r="CC94" i="1"/>
  <c r="CI291" i="1"/>
  <c r="CF80" i="1"/>
  <c r="AA126" i="1" s="1"/>
  <c r="CG76" i="1"/>
  <c r="CJ75" i="1"/>
  <c r="BY94" i="1"/>
  <c r="JL20" i="4"/>
  <c r="CF146" i="1" s="1"/>
  <c r="CF171" i="1" s="1"/>
  <c r="BZ80" i="1"/>
  <c r="CF94" i="1"/>
  <c r="Y125" i="1"/>
  <c r="JJ19" i="4"/>
  <c r="CD145" i="1" s="1"/>
  <c r="CD173" i="1" s="1"/>
  <c r="JM20" i="4"/>
  <c r="CG146" i="1" s="1"/>
  <c r="CD94" i="1"/>
  <c r="JM19" i="4"/>
  <c r="CG145" i="1" s="1"/>
  <c r="CE219" i="1"/>
  <c r="CE222" i="1" s="1"/>
  <c r="CE251" i="1" s="1"/>
  <c r="CE250" i="1" s="1"/>
  <c r="CF169" i="1"/>
  <c r="JJ20" i="4"/>
  <c r="CD146" i="1" s="1"/>
  <c r="CD174" i="1" s="1"/>
  <c r="JL19" i="4"/>
  <c r="CF145" i="1" s="1"/>
  <c r="JK20" i="4"/>
  <c r="CE146" i="1" s="1"/>
  <c r="CE174" i="1" s="1"/>
  <c r="CD254" i="1"/>
  <c r="CD75" i="1"/>
  <c r="BZ76" i="1"/>
  <c r="CD291" i="1"/>
  <c r="BZ94" i="1"/>
  <c r="CE210" i="1"/>
  <c r="CE254" i="1"/>
  <c r="CG254" i="1"/>
  <c r="CF75" i="1"/>
  <c r="CH291" i="1"/>
  <c r="CJ254" i="1"/>
  <c r="CE94" i="1"/>
  <c r="CC80" i="1"/>
  <c r="CF291" i="1"/>
  <c r="CB76" i="1"/>
  <c r="CH310" i="1"/>
  <c r="Z125" i="1"/>
  <c r="CE75" i="1"/>
  <c r="CG169" i="1"/>
  <c r="CE169" i="1"/>
  <c r="CG291" i="1"/>
  <c r="CF76" i="1"/>
  <c r="CF254" i="1"/>
  <c r="CE291" i="1"/>
  <c r="CC76" i="1"/>
  <c r="CC291" i="1"/>
  <c r="CE211" i="1"/>
  <c r="CB94" i="1"/>
  <c r="CD76" i="1"/>
  <c r="CH75" i="1"/>
  <c r="CI254" i="1"/>
  <c r="CI170" i="1"/>
  <c r="CE80" i="1"/>
  <c r="CI75" i="1"/>
  <c r="CI171" i="1"/>
  <c r="CG75" i="1"/>
  <c r="CE76" i="1"/>
  <c r="CH254" i="1"/>
  <c r="CA268" i="1"/>
  <c r="CU81" i="1"/>
  <c r="CU190" i="1"/>
  <c r="AE113" i="1"/>
  <c r="V297" i="1"/>
  <c r="W297" i="1"/>
  <c r="U297" i="1"/>
  <c r="CF95" i="1" l="1"/>
  <c r="AA127" i="1" s="1"/>
  <c r="CK153" i="1"/>
  <c r="CK154" i="1"/>
  <c r="CL152" i="1"/>
  <c r="CL154" i="1"/>
  <c r="CL153" i="1"/>
  <c r="CT206" i="1"/>
  <c r="CT268" i="1" s="1"/>
  <c r="CE83" i="1"/>
  <c r="BL81" i="1"/>
  <c r="CB83" i="1"/>
  <c r="CD81" i="1"/>
  <c r="CA95" i="1"/>
  <c r="CA298" i="1" s="1"/>
  <c r="CA299" i="1" s="1"/>
  <c r="CD82" i="1"/>
  <c r="CB95" i="1"/>
  <c r="CB298" i="1" s="1"/>
  <c r="CB299" i="1" s="1"/>
  <c r="BY81" i="1"/>
  <c r="CC83" i="1"/>
  <c r="CD95" i="1"/>
  <c r="CG315" i="1"/>
  <c r="CD268" i="1"/>
  <c r="CC268" i="1"/>
  <c r="CH268" i="1"/>
  <c r="CG268" i="1"/>
  <c r="CA275" i="1"/>
  <c r="BZ314" i="1"/>
  <c r="CT191" i="1"/>
  <c r="CS194" i="1"/>
  <c r="CS315" i="1" s="1"/>
  <c r="CD272" i="1"/>
  <c r="CF315" i="1"/>
  <c r="BM275" i="1"/>
  <c r="BL314" i="1"/>
  <c r="CF272" i="1"/>
  <c r="CF195" i="1"/>
  <c r="CR272" i="1"/>
  <c r="BL195" i="1"/>
  <c r="BL234" i="1"/>
  <c r="BL175" i="1" s="1"/>
  <c r="CA100" i="1"/>
  <c r="CA200" i="1"/>
  <c r="CB204" i="1"/>
  <c r="CC100" i="1"/>
  <c r="CC200" i="1"/>
  <c r="BZ234" i="1"/>
  <c r="BZ195" i="1"/>
  <c r="CF162" i="1"/>
  <c r="CD204" i="1"/>
  <c r="CE200" i="1"/>
  <c r="CE275" i="1"/>
  <c r="CD314" i="1"/>
  <c r="CA315" i="1"/>
  <c r="CA272" i="1"/>
  <c r="BM272" i="1"/>
  <c r="BM315" i="1"/>
  <c r="CH273" i="1"/>
  <c r="CG159" i="1"/>
  <c r="CG162" i="1" s="1"/>
  <c r="CG273" i="1"/>
  <c r="CG275" i="1"/>
  <c r="CF234" i="1"/>
  <c r="CF314" i="1"/>
  <c r="BM200" i="1"/>
  <c r="BM204" i="1" s="1"/>
  <c r="BL204" i="1"/>
  <c r="BL312" i="1" s="1"/>
  <c r="CG100" i="1"/>
  <c r="CG200" i="1"/>
  <c r="CH315" i="1"/>
  <c r="CH317" i="1" s="1"/>
  <c r="CH272" i="1"/>
  <c r="CG195" i="1"/>
  <c r="CG272" i="1"/>
  <c r="CB315" i="1"/>
  <c r="CB195" i="1"/>
  <c r="CB234" i="1"/>
  <c r="CB272" i="1"/>
  <c r="CB159" i="1"/>
  <c r="CB314" i="1"/>
  <c r="CC315" i="1"/>
  <c r="CC272" i="1"/>
  <c r="CE272" i="1"/>
  <c r="CD315" i="1"/>
  <c r="CD195" i="1"/>
  <c r="CD234" i="1"/>
  <c r="CE315" i="1"/>
  <c r="BL248" i="1"/>
  <c r="BL223" i="1"/>
  <c r="CD248" i="1"/>
  <c r="CD223" i="1"/>
  <c r="CB248" i="1"/>
  <c r="CB223" i="1"/>
  <c r="CF248" i="1"/>
  <c r="CF223" i="1"/>
  <c r="CF231" i="1" s="1"/>
  <c r="BZ248" i="1"/>
  <c r="BZ223" i="1"/>
  <c r="BZ231" i="1" s="1"/>
  <c r="CE170" i="1"/>
  <c r="CE173" i="1"/>
  <c r="BZ83" i="1"/>
  <c r="BZ95" i="1"/>
  <c r="BZ81" i="1"/>
  <c r="CA83" i="1"/>
  <c r="CG251" i="1"/>
  <c r="CH263" i="1"/>
  <c r="CG263" i="1"/>
  <c r="CJ82" i="1"/>
  <c r="CF81" i="1"/>
  <c r="CG83" i="1"/>
  <c r="CF82" i="1"/>
  <c r="BZ312" i="1"/>
  <c r="CF312" i="1"/>
  <c r="CF310" i="1"/>
  <c r="CF174" i="1"/>
  <c r="CF163" i="1"/>
  <c r="CG174" i="1"/>
  <c r="CG171" i="1"/>
  <c r="CG173" i="1"/>
  <c r="CG170" i="1"/>
  <c r="CF173" i="1"/>
  <c r="CF170" i="1"/>
  <c r="CG82" i="1"/>
  <c r="CC81" i="1"/>
  <c r="Y126" i="1"/>
  <c r="CC95" i="1"/>
  <c r="CD83" i="1"/>
  <c r="CC82" i="1"/>
  <c r="CD163" i="1"/>
  <c r="CD170" i="1"/>
  <c r="CE214" i="1"/>
  <c r="CD162" i="1"/>
  <c r="CE263" i="1"/>
  <c r="CG262" i="1"/>
  <c r="CD171" i="1"/>
  <c r="CF263" i="1"/>
  <c r="CE171" i="1"/>
  <c r="CG223" i="1"/>
  <c r="CH262" i="1"/>
  <c r="CF83" i="1"/>
  <c r="CE82" i="1"/>
  <c r="CI82" i="1"/>
  <c r="Z126" i="1"/>
  <c r="CE95" i="1"/>
  <c r="CE68" i="1" s="1"/>
  <c r="CE81" i="1"/>
  <c r="BY101" i="1"/>
  <c r="BY105" i="1" s="1"/>
  <c r="BY96" i="1"/>
  <c r="BL101" i="1"/>
  <c r="BL105" i="1" s="1"/>
  <c r="BL96" i="1"/>
  <c r="CV81" i="1"/>
  <c r="CV190" i="1"/>
  <c r="AB216" i="1"/>
  <c r="A1" i="1"/>
  <c r="CG98" i="1" l="1"/>
  <c r="CI178" i="1"/>
  <c r="CF96" i="1"/>
  <c r="CF298" i="1"/>
  <c r="CF299" i="1" s="1"/>
  <c r="CJ97" i="1"/>
  <c r="CF101" i="1"/>
  <c r="CG316" i="1"/>
  <c r="CI292" i="1"/>
  <c r="CF68" i="1"/>
  <c r="CU206" i="1"/>
  <c r="CH97" i="1"/>
  <c r="CD68" i="1"/>
  <c r="CC101" i="1"/>
  <c r="CC105" i="1" s="1"/>
  <c r="CC108" i="1" s="1"/>
  <c r="CC68" i="1"/>
  <c r="CD96" i="1"/>
  <c r="CA96" i="1"/>
  <c r="CB96" i="1"/>
  <c r="CA101" i="1"/>
  <c r="CA105" i="1" s="1"/>
  <c r="CD101" i="1"/>
  <c r="CD105" i="1" s="1"/>
  <c r="CD108" i="1" s="1"/>
  <c r="CB316" i="1"/>
  <c r="CB317" i="1" s="1"/>
  <c r="CB98" i="1"/>
  <c r="CB101" i="1"/>
  <c r="CB105" i="1" s="1"/>
  <c r="CF97" i="1"/>
  <c r="CD298" i="1"/>
  <c r="CD299" i="1" s="1"/>
  <c r="CG292" i="1"/>
  <c r="CF232" i="1"/>
  <c r="CA204" i="1"/>
  <c r="CB100" i="1"/>
  <c r="CB231" i="1"/>
  <c r="CB232" i="1" s="1"/>
  <c r="CD231" i="1"/>
  <c r="CD232" i="1" s="1"/>
  <c r="CU191" i="1"/>
  <c r="CT194" i="1"/>
  <c r="CT315" i="1" s="1"/>
  <c r="CB312" i="1"/>
  <c r="CB310" i="1"/>
  <c r="CE204" i="1"/>
  <c r="CF100" i="1"/>
  <c r="CS272" i="1"/>
  <c r="CG271" i="1"/>
  <c r="BZ232" i="1"/>
  <c r="CD100" i="1"/>
  <c r="CC204" i="1"/>
  <c r="BZ175" i="1"/>
  <c r="CA104" i="1"/>
  <c r="CD310" i="1"/>
  <c r="CD312" i="1"/>
  <c r="CH271" i="1"/>
  <c r="CG161" i="1"/>
  <c r="CG163" i="1"/>
  <c r="CF175" i="1"/>
  <c r="CG104" i="1"/>
  <c r="CH100" i="1"/>
  <c r="CG204" i="1"/>
  <c r="CB175" i="1"/>
  <c r="CC104" i="1"/>
  <c r="CD175" i="1"/>
  <c r="CD177" i="1" s="1"/>
  <c r="CE104" i="1"/>
  <c r="CF247" i="1"/>
  <c r="CF252" i="1"/>
  <c r="CJ255" i="1" s="1"/>
  <c r="BL252" i="1"/>
  <c r="BL247" i="1"/>
  <c r="CD252" i="1"/>
  <c r="CD247" i="1"/>
  <c r="CB252" i="1"/>
  <c r="CB247" i="1"/>
  <c r="BZ247" i="1"/>
  <c r="BZ252" i="1"/>
  <c r="CG264" i="1"/>
  <c r="CG265" i="1" s="1"/>
  <c r="BZ96" i="1"/>
  <c r="BZ101" i="1"/>
  <c r="CA316" i="1"/>
  <c r="CA317" i="1" s="1"/>
  <c r="CA98" i="1"/>
  <c r="BZ298" i="1"/>
  <c r="BZ299" i="1" s="1"/>
  <c r="CD97" i="1"/>
  <c r="BZ98" i="1"/>
  <c r="BZ316" i="1"/>
  <c r="CB178" i="1"/>
  <c r="CH264" i="1"/>
  <c r="CH265" i="1" s="1"/>
  <c r="CD178" i="1"/>
  <c r="CC316" i="1"/>
  <c r="CC317" i="1" s="1"/>
  <c r="CE262" i="1"/>
  <c r="CE264" i="1" s="1"/>
  <c r="CE223" i="1"/>
  <c r="CG250" i="1"/>
  <c r="CG252" i="1"/>
  <c r="CC298" i="1"/>
  <c r="CC299" i="1" s="1"/>
  <c r="CG97" i="1"/>
  <c r="Y127" i="1"/>
  <c r="CC96" i="1"/>
  <c r="CC292" i="1"/>
  <c r="CD316" i="1"/>
  <c r="CD317" i="1" s="1"/>
  <c r="CC178" i="1"/>
  <c r="CD292" i="1"/>
  <c r="CC98" i="1"/>
  <c r="CD98" i="1"/>
  <c r="CC97" i="1"/>
  <c r="CI122" i="1"/>
  <c r="CE248" i="1"/>
  <c r="CF262" i="1"/>
  <c r="CF264" i="1" s="1"/>
  <c r="CF178" i="1"/>
  <c r="CE98" i="1"/>
  <c r="CE178" i="1"/>
  <c r="CE292" i="1"/>
  <c r="CE316" i="1"/>
  <c r="CE317" i="1" s="1"/>
  <c r="CF316" i="1"/>
  <c r="CF317" i="1" s="1"/>
  <c r="CE298" i="1"/>
  <c r="CE299" i="1" s="1"/>
  <c r="Z127" i="1"/>
  <c r="CE97" i="1"/>
  <c r="CH178" i="1"/>
  <c r="CE96" i="1"/>
  <c r="CG178" i="1"/>
  <c r="CE101" i="1"/>
  <c r="CH292" i="1"/>
  <c r="CF98" i="1"/>
  <c r="CI97" i="1"/>
  <c r="CF292" i="1"/>
  <c r="BL108" i="1"/>
  <c r="BL107" i="1"/>
  <c r="BY107" i="1"/>
  <c r="BY108" i="1"/>
  <c r="CW81" i="1"/>
  <c r="CX81" i="1" s="1"/>
  <c r="CW190" i="1"/>
  <c r="AC216" i="1"/>
  <c r="CF105" i="1" l="1"/>
  <c r="CG317" i="1"/>
  <c r="CV206" i="1"/>
  <c r="CU268" i="1"/>
  <c r="CC107" i="1"/>
  <c r="CD107" i="1"/>
  <c r="CD300" i="1"/>
  <c r="CH110" i="1"/>
  <c r="CB108" i="1"/>
  <c r="CC111" i="1" s="1"/>
  <c r="CA108" i="1"/>
  <c r="CA115" i="1" s="1"/>
  <c r="CA259" i="1" s="1"/>
  <c r="CA261" i="1" s="1"/>
  <c r="CA107" i="1"/>
  <c r="CB107" i="1"/>
  <c r="CD115" i="1"/>
  <c r="CD119" i="1" s="1"/>
  <c r="CD122" i="1"/>
  <c r="CD109" i="1"/>
  <c r="CD311" i="1" s="1"/>
  <c r="CD176" i="1"/>
  <c r="CD179" i="1" s="1"/>
  <c r="CA269" i="1"/>
  <c r="CA267" i="1" s="1"/>
  <c r="CB269" i="1"/>
  <c r="CB267" i="1" s="1"/>
  <c r="CE269" i="1"/>
  <c r="CE267" i="1" s="1"/>
  <c r="CF269" i="1"/>
  <c r="CF267" i="1" s="1"/>
  <c r="CH269" i="1"/>
  <c r="CH267" i="1" s="1"/>
  <c r="CH279" i="1" s="1"/>
  <c r="CG269" i="1"/>
  <c r="CG267" i="1" s="1"/>
  <c r="CV191" i="1"/>
  <c r="CU194" i="1"/>
  <c r="CU315" i="1" s="1"/>
  <c r="CT272" i="1"/>
  <c r="CD269" i="1"/>
  <c r="CD267" i="1" s="1"/>
  <c r="CC269" i="1"/>
  <c r="CC267" i="1" s="1"/>
  <c r="CF255" i="1"/>
  <c r="CF176" i="1"/>
  <c r="CF179" i="1" s="1"/>
  <c r="CF177" i="1"/>
  <c r="CF180" i="1" s="1"/>
  <c r="CD255" i="1"/>
  <c r="CH255" i="1"/>
  <c r="BZ105" i="1"/>
  <c r="CB122" i="1"/>
  <c r="CD180" i="1"/>
  <c r="CF108" i="1"/>
  <c r="AA128" i="1" s="1"/>
  <c r="CF107" i="1"/>
  <c r="CC110" i="1"/>
  <c r="CG110" i="1"/>
  <c r="CC300" i="1"/>
  <c r="CC115" i="1"/>
  <c r="CC109" i="1"/>
  <c r="CC311" i="1" s="1"/>
  <c r="CD111" i="1"/>
  <c r="CE247" i="1"/>
  <c r="CE252" i="1"/>
  <c r="CH179" i="1"/>
  <c r="CH180" i="1"/>
  <c r="CF122" i="1"/>
  <c r="CH122" i="1"/>
  <c r="CG122" i="1"/>
  <c r="CE105" i="1"/>
  <c r="BL115" i="1"/>
  <c r="BL109" i="1"/>
  <c r="BL311" i="1" s="1"/>
  <c r="CM131" i="1"/>
  <c r="CN131" i="1" s="1"/>
  <c r="CO131" i="1" s="1"/>
  <c r="CP131" i="1" s="1"/>
  <c r="CQ131" i="1" s="1"/>
  <c r="CR131" i="1" s="1"/>
  <c r="CS131" i="1" s="1"/>
  <c r="CT131" i="1" s="1"/>
  <c r="CU131" i="1" s="1"/>
  <c r="CV131" i="1" s="1"/>
  <c r="CW131" i="1" s="1"/>
  <c r="CX131" i="1" s="1"/>
  <c r="CY131" i="1" s="1"/>
  <c r="CZ131" i="1" s="1"/>
  <c r="DA131" i="1" s="1"/>
  <c r="DB131" i="1" s="1"/>
  <c r="BY109" i="1"/>
  <c r="BY311" i="1" s="1"/>
  <c r="BY115" i="1"/>
  <c r="CY81" i="1"/>
  <c r="CZ81" i="1" s="1"/>
  <c r="CX190" i="1"/>
  <c r="AE216" i="1"/>
  <c r="AD216" i="1"/>
  <c r="CW206" i="1" l="1"/>
  <c r="CV268" i="1"/>
  <c r="CF300" i="1"/>
  <c r="CB115" i="1"/>
  <c r="CD121" i="1" s="1"/>
  <c r="CB111" i="1"/>
  <c r="CD133" i="1"/>
  <c r="Y128" i="1"/>
  <c r="CB109" i="1"/>
  <c r="CB311" i="1" s="1"/>
  <c r="CD259" i="1"/>
  <c r="CD261" i="1" s="1"/>
  <c r="CD293" i="1"/>
  <c r="CA119" i="1"/>
  <c r="CB300" i="1"/>
  <c r="CA300" i="1"/>
  <c r="CA109" i="1"/>
  <c r="CA311" i="1" s="1"/>
  <c r="CA133" i="1"/>
  <c r="CA185" i="1"/>
  <c r="CA186" i="1" s="1"/>
  <c r="CG279" i="1"/>
  <c r="CG276" i="1"/>
  <c r="CG226" i="1" s="1"/>
  <c r="CG227" i="1" s="1"/>
  <c r="CG277" i="1" s="1"/>
  <c r="CW191" i="1"/>
  <c r="CV194" i="1"/>
  <c r="CV315" i="1" s="1"/>
  <c r="CU272" i="1"/>
  <c r="CF110" i="1"/>
  <c r="CF109" i="1"/>
  <c r="CF311" i="1" s="1"/>
  <c r="BZ108" i="1"/>
  <c r="BZ107" i="1"/>
  <c r="CJ110" i="1"/>
  <c r="CG111" i="1"/>
  <c r="CI293" i="1"/>
  <c r="CF115" i="1"/>
  <c r="CC119" i="1"/>
  <c r="CC185" i="1"/>
  <c r="CC186" i="1" s="1"/>
  <c r="CC133" i="1"/>
  <c r="CC259" i="1"/>
  <c r="CC261" i="1" s="1"/>
  <c r="CE108" i="1"/>
  <c r="CE107" i="1"/>
  <c r="BY259" i="1"/>
  <c r="BY261" i="1" s="1"/>
  <c r="BY119" i="1"/>
  <c r="BY133" i="1"/>
  <c r="BL259" i="1"/>
  <c r="BL261" i="1" s="1"/>
  <c r="BL133" i="1"/>
  <c r="BL119" i="1"/>
  <c r="DA81" i="1"/>
  <c r="DB81" i="1" s="1"/>
  <c r="CY190" i="1"/>
  <c r="AB192" i="1"/>
  <c r="AB202" i="1"/>
  <c r="AB201" i="1"/>
  <c r="AB193" i="1"/>
  <c r="AB188" i="1"/>
  <c r="AB217" i="1"/>
  <c r="AB209" i="1"/>
  <c r="AB184" i="1"/>
  <c r="CX206" i="1" l="1"/>
  <c r="CW268" i="1"/>
  <c r="CB259" i="1"/>
  <c r="CB261" i="1" s="1"/>
  <c r="CB273" i="1"/>
  <c r="CB271" i="1" s="1"/>
  <c r="CB119" i="1"/>
  <c r="CB133" i="1"/>
  <c r="CD136" i="1" s="1"/>
  <c r="CD153" i="1" s="1"/>
  <c r="CA159" i="1"/>
  <c r="CA273" i="1"/>
  <c r="CA271" i="1" s="1"/>
  <c r="CA195" i="1"/>
  <c r="CX191" i="1"/>
  <c r="CW194" i="1"/>
  <c r="CW315" i="1" s="1"/>
  <c r="CV272" i="1"/>
  <c r="BZ109" i="1"/>
  <c r="BZ311" i="1" s="1"/>
  <c r="BZ111" i="1"/>
  <c r="CC293" i="1"/>
  <c r="BZ115" i="1"/>
  <c r="CC121" i="1" s="1"/>
  <c r="BZ300" i="1"/>
  <c r="CD110" i="1"/>
  <c r="CA111" i="1"/>
  <c r="CG314" i="1"/>
  <c r="CH275" i="1"/>
  <c r="CH276" i="1" s="1"/>
  <c r="CH277" i="1" s="1"/>
  <c r="CG310" i="1"/>
  <c r="CG312" i="1"/>
  <c r="CG231" i="1"/>
  <c r="CG232" i="1" s="1"/>
  <c r="CG234" i="1"/>
  <c r="CF259" i="1"/>
  <c r="CF261" i="1" s="1"/>
  <c r="CF265" i="1" s="1"/>
  <c r="CF279" i="1" s="1"/>
  <c r="CF119" i="1"/>
  <c r="CF133" i="1"/>
  <c r="CI136" i="1" s="1"/>
  <c r="CI121" i="1"/>
  <c r="CC159" i="1"/>
  <c r="CC195" i="1"/>
  <c r="CC122" i="1" s="1"/>
  <c r="CC273" i="1"/>
  <c r="CC271" i="1" s="1"/>
  <c r="CD273" i="1"/>
  <c r="CD271" i="1" s="1"/>
  <c r="CG293" i="1"/>
  <c r="CI110" i="1"/>
  <c r="CH293" i="1"/>
  <c r="CE111" i="1"/>
  <c r="CE109" i="1"/>
  <c r="CE311" i="1" s="1"/>
  <c r="CE110" i="1"/>
  <c r="CF111" i="1"/>
  <c r="CE115" i="1"/>
  <c r="CF293" i="1"/>
  <c r="CE293" i="1"/>
  <c r="Z128" i="1"/>
  <c r="CE300" i="1"/>
  <c r="CZ190" i="1"/>
  <c r="AC202" i="1"/>
  <c r="AC192" i="1"/>
  <c r="AB230" i="1"/>
  <c r="AC188" i="1"/>
  <c r="AC217" i="1"/>
  <c r="AB213" i="1"/>
  <c r="AB220" i="1"/>
  <c r="AC209" i="1"/>
  <c r="AC193" i="1"/>
  <c r="AB221" i="1"/>
  <c r="AC184" i="1"/>
  <c r="AC201" i="1"/>
  <c r="CY206" i="1" l="1"/>
  <c r="CY268" i="1" s="1"/>
  <c r="CX268" i="1"/>
  <c r="CE156" i="1"/>
  <c r="CY191" i="1"/>
  <c r="CX194" i="1"/>
  <c r="CX315" i="1" s="1"/>
  <c r="CW272" i="1"/>
  <c r="CD152" i="1"/>
  <c r="CD154" i="1"/>
  <c r="CB121" i="1"/>
  <c r="BZ133" i="1"/>
  <c r="BZ119" i="1"/>
  <c r="BZ259" i="1"/>
  <c r="BZ261" i="1" s="1"/>
  <c r="CH104" i="1"/>
  <c r="CG175" i="1"/>
  <c r="CI154" i="1"/>
  <c r="CI152" i="1"/>
  <c r="CI153" i="1"/>
  <c r="CL157" i="1" s="1"/>
  <c r="CE119" i="1"/>
  <c r="CE185" i="1"/>
  <c r="CE186" i="1" s="1"/>
  <c r="CE121" i="1" s="1"/>
  <c r="CE259" i="1"/>
  <c r="CE261" i="1" s="1"/>
  <c r="CE265" i="1" s="1"/>
  <c r="CE279" i="1" s="1"/>
  <c r="CE133" i="1"/>
  <c r="CF121" i="1"/>
  <c r="CG121" i="1"/>
  <c r="CH121" i="1"/>
  <c r="DA190" i="1"/>
  <c r="AE202" i="1"/>
  <c r="AD202" i="1"/>
  <c r="AE192" i="1"/>
  <c r="AD192" i="1"/>
  <c r="AC230" i="1"/>
  <c r="AE217" i="1"/>
  <c r="AD217" i="1"/>
  <c r="AE209" i="1"/>
  <c r="AD209" i="1"/>
  <c r="AD184" i="1"/>
  <c r="AE184" i="1"/>
  <c r="AC220" i="1"/>
  <c r="AE193" i="1"/>
  <c r="AD193" i="1"/>
  <c r="AE201" i="1"/>
  <c r="AD201" i="1"/>
  <c r="AC221" i="1"/>
  <c r="AC213" i="1"/>
  <c r="AE188" i="1"/>
  <c r="AD188" i="1"/>
  <c r="CZ206" i="1" l="1"/>
  <c r="CZ268" i="1" s="1"/>
  <c r="CZ191" i="1"/>
  <c r="CY194" i="1"/>
  <c r="CY315" i="1" s="1"/>
  <c r="CX272" i="1"/>
  <c r="CC136" i="1"/>
  <c r="CB136" i="1"/>
  <c r="CG177" i="1"/>
  <c r="CG180" i="1" s="1"/>
  <c r="CG176" i="1"/>
  <c r="CG179" i="1" s="1"/>
  <c r="CF136" i="1"/>
  <c r="CH136" i="1"/>
  <c r="CL137" i="1" s="1"/>
  <c r="CG136" i="1"/>
  <c r="CK137" i="1" s="1"/>
  <c r="CE136" i="1"/>
  <c r="CE159" i="1"/>
  <c r="CF273" i="1"/>
  <c r="CF271" i="1" s="1"/>
  <c r="CE195" i="1"/>
  <c r="CE122" i="1" s="1"/>
  <c r="CE273" i="1"/>
  <c r="CE271" i="1" s="1"/>
  <c r="CE276" i="1" s="1"/>
  <c r="CE226" i="1" s="1"/>
  <c r="CE227" i="1" s="1"/>
  <c r="CE231" i="1" s="1"/>
  <c r="DB190" i="1"/>
  <c r="AE230" i="1"/>
  <c r="AD230" i="1"/>
  <c r="AE220" i="1"/>
  <c r="AD220" i="1"/>
  <c r="AE221" i="1"/>
  <c r="AD221" i="1"/>
  <c r="AE213" i="1"/>
  <c r="AD213" i="1"/>
  <c r="BY297" i="1"/>
  <c r="DA206" i="1" l="1"/>
  <c r="DB206" i="1" s="1"/>
  <c r="DB268" i="1" s="1"/>
  <c r="CD156" i="1"/>
  <c r="DA191" i="1"/>
  <c r="CZ194" i="1"/>
  <c r="CZ315" i="1" s="1"/>
  <c r="CY272" i="1"/>
  <c r="CE161" i="1"/>
  <c r="CE162" i="1"/>
  <c r="CE163" i="1"/>
  <c r="CE310" i="1"/>
  <c r="CE152" i="1"/>
  <c r="CE153" i="1"/>
  <c r="CI137" i="1"/>
  <c r="CE154" i="1"/>
  <c r="CE314" i="1"/>
  <c r="CG137" i="1"/>
  <c r="CG152" i="1"/>
  <c r="CG154" i="1"/>
  <c r="CG153" i="1"/>
  <c r="CE234" i="1"/>
  <c r="CE175" i="1" s="1"/>
  <c r="CE177" i="1" s="1"/>
  <c r="CE180" i="1" s="1"/>
  <c r="CF275" i="1"/>
  <c r="CF276" i="1" s="1"/>
  <c r="CF277" i="1" s="1"/>
  <c r="CE312" i="1"/>
  <c r="CH137" i="1"/>
  <c r="CH153" i="1"/>
  <c r="CK157" i="1" s="1"/>
  <c r="CH152" i="1"/>
  <c r="CH154" i="1"/>
  <c r="CE277" i="1"/>
  <c r="CF137" i="1"/>
  <c r="CJ137" i="1"/>
  <c r="CF154" i="1"/>
  <c r="CF152" i="1"/>
  <c r="CF153" i="1"/>
  <c r="CE232" i="1"/>
  <c r="AB88" i="1"/>
  <c r="DA268" i="1" l="1"/>
  <c r="DB191" i="1"/>
  <c r="DB194" i="1" s="1"/>
  <c r="DA194" i="1"/>
  <c r="DA272" i="1" s="1"/>
  <c r="CZ272" i="1"/>
  <c r="CJ157" i="1"/>
  <c r="CH157" i="1"/>
  <c r="CF104" i="1"/>
  <c r="CI157" i="1"/>
  <c r="CG157" i="1"/>
  <c r="CE176" i="1"/>
  <c r="CE179" i="1" s="1"/>
  <c r="AC88" i="1"/>
  <c r="BY298" i="1"/>
  <c r="BY299" i="1" s="1"/>
  <c r="DA315" i="1" l="1"/>
  <c r="DB272" i="1"/>
  <c r="DB315" i="1"/>
  <c r="AD88" i="1"/>
  <c r="BY300" i="1"/>
  <c r="AE88" i="1" l="1"/>
  <c r="BI132" i="1" l="1"/>
  <c r="AT132" i="1"/>
  <c r="BT132" i="1"/>
  <c r="AV132" i="1"/>
  <c r="AX132" i="1"/>
  <c r="AR132" i="1"/>
  <c r="AO132" i="1" l="1"/>
  <c r="BK132" i="1"/>
  <c r="AN132" i="1"/>
  <c r="AW132" i="1"/>
  <c r="BB132" i="1"/>
  <c r="BM132" i="1"/>
  <c r="BQ132" i="1"/>
  <c r="AJ132" i="1"/>
  <c r="BS132" i="1"/>
  <c r="BR132" i="1"/>
  <c r="BO132" i="1"/>
  <c r="AM132" i="1"/>
  <c r="AI132" i="1"/>
  <c r="AP132" i="1"/>
  <c r="AZ132" i="1"/>
  <c r="AS132" i="1"/>
  <c r="BN132" i="1"/>
  <c r="BU132" i="1"/>
  <c r="BA132" i="1"/>
  <c r="BC132" i="1"/>
  <c r="AU132" i="1"/>
  <c r="BW132" i="1"/>
  <c r="BP132" i="1"/>
  <c r="BJ132" i="1"/>
  <c r="BH132" i="1"/>
  <c r="BX132" i="1"/>
  <c r="BG132" i="1"/>
  <c r="AQ132" i="1"/>
  <c r="AY132" i="1"/>
  <c r="AK132" i="1"/>
  <c r="BE132" i="1"/>
  <c r="BD132" i="1"/>
  <c r="BV132" i="1"/>
  <c r="BF132" i="1"/>
  <c r="BL297" i="1" l="1"/>
  <c r="AB206" i="1" l="1"/>
  <c r="CN144" i="1" l="1"/>
  <c r="AB268" i="1"/>
  <c r="CO144" i="1" l="1"/>
  <c r="CM130" i="1"/>
  <c r="T35" i="2"/>
  <c r="W36" i="2"/>
  <c r="U27" i="2"/>
  <c r="G17" i="2"/>
  <c r="S27" i="2"/>
  <c r="Q78" i="2"/>
  <c r="Q16" i="2"/>
  <c r="P27" i="2"/>
  <c r="S12" i="2"/>
  <c r="F6" i="2"/>
  <c r="K12" i="2"/>
  <c r="K13" i="2"/>
  <c r="U11" i="2"/>
  <c r="W24" i="2"/>
  <c r="Q14" i="2"/>
  <c r="I19" i="2"/>
  <c r="S62" i="2"/>
  <c r="P36" i="2"/>
  <c r="N14" i="2"/>
  <c r="F11" i="2"/>
  <c r="H36" i="2"/>
  <c r="S15" i="2"/>
  <c r="X15" i="2"/>
  <c r="Q27" i="2"/>
  <c r="U13" i="2"/>
  <c r="H34" i="2"/>
  <c r="F20" i="2"/>
  <c r="H27" i="2"/>
  <c r="Q10" i="2"/>
  <c r="Q31" i="2"/>
  <c r="H11" i="2"/>
  <c r="F33" i="2"/>
  <c r="X30" i="2"/>
  <c r="L6" i="2"/>
  <c r="F16" i="2"/>
  <c r="O23" i="2"/>
  <c r="R36" i="2"/>
  <c r="AR56" i="3"/>
  <c r="C10" i="2"/>
  <c r="V20" i="2"/>
  <c r="T32" i="2"/>
  <c r="F32" i="2"/>
  <c r="E20" i="2"/>
  <c r="C16" i="2"/>
  <c r="K14" i="2"/>
  <c r="X29" i="2"/>
  <c r="F15" i="2"/>
  <c r="U31" i="2"/>
  <c r="I26" i="2"/>
  <c r="E9" i="3"/>
  <c r="S46" i="3"/>
  <c r="AR36" i="3"/>
  <c r="AR9" i="3"/>
  <c r="E32" i="3"/>
  <c r="W46" i="3"/>
  <c r="T45" i="3"/>
  <c r="AR27" i="3"/>
  <c r="AR38" i="3"/>
  <c r="AP46" i="3"/>
  <c r="P46" i="3"/>
  <c r="D6" i="3"/>
  <c r="AO45" i="3"/>
  <c r="D20" i="3"/>
  <c r="F7" i="3"/>
  <c r="D14" i="3"/>
  <c r="AR16" i="3"/>
  <c r="AZ15" i="4" a="1"/>
  <c r="BY7" i="4" a="1"/>
  <c r="Z8" i="4" a="1"/>
  <c r="AI9" i="4" a="1"/>
  <c r="J16" i="4" a="1"/>
  <c r="BI13" i="4" a="1"/>
  <c r="DK5" i="4" a="1"/>
  <c r="BZ15" i="4" a="1"/>
  <c r="AI11" i="4" a="1"/>
  <c r="DF5" i="4" a="1"/>
  <c r="DQ16" i="4" a="1"/>
  <c r="BG8" i="4" a="1"/>
  <c r="BA5" i="4" a="1"/>
  <c r="BE12" i="4" a="1"/>
  <c r="DF7" i="4" a="1"/>
  <c r="DO12" i="4" a="1"/>
  <c r="DI8" i="4" a="1"/>
  <c r="BT9" i="4" a="1"/>
  <c r="CA8" i="4" a="1"/>
  <c r="AC12" i="4" a="1"/>
  <c r="CI13" i="4" a="1"/>
  <c r="C7" i="4" a="1"/>
  <c r="DP11" i="4" a="1"/>
  <c r="BI7" i="4" a="1"/>
  <c r="EE11" i="4" a="1"/>
  <c r="DQ14" i="4" a="1"/>
  <c r="AY6" i="4" a="1"/>
  <c r="AY12" i="4" a="1"/>
  <c r="DE16" i="4" a="1"/>
  <c r="AI5" i="4" a="1"/>
  <c r="AU7" i="4" a="1"/>
  <c r="BH7" i="4" a="1"/>
  <c r="EE16" i="4" a="1"/>
  <c r="BJ16" i="4" a="1"/>
  <c r="AT6" i="4" a="1"/>
  <c r="CW9" i="4" a="1"/>
  <c r="DI7" i="4" a="1"/>
  <c r="AA16" i="4" a="1"/>
  <c r="I7" i="4" a="1"/>
  <c r="AJ13" i="4" a="1"/>
  <c r="CB12" i="4" a="1"/>
  <c r="AN15" i="4" a="1"/>
  <c r="BP12" i="4" a="1"/>
  <c r="AR9" i="4" a="1"/>
  <c r="DB12" i="4" a="1"/>
  <c r="AG16" i="4" a="1"/>
  <c r="L11" i="4" a="1"/>
  <c r="T9" i="4" a="1"/>
  <c r="CL11" i="4" a="1"/>
  <c r="DG9" i="4" a="1"/>
  <c r="C13" i="4" a="1"/>
  <c r="T15" i="4" a="1"/>
  <c r="AZ13" i="4" a="1"/>
  <c r="V9" i="4" a="1"/>
  <c r="E8" i="4" a="1"/>
  <c r="BZ6" i="4" a="1"/>
  <c r="DO11" i="4" a="1"/>
  <c r="BB9" i="4" a="1"/>
  <c r="CJ14" i="4" a="1"/>
  <c r="I9" i="4" a="1"/>
  <c r="K8" i="4" a="1"/>
  <c r="CU14" i="4" a="1"/>
  <c r="U15" i="4" a="1"/>
  <c r="DD5" i="4" a="1"/>
  <c r="CR12" i="4" a="1"/>
  <c r="U7" i="4" a="1"/>
  <c r="CY12" i="4" a="1"/>
  <c r="DR9" i="4" a="1"/>
  <c r="AW8" i="4" a="1"/>
  <c r="V13" i="4" a="1"/>
  <c r="AX12" i="4" a="1"/>
  <c r="CR7" i="4" a="1"/>
  <c r="BU9" i="4" a="1"/>
  <c r="ED15" i="4" a="1"/>
  <c r="R12" i="4" a="1"/>
  <c r="AZ11" i="4" a="1"/>
  <c r="S8" i="4" a="1"/>
  <c r="BN5" i="4" a="1"/>
  <c r="EG11" i="4" a="1"/>
  <c r="DZ15" i="4" a="1"/>
  <c r="AT11" i="4" a="1"/>
  <c r="BE16" i="4" a="1"/>
  <c r="BD8" i="4" a="1"/>
  <c r="DI12" i="4" a="1"/>
  <c r="T14" i="4" a="1"/>
  <c r="CY7" i="4" a="1"/>
  <c r="BG9" i="4" a="1"/>
  <c r="EE7" i="4" a="1"/>
  <c r="BD7" i="4" a="1"/>
  <c r="S13" i="4" a="1"/>
  <c r="EH14" i="4" a="1"/>
  <c r="Z11" i="4" a="1"/>
  <c r="BN14" i="4" a="1"/>
  <c r="BH11" i="4" a="1"/>
  <c r="DP13" i="4" a="1"/>
  <c r="DB15" i="4" a="1"/>
  <c r="CK16" i="4" a="1"/>
  <c r="CB11" i="4" a="1"/>
  <c r="CZ14" i="4" a="1"/>
  <c r="W16" i="4" a="1"/>
  <c r="BU15" i="4" a="1"/>
  <c r="N16" i="4" a="1"/>
  <c r="S6" i="4" a="1"/>
  <c r="BK7" i="4" a="1"/>
  <c r="DD15" i="4" a="1"/>
  <c r="AS12" i="4" a="1"/>
  <c r="BV12" i="4" a="1"/>
  <c r="CW8" i="4" a="1"/>
  <c r="CE12" i="4" a="1"/>
  <c r="K13" i="4" a="1"/>
  <c r="DA16" i="4" a="1"/>
  <c r="DI6" i="4" a="1"/>
  <c r="AI12" i="4" a="1"/>
  <c r="BM7" i="4" a="1"/>
  <c r="CO12" i="4" a="1"/>
  <c r="T11" i="4" a="1"/>
  <c r="AR71" i="3"/>
  <c r="G21" i="2"/>
  <c r="W22" i="2"/>
  <c r="AR73" i="3"/>
  <c r="AD18" i="3"/>
  <c r="D23" i="3"/>
  <c r="E38" i="3"/>
  <c r="E12" i="3"/>
  <c r="D46" i="3"/>
  <c r="DO14" i="4" a="1"/>
  <c r="CZ16" i="4" a="1"/>
  <c r="BT7" i="4" a="1"/>
  <c r="Q12" i="4" a="1"/>
  <c r="EG5" i="4" a="1"/>
  <c r="AG15" i="4" a="1"/>
  <c r="CH7" i="4" a="1"/>
  <c r="AX6" i="4" a="1"/>
  <c r="AH5" i="4" a="1"/>
  <c r="DU5" i="4" a="1"/>
  <c r="EJ16" i="4" a="1"/>
  <c r="BJ5" i="4" a="1"/>
  <c r="BI9" i="4" a="1"/>
  <c r="K9" i="4" a="1"/>
  <c r="EF14" i="4" a="1"/>
  <c r="AU5" i="4" a="1"/>
  <c r="CJ12" i="4" a="1"/>
  <c r="BO15" i="4" a="1"/>
  <c r="CQ5" i="4" a="1"/>
  <c r="DX9" i="4" a="1"/>
  <c r="EE15" i="4" a="1"/>
  <c r="AN12" i="4" a="1"/>
  <c r="BT8" i="4" a="1"/>
  <c r="BD16" i="4" a="1"/>
  <c r="S5" i="4" a="1"/>
  <c r="F14" i="4" a="1"/>
  <c r="M8" i="4" a="1"/>
  <c r="CT16" i="4" a="1"/>
  <c r="EH15" i="4" a="1"/>
  <c r="E5" i="4" a="1"/>
  <c r="CU13" i="4" a="1"/>
  <c r="G16" i="4" a="1"/>
  <c r="AE8" i="4" a="1"/>
  <c r="AG6" i="4" a="1"/>
  <c r="U13" i="4" a="1"/>
  <c r="CS9" i="4" a="1"/>
  <c r="S35" i="2"/>
  <c r="T26" i="2"/>
  <c r="C21" i="2"/>
  <c r="D9" i="2"/>
  <c r="I14" i="2"/>
  <c r="G36" i="2"/>
  <c r="X33" i="2"/>
  <c r="F10" i="2"/>
  <c r="D19" i="2"/>
  <c r="J18" i="2"/>
  <c r="O32" i="2"/>
  <c r="D32" i="2"/>
  <c r="V7" i="2"/>
  <c r="C6" i="2"/>
  <c r="R33" i="2"/>
  <c r="F27" i="2"/>
  <c r="E19" i="2"/>
  <c r="U25" i="2"/>
  <c r="R6" i="2"/>
  <c r="D29" i="2"/>
  <c r="K17" i="2"/>
  <c r="U22" i="2"/>
  <c r="V23" i="2"/>
  <c r="N35" i="2"/>
  <c r="J9" i="2"/>
  <c r="K7" i="2"/>
  <c r="J7" i="2"/>
  <c r="D22" i="2"/>
  <c r="G10" i="2"/>
  <c r="X63" i="2"/>
  <c r="F25" i="2"/>
  <c r="G35" i="2"/>
  <c r="G25" i="2"/>
  <c r="R15" i="2"/>
  <c r="M13" i="2"/>
  <c r="F19" i="2"/>
  <c r="P69" i="2"/>
  <c r="F29" i="2"/>
  <c r="G11" i="2"/>
  <c r="K6" i="2"/>
  <c r="P5" i="2"/>
  <c r="P25" i="2"/>
  <c r="H32" i="2"/>
  <c r="AR60" i="3"/>
  <c r="M24" i="2"/>
  <c r="M34" i="2"/>
  <c r="R19" i="2"/>
  <c r="C65" i="2"/>
  <c r="AR94" i="3"/>
  <c r="F22" i="2"/>
  <c r="M9" i="2"/>
  <c r="C13" i="2"/>
  <c r="K15" i="2"/>
  <c r="AR86" i="3"/>
  <c r="AR78" i="3"/>
  <c r="F39" i="3"/>
  <c r="E25" i="3"/>
  <c r="E28" i="3"/>
  <c r="AD15" i="3"/>
  <c r="L46" i="3"/>
  <c r="AR42" i="3"/>
  <c r="G45" i="3"/>
  <c r="E42" i="3"/>
  <c r="AL46" i="3"/>
  <c r="G15" i="3"/>
  <c r="D22" i="3"/>
  <c r="AR39" i="3"/>
  <c r="F5" i="3"/>
  <c r="AR28" i="3"/>
  <c r="D18" i="3"/>
  <c r="I45" i="3"/>
  <c r="F35" i="3"/>
  <c r="AZ14" i="4" a="1"/>
  <c r="BF9" i="4" a="1"/>
  <c r="BF13" i="4" a="1"/>
  <c r="DH14" i="4" a="1"/>
  <c r="CB7" i="4" a="1"/>
  <c r="AS6" i="4" a="1"/>
  <c r="BF7" i="4" a="1"/>
  <c r="CG16" i="4" a="1"/>
  <c r="DV7" i="4" a="1"/>
  <c r="BC12" i="4" a="1"/>
  <c r="BK13" i="4" a="1"/>
  <c r="EK5" i="4" a="1"/>
  <c r="CA15" i="4" a="1"/>
  <c r="ED14" i="4" a="1"/>
  <c r="CN8" i="4" a="1"/>
  <c r="CS8" i="4" a="1"/>
  <c r="R11" i="4" a="1"/>
  <c r="AQ15" i="4" a="1"/>
  <c r="CK14" i="4" a="1"/>
  <c r="BI5" i="4" a="1"/>
  <c r="DP16" i="4" a="1"/>
  <c r="X8" i="4" a="1"/>
  <c r="CM13" i="4" a="1"/>
  <c r="DR11" i="4" a="1"/>
  <c r="BY15" i="4" a="1"/>
  <c r="EA8" i="4" a="1"/>
  <c r="D15" i="4" a="1"/>
  <c r="DV15" i="4" a="1"/>
  <c r="CT12" i="4" a="1"/>
  <c r="BO13" i="4" a="1"/>
  <c r="DC15" i="4" a="1"/>
  <c r="CS7" i="4" a="1"/>
  <c r="CH6" i="4" a="1"/>
  <c r="V6" i="4" a="1"/>
  <c r="CL12" i="4" a="1"/>
  <c r="BM16" i="4" a="1"/>
  <c r="DJ16" i="4" a="1"/>
  <c r="O11" i="4" a="1"/>
  <c r="DK14" i="4" a="1"/>
  <c r="AL13" i="4" a="1"/>
  <c r="DB7" i="4" a="1"/>
  <c r="AN9" i="4" a="1"/>
  <c r="EB5" i="4" a="1"/>
  <c r="CP9" i="4" a="1"/>
  <c r="DM11" i="4" a="1"/>
  <c r="BW6" i="4" a="1"/>
  <c r="BP15" i="4" a="1"/>
  <c r="CD16" i="4" a="1"/>
  <c r="CP15" i="4" a="1"/>
  <c r="CV13" i="4" a="1"/>
  <c r="CT13" i="4" a="1"/>
  <c r="AQ7" i="4" a="1"/>
  <c r="CO15" i="4" a="1"/>
  <c r="BM6" i="4" a="1"/>
  <c r="BK9" i="4" a="1"/>
  <c r="DT13" i="4" a="1"/>
  <c r="CN13" i="4" a="1"/>
  <c r="D16" i="4" a="1"/>
  <c r="AB14" i="4" a="1"/>
  <c r="AS14" i="4" a="1"/>
  <c r="DR8" i="4" a="1"/>
  <c r="AD6" i="4" a="1"/>
  <c r="C11" i="4" a="1"/>
  <c r="M11" i="4" a="1"/>
  <c r="CS13" i="4" a="1"/>
  <c r="AW15" i="4" a="1"/>
  <c r="CD13" i="4" a="1"/>
  <c r="CH16" i="4" a="1"/>
  <c r="AO13" i="4" a="1"/>
  <c r="DM14" i="4" a="1"/>
  <c r="EG8" i="4" a="1"/>
  <c r="DR15" i="4" a="1"/>
  <c r="BG13" i="4" a="1"/>
  <c r="ED8" i="4" a="1"/>
  <c r="AL9" i="4" a="1"/>
  <c r="BH13" i="4" a="1"/>
  <c r="CU12" i="4" a="1"/>
  <c r="O5" i="4" a="1"/>
  <c r="L8" i="4" a="1"/>
  <c r="H9" i="4" a="1"/>
  <c r="DS7" i="4" a="1"/>
  <c r="BP6" i="4" a="1"/>
  <c r="CL14" i="4" a="1"/>
  <c r="E7" i="4" a="1"/>
  <c r="CI9" i="4" a="1"/>
  <c r="K5" i="4" a="1"/>
  <c r="CZ6" i="4" a="1"/>
  <c r="AL14" i="4" a="1"/>
  <c r="AP8" i="4" a="1"/>
  <c r="BW5" i="4" a="1"/>
  <c r="E11" i="4" a="1"/>
  <c r="BU5" i="4" a="1"/>
  <c r="EH12" i="4" a="1"/>
  <c r="DF8" i="4" a="1"/>
  <c r="DK8" i="4" a="1"/>
  <c r="DA15" i="4" a="1"/>
  <c r="CV8" i="4" a="1"/>
  <c r="BW9" i="4" a="1"/>
  <c r="EC6" i="4" a="1"/>
  <c r="AA5" i="4" a="1"/>
  <c r="DN16" i="4" a="1"/>
  <c r="DN11" i="4" a="1"/>
  <c r="AL11" i="4" a="1"/>
  <c r="BC11" i="4" a="1"/>
  <c r="DM7" i="4" a="1"/>
  <c r="N8" i="4" a="1"/>
  <c r="O13" i="4" a="1"/>
  <c r="BC6" i="4" a="1"/>
  <c r="EJ9" i="4" a="1"/>
  <c r="AV7" i="4" a="1"/>
  <c r="DR13" i="4" a="1"/>
  <c r="AC7" i="4" a="1"/>
  <c r="EG15" i="4" a="1"/>
  <c r="AJ6" i="4" a="1"/>
  <c r="EI15" i="4" a="1"/>
  <c r="T14" i="2"/>
  <c r="AR76" i="3"/>
  <c r="D11" i="2"/>
  <c r="D5" i="2"/>
  <c r="F14" i="2"/>
  <c r="D17" i="3"/>
  <c r="U45" i="3"/>
  <c r="AD5" i="3"/>
  <c r="E46" i="3"/>
  <c r="D5" i="3"/>
  <c r="DM5" i="4" a="1"/>
  <c r="BR12" i="4" a="1"/>
  <c r="AD8" i="4" a="1"/>
  <c r="BW15" i="4" a="1"/>
  <c r="EA5" i="4" a="1"/>
  <c r="DZ16" i="4" a="1"/>
  <c r="CC8" i="4" a="1"/>
  <c r="CP14" i="4" a="1"/>
  <c r="BE6" i="4" a="1"/>
  <c r="DJ14" i="4" a="1"/>
  <c r="CT7" i="4" a="1"/>
  <c r="BM14" i="4" a="1"/>
  <c r="CB5" i="4" a="1"/>
  <c r="AR13" i="4" a="1"/>
  <c r="EA7" i="4" a="1"/>
  <c r="DO16" i="4" a="1"/>
  <c r="EC8" i="4" a="1"/>
  <c r="DM16" i="4" a="1"/>
  <c r="DC11" i="4" a="1"/>
  <c r="EC14" i="4" a="1"/>
  <c r="DJ9" i="4" a="1"/>
  <c r="CQ7" i="4" a="1"/>
  <c r="DK9" i="4" a="1"/>
  <c r="M12" i="4" a="1"/>
  <c r="DU9" i="4" a="1"/>
  <c r="V7" i="4" a="1"/>
  <c r="BJ13" i="4" a="1"/>
  <c r="F5" i="4" a="1"/>
  <c r="CE9" i="4" a="1"/>
  <c r="AO8" i="4" a="1"/>
  <c r="EJ15" i="4" a="1"/>
  <c r="AM9" i="4" a="1"/>
  <c r="AL16" i="4" a="1"/>
  <c r="EJ8" i="4" a="1"/>
  <c r="DS11" i="4" a="1"/>
  <c r="W9" i="2"/>
  <c r="Q69" i="2"/>
  <c r="T34" i="2"/>
  <c r="X41" i="2"/>
  <c r="Q6" i="2"/>
  <c r="V21" i="2"/>
  <c r="H9" i="2"/>
  <c r="T5" i="2"/>
  <c r="I27" i="2"/>
  <c r="U29" i="2"/>
  <c r="N9" i="2"/>
  <c r="H29" i="2"/>
  <c r="X11" i="2"/>
  <c r="K33" i="2"/>
  <c r="C31" i="2"/>
  <c r="U30" i="2"/>
  <c r="T12" i="2"/>
  <c r="R18" i="2"/>
  <c r="P22" i="2"/>
  <c r="P23" i="2"/>
  <c r="V16" i="2"/>
  <c r="W35" i="2"/>
  <c r="D28" i="2"/>
  <c r="I32" i="2"/>
  <c r="L19" i="2"/>
  <c r="O22" i="2"/>
  <c r="R24" i="2"/>
  <c r="S19" i="2"/>
  <c r="D10" i="2"/>
  <c r="W10" i="2"/>
  <c r="I17" i="2"/>
  <c r="G24" i="2"/>
  <c r="P26" i="2"/>
  <c r="L31" i="2"/>
  <c r="D33" i="2"/>
  <c r="U10" i="2"/>
  <c r="O34" i="2"/>
  <c r="Q20" i="2"/>
  <c r="C32" i="2"/>
  <c r="E12" i="2"/>
  <c r="C14" i="2"/>
  <c r="L30" i="2"/>
  <c r="V11" i="2"/>
  <c r="AR55" i="3"/>
  <c r="AR72" i="3"/>
  <c r="U33" i="2"/>
  <c r="C26" i="2"/>
  <c r="O31" i="2"/>
  <c r="AR75" i="3"/>
  <c r="X26" i="2"/>
  <c r="W34" i="2"/>
  <c r="D14" i="2"/>
  <c r="C30" i="2"/>
  <c r="AR77" i="3"/>
  <c r="AG45" i="3"/>
  <c r="H45" i="3"/>
  <c r="D19" i="3"/>
  <c r="E41" i="3"/>
  <c r="E20" i="3"/>
  <c r="AP45" i="3"/>
  <c r="R46" i="3"/>
  <c r="AR32" i="3"/>
  <c r="F13" i="3"/>
  <c r="Z45" i="3"/>
  <c r="P45" i="3"/>
  <c r="G13" i="3"/>
  <c r="AJ45" i="3"/>
  <c r="E29" i="3"/>
  <c r="AH45" i="3"/>
  <c r="U46" i="3"/>
  <c r="F26" i="3"/>
  <c r="N9" i="4" a="1"/>
  <c r="AF7" i="4" a="1"/>
  <c r="DZ14" i="4" a="1"/>
  <c r="J8" i="4" a="1"/>
  <c r="AO12" i="4" a="1"/>
  <c r="CM16" i="4" a="1"/>
  <c r="D8" i="4" a="1"/>
  <c r="AK8" i="4" a="1"/>
  <c r="L9" i="4" a="1"/>
  <c r="AB13" i="4" a="1"/>
  <c r="CF9" i="4" a="1"/>
  <c r="T7" i="4" a="1"/>
  <c r="EK15" i="4" a="1"/>
  <c r="EG16" i="4" a="1"/>
  <c r="R14" i="4" a="1"/>
  <c r="AC14" i="4" a="1"/>
  <c r="V12" i="4" a="1"/>
  <c r="CV6" i="4" a="1"/>
  <c r="CV12" i="4" a="1"/>
  <c r="BI6" i="4" a="1"/>
  <c r="DX6" i="4" a="1"/>
  <c r="F16" i="4" a="1"/>
  <c r="BH14" i="4" a="1"/>
  <c r="BK12" i="4" a="1"/>
  <c r="AK5" i="4" a="1"/>
  <c r="CS15" i="4" a="1"/>
  <c r="CM7" i="4" a="1"/>
  <c r="BP8" i="4" a="1"/>
  <c r="EG6" i="4" a="1"/>
  <c r="L5" i="4" a="1"/>
  <c r="DQ5" i="4" a="1"/>
  <c r="CC13" i="4" a="1"/>
  <c r="I5" i="4" a="1"/>
  <c r="DY14" i="4" a="1"/>
  <c r="AV8" i="4" a="1"/>
  <c r="CJ8" i="4" a="1"/>
  <c r="AJ9" i="4" a="1"/>
  <c r="BQ11" i="4" a="1"/>
  <c r="DE8" i="4" a="1"/>
  <c r="BX12" i="4" a="1"/>
  <c r="CI16" i="4" a="1"/>
  <c r="W6" i="4" a="1"/>
  <c r="CM15" i="4" a="1"/>
  <c r="CE13" i="4" a="1"/>
  <c r="E6" i="4" a="1"/>
  <c r="CV14" i="4" a="1"/>
  <c r="CF11" i="4" a="1"/>
  <c r="BA15" i="4" a="1"/>
  <c r="CR16" i="4" a="1"/>
  <c r="DO8" i="4" a="1"/>
  <c r="DS13" i="4" a="1"/>
  <c r="U8" i="4" a="1"/>
  <c r="E12" i="4" a="1"/>
  <c r="EC12" i="4" a="1"/>
  <c r="BB5" i="4" a="1"/>
  <c r="BE9" i="4" a="1"/>
  <c r="CT9" i="4" a="1"/>
  <c r="H5" i="4" a="1"/>
  <c r="AA8" i="4" a="1"/>
  <c r="CW13" i="4" a="1"/>
  <c r="CG5" i="4" a="1"/>
  <c r="DU6" i="4" a="1"/>
  <c r="EF11" i="4" a="1"/>
  <c r="W7" i="4" a="1"/>
  <c r="DQ6" i="4" a="1"/>
  <c r="CA5" i="4" a="1"/>
  <c r="EC5" i="4" a="1"/>
  <c r="AW9" i="4" a="1"/>
  <c r="CG9" i="4" a="1"/>
  <c r="AI6" i="4" a="1"/>
  <c r="Z6" i="4" a="1"/>
  <c r="DH9" i="4" a="1"/>
  <c r="DH7" i="4" a="1"/>
  <c r="CW6" i="4" a="1"/>
  <c r="AC13" i="4" a="1"/>
  <c r="CX9" i="4" a="1"/>
  <c r="AA15" i="4" a="1"/>
  <c r="DN5" i="4" a="1"/>
  <c r="AU14" i="4" a="1"/>
  <c r="DI11" i="4" a="1"/>
  <c r="BA8" i="4" a="1"/>
  <c r="EF12" i="4" a="1"/>
  <c r="BS8" i="4" a="1"/>
  <c r="CX13" i="4" a="1"/>
  <c r="CX11" i="4" a="1"/>
  <c r="I6" i="4" a="1"/>
  <c r="AT12" i="4" a="1"/>
  <c r="K11" i="4" a="1"/>
  <c r="CU11" i="4" a="1"/>
  <c r="DW8" i="4" a="1"/>
  <c r="DL8" i="4" a="1"/>
  <c r="DA5" i="4" a="1"/>
  <c r="CA13" i="4" a="1"/>
  <c r="W14" i="4" a="1"/>
  <c r="AX5" i="4" a="1"/>
  <c r="DK11" i="4" a="1"/>
  <c r="EI13" i="4" a="1"/>
  <c r="AC8" i="4" a="1"/>
  <c r="DZ5" i="4" a="1"/>
  <c r="BE14" i="4" a="1"/>
  <c r="BF15" i="4" a="1"/>
  <c r="AJ15" i="4" a="1"/>
  <c r="DG6" i="4" a="1"/>
  <c r="DY15" i="4" a="1"/>
  <c r="DO7" i="4" a="1"/>
  <c r="DE9" i="4" a="1"/>
  <c r="BQ5" i="4" a="1"/>
  <c r="CC9" i="4" a="1"/>
  <c r="L12" i="4" a="1"/>
  <c r="DE5" i="4" a="1"/>
  <c r="EG13" i="4" a="1"/>
  <c r="BO6" i="4" a="1"/>
  <c r="AP12" i="4" a="1"/>
  <c r="G5" i="4" a="1"/>
  <c r="DY13" i="4" a="1"/>
  <c r="AQ6" i="4" a="1"/>
  <c r="M23" i="2"/>
  <c r="J5" i="2"/>
  <c r="R16" i="2"/>
  <c r="AR87" i="3"/>
  <c r="D16" i="3"/>
  <c r="E6" i="3"/>
  <c r="D9" i="3"/>
  <c r="G24" i="3"/>
  <c r="E45" i="3"/>
  <c r="AD9" i="4" a="1"/>
  <c r="Y5" i="4" a="1"/>
  <c r="CR13" i="4" a="1"/>
  <c r="C15" i="4" a="1"/>
  <c r="CT14" i="4" a="1"/>
  <c r="CY16" i="4" a="1"/>
  <c r="AO11" i="4" a="1"/>
  <c r="AM5" i="4" a="1"/>
  <c r="DW6" i="4" a="1"/>
  <c r="DG5" i="4" a="1"/>
  <c r="BB16" i="4" a="1"/>
  <c r="AX16" i="4" a="1"/>
  <c r="V16" i="4" a="1"/>
  <c r="AV15" i="4" a="1"/>
  <c r="AA9" i="4" a="1"/>
  <c r="EA16" i="4" a="1"/>
  <c r="CD15" i="4" a="1"/>
  <c r="BB11" i="4" a="1"/>
  <c r="DC13" i="4" a="1"/>
  <c r="EK12" i="4" a="1"/>
  <c r="BN6" i="4" a="1"/>
  <c r="AQ9" i="4" a="1"/>
  <c r="F6" i="4" a="1"/>
  <c r="DA9" i="4" a="1"/>
  <c r="BY9" i="4" a="1"/>
  <c r="AG13" i="4" a="1"/>
  <c r="CE14" i="4" a="1"/>
  <c r="CH11" i="4" a="1"/>
  <c r="AM12" i="4" a="1"/>
  <c r="DW11" i="4" a="1"/>
  <c r="BA13" i="4" a="1"/>
  <c r="EK6" i="4" a="1"/>
  <c r="AQ11" i="4" a="1"/>
  <c r="BI8" i="4" a="1"/>
  <c r="Q11" i="4" a="1"/>
  <c r="DW16" i="4" a="1"/>
  <c r="M14" i="2"/>
  <c r="W16" i="2"/>
  <c r="J24" i="2"/>
  <c r="G23" i="2"/>
  <c r="D6" i="2"/>
  <c r="U6" i="2"/>
  <c r="L17" i="2"/>
  <c r="L13" i="2"/>
  <c r="D47" i="2"/>
  <c r="D8" i="2"/>
  <c r="H99" i="2"/>
  <c r="J10" i="2"/>
  <c r="D20" i="2"/>
  <c r="Q11" i="2"/>
  <c r="D17" i="2"/>
  <c r="I20" i="2"/>
  <c r="R31" i="2"/>
  <c r="M8" i="2"/>
  <c r="R21" i="2"/>
  <c r="K25" i="2"/>
  <c r="T7" i="2"/>
  <c r="C59" i="2"/>
  <c r="K31" i="2"/>
  <c r="L15" i="2"/>
  <c r="V36" i="2"/>
  <c r="I10" i="2"/>
  <c r="J36" i="2"/>
  <c r="L18" i="2"/>
  <c r="F23" i="2"/>
  <c r="X19" i="2"/>
  <c r="N5" i="2"/>
  <c r="H8" i="2"/>
  <c r="N11" i="2"/>
  <c r="X14" i="2"/>
  <c r="L23" i="2"/>
  <c r="Q56" i="2"/>
  <c r="P9" i="2"/>
  <c r="L20" i="2"/>
  <c r="I31" i="2"/>
  <c r="L10" i="2"/>
  <c r="L33" i="2"/>
  <c r="U34" i="2"/>
  <c r="V33" i="2"/>
  <c r="S17" i="2"/>
  <c r="W12" i="2"/>
  <c r="C9" i="2"/>
  <c r="C28" i="2"/>
  <c r="C22" i="2"/>
  <c r="J6" i="2"/>
  <c r="R34" i="2"/>
  <c r="V10" i="2"/>
  <c r="M5" i="2"/>
  <c r="I35" i="2"/>
  <c r="I24" i="2"/>
  <c r="T27" i="2"/>
  <c r="R14" i="2"/>
  <c r="L21" i="2"/>
  <c r="M29" i="2"/>
  <c r="E24" i="2"/>
  <c r="P32" i="2"/>
  <c r="H21" i="2"/>
  <c r="V31" i="2"/>
  <c r="E23" i="2"/>
  <c r="M10" i="2"/>
  <c r="R27" i="2"/>
  <c r="T11" i="2"/>
  <c r="AR88" i="3"/>
  <c r="J11" i="2"/>
  <c r="R26" i="2"/>
  <c r="J14" i="2"/>
  <c r="M31" i="2"/>
  <c r="AR95" i="3"/>
  <c r="AR65" i="3"/>
  <c r="K27" i="2"/>
  <c r="I21" i="2"/>
  <c r="J30" i="2"/>
  <c r="V15" i="2"/>
  <c r="AJ46" i="3"/>
  <c r="F17" i="3"/>
  <c r="F20" i="3"/>
  <c r="E26" i="3"/>
  <c r="D34" i="3"/>
  <c r="AD13" i="3"/>
  <c r="D15" i="3"/>
  <c r="AR17" i="3"/>
  <c r="O45" i="3"/>
  <c r="AD46" i="3"/>
  <c r="D45" i="3"/>
  <c r="E31" i="3"/>
  <c r="AO46" i="3"/>
  <c r="AR26" i="3"/>
  <c r="AD16" i="3"/>
  <c r="D35" i="3"/>
  <c r="AK45" i="3"/>
  <c r="CI14" i="4" a="1"/>
  <c r="AL12" i="4" a="1"/>
  <c r="EC15" i="4" a="1"/>
  <c r="AG7" i="4" a="1"/>
  <c r="J9" i="4" a="1"/>
  <c r="BE15" i="4" a="1"/>
  <c r="AC11" i="4" a="1"/>
  <c r="BO8" i="4" a="1"/>
  <c r="I14" i="4" a="1"/>
  <c r="CD5" i="4" a="1"/>
  <c r="CN16" i="4" a="1"/>
  <c r="S15" i="4" a="1"/>
  <c r="AH8" i="4" a="1"/>
  <c r="DM15" i="4" a="1"/>
  <c r="AD11" i="4" a="1"/>
  <c r="M5" i="4" a="1"/>
  <c r="CO9" i="4" a="1"/>
  <c r="CZ15" i="4" a="1"/>
  <c r="DE12" i="4" a="1"/>
  <c r="AY7" i="4" a="1"/>
  <c r="CU8" i="4" a="1"/>
  <c r="BQ9" i="4" a="1"/>
  <c r="BD5" i="4" a="1"/>
  <c r="DF13" i="4" a="1"/>
  <c r="V5" i="4" a="1"/>
  <c r="DP12" i="4" a="1"/>
  <c r="BU13" i="4" a="1"/>
  <c r="DR12" i="4" a="1"/>
  <c r="AM6" i="4" a="1"/>
  <c r="BX5" i="4" a="1"/>
  <c r="EJ12" i="4" a="1"/>
  <c r="DW15" i="4" a="1"/>
  <c r="DG14" i="4" a="1"/>
  <c r="DP7" i="4" a="1"/>
  <c r="CT15" i="4" a="1"/>
  <c r="AB5" i="4" a="1"/>
  <c r="BJ6" i="4" a="1"/>
  <c r="DT16" i="4" a="1"/>
  <c r="AA13" i="4" a="1"/>
  <c r="BP16" i="4" a="1"/>
  <c r="CB14" i="4" a="1"/>
  <c r="BU14" i="4" a="1"/>
  <c r="F9" i="4" a="1"/>
  <c r="BJ8" i="4" a="1"/>
  <c r="EA9" i="4" a="1"/>
  <c r="BG15" i="4" a="1"/>
  <c r="L7" i="4" a="1"/>
  <c r="CQ15" i="4" a="1"/>
  <c r="EI5" i="4" a="1"/>
  <c r="AI15" i="4" a="1"/>
  <c r="CN12" i="4" a="1"/>
  <c r="DH13" i="4" a="1"/>
  <c r="AT5" i="4" a="1"/>
  <c r="DB13" i="4" a="1"/>
  <c r="DC16" i="4" a="1"/>
  <c r="DN14" i="4" a="1"/>
  <c r="BZ7" i="4" a="1"/>
  <c r="J13" i="4" a="1"/>
  <c r="BR15" i="4" a="1"/>
  <c r="H12" i="4" a="1"/>
  <c r="CO16" i="4" a="1"/>
  <c r="CI5" i="4" a="1"/>
  <c r="AY14" i="4" a="1"/>
  <c r="CX16" i="4" a="1"/>
  <c r="W9" i="4" a="1"/>
  <c r="AH6" i="4" a="1"/>
  <c r="BF5" i="4" a="1"/>
  <c r="R7" i="4" a="1"/>
  <c r="T13" i="4" a="1"/>
  <c r="DN7" i="4" a="1"/>
  <c r="DJ11" i="4" a="1"/>
  <c r="DO13" i="4" a="1"/>
  <c r="EI8" i="4" a="1"/>
  <c r="CG11" i="4" a="1"/>
  <c r="BB7" i="4" a="1"/>
  <c r="Q15" i="4" a="1"/>
  <c r="AR6" i="4" a="1"/>
  <c r="AY15" i="4" a="1"/>
  <c r="AF5" i="4" a="1"/>
  <c r="CF5" i="4" a="1"/>
  <c r="AH16" i="4" a="1"/>
  <c r="DD14" i="4" a="1"/>
  <c r="DV9" i="4" a="1"/>
  <c r="G15" i="4" a="1"/>
  <c r="CG13" i="4" a="1"/>
  <c r="Q6" i="4" a="1"/>
  <c r="BX11" i="4" a="1"/>
  <c r="EK13" i="4" a="1"/>
  <c r="N5" i="4" a="1"/>
  <c r="BO11" i="4" a="1"/>
  <c r="CK12" i="4" a="1"/>
  <c r="BY12" i="4" a="1"/>
  <c r="AT7" i="4" a="1"/>
  <c r="DW12" i="4" a="1"/>
  <c r="BF8" i="4" a="1"/>
  <c r="CQ9" i="4" a="1"/>
  <c r="Z14" i="4" a="1"/>
  <c r="AJ11" i="4" a="1"/>
  <c r="AS7" i="4" a="1"/>
  <c r="AD14" i="4" a="1"/>
  <c r="CJ15" i="4" a="1"/>
  <c r="DN13" i="4" a="1"/>
  <c r="AW16" i="4" a="1"/>
  <c r="DD16" i="4" a="1"/>
  <c r="AW6" i="4" a="1"/>
  <c r="CR14" i="4" a="1"/>
  <c r="DT8" i="4" a="1"/>
  <c r="CE16" i="4" a="1"/>
  <c r="DK12" i="4" a="1"/>
  <c r="AO15" i="4" a="1"/>
  <c r="EK11" i="4" a="1"/>
  <c r="DU12" i="4" a="1"/>
  <c r="CM5" i="4" a="1"/>
  <c r="BP13" i="4" a="1"/>
  <c r="CH9" i="4" a="1"/>
  <c r="AH14" i="4" a="1"/>
  <c r="Q36" i="2"/>
  <c r="O21" i="2"/>
  <c r="T25" i="2"/>
  <c r="E27" i="2"/>
  <c r="D26" i="3"/>
  <c r="E22" i="3"/>
  <c r="G18" i="3"/>
  <c r="AR20" i="3"/>
  <c r="G8" i="3"/>
  <c r="E16" i="4" a="1"/>
  <c r="BJ11" i="4" a="1"/>
  <c r="DM6" i="4" a="1"/>
  <c r="DP14" i="4" a="1"/>
  <c r="AK14" i="4" a="1"/>
  <c r="BK6" i="4" a="1"/>
  <c r="AE7" i="4" a="1"/>
  <c r="X15" i="4" a="1"/>
  <c r="AF8" i="4" a="1"/>
  <c r="U9" i="4" a="1"/>
  <c r="CC16" i="4" a="1"/>
  <c r="K16" i="4" a="1"/>
  <c r="EI9" i="4" a="1"/>
  <c r="DK16" i="4" a="1"/>
  <c r="Q13" i="4" a="1"/>
  <c r="AS15" i="4" a="1"/>
  <c r="AG11" i="4" a="1"/>
  <c r="CI12" i="4" a="1"/>
  <c r="DX11" i="4" a="1"/>
  <c r="BP9" i="4" a="1"/>
  <c r="AF13" i="4" a="1"/>
  <c r="AS11" i="4" a="1"/>
  <c r="CY13" i="4" a="1"/>
  <c r="BB12" i="4" a="1"/>
  <c r="DD8" i="4" a="1"/>
  <c r="CX8" i="4" a="1"/>
  <c r="CZ11" i="4" a="1"/>
  <c r="AG8" i="4" a="1"/>
  <c r="AF14" i="4" a="1"/>
  <c r="DU14" i="4" a="1"/>
  <c r="CU15" i="4" a="1"/>
  <c r="DE13" i="4" a="1"/>
  <c r="CP11" i="4" a="1"/>
  <c r="DH11" i="4" a="1"/>
  <c r="CG15" i="4" a="1"/>
  <c r="BA16" i="4" a="1"/>
  <c r="Q28" i="2"/>
  <c r="K5" i="2"/>
  <c r="K26" i="2"/>
  <c r="W25" i="2"/>
  <c r="O16" i="2"/>
  <c r="F75" i="2"/>
  <c r="J27" i="2"/>
  <c r="V26" i="2"/>
  <c r="K32" i="2"/>
  <c r="O26" i="2"/>
  <c r="C17" i="2"/>
  <c r="V28" i="2"/>
  <c r="N25" i="2"/>
  <c r="S26" i="2"/>
  <c r="O12" i="2"/>
  <c r="V14" i="2"/>
  <c r="K36" i="2"/>
  <c r="W31" i="2"/>
  <c r="E35" i="2"/>
  <c r="L9" i="2"/>
  <c r="J19" i="2"/>
  <c r="K8" i="2"/>
  <c r="O28" i="2"/>
  <c r="K16" i="2"/>
  <c r="D21" i="2"/>
  <c r="K24" i="2"/>
  <c r="H12" i="2"/>
  <c r="O17" i="2"/>
  <c r="R54" i="2"/>
  <c r="N29" i="2"/>
  <c r="K10" i="2"/>
  <c r="O30" i="2"/>
  <c r="S23" i="2"/>
  <c r="G32" i="2"/>
  <c r="J12" i="2"/>
  <c r="I5" i="2"/>
  <c r="G27" i="2"/>
  <c r="M12" i="2"/>
  <c r="L28" i="2"/>
  <c r="L22" i="2"/>
  <c r="P35" i="2"/>
  <c r="Q15" i="2"/>
  <c r="X92" i="2"/>
  <c r="J20" i="2"/>
  <c r="S5" i="2"/>
  <c r="H28" i="2"/>
  <c r="R17" i="2"/>
  <c r="T23" i="2"/>
  <c r="AR50" i="3"/>
  <c r="F26" i="2"/>
  <c r="E16" i="2"/>
  <c r="X32" i="2"/>
  <c r="M30" i="2"/>
  <c r="AR63" i="3"/>
  <c r="AR47" i="3"/>
  <c r="I34" i="2"/>
  <c r="F30" i="2"/>
  <c r="V25" i="2"/>
  <c r="O14" i="2"/>
  <c r="E40" i="3"/>
  <c r="F8" i="3"/>
  <c r="AR12" i="3"/>
  <c r="AQ46" i="3"/>
  <c r="E14" i="3"/>
  <c r="D29" i="3"/>
  <c r="E17" i="3"/>
  <c r="AR25" i="3"/>
  <c r="E35" i="3"/>
  <c r="D42" i="3"/>
  <c r="AD7" i="3"/>
  <c r="AD12" i="3"/>
  <c r="G16" i="3"/>
  <c r="E7" i="3"/>
  <c r="AR29" i="3"/>
  <c r="E19" i="3"/>
  <c r="F41" i="3"/>
  <c r="ED16" i="4" a="1"/>
  <c r="AX8" i="4" a="1"/>
  <c r="BU6" i="4" a="1"/>
  <c r="AK9" i="4" a="1"/>
  <c r="AT14" i="4" a="1"/>
  <c r="D14" i="4" a="1"/>
  <c r="CR8" i="4" a="1"/>
  <c r="BU7" i="4" a="1"/>
  <c r="DS12" i="4" a="1"/>
  <c r="AF16" i="4" a="1"/>
  <c r="DC9" i="4" a="1"/>
  <c r="DM12" i="4" a="1"/>
  <c r="BN16" i="4" a="1"/>
  <c r="AQ12" i="4" a="1"/>
  <c r="AE6" i="4" a="1"/>
  <c r="CV9" i="4" a="1"/>
  <c r="V14" i="4" a="1"/>
  <c r="P16" i="4" a="1"/>
  <c r="DG11" i="4" a="1"/>
  <c r="X5" i="4" a="1"/>
  <c r="W13" i="4" a="1"/>
  <c r="BR13" i="4" a="1"/>
  <c r="EC11" i="4" a="1"/>
  <c r="CP13" i="4" a="1"/>
  <c r="DF11" i="4" a="1"/>
  <c r="CF12" i="4" a="1"/>
  <c r="AU13" i="4" a="1"/>
  <c r="DP5" i="4" a="1"/>
  <c r="P8" i="4" a="1"/>
  <c r="AE12" i="4" a="1"/>
  <c r="CP8" i="4" a="1"/>
  <c r="BV16" i="4" a="1"/>
  <c r="BM13" i="4" a="1"/>
  <c r="AZ6" i="4" a="1"/>
  <c r="Z7" i="4" a="1"/>
  <c r="M6" i="4" a="1"/>
  <c r="BH16" i="4" a="1"/>
  <c r="DX7" i="4" a="1"/>
  <c r="CK5" i="4" a="1"/>
  <c r="BD11" i="4" a="1"/>
  <c r="AL8" i="4" a="1"/>
  <c r="J14" i="4" a="1"/>
  <c r="DN6" i="4" a="1"/>
  <c r="N14" i="4" a="1"/>
  <c r="DX5" i="4" a="1"/>
  <c r="F13" i="4" a="1"/>
  <c r="AS13" i="4" a="1"/>
  <c r="Y11" i="4" a="1"/>
  <c r="CC14" i="4" a="1"/>
  <c r="CN9" i="4" a="1"/>
  <c r="CF8" i="4" a="1"/>
  <c r="AV5" i="4" a="1"/>
  <c r="CD12" i="4" a="1"/>
  <c r="N11" i="4" a="1"/>
  <c r="BR7" i="4" a="1"/>
  <c r="V11" i="4" a="1"/>
  <c r="AY16" i="4" a="1"/>
  <c r="CO7" i="4" a="1"/>
  <c r="DZ7" i="4" a="1"/>
  <c r="AA7" i="4" a="1"/>
  <c r="CV7" i="4" a="1"/>
  <c r="DK6" i="4" a="1"/>
  <c r="P12" i="4" a="1"/>
  <c r="AY13" i="4" a="1"/>
  <c r="EC13" i="4" a="1"/>
  <c r="DV8" i="4" a="1"/>
  <c r="BY16" i="4" a="1"/>
  <c r="DI15" i="4" a="1"/>
  <c r="BX14" i="4" a="1"/>
  <c r="CP6" i="4" a="1"/>
  <c r="DJ5" i="4" a="1"/>
  <c r="G13" i="4" a="1"/>
  <c r="EC16" i="4" a="1"/>
  <c r="DU13" i="4" a="1"/>
  <c r="AX7" i="4" a="1"/>
  <c r="BA11" i="4" a="1"/>
  <c r="AR14" i="4" a="1"/>
  <c r="BS5" i="4" a="1"/>
  <c r="CZ7" i="4" a="1"/>
  <c r="DW9" i="4" a="1"/>
  <c r="P15" i="4" a="1"/>
  <c r="Y15" i="4" a="1"/>
  <c r="Z12" i="4" a="1"/>
  <c r="BY6" i="4" a="1"/>
  <c r="H17" i="2"/>
  <c r="I23" i="2"/>
  <c r="K11" i="2"/>
  <c r="E32" i="2"/>
  <c r="L8" i="2"/>
  <c r="Q46" i="2"/>
  <c r="J13" i="2"/>
  <c r="I28" i="2"/>
  <c r="W17" i="2"/>
  <c r="H30" i="2"/>
  <c r="P34" i="2"/>
  <c r="J26" i="2"/>
  <c r="O33" i="2"/>
  <c r="Q33" i="2"/>
  <c r="J22" i="2"/>
  <c r="C19" i="2"/>
  <c r="I15" i="2"/>
  <c r="W30" i="2"/>
  <c r="X34" i="2"/>
  <c r="H54" i="2"/>
  <c r="G14" i="2"/>
  <c r="H16" i="2"/>
  <c r="W11" i="2"/>
  <c r="R8" i="2"/>
  <c r="P19" i="2"/>
  <c r="P33" i="2"/>
  <c r="T9" i="2"/>
  <c r="E25" i="2"/>
  <c r="H18" i="2"/>
  <c r="E28" i="2"/>
  <c r="Q13" i="2"/>
  <c r="G8" i="2"/>
  <c r="V9" i="2"/>
  <c r="P31" i="2"/>
  <c r="W14" i="2"/>
  <c r="M11" i="2"/>
  <c r="E36" i="2"/>
  <c r="AR57" i="3"/>
  <c r="E7" i="2"/>
  <c r="J8" i="2"/>
  <c r="H14" i="2"/>
  <c r="R22" i="2"/>
  <c r="AR74" i="3"/>
  <c r="AR83" i="3"/>
  <c r="W19" i="2"/>
  <c r="N32" i="2"/>
  <c r="H25" i="2"/>
  <c r="X12" i="2"/>
  <c r="G13" i="2"/>
  <c r="AR19" i="3"/>
  <c r="D13" i="3"/>
  <c r="D36" i="3"/>
  <c r="G31" i="3"/>
  <c r="F33" i="3"/>
  <c r="F42" i="3"/>
  <c r="D30" i="3"/>
  <c r="AR15" i="3"/>
  <c r="E33" i="3"/>
  <c r="AR46" i="3"/>
  <c r="AC45" i="3"/>
  <c r="AD9" i="3"/>
  <c r="AR31" i="3"/>
  <c r="G30" i="3"/>
  <c r="Q46" i="3"/>
  <c r="D41" i="3"/>
  <c r="AR35" i="3"/>
  <c r="DT7" i="4" a="1"/>
  <c r="BF11" i="4" a="1"/>
  <c r="BM8" i="4" a="1"/>
  <c r="BV14" i="4" a="1"/>
  <c r="Z15" i="4" a="1"/>
  <c r="DE11" i="4" a="1"/>
  <c r="AG12" i="4" a="1"/>
  <c r="DB14" i="4" a="1"/>
  <c r="CN11" i="4" a="1"/>
  <c r="BG5" i="4" a="1"/>
  <c r="DH15" i="4" a="1"/>
  <c r="DR5" i="4" a="1"/>
  <c r="EE14" i="4" a="1"/>
  <c r="BM15" i="4" a="1"/>
  <c r="W5" i="4" a="1"/>
  <c r="AA12" i="4" a="1"/>
  <c r="D13" i="4" a="1"/>
  <c r="CD8" i="4" a="1"/>
  <c r="O7" i="4" a="1"/>
  <c r="CX15" i="4" a="1"/>
  <c r="DL13" i="4" a="1"/>
  <c r="EF13" i="4" a="1"/>
  <c r="CN7" i="4" a="1"/>
  <c r="DQ11" i="4" a="1"/>
  <c r="AP15" i="4" a="1"/>
  <c r="CL9" i="4" a="1"/>
  <c r="CA9" i="4" a="1"/>
  <c r="CR9" i="4" a="1"/>
  <c r="AD12" i="4" a="1"/>
  <c r="T12" i="4" a="1"/>
  <c r="CJ11" i="4" a="1"/>
  <c r="DA14" i="4" a="1"/>
  <c r="CJ13" i="4" a="1"/>
  <c r="DO9" i="4" a="1"/>
  <c r="DZ11" i="4" a="1"/>
  <c r="BY14" i="4" a="1"/>
  <c r="DP8" i="4" a="1"/>
  <c r="CG14" i="4" a="1"/>
  <c r="BW12" i="4" a="1"/>
  <c r="AS9" i="4" a="1"/>
  <c r="AH12" i="4" a="1"/>
  <c r="DN15" i="4" a="1"/>
  <c r="CD9" i="4" a="1"/>
  <c r="BZ13" i="4" a="1"/>
  <c r="DG7" i="4" a="1"/>
  <c r="EH7" i="4" a="1"/>
  <c r="CK13" i="4" a="1"/>
  <c r="DX12" i="4" a="1"/>
  <c r="N7" i="4" a="1"/>
  <c r="J12" i="4" a="1"/>
  <c r="AX14" i="4" a="1"/>
  <c r="AH9" i="4" a="1"/>
  <c r="CS6" i="4" a="1"/>
  <c r="W15" i="4" a="1"/>
  <c r="BW13" i="4" a="1"/>
  <c r="T36" i="2"/>
  <c r="G20" i="2"/>
  <c r="O15" i="2"/>
  <c r="K29" i="2"/>
  <c r="T33" i="2"/>
  <c r="D24" i="2"/>
  <c r="X10" i="2"/>
  <c r="P17" i="2"/>
  <c r="N19" i="2"/>
  <c r="O36" i="2"/>
  <c r="K30" i="2"/>
  <c r="L24" i="2"/>
  <c r="W33" i="2"/>
  <c r="K59" i="2"/>
  <c r="T28" i="2"/>
  <c r="C25" i="2"/>
  <c r="H15" i="2"/>
  <c r="I33" i="2"/>
  <c r="T31" i="2"/>
  <c r="J32" i="2"/>
  <c r="N23" i="2"/>
  <c r="AR90" i="3"/>
  <c r="T8" i="2"/>
  <c r="N12" i="2"/>
  <c r="K22" i="2"/>
  <c r="R11" i="2"/>
  <c r="S29" i="2"/>
  <c r="AS47" i="3"/>
  <c r="I11" i="2"/>
  <c r="R30" i="2"/>
  <c r="T17" i="2"/>
  <c r="L27" i="2"/>
  <c r="F18" i="2"/>
  <c r="F32" i="3"/>
  <c r="F22" i="3"/>
  <c r="S45" i="3"/>
  <c r="F29" i="3"/>
  <c r="AR33" i="3"/>
  <c r="F14" i="3"/>
  <c r="AB45" i="3"/>
  <c r="K46" i="3"/>
  <c r="AK46" i="3"/>
  <c r="AL45" i="3"/>
  <c r="E13" i="3"/>
  <c r="G28" i="3"/>
  <c r="AR8" i="3"/>
  <c r="E34" i="3"/>
  <c r="Y45" i="3"/>
  <c r="K45" i="3"/>
  <c r="AD11" i="3"/>
  <c r="BB8" i="4" a="1"/>
  <c r="DL9" i="4" a="1"/>
  <c r="BK8" i="4" a="1"/>
  <c r="AM11" i="4" a="1"/>
  <c r="DG12" i="4" a="1"/>
  <c r="DL15" i="4" a="1"/>
  <c r="DL14" i="4" a="1"/>
  <c r="DF15" i="4" a="1"/>
  <c r="BL9" i="4" a="1"/>
  <c r="AM7" i="4" a="1"/>
  <c r="BB13" i="4" a="1"/>
  <c r="DI14" i="4" a="1"/>
  <c r="BY13" i="4" a="1"/>
  <c r="M7" i="4" a="1"/>
  <c r="CX6" i="4" a="1"/>
  <c r="DU8" i="4" a="1"/>
  <c r="DC7" i="4" a="1"/>
  <c r="CJ9" i="4" a="1"/>
  <c r="DQ8" i="4" a="1"/>
  <c r="J7" i="4" a="1"/>
  <c r="AD5" i="4" a="1"/>
  <c r="BF12" i="4" a="1"/>
  <c r="AB9" i="4" a="1"/>
  <c r="BO5" i="4" a="1"/>
  <c r="EJ7" i="4" a="1"/>
  <c r="AZ8" i="4" a="1"/>
  <c r="DI13" i="4" a="1"/>
  <c r="BV15" i="4" a="1"/>
  <c r="W12" i="4" a="1"/>
  <c r="D7" i="4" a="1"/>
  <c r="DU11" i="4" a="1"/>
  <c r="CK11" i="4" a="1"/>
  <c r="BP5" i="4" a="1"/>
  <c r="BB14" i="4" a="1"/>
  <c r="BG7" i="4" a="1"/>
  <c r="EI12" i="4" a="1"/>
  <c r="AW7" i="4" a="1"/>
  <c r="BV9" i="4" a="1"/>
  <c r="BV11" i="4" a="1"/>
  <c r="G14" i="4" a="1"/>
  <c r="AK15" i="4" a="1"/>
  <c r="AL6" i="4" a="1"/>
  <c r="BI14" i="4" a="1"/>
  <c r="AP7" i="4" a="1"/>
  <c r="V8" i="4" a="1"/>
  <c r="CH13" i="4" a="1"/>
  <c r="G7" i="4" a="1"/>
  <c r="AB6" i="4" a="1"/>
  <c r="DR6" i="4" a="1"/>
  <c r="BM5" i="4" a="1"/>
  <c r="AU15" i="4" a="1"/>
  <c r="CF15" i="4" a="1"/>
  <c r="AP13" i="4" a="1"/>
  <c r="DR14" i="4" a="1"/>
  <c r="AU12" i="4" a="1"/>
  <c r="S12" i="4" a="1"/>
  <c r="K6" i="4" a="1"/>
  <c r="CT6" i="4" a="1"/>
  <c r="DI5" i="4" a="1"/>
  <c r="AV14" i="4" a="1"/>
  <c r="Z9" i="4" a="1"/>
  <c r="BG6" i="4" a="1"/>
  <c r="DL12" i="4" a="1"/>
  <c r="DT14" i="4" a="1"/>
  <c r="CC5" i="4" a="1"/>
  <c r="CH5" i="4" a="1"/>
  <c r="BV6" i="4" a="1"/>
  <c r="EF9" i="4" a="1"/>
  <c r="CL5" i="4" a="1"/>
  <c r="E15" i="4" a="1"/>
  <c r="BN13" i="4" a="1"/>
  <c r="AY8" i="4" a="1"/>
  <c r="BR8" i="4" a="1"/>
  <c r="CW16" i="4" a="1"/>
  <c r="BR9" i="4" a="1"/>
  <c r="CP16" i="4" a="1"/>
  <c r="EF16" i="4" a="1"/>
  <c r="CZ13" i="4" a="1"/>
  <c r="DH16" i="4" a="1"/>
  <c r="AG5" i="4" a="1"/>
  <c r="H7" i="4" a="1"/>
  <c r="BQ12" i="4" a="1"/>
  <c r="EI7" i="4" a="1"/>
  <c r="DB5" i="4" a="1"/>
  <c r="F24" i="2"/>
  <c r="Q18" i="2"/>
  <c r="L29" i="2"/>
  <c r="Q5" i="2"/>
  <c r="O6" i="2"/>
  <c r="F21" i="2"/>
  <c r="U23" i="2"/>
  <c r="N36" i="2"/>
  <c r="L7" i="2"/>
  <c r="J33" i="2"/>
  <c r="W5" i="2"/>
  <c r="X9" i="2"/>
  <c r="U18" i="2"/>
  <c r="O25" i="2"/>
  <c r="M33" i="2"/>
  <c r="Q12" i="2"/>
  <c r="N33" i="2"/>
  <c r="X16" i="2"/>
  <c r="D12" i="2"/>
  <c r="H23" i="2"/>
  <c r="G26" i="2"/>
  <c r="Q24" i="2"/>
  <c r="V5" i="2"/>
  <c r="O5" i="2"/>
  <c r="W29" i="2"/>
  <c r="P13" i="2"/>
  <c r="K20" i="2"/>
  <c r="H7" i="2"/>
  <c r="G28" i="2"/>
  <c r="N30" i="2"/>
  <c r="S7" i="2"/>
  <c r="D31" i="2"/>
  <c r="J35" i="2"/>
  <c r="D13" i="2"/>
  <c r="T20" i="2"/>
  <c r="S18" i="2"/>
  <c r="C7" i="2"/>
  <c r="AS49" i="3"/>
  <c r="AR97" i="3"/>
  <c r="V17" i="2"/>
  <c r="Q57" i="2"/>
  <c r="I6" i="2"/>
  <c r="AR48" i="3"/>
  <c r="V8" i="2"/>
  <c r="X35" i="2"/>
  <c r="M21" i="2"/>
  <c r="D25" i="2"/>
  <c r="AR82" i="3"/>
  <c r="AR37" i="3"/>
  <c r="X46" i="3"/>
  <c r="F36" i="3"/>
  <c r="AD17" i="3"/>
  <c r="AC46" i="3"/>
  <c r="AI45" i="3"/>
  <c r="G46" i="3"/>
  <c r="G14" i="3"/>
  <c r="AD8" i="3"/>
  <c r="D32" i="3"/>
  <c r="D27" i="3"/>
  <c r="E36" i="3"/>
  <c r="F9" i="3"/>
  <c r="E30" i="3"/>
  <c r="F21" i="3"/>
  <c r="E27" i="3"/>
  <c r="E8" i="3"/>
  <c r="EH5" i="4" a="1"/>
  <c r="BV7" i="4" a="1"/>
  <c r="CY6" i="4" a="1"/>
  <c r="CC11" i="4" a="1"/>
  <c r="CF16" i="4" a="1"/>
  <c r="AI16" i="4" a="1"/>
  <c r="DV5" i="4" a="1"/>
  <c r="BE11" i="4" a="1"/>
  <c r="BD6" i="4" a="1"/>
  <c r="DY11" i="4" a="1"/>
  <c r="CO6" i="4" a="1"/>
  <c r="DH12" i="4" a="1"/>
  <c r="AP9" i="4" a="1"/>
  <c r="R13" i="4" a="1"/>
  <c r="J5" i="4" a="1"/>
  <c r="BX16" i="4" a="1"/>
  <c r="BH12" i="4" a="1"/>
  <c r="P14" i="4" a="1"/>
  <c r="DY8" i="4" a="1"/>
  <c r="P9" i="4" a="1"/>
  <c r="BO12" i="4" a="1"/>
  <c r="DX13" i="4" a="1"/>
  <c r="AY9" i="4" a="1"/>
  <c r="EA13" i="4" a="1"/>
  <c r="X6" i="4" a="1"/>
  <c r="DG16" i="4" a="1"/>
  <c r="EA15" i="4" a="1"/>
  <c r="EF5" i="4" a="1"/>
  <c r="BB6" i="4" a="1"/>
  <c r="DZ6" i="4" a="1"/>
  <c r="BZ11" i="4" a="1"/>
  <c r="I13" i="4" a="1"/>
  <c r="DJ6" i="4" a="1"/>
  <c r="AU16" i="4" a="1"/>
  <c r="EF15" i="4" a="1"/>
  <c r="BE5" i="4" a="1"/>
  <c r="V12" i="2"/>
  <c r="H24" i="2"/>
  <c r="R29" i="2"/>
  <c r="E14" i="2"/>
  <c r="I12" i="2"/>
  <c r="D7" i="2"/>
  <c r="N16" i="2"/>
  <c r="O20" i="2"/>
  <c r="N31" i="2"/>
  <c r="S28" i="2"/>
  <c r="E10" i="2"/>
  <c r="M20" i="2"/>
  <c r="M32" i="2"/>
  <c r="Q26" i="2"/>
  <c r="J28" i="2"/>
  <c r="S8" i="2"/>
  <c r="P29" i="2"/>
  <c r="AR89" i="3"/>
  <c r="U5" i="2"/>
  <c r="C29" i="2"/>
  <c r="O24" i="2"/>
  <c r="AR69" i="3"/>
  <c r="J29" i="2"/>
  <c r="U24" i="2"/>
  <c r="E5" i="2"/>
  <c r="S14" i="2"/>
  <c r="AR84" i="3"/>
  <c r="V19" i="2"/>
  <c r="E13" i="2"/>
  <c r="E9" i="2"/>
  <c r="E22" i="2"/>
  <c r="AR59" i="3"/>
  <c r="AF48" i="3"/>
  <c r="J46" i="3"/>
  <c r="E11" i="3"/>
  <c r="AR24" i="3"/>
  <c r="AA45" i="3"/>
  <c r="E10" i="3"/>
  <c r="D21" i="3"/>
  <c r="E23" i="3"/>
  <c r="AD45" i="3"/>
  <c r="Q45" i="3"/>
  <c r="D8" i="3"/>
  <c r="AN46" i="3"/>
  <c r="M45" i="3"/>
  <c r="AR18" i="3"/>
  <c r="G29" i="3"/>
  <c r="AB46" i="3"/>
  <c r="J45" i="3"/>
  <c r="G25" i="3"/>
  <c r="X13" i="4" a="1"/>
  <c r="CI7" i="4" a="1"/>
  <c r="AJ12" i="4" a="1"/>
  <c r="AV9" i="4" a="1"/>
  <c r="AN7" i="4" a="1"/>
  <c r="AH13" i="4" a="1"/>
  <c r="CZ12" i="4" a="1"/>
  <c r="BQ7" i="4" a="1"/>
  <c r="D6" i="4" a="1"/>
  <c r="DP9" i="4" a="1"/>
  <c r="AZ7" i="4" a="1"/>
  <c r="BN11" i="4" a="1"/>
  <c r="CQ13" i="4" a="1"/>
  <c r="AK13" i="4" a="1"/>
  <c r="BL12" i="4" a="1"/>
  <c r="DY16" i="4" a="1"/>
  <c r="BP11" i="4" a="1"/>
  <c r="CN14" i="4" a="1"/>
  <c r="AG9" i="4" a="1"/>
  <c r="C8" i="4" a="1"/>
  <c r="AD7" i="4" a="1"/>
  <c r="DL11" i="4" a="1"/>
  <c r="EK8" i="4" a="1"/>
  <c r="AP16" i="4" a="1"/>
  <c r="AH15" i="4" a="1"/>
  <c r="CQ8" i="4" a="1"/>
  <c r="F8" i="4" a="1"/>
  <c r="BG11" i="4" a="1"/>
  <c r="BG12" i="4" a="1"/>
  <c r="AP11" i="4" a="1"/>
  <c r="BC8" i="4" a="1"/>
  <c r="DL5" i="4" a="1"/>
  <c r="AL15" i="4" a="1"/>
  <c r="AA11" i="4" a="1"/>
  <c r="DS5" i="4" a="1"/>
  <c r="Z16" i="4" a="1"/>
  <c r="CG7" i="4" a="1"/>
  <c r="N12" i="4" a="1"/>
  <c r="BV8" i="4" a="1"/>
  <c r="BS13" i="4" a="1"/>
  <c r="CS5" i="4" a="1"/>
  <c r="AR5" i="4" a="1"/>
  <c r="AQ5" i="4" a="1"/>
  <c r="CQ11" i="4" a="1"/>
  <c r="DD12" i="4" a="1"/>
  <c r="AR16" i="4" a="1"/>
  <c r="AE15" i="4" a="1"/>
  <c r="BT15" i="4" a="1"/>
  <c r="EH8" i="4" a="1"/>
  <c r="R5" i="4" a="1"/>
  <c r="BS11" i="4" a="1"/>
  <c r="BJ14" i="4" a="1"/>
  <c r="AL7" i="4" a="1"/>
  <c r="ED5" i="4" a="1"/>
  <c r="DS8" i="4" a="1"/>
  <c r="DC8" i="4" a="1"/>
  <c r="DW7" i="4" a="1"/>
  <c r="DW13" i="4" a="1"/>
  <c r="AH7" i="4" a="1"/>
  <c r="BT6" i="4" a="1"/>
  <c r="EF6" i="4" a="1"/>
  <c r="CZ5" i="4" a="1"/>
  <c r="DT5" i="4" a="1"/>
  <c r="BA14" i="4" a="1"/>
  <c r="CE8" i="4" a="1"/>
  <c r="CJ6" i="4" a="1"/>
  <c r="DX16" i="4" a="1"/>
  <c r="BN15" i="4" a="1"/>
  <c r="EF8" i="4" a="1"/>
  <c r="AD15" i="4" a="1"/>
  <c r="AF12" i="4" a="1"/>
  <c r="EB12" i="4" a="1"/>
  <c r="P13" i="4" a="1"/>
  <c r="EI11" i="4" a="1"/>
  <c r="BF16" i="4" a="1"/>
  <c r="CC12" i="4" a="1"/>
  <c r="BL15" i="4" a="1"/>
  <c r="H8" i="4" a="1"/>
  <c r="CJ16" i="4" a="1"/>
  <c r="CU7" i="4" a="1"/>
  <c r="BL5" i="4" a="1"/>
  <c r="BQ14" i="4" a="1"/>
  <c r="DC6" i="4" a="1"/>
  <c r="V29" i="2"/>
  <c r="U19" i="2"/>
  <c r="K34" i="2"/>
  <c r="Q19" i="2"/>
  <c r="W46" i="2"/>
  <c r="G34" i="2"/>
  <c r="U14" i="2"/>
  <c r="V35" i="2"/>
  <c r="H20" i="2"/>
  <c r="G29" i="2"/>
  <c r="O19" i="2"/>
  <c r="I18" i="2"/>
  <c r="J21" i="2"/>
  <c r="T15" i="2"/>
  <c r="Q17" i="2"/>
  <c r="S13" i="2"/>
  <c r="R13" i="2"/>
  <c r="O18" i="2"/>
  <c r="Q55" i="2"/>
  <c r="T29" i="2"/>
  <c r="K35" i="2"/>
  <c r="Q9" i="2"/>
  <c r="R20" i="2"/>
  <c r="D36" i="2"/>
  <c r="N10" i="2"/>
  <c r="J31" i="2"/>
  <c r="P11" i="2"/>
  <c r="U20" i="2"/>
  <c r="E8" i="2"/>
  <c r="T16" i="2"/>
  <c r="L36" i="2"/>
  <c r="M36" i="2"/>
  <c r="I36" i="2"/>
  <c r="E15" i="2"/>
  <c r="M7" i="2"/>
  <c r="Q25" i="2"/>
  <c r="T10" i="2"/>
  <c r="E17" i="2"/>
  <c r="AF50" i="3"/>
  <c r="P18" i="2"/>
  <c r="X36" i="2"/>
  <c r="N13" i="2"/>
  <c r="K19" i="2"/>
  <c r="AR80" i="3"/>
  <c r="AR79" i="3"/>
  <c r="C11" i="2"/>
  <c r="Q54" i="2"/>
  <c r="U32" i="2"/>
  <c r="AR81" i="3"/>
  <c r="AR34" i="3"/>
  <c r="AR22" i="3"/>
  <c r="AI46" i="3"/>
  <c r="F25" i="3"/>
  <c r="T46" i="3"/>
  <c r="D40" i="3"/>
  <c r="N45" i="3"/>
  <c r="D10" i="3"/>
  <c r="AD14" i="3"/>
  <c r="G21" i="3"/>
  <c r="AR45" i="3"/>
  <c r="F27" i="3"/>
  <c r="Z46" i="3"/>
  <c r="G12" i="3"/>
  <c r="D25" i="3"/>
  <c r="D7" i="3"/>
  <c r="D28" i="3"/>
  <c r="F11" i="4" a="1"/>
  <c r="AB12" i="4" a="1"/>
  <c r="BN7" i="4" a="1"/>
  <c r="F12" i="4" a="1"/>
  <c r="EI16" i="4" a="1"/>
  <c r="BW11" i="4" a="1"/>
  <c r="BX8" i="4" a="1"/>
  <c r="BD15" i="4" a="1"/>
  <c r="BZ8" i="4" a="1"/>
  <c r="BV13" i="4" a="1"/>
  <c r="CS14" i="4" a="1"/>
  <c r="V15" i="4" a="1"/>
  <c r="CT8" i="4" a="1"/>
  <c r="AR11" i="4" a="1"/>
  <c r="R6" i="4" a="1"/>
  <c r="BT13" i="4" a="1"/>
  <c r="DC12" i="4" a="1"/>
  <c r="AC15" i="4" a="1"/>
  <c r="DE15" i="4" a="1"/>
  <c r="Y8" i="4" a="1"/>
  <c r="AF9" i="4" a="1"/>
  <c r="DD13" i="4" a="1"/>
  <c r="O6" i="4" a="1"/>
  <c r="BC5" i="4" a="1"/>
  <c r="BS12" i="4" a="1"/>
  <c r="Q5" i="4" a="1"/>
  <c r="ED6" i="4" a="1"/>
  <c r="CF6" i="4" a="1"/>
  <c r="CA12" i="4" a="1"/>
  <c r="BJ9" i="4" a="1"/>
  <c r="BQ8" i="4" a="1"/>
  <c r="AY11" i="4" a="1"/>
  <c r="AK12" i="4" a="1"/>
  <c r="AC6" i="4" a="1"/>
  <c r="U12" i="4" a="1"/>
  <c r="AR8" i="4" a="1"/>
  <c r="AT15" i="4" a="1"/>
  <c r="AA6" i="4" a="1"/>
  <c r="AB15" i="4" a="1"/>
  <c r="AW5" i="4" a="1"/>
  <c r="EB6" i="4" a="1"/>
  <c r="EC9" i="4" a="1"/>
  <c r="AX13" i="4" a="1"/>
  <c r="D12" i="4" a="1"/>
  <c r="F7" i="4" a="1"/>
  <c r="DV6" i="4" a="1"/>
  <c r="BN9" i="4" a="1"/>
  <c r="M16" i="4" a="1"/>
  <c r="P7" i="2"/>
  <c r="X23" i="2"/>
  <c r="O27" i="2"/>
  <c r="V24" i="2"/>
  <c r="F34" i="2"/>
  <c r="S34" i="2"/>
  <c r="R23" i="2"/>
  <c r="E29" i="2"/>
  <c r="X5" i="2"/>
  <c r="V18" i="2"/>
  <c r="P16" i="2"/>
  <c r="T19" i="2"/>
  <c r="O29" i="2"/>
  <c r="C35" i="2"/>
  <c r="X21" i="2"/>
  <c r="W28" i="2"/>
  <c r="O10" i="2"/>
  <c r="I25" i="2"/>
  <c r="X17" i="2"/>
  <c r="L11" i="2"/>
  <c r="Q59" i="2"/>
  <c r="AR62" i="3"/>
  <c r="AR68" i="3"/>
  <c r="W70" i="2"/>
  <c r="V30" i="2"/>
  <c r="Q34" i="2"/>
  <c r="AR54" i="3"/>
  <c r="AR67" i="3"/>
  <c r="C15" i="2"/>
  <c r="H35" i="2"/>
  <c r="P10" i="2"/>
  <c r="AR96" i="3"/>
  <c r="G7" i="3"/>
  <c r="F10" i="3"/>
  <c r="AE46" i="3"/>
  <c r="F19" i="3"/>
  <c r="G26" i="3"/>
  <c r="AE45" i="3"/>
  <c r="V45" i="3"/>
  <c r="AR30" i="3"/>
  <c r="F31" i="3"/>
  <c r="AQ45" i="3"/>
  <c r="H46" i="3"/>
  <c r="E24" i="3"/>
  <c r="D38" i="3"/>
  <c r="G19" i="3"/>
  <c r="E15" i="3"/>
  <c r="D31" i="3"/>
  <c r="L45" i="3"/>
  <c r="R16" i="4" a="1"/>
  <c r="CX7" i="4" a="1"/>
  <c r="CK15" i="4" a="1"/>
  <c r="BL13" i="4" a="1"/>
  <c r="BX9" i="4" a="1"/>
  <c r="AX11" i="4" a="1"/>
  <c r="S11" i="4" a="1"/>
  <c r="BH5" i="4" a="1"/>
  <c r="W11" i="4" a="1"/>
  <c r="C9" i="4" a="1"/>
  <c r="CQ14" i="4" a="1"/>
  <c r="T16" i="4" a="1"/>
  <c r="DG15" i="4" a="1"/>
  <c r="AB11" i="4" a="1"/>
  <c r="DH8" i="4" a="1"/>
  <c r="DQ13" i="4" a="1"/>
  <c r="AQ13" i="4" a="1"/>
  <c r="DA7" i="4" a="1"/>
  <c r="CU6" i="4" a="1"/>
  <c r="BY5" i="4" a="1"/>
  <c r="AK7" i="4" a="1"/>
  <c r="AK6" i="4" a="1"/>
  <c r="CF14" i="4" a="1"/>
  <c r="DB16" i="4" a="1"/>
  <c r="EI6" i="4" a="1"/>
  <c r="EE12" i="4" a="1"/>
  <c r="AR12" i="4" a="1"/>
  <c r="DA8" i="4" a="1"/>
  <c r="BK11" i="4" a="1"/>
  <c r="W8" i="4" a="1"/>
  <c r="CH14" i="4" a="1"/>
  <c r="AW14" i="4" a="1"/>
  <c r="DT9" i="4" a="1"/>
  <c r="BL16" i="4" a="1"/>
  <c r="D9" i="4" a="1"/>
  <c r="I16" i="4" a="1"/>
  <c r="U14" i="4" a="1"/>
  <c r="BS14" i="4" a="1"/>
  <c r="AO14" i="4" a="1"/>
  <c r="BO16" i="4" a="1"/>
  <c r="G11" i="4" a="1"/>
  <c r="AJ16" i="4" a="1"/>
  <c r="DT11" i="4" a="1"/>
  <c r="EB16" i="4" a="1"/>
  <c r="DF6" i="4" a="1"/>
  <c r="AS8" i="4" a="1"/>
  <c r="EE6" i="4" a="1"/>
  <c r="CA6" i="4" a="1"/>
  <c r="CV5" i="4" a="1"/>
  <c r="C16" i="4" a="1"/>
  <c r="BO9" i="4" a="1"/>
  <c r="AW12" i="4" a="1"/>
  <c r="CE11" i="4" a="1"/>
  <c r="L13" i="4" a="1"/>
  <c r="AE13" i="4" a="1"/>
  <c r="AF11" i="4" a="1"/>
  <c r="CO14" i="4" a="1"/>
  <c r="CM9" i="4" a="1"/>
  <c r="BT14" i="4" a="1"/>
  <c r="CD14" i="4" a="1"/>
  <c r="AT13" i="4" a="1"/>
  <c r="BZ14" i="4" a="1"/>
  <c r="DS16" i="4" a="1"/>
  <c r="EB11" i="4" a="1"/>
  <c r="X16" i="4" a="1"/>
  <c r="CX5" i="4" a="1"/>
  <c r="M13" i="4" a="1"/>
  <c r="CH12" i="4" a="1"/>
  <c r="H16" i="4" a="1"/>
  <c r="CC7" i="4" a="1"/>
  <c r="AT9" i="4" a="1"/>
  <c r="CK8" i="4" a="1"/>
  <c r="AM8" i="4" a="1"/>
  <c r="CL13" i="4" a="1"/>
  <c r="M15" i="4" a="1"/>
  <c r="CL7" i="4" a="1"/>
  <c r="X12" i="4" a="1"/>
  <c r="DJ13" i="4" a="1"/>
  <c r="DV11" i="4" a="1"/>
  <c r="DY12" i="4" a="1"/>
  <c r="AE5" i="4" a="1"/>
  <c r="BD13" i="4" a="1"/>
  <c r="BU16" i="4" a="1"/>
  <c r="CA14" i="4" a="1"/>
  <c r="F13" i="2"/>
  <c r="O13" i="2"/>
  <c r="L34" i="2"/>
  <c r="O7" i="2"/>
  <c r="O9" i="2"/>
  <c r="U36" i="2"/>
  <c r="R10" i="2"/>
  <c r="Q35" i="2"/>
  <c r="N18" i="2"/>
  <c r="K87" i="2"/>
  <c r="X66" i="2"/>
  <c r="Q21" i="2"/>
  <c r="N27" i="2"/>
  <c r="K21" i="2"/>
  <c r="F17" i="2"/>
  <c r="S16" i="2"/>
  <c r="C27" i="2"/>
  <c r="H13" i="2"/>
  <c r="C34" i="2"/>
  <c r="F5" i="2"/>
  <c r="U7" i="2"/>
  <c r="M28" i="2"/>
  <c r="D23" i="2"/>
  <c r="E31" i="2"/>
  <c r="R9" i="2"/>
  <c r="M35" i="2"/>
  <c r="T13" i="2"/>
  <c r="F9" i="2"/>
  <c r="S31" i="2"/>
  <c r="P30" i="2"/>
  <c r="H26" i="2"/>
  <c r="D27" i="2"/>
  <c r="M15" i="2"/>
  <c r="G9" i="2"/>
  <c r="S21" i="2"/>
  <c r="Q32" i="2"/>
  <c r="T21" i="2"/>
  <c r="AR70" i="3"/>
  <c r="AR93" i="3"/>
  <c r="K18" i="2"/>
  <c r="W74" i="2"/>
  <c r="J16" i="2"/>
  <c r="S24" i="2"/>
  <c r="AR58" i="3"/>
  <c r="P12" i="2"/>
  <c r="H33" i="2"/>
  <c r="I13" i="2"/>
  <c r="E21" i="2"/>
  <c r="N15" i="2"/>
  <c r="G17" i="3"/>
  <c r="D37" i="3"/>
  <c r="AD10" i="3"/>
  <c r="C45" i="3"/>
  <c r="E18" i="3"/>
  <c r="F12" i="3"/>
  <c r="E21" i="3"/>
  <c r="D11" i="3"/>
  <c r="E37" i="3"/>
  <c r="G6" i="3"/>
  <c r="F24" i="3"/>
  <c r="G23" i="3"/>
  <c r="E16" i="3"/>
  <c r="F30" i="3"/>
  <c r="AR10" i="3"/>
  <c r="F40" i="3"/>
  <c r="F38" i="3"/>
  <c r="DV16" i="4" a="1"/>
  <c r="DA11" i="4" a="1"/>
  <c r="Y16" i="4" a="1"/>
  <c r="CM12" i="4" a="1"/>
  <c r="CT11" i="4" a="1"/>
  <c r="BU12" i="4" a="1"/>
  <c r="BV5" i="4" a="1"/>
  <c r="AN8" i="4" a="1"/>
  <c r="BP7" i="4" a="1"/>
  <c r="EC7" i="4" a="1"/>
  <c r="EG14" i="4" a="1"/>
  <c r="AC16" i="4" a="1"/>
  <c r="K15" i="4" a="1"/>
  <c r="Q14" i="4" a="1"/>
  <c r="BU8" i="4" a="1"/>
  <c r="AE16" i="4" a="1"/>
  <c r="DL6" i="4" a="1"/>
  <c r="BH6" i="4" a="1"/>
  <c r="AI13" i="4" a="1"/>
  <c r="DI16" i="4" a="1"/>
  <c r="BZ9" i="4" a="1"/>
  <c r="DD9" i="4" a="1"/>
  <c r="DZ12" i="4" a="1"/>
  <c r="EB8" i="4" a="1"/>
  <c r="DK13" i="4" a="1"/>
  <c r="CE5" i="4" a="1"/>
  <c r="DS6" i="4" a="1"/>
  <c r="BK15" i="4" a="1"/>
  <c r="BS15" i="4" a="1"/>
  <c r="DO6" i="4" a="1"/>
  <c r="BA7" i="4" a="1"/>
  <c r="EJ13" i="4" a="1"/>
  <c r="BW16" i="4" a="1"/>
  <c r="DW5" i="4" a="1"/>
  <c r="E9" i="4" a="1"/>
  <c r="BI15" i="4" a="1"/>
  <c r="AS5" i="4" a="1"/>
  <c r="CL6" i="4" a="1"/>
  <c r="BR11" i="4" a="1"/>
  <c r="G6" i="4" a="1"/>
  <c r="EK16" i="4" a="1"/>
  <c r="AE11" i="4" a="1"/>
  <c r="H14" i="4" a="1"/>
  <c r="AV12" i="4" a="1"/>
  <c r="CG6" i="4" a="1"/>
  <c r="CU5" i="4" a="1"/>
  <c r="DR7" i="4" a="1"/>
  <c r="ED7" i="4" a="1"/>
  <c r="DM8" i="4" a="1"/>
  <c r="E13" i="4" a="1"/>
  <c r="Q8" i="4" a="1"/>
  <c r="X11" i="4" a="1"/>
  <c r="AW13" i="4" a="1"/>
  <c r="DL7" i="4" a="1"/>
  <c r="CX12" i="4" a="1"/>
  <c r="C14" i="4" a="1"/>
  <c r="AR15" i="4" a="1"/>
  <c r="AQ8" i="4" a="1"/>
  <c r="N15" i="4" a="1"/>
  <c r="BT12" i="4" a="1"/>
  <c r="CK9" i="4" a="1"/>
  <c r="AV6" i="4" a="1"/>
  <c r="DK15" i="4" a="1"/>
  <c r="Z13" i="4" a="1"/>
  <c r="EE9" i="4" a="1"/>
  <c r="CK7" i="4" a="1"/>
  <c r="DM9" i="4" a="1"/>
  <c r="CB16" i="4" a="1"/>
  <c r="H11" i="4" a="1"/>
  <c r="EH11" i="4" a="1"/>
  <c r="CC15" i="4" a="1"/>
  <c r="DB11" i="4" a="1"/>
  <c r="R15" i="4" a="1"/>
  <c r="AN14" i="4" a="1"/>
  <c r="AV13" i="4" a="1"/>
  <c r="CN5" i="4" a="1"/>
  <c r="R7" i="2"/>
  <c r="C33" i="2"/>
  <c r="AR61" i="3"/>
  <c r="F18" i="3"/>
  <c r="AN45" i="3"/>
  <c r="F6" i="3"/>
  <c r="AO6" i="3"/>
  <c r="G22" i="3"/>
  <c r="CI15" i="4" a="1"/>
  <c r="DT12" i="4" a="1"/>
  <c r="EI14" i="4" a="1"/>
  <c r="BA9" i="4" a="1"/>
  <c r="AO5" i="4" a="1"/>
  <c r="AL5" i="4" a="1"/>
  <c r="T8" i="4" a="1"/>
  <c r="CE6" i="4" a="1"/>
  <c r="DQ15" i="4" a="1"/>
  <c r="AD16" i="4" a="1"/>
  <c r="CH15" i="4" a="1"/>
  <c r="L16" i="4" a="1"/>
  <c r="DC14" i="4" a="1"/>
  <c r="EF7" i="4" a="1"/>
  <c r="I12" i="4" a="1"/>
  <c r="CO5" i="4" a="1"/>
  <c r="DA13" i="4" a="1"/>
  <c r="AP5" i="4" a="1"/>
  <c r="BH8" i="4" a="1"/>
  <c r="CJ7" i="4" a="1"/>
  <c r="BX7" i="4" a="1"/>
  <c r="BW8" i="4" a="1"/>
  <c r="CL8" i="4" a="1"/>
  <c r="BI12" i="4" a="1"/>
  <c r="BT11" i="4" a="1"/>
  <c r="Q9" i="4" a="1"/>
  <c r="V32" i="2"/>
  <c r="E33" i="2"/>
  <c r="V34" i="2"/>
  <c r="U17" i="2"/>
  <c r="U21" i="2"/>
  <c r="U12" i="2"/>
  <c r="S33" i="2"/>
  <c r="N24" i="2"/>
  <c r="W21" i="2"/>
  <c r="X13" i="2"/>
  <c r="W13" i="2"/>
  <c r="I8" i="2"/>
  <c r="D26" i="2"/>
  <c r="U35" i="2"/>
  <c r="G31" i="2"/>
  <c r="R32" i="2"/>
  <c r="F31" i="2"/>
  <c r="T30" i="2"/>
  <c r="M25" i="2"/>
  <c r="W20" i="2"/>
  <c r="H6" i="2"/>
  <c r="G5" i="2"/>
  <c r="S22" i="2"/>
  <c r="P8" i="2"/>
  <c r="I29" i="2"/>
  <c r="M26" i="2"/>
  <c r="O11" i="2"/>
  <c r="W26" i="2"/>
  <c r="L26" i="2"/>
  <c r="V22" i="2"/>
  <c r="I22" i="2"/>
  <c r="X31" i="2"/>
  <c r="D18" i="2"/>
  <c r="H10" i="2"/>
  <c r="E6" i="2"/>
  <c r="Q7" i="2"/>
  <c r="N21" i="2"/>
  <c r="X24" i="2"/>
  <c r="J23" i="2"/>
  <c r="S10" i="2"/>
  <c r="H5" i="2"/>
  <c r="J34" i="2"/>
  <c r="AQ6" i="3"/>
  <c r="AR41" i="3"/>
  <c r="I46" i="3"/>
  <c r="V46" i="3"/>
  <c r="F11" i="3"/>
  <c r="F23" i="3"/>
  <c r="AM45" i="3"/>
  <c r="CY15" i="4" a="1"/>
  <c r="DK7" i="4" a="1"/>
  <c r="DG8" i="4" a="1"/>
  <c r="CQ6" i="4" a="1"/>
  <c r="BZ5" i="4" a="1"/>
  <c r="P7" i="4" a="1"/>
  <c r="BR5" i="4" a="1"/>
  <c r="BI16" i="4" a="1"/>
  <c r="DN12" i="4" a="1"/>
  <c r="BS16" i="4" a="1"/>
  <c r="CP12" i="4" a="1"/>
  <c r="Z5" i="4" a="1"/>
  <c r="CD6" i="4" a="1"/>
  <c r="EG7" i="4" a="1"/>
  <c r="BJ15" i="4" a="1"/>
  <c r="AV11" i="4" a="1"/>
  <c r="O8" i="4" a="1"/>
  <c r="K12" i="4" a="1"/>
  <c r="AP14" i="4" a="1"/>
  <c r="DO15" i="4" a="1"/>
  <c r="BL7" i="4" a="1"/>
  <c r="CW5" i="4" a="1"/>
  <c r="BD9" i="4" a="1"/>
  <c r="R9" i="4" a="1"/>
  <c r="EK7" i="4" a="1"/>
  <c r="DQ12" i="4" a="1"/>
  <c r="CR15" i="4" a="1"/>
  <c r="BR16" i="4" a="1"/>
  <c r="BQ6" i="4" a="1"/>
  <c r="J6" i="4" a="1"/>
  <c r="H13" i="4" a="1"/>
  <c r="ED12" i="4" a="1"/>
  <c r="CO11" i="4" a="1"/>
  <c r="CS12" i="4" a="1"/>
  <c r="AZ12" i="4" a="1"/>
  <c r="U6" i="4" a="1"/>
  <c r="CY14" i="4" a="1"/>
  <c r="DC5" i="4" a="1"/>
  <c r="BM11" i="4" a="1"/>
  <c r="CQ16" i="4" a="1"/>
  <c r="DS14" i="4" a="1"/>
  <c r="CG12" i="4" a="1"/>
  <c r="BQ15" i="4" a="1"/>
  <c r="X14" i="4" a="1"/>
  <c r="S7" i="4" a="1"/>
  <c r="AU8" i="4" a="1"/>
  <c r="AH11" i="4" a="1"/>
  <c r="DA6" i="4" a="1"/>
  <c r="X9" i="4" a="1"/>
  <c r="DM13" i="4" a="1"/>
  <c r="AN13" i="4" a="1"/>
  <c r="AG14" i="4" a="1"/>
  <c r="BW7" i="4" a="1"/>
  <c r="AO7" i="4" a="1"/>
  <c r="BR6" i="4" a="1"/>
  <c r="AZ9" i="4" a="1"/>
  <c r="BT5" i="4" a="1"/>
  <c r="AB16" i="4" a="1"/>
  <c r="DD6" i="4" a="1"/>
  <c r="DZ9" i="4" a="1"/>
  <c r="CI11" i="4" a="1"/>
  <c r="BX6" i="4" a="1"/>
  <c r="CP7" i="4" a="1"/>
  <c r="BL11" i="4" a="1"/>
  <c r="H15" i="4" a="1"/>
  <c r="EA14" i="4" a="1"/>
  <c r="DX14" i="4" a="1"/>
  <c r="CW11" i="4" a="1"/>
  <c r="N6" i="4" a="1"/>
  <c r="DX15" i="4" a="1"/>
  <c r="DD11" i="4" a="1"/>
  <c r="J15" i="4" a="1"/>
  <c r="CV11" i="4" a="1"/>
  <c r="AT16" i="4" a="1"/>
  <c r="BG16" i="4" a="1"/>
  <c r="AW11" i="4" a="1"/>
  <c r="DY6" i="4" a="1"/>
  <c r="CN6" i="4" a="1"/>
  <c r="AD13" i="4" a="1"/>
  <c r="CR11" i="4" a="1"/>
  <c r="O14" i="4" a="1"/>
  <c r="BO7" i="4" a="1"/>
  <c r="BU11" i="4" a="1"/>
  <c r="DY9" i="4" a="1"/>
  <c r="CV16" i="4" a="1"/>
  <c r="J11" i="4" a="1"/>
  <c r="AO16" i="4" a="1"/>
  <c r="BX15" i="4" a="1"/>
  <c r="S16" i="4" a="1"/>
  <c r="EE5" i="4" a="1"/>
  <c r="BI11" i="4" a="1"/>
  <c r="C12" i="4" a="1"/>
  <c r="W27" i="2"/>
  <c r="AR91" i="3"/>
  <c r="M6" i="2"/>
  <c r="AA46" i="3"/>
  <c r="D24" i="3"/>
  <c r="AR40" i="3"/>
  <c r="M46" i="3"/>
  <c r="F16" i="3"/>
  <c r="F28" i="3"/>
  <c r="EJ5" i="4" a="1"/>
  <c r="BS6" i="4" a="1"/>
  <c r="EH16" i="4" a="1"/>
  <c r="X7" i="4" a="1"/>
  <c r="AV16" i="4" a="1"/>
  <c r="CU9" i="4" a="1"/>
  <c r="AI8" i="4" a="1"/>
  <c r="DP15" i="4" a="1"/>
  <c r="DB8" i="4" a="1"/>
  <c r="DX8" i="4" a="1"/>
  <c r="CZ8" i="4" a="1"/>
  <c r="BM9" i="4" a="1"/>
  <c r="CE7" i="4" a="1"/>
  <c r="BC14" i="4" a="1"/>
  <c r="BP14" i="4" a="1"/>
  <c r="G9" i="4" a="1"/>
  <c r="O9" i="4" a="1"/>
  <c r="O12" i="4" a="1"/>
  <c r="BZ16" i="4" a="1"/>
  <c r="DI9" i="4" a="1"/>
  <c r="CS11" i="4" a="1"/>
  <c r="CY5" i="4" a="1"/>
  <c r="CO8" i="4" a="1"/>
  <c r="BW14" i="4" a="1"/>
  <c r="BF6" i="4" a="1"/>
  <c r="BL6" i="4" a="1"/>
  <c r="X7" i="2"/>
  <c r="C8" i="2"/>
  <c r="G7" i="2"/>
  <c r="M16" i="2"/>
  <c r="Q58" i="2"/>
  <c r="K28" i="2"/>
  <c r="G19" i="2"/>
  <c r="S25" i="2"/>
  <c r="L35" i="2"/>
  <c r="D34" i="2"/>
  <c r="Q30" i="2"/>
  <c r="L16" i="2"/>
  <c r="P15" i="2"/>
  <c r="G33" i="2"/>
  <c r="S36" i="2"/>
  <c r="H49" i="2"/>
  <c r="J15" i="2"/>
  <c r="N28" i="2"/>
  <c r="W32" i="2"/>
  <c r="S9" i="2"/>
  <c r="W18" i="2"/>
  <c r="N17" i="2"/>
  <c r="P28" i="2"/>
  <c r="S30" i="2"/>
  <c r="G30" i="2"/>
  <c r="X20" i="2"/>
  <c r="X25" i="2"/>
  <c r="I30" i="2"/>
  <c r="N7" i="2"/>
  <c r="P24" i="2"/>
  <c r="Q23" i="2"/>
  <c r="U16" i="2"/>
  <c r="C18" i="2"/>
  <c r="C36" i="2"/>
  <c r="M17" i="2"/>
  <c r="J17" i="2"/>
  <c r="L5" i="2"/>
  <c r="AR92" i="3"/>
  <c r="C23" i="2"/>
  <c r="P21" i="2"/>
  <c r="V27" i="2"/>
  <c r="G18" i="2"/>
  <c r="W45" i="3"/>
  <c r="AR13" i="3"/>
  <c r="D12" i="3"/>
  <c r="AG46" i="3"/>
  <c r="G10" i="3"/>
  <c r="Y46" i="3"/>
  <c r="R45" i="3"/>
  <c r="AK11" i="4" a="1"/>
  <c r="E14" i="4" a="1"/>
  <c r="DR16" i="4" a="1"/>
  <c r="CM8" i="4" a="1"/>
  <c r="DN9" i="4" a="1"/>
  <c r="CJ5" i="4" a="1"/>
  <c r="BE8" i="4" a="1"/>
  <c r="BL8" i="4" a="1"/>
  <c r="G12" i="4" a="1"/>
  <c r="CN15" i="4" a="1"/>
  <c r="AN11" i="4" a="1"/>
  <c r="AT8" i="4" a="1"/>
  <c r="F15" i="4" a="1"/>
  <c r="CZ9" i="4" a="1"/>
  <c r="CI8" i="4" a="1"/>
  <c r="BC13" i="4" a="1"/>
  <c r="AJ7" i="4" a="1"/>
  <c r="AQ16" i="4" a="1"/>
  <c r="BY11" i="4" a="1"/>
  <c r="AE9" i="4" a="1"/>
  <c r="EB15" i="4" a="1"/>
  <c r="M9" i="4" a="1"/>
  <c r="G8" i="4" a="1"/>
  <c r="CB8" i="4" a="1"/>
  <c r="DV12" i="4" a="1"/>
  <c r="AU9" i="4" a="1"/>
  <c r="CW12" i="4" a="1"/>
  <c r="EA12" i="4" a="1"/>
  <c r="AN6" i="4" a="1"/>
  <c r="DJ15" i="4" a="1"/>
  <c r="BS9" i="4" a="1"/>
  <c r="BK14" i="4" a="1"/>
  <c r="DV13" i="4" a="1"/>
  <c r="EH13" i="4" a="1"/>
  <c r="BF14" i="4" a="1"/>
  <c r="AY5" i="4" a="1"/>
  <c r="AJ8" i="4" a="1"/>
  <c r="P11" i="4" a="1"/>
  <c r="CU16" i="4" a="1"/>
  <c r="O16" i="4" a="1"/>
  <c r="O15" i="4" a="1"/>
  <c r="EB14" i="4" a="1"/>
  <c r="DU7" i="4" a="1"/>
  <c r="CO13" i="4" a="1"/>
  <c r="CG8" i="4" a="1"/>
  <c r="H6" i="4" a="1"/>
  <c r="R8" i="4" a="1"/>
  <c r="ED11" i="4" a="1"/>
  <c r="BK5" i="4" a="1"/>
  <c r="AR7" i="4" a="1"/>
  <c r="Q7" i="4" a="1"/>
  <c r="CW15" i="4" a="1"/>
  <c r="L6" i="4" a="1"/>
  <c r="DH6" i="4" a="1"/>
  <c r="AJ5" i="4" a="1"/>
  <c r="DW14" i="4" a="1"/>
  <c r="AX15" i="4" a="1"/>
  <c r="CA11" i="4" a="1"/>
  <c r="CR6" i="4" a="1"/>
  <c r="I15" i="4" a="1"/>
  <c r="EA6" i="4" a="1"/>
  <c r="AC5" i="4" a="1"/>
  <c r="AC9" i="4" a="1"/>
  <c r="CM14" i="4" a="1"/>
  <c r="DY5" i="4" a="1"/>
  <c r="CM11" i="4" a="1"/>
  <c r="BQ16" i="4" a="1"/>
  <c r="DN8" i="4" a="1"/>
  <c r="DJ8" i="4" a="1"/>
  <c r="AK16" i="4" a="1"/>
  <c r="EE13" i="4" a="1"/>
  <c r="EK14" i="4" a="1"/>
  <c r="CV15" i="4" a="1"/>
  <c r="BH9" i="4" a="1"/>
  <c r="BE13" i="4" a="1"/>
  <c r="AA14" i="4" a="1"/>
  <c r="DH5" i="4" a="1"/>
  <c r="CA16" i="4" a="1"/>
  <c r="L14" i="4" a="1"/>
  <c r="BC7" i="4" a="1"/>
  <c r="AS16" i="4" a="1"/>
  <c r="BM12" i="4" a="1"/>
  <c r="CS16" i="4" a="1"/>
  <c r="DS9" i="4" a="1"/>
  <c r="CP5" i="4" a="1"/>
  <c r="AN5" i="4" a="1"/>
  <c r="DB9" i="4" a="1"/>
  <c r="BQ13" i="4" a="1"/>
  <c r="AM14" i="4" a="1"/>
  <c r="DU15" i="4" a="1"/>
  <c r="L15" i="4" a="1"/>
  <c r="AM16" i="4" a="1"/>
  <c r="EB7" i="4" a="1"/>
  <c r="AF15" i="4" a="1"/>
  <c r="DJ12" i="4" a="1"/>
  <c r="Q16" i="4" a="1"/>
  <c r="E18" i="2"/>
  <c r="N8" i="2"/>
  <c r="S11" i="2"/>
  <c r="D33" i="3"/>
  <c r="AR21" i="3"/>
  <c r="AH46" i="3"/>
  <c r="F34" i="3"/>
  <c r="F15" i="3"/>
  <c r="DO5" i="4" a="1"/>
  <c r="CF7" i="4" a="1"/>
  <c r="AJ14" i="4" a="1"/>
  <c r="DE14" i="4" a="1"/>
  <c r="BS7" i="4" a="1"/>
  <c r="M14" i="4" a="1"/>
  <c r="BE7" i="4" a="1"/>
  <c r="Y6" i="4" a="1"/>
  <c r="DF16" i="4" a="1"/>
  <c r="CL16" i="4" a="1"/>
  <c r="BT16" i="4" a="1"/>
  <c r="D11" i="4" a="1"/>
  <c r="BC16" i="4" a="1"/>
  <c r="DQ7" i="4" a="1"/>
  <c r="CF13" i="4" a="1"/>
  <c r="CD11" i="4" a="1"/>
  <c r="DJ7" i="4" a="1"/>
  <c r="DB6" i="4" a="1"/>
  <c r="S9" i="4" a="1"/>
  <c r="T5" i="4" a="1"/>
  <c r="BH15" i="4" a="1"/>
  <c r="AM13" i="4" a="1"/>
  <c r="AU6" i="4" a="1"/>
  <c r="EB13" i="4" a="1"/>
  <c r="Y13" i="4" a="1"/>
  <c r="AM15" i="4" a="1"/>
  <c r="DT15" i="4" a="1"/>
  <c r="X28" i="2"/>
  <c r="S32" i="2"/>
  <c r="G6" i="2"/>
  <c r="D16" i="2"/>
  <c r="R35" i="2"/>
  <c r="F89" i="2"/>
  <c r="M18" i="2"/>
  <c r="R12" i="2"/>
  <c r="C20" i="2"/>
  <c r="I16" i="2"/>
  <c r="C24" i="2"/>
  <c r="R5" i="2"/>
  <c r="I9" i="2"/>
  <c r="H19" i="2"/>
  <c r="F28" i="2"/>
  <c r="F35" i="2"/>
  <c r="G22" i="2"/>
  <c r="P14" i="2"/>
  <c r="L32" i="2"/>
  <c r="R28" i="2"/>
  <c r="X22" i="2"/>
  <c r="Q8" i="2"/>
  <c r="M27" i="2"/>
  <c r="E26" i="2"/>
  <c r="T24" i="2"/>
  <c r="F7" i="2"/>
  <c r="S6" i="2"/>
  <c r="K9" i="2"/>
  <c r="F12" i="2"/>
  <c r="Q29" i="2"/>
  <c r="F36" i="2"/>
  <c r="W15" i="2"/>
  <c r="K43" i="2"/>
  <c r="I7" i="2"/>
  <c r="T6" i="2"/>
  <c r="L25" i="2"/>
  <c r="AR64" i="3"/>
  <c r="U28" i="2"/>
  <c r="AR85" i="3"/>
  <c r="N20" i="2"/>
  <c r="U9" i="2"/>
  <c r="E45" i="2"/>
  <c r="E5" i="3"/>
  <c r="G5" i="3"/>
  <c r="AR11" i="3"/>
  <c r="G9" i="3"/>
  <c r="N46" i="3"/>
  <c r="G20" i="3"/>
  <c r="BO14" i="4" a="1"/>
  <c r="BC9" i="4" a="1"/>
  <c r="EG12" i="4" a="1"/>
  <c r="AI7" i="4" a="1"/>
  <c r="CB13" i="4" a="1"/>
  <c r="U16" i="4" a="1"/>
  <c r="K14" i="4" a="1"/>
  <c r="CB9" i="4" a="1"/>
  <c r="ED9" i="4" a="1"/>
  <c r="CR5" i="4" a="1"/>
  <c r="U5" i="4" a="1"/>
  <c r="CY8" i="4" a="1"/>
  <c r="DZ13" i="4" a="1"/>
  <c r="BN8" i="4" a="1"/>
  <c r="AZ16" i="4" a="1"/>
  <c r="AB8" i="4" a="1"/>
  <c r="CI6" i="4" a="1"/>
  <c r="DG13" i="4" a="1"/>
  <c r="AU11" i="4" a="1"/>
  <c r="DT6" i="4" a="1"/>
  <c r="CL15" i="4" a="1"/>
  <c r="AQ14" i="4" a="1"/>
  <c r="CE15" i="4" a="1"/>
  <c r="CK6" i="4" a="1"/>
  <c r="BC15" i="4" a="1"/>
  <c r="U11" i="4" a="1"/>
  <c r="Y12" i="4" a="1"/>
  <c r="BB15" i="4" a="1"/>
  <c r="DF14" i="4" a="1"/>
  <c r="BJ7" i="4" a="1"/>
  <c r="AZ5" i="4" a="1"/>
  <c r="AX9" i="4" a="1"/>
  <c r="Y7" i="4" a="1"/>
  <c r="I8" i="4" a="1"/>
  <c r="DA12" i="4" a="1"/>
  <c r="BX13" i="4" a="1"/>
  <c r="CQ12" i="4" a="1"/>
  <c r="DU16" i="4" a="1"/>
  <c r="CY9" i="4" a="1"/>
  <c r="DF9" i="4" a="1"/>
  <c r="EH9" i="4" a="1"/>
  <c r="P5" i="4" a="1"/>
  <c r="EE8" i="4" a="1"/>
  <c r="EJ6" i="4" a="1"/>
  <c r="CD7" i="4" a="1"/>
  <c r="BL14" i="4" a="1"/>
  <c r="Y9" i="4" a="1"/>
  <c r="BZ12" i="4" a="1"/>
  <c r="Y14" i="4" a="1"/>
  <c r="DZ8" i="4" a="1"/>
  <c r="EG9" i="4" a="1"/>
  <c r="BN12" i="4" a="1"/>
  <c r="CA7" i="4" a="1"/>
  <c r="AB7" i="4" a="1"/>
  <c r="S14" i="4" a="1"/>
  <c r="AE14" i="4" a="1"/>
  <c r="AP6" i="4" a="1"/>
  <c r="CB6" i="4" a="1"/>
  <c r="DD7" i="4" a="1"/>
  <c r="CY11" i="4" a="1"/>
  <c r="DS15" i="4" a="1"/>
  <c r="BA12" i="4" a="1"/>
  <c r="BG14" i="4" a="1"/>
  <c r="AO6" i="4" a="1"/>
  <c r="AN16" i="4" a="1"/>
  <c r="AF6" i="4" a="1"/>
  <c r="D5" i="4" a="1"/>
  <c r="F8" i="2"/>
  <c r="G12" i="2"/>
  <c r="AR66" i="3"/>
  <c r="G27" i="3"/>
  <c r="X45" i="3"/>
  <c r="C46" i="3"/>
  <c r="F37" i="3"/>
  <c r="AD6" i="3"/>
  <c r="BY8" i="4" a="1"/>
  <c r="AI14" i="4" a="1"/>
  <c r="CX14" i="4" a="1"/>
  <c r="CW14" i="4" a="1"/>
  <c r="I11" i="4" a="1"/>
  <c r="CW7" i="4" a="1"/>
  <c r="CM6" i="4" a="1"/>
  <c r="CH8" i="4" a="1"/>
  <c r="BA6" i="4" a="1"/>
  <c r="DF12" i="4" a="1"/>
  <c r="T6" i="4" a="1"/>
  <c r="AO9" i="4" a="1"/>
  <c r="BD12" i="4" a="1"/>
  <c r="CB15" i="4" a="1"/>
  <c r="DP6" i="4" a="1"/>
  <c r="BR14" i="4" a="1"/>
  <c r="CC6" i="4" a="1"/>
  <c r="BD14" i="4" a="1"/>
  <c r="EA11" i="4" a="1"/>
  <c r="EH6" i="4" a="1"/>
  <c r="DY7" i="4" a="1"/>
  <c r="DE6" i="4" a="1"/>
  <c r="ED13" i="4" a="1"/>
  <c r="DE7" i="4" a="1"/>
  <c r="EJ11" i="4" a="1"/>
  <c r="BK16" i="4" a="1"/>
  <c r="DV14" i="4" a="1"/>
  <c r="Q22" i="2"/>
  <c r="M22" i="2"/>
  <c r="O8" i="2"/>
  <c r="G15" i="2"/>
  <c r="U15" i="2"/>
  <c r="G16" i="2"/>
  <c r="R25" i="2"/>
  <c r="O35" i="2"/>
  <c r="L12" i="2"/>
  <c r="M19" i="2"/>
  <c r="T22" i="2"/>
  <c r="X8" i="2"/>
  <c r="W23" i="2"/>
  <c r="H22" i="2"/>
  <c r="K23" i="2"/>
  <c r="E30" i="2"/>
  <c r="P20" i="2"/>
  <c r="J25" i="2"/>
  <c r="W8" i="2"/>
  <c r="D15" i="2"/>
  <c r="S20" i="2"/>
  <c r="H31" i="2"/>
  <c r="D35" i="2"/>
  <c r="P6" i="2"/>
  <c r="N26" i="2"/>
  <c r="T18" i="2"/>
  <c r="X27" i="2"/>
  <c r="X18" i="2"/>
  <c r="U8" i="2"/>
  <c r="V13" i="2"/>
  <c r="N6" i="2"/>
  <c r="E11" i="2"/>
  <c r="W7" i="2"/>
  <c r="U26" i="2"/>
  <c r="L14" i="2"/>
  <c r="E34" i="2"/>
  <c r="AR49" i="3"/>
  <c r="N34" i="2"/>
  <c r="D30" i="2"/>
  <c r="N22" i="2"/>
  <c r="C12" i="2"/>
  <c r="AM46" i="3"/>
  <c r="G11" i="3"/>
  <c r="E39" i="3"/>
  <c r="D39" i="3"/>
  <c r="O46" i="3"/>
  <c r="AR14" i="3"/>
  <c r="AR23" i="3"/>
  <c r="EJ14" i="4" a="1"/>
  <c r="BJ12" i="4" a="1"/>
  <c r="K7" i="4" a="1"/>
  <c r="DQ9" i="4" a="1"/>
  <c r="N13" i="4" a="1"/>
  <c r="CT5" i="4" a="1"/>
  <c r="P6" i="4" a="1"/>
  <c r="DL16" i="4" a="1"/>
  <c r="EK9" i="4" a="1"/>
  <c r="EB9" i="4" a="1"/>
  <c r="F77" i="3"/>
  <c r="G80" i="3"/>
  <c r="D81" i="3"/>
  <c r="F61" i="3"/>
  <c r="F76" i="3"/>
  <c r="D73" i="3"/>
  <c r="D70" i="3"/>
  <c r="F89" i="3"/>
  <c r="F96" i="3"/>
  <c r="E74" i="3"/>
  <c r="D89" i="3"/>
  <c r="F94" i="3"/>
  <c r="D85" i="3"/>
  <c r="D77" i="3"/>
  <c r="D67" i="3"/>
  <c r="F69" i="3"/>
  <c r="D86" i="3"/>
  <c r="D95" i="3"/>
  <c r="F62" i="3"/>
  <c r="D93" i="3"/>
  <c r="G85" i="3"/>
  <c r="D60" i="3"/>
  <c r="D76" i="3"/>
  <c r="D72" i="3"/>
  <c r="E67" i="3"/>
  <c r="D58" i="3"/>
  <c r="D87" i="3"/>
  <c r="D68" i="3"/>
  <c r="F73" i="3"/>
  <c r="D83" i="3"/>
  <c r="F87" i="3"/>
  <c r="G54" i="3"/>
  <c r="D75" i="3"/>
  <c r="D94" i="3"/>
  <c r="D54" i="3"/>
  <c r="E84" i="3"/>
  <c r="D88" i="3"/>
  <c r="F67" i="3"/>
  <c r="D69" i="3"/>
  <c r="F88" i="3"/>
  <c r="F60" i="3"/>
  <c r="D64" i="3"/>
  <c r="E78" i="3"/>
  <c r="D90" i="3"/>
  <c r="F56" i="3"/>
  <c r="D61" i="3"/>
  <c r="D92" i="3"/>
  <c r="F50" i="3"/>
  <c r="D63" i="3"/>
  <c r="D91" i="3"/>
  <c r="F72" i="3"/>
  <c r="D80" i="3"/>
  <c r="D84" i="3"/>
  <c r="F81" i="3"/>
  <c r="D78" i="3"/>
  <c r="F75" i="3"/>
  <c r="D62" i="3"/>
  <c r="F65" i="3"/>
  <c r="E59" i="3"/>
  <c r="F79" i="3"/>
  <c r="D66" i="3"/>
  <c r="E90" i="3"/>
  <c r="D82" i="3"/>
  <c r="F84" i="3"/>
  <c r="D79" i="3"/>
  <c r="F95" i="3"/>
  <c r="D96" i="3"/>
  <c r="G73" i="3"/>
  <c r="F54" i="3"/>
  <c r="D74" i="3"/>
  <c r="F71" i="3"/>
  <c r="D55" i="3"/>
  <c r="F63" i="3"/>
  <c r="D57" i="3"/>
  <c r="E92" i="3"/>
  <c r="F70" i="3"/>
  <c r="D65" i="3"/>
  <c r="F92" i="3"/>
  <c r="E88" i="3"/>
  <c r="G91" i="3"/>
  <c r="D71" i="3"/>
  <c r="D97" i="3"/>
  <c r="D56" i="3"/>
  <c r="F47" i="3"/>
  <c r="D59" i="3"/>
  <c r="F93" i="3"/>
  <c r="F48" i="3" l="1"/>
  <c r="F82" i="3"/>
  <c r="F91" i="3"/>
  <c r="F66" i="3"/>
  <c r="F80" i="3"/>
  <c r="F58" i="3"/>
  <c r="F64" i="3"/>
  <c r="F49" i="3"/>
  <c r="F74" i="3"/>
  <c r="F90" i="3"/>
  <c r="F55" i="3"/>
  <c r="F86" i="3"/>
  <c r="F57" i="3"/>
  <c r="F97" i="3"/>
  <c r="F85" i="3"/>
  <c r="F59" i="3"/>
  <c r="F68" i="3"/>
  <c r="F78" i="3"/>
  <c r="F83" i="3"/>
  <c r="G87" i="3"/>
  <c r="G63" i="3"/>
  <c r="E70" i="3"/>
  <c r="G66" i="3"/>
  <c r="E55" i="3"/>
  <c r="G75" i="3"/>
  <c r="G69" i="3"/>
  <c r="G96" i="3"/>
  <c r="E75" i="3"/>
  <c r="G90" i="3"/>
  <c r="G58" i="3"/>
  <c r="E63" i="3"/>
  <c r="E87" i="3"/>
  <c r="E58" i="3"/>
  <c r="G84" i="3"/>
  <c r="E60" i="3"/>
  <c r="E69" i="3"/>
  <c r="E95" i="3"/>
  <c r="E62" i="3"/>
  <c r="G56" i="3"/>
  <c r="E71" i="3"/>
  <c r="E89" i="3"/>
  <c r="E85" i="3"/>
  <c r="G67" i="3"/>
  <c r="E81" i="3"/>
  <c r="G82" i="3"/>
  <c r="G59" i="3"/>
  <c r="G57" i="3"/>
  <c r="G93" i="3"/>
  <c r="E79" i="3"/>
  <c r="G92" i="3"/>
  <c r="G89" i="3"/>
  <c r="G65" i="3"/>
  <c r="E80" i="3"/>
  <c r="G68" i="3"/>
  <c r="G55" i="3"/>
  <c r="G64" i="3"/>
  <c r="G72" i="3"/>
  <c r="G76" i="3"/>
  <c r="E64" i="3"/>
  <c r="E68" i="3"/>
  <c r="G88" i="3"/>
  <c r="E82" i="3"/>
  <c r="G94" i="3"/>
  <c r="E54" i="3"/>
  <c r="G70" i="3"/>
  <c r="E61" i="3"/>
  <c r="G62" i="3"/>
  <c r="AD89" i="3"/>
  <c r="AD57" i="3"/>
  <c r="AD81" i="3"/>
  <c r="AD77" i="3"/>
  <c r="AD58" i="3"/>
  <c r="AD54" i="3"/>
  <c r="AD92" i="3"/>
  <c r="AD62" i="3"/>
  <c r="AD70" i="3"/>
  <c r="AD61" i="3"/>
  <c r="AD65" i="3"/>
  <c r="AD91" i="3"/>
  <c r="AD66" i="3"/>
  <c r="AD75" i="3"/>
  <c r="AD90" i="3"/>
  <c r="AD88" i="3"/>
  <c r="AD64" i="3"/>
  <c r="AD67" i="3"/>
  <c r="AD80" i="3"/>
  <c r="AD86" i="3"/>
  <c r="AD56" i="3"/>
  <c r="AD69" i="3"/>
  <c r="AD59" i="3"/>
  <c r="AD79" i="3"/>
  <c r="AD97" i="3"/>
  <c r="AD63" i="3"/>
  <c r="AD84" i="3"/>
  <c r="AD93" i="3"/>
  <c r="AD85" i="3"/>
  <c r="AD87" i="3"/>
  <c r="AD72" i="3"/>
  <c r="AD73" i="3"/>
  <c r="AD55" i="3"/>
  <c r="AD76" i="3"/>
  <c r="AD83" i="3"/>
  <c r="AD74" i="3"/>
  <c r="AD95" i="3"/>
  <c r="AD60" i="3"/>
  <c r="AD82" i="3"/>
  <c r="AD96" i="3"/>
  <c r="AD78" i="3"/>
  <c r="AD94" i="3"/>
  <c r="AD68" i="3"/>
  <c r="AD71" i="3"/>
  <c r="G74" i="3"/>
  <c r="G71" i="3"/>
  <c r="G61" i="3"/>
  <c r="E72" i="3"/>
  <c r="E66" i="3"/>
  <c r="G60" i="3"/>
  <c r="E97" i="3"/>
  <c r="G97" i="3"/>
  <c r="G81" i="3"/>
  <c r="E94" i="3"/>
  <c r="G83" i="3"/>
  <c r="E83" i="3"/>
  <c r="G78" i="3"/>
  <c r="E76" i="3"/>
  <c r="G79" i="3"/>
  <c r="E96" i="3"/>
  <c r="E77" i="3"/>
  <c r="E93" i="3"/>
  <c r="E91" i="3"/>
  <c r="E56" i="3"/>
  <c r="E65" i="3"/>
  <c r="E57" i="3"/>
  <c r="E73" i="3"/>
  <c r="E86" i="3"/>
  <c r="G86" i="3"/>
  <c r="G95" i="3"/>
  <c r="G77" i="3"/>
  <c r="JF9" i="4" s="1"/>
  <c r="JI9" i="4" s="1"/>
  <c r="BX102" i="1"/>
  <c r="BX90" i="1"/>
  <c r="AM79" i="1"/>
  <c r="B79" i="1"/>
  <c r="C106" i="1"/>
  <c r="BX140" i="1"/>
  <c r="K88" i="1"/>
  <c r="V73" i="1"/>
  <c r="V74" i="1" s="1"/>
  <c r="V165" i="1" s="1"/>
  <c r="D77" i="1"/>
  <c r="M72" i="1"/>
  <c r="M297" i="1" s="1"/>
  <c r="U92" i="1"/>
  <c r="W89" i="1"/>
  <c r="W99" i="1"/>
  <c r="W260" i="1" s="1"/>
  <c r="S89" i="1"/>
  <c r="O72" i="1"/>
  <c r="O297" i="1" s="1"/>
  <c r="C118" i="1"/>
  <c r="C90" i="1"/>
  <c r="I103" i="1"/>
  <c r="D106" i="1"/>
  <c r="J102" i="1"/>
  <c r="V102" i="1"/>
  <c r="L87" i="1"/>
  <c r="K79" i="1"/>
  <c r="N118" i="1"/>
  <c r="Q103" i="1"/>
  <c r="T90" i="1"/>
  <c r="F90" i="1"/>
  <c r="II16" i="4" s="1"/>
  <c r="BJ72" i="1"/>
  <c r="BJ297" i="1" s="1"/>
  <c r="BX217" i="1"/>
  <c r="BY217" i="1" s="1"/>
  <c r="F79" i="1"/>
  <c r="JH9" i="4" s="1"/>
  <c r="HU16" i="4" s="1"/>
  <c r="AM73" i="1"/>
  <c r="BX79" i="1"/>
  <c r="D188" i="1"/>
  <c r="BX213" i="1"/>
  <c r="BY213" i="1" s="1"/>
  <c r="BX215" i="1"/>
  <c r="BY215" i="1" s="1"/>
  <c r="K103" i="1"/>
  <c r="S72" i="1"/>
  <c r="S297" i="1" s="1"/>
  <c r="H73" i="1"/>
  <c r="J185" i="1"/>
  <c r="V90" i="1"/>
  <c r="P114" i="1"/>
  <c r="E79" i="1"/>
  <c r="R72" i="1"/>
  <c r="R297" i="1" s="1"/>
  <c r="E73" i="1"/>
  <c r="L99" i="1"/>
  <c r="K112" i="1"/>
  <c r="O88" i="1"/>
  <c r="E118" i="1"/>
  <c r="G87" i="1"/>
  <c r="Q79" i="1"/>
  <c r="L89" i="1"/>
  <c r="Q118" i="1"/>
  <c r="F72" i="1"/>
  <c r="F297" i="1" s="1"/>
  <c r="R112" i="1"/>
  <c r="IL16" i="4" s="1"/>
  <c r="IR16" i="4" s="1"/>
  <c r="AL92" i="1"/>
  <c r="AL112" i="1"/>
  <c r="BX87" i="1"/>
  <c r="R77" i="1"/>
  <c r="D89" i="1"/>
  <c r="IA16" i="4" s="1"/>
  <c r="JC9" i="4" s="1"/>
  <c r="IC16" i="4" s="1"/>
  <c r="IH9" i="4" s="1"/>
  <c r="IK16" i="4" s="1"/>
  <c r="HS16" i="4" s="1"/>
  <c r="IU16" i="4" s="1"/>
  <c r="AM77" i="1"/>
  <c r="AJ78" i="1"/>
  <c r="F89" i="1"/>
  <c r="U99" i="1"/>
  <c r="U319" i="1" s="1"/>
  <c r="B102" i="1"/>
  <c r="BX221" i="1"/>
  <c r="BY221" i="1" s="1"/>
  <c r="I91" i="1"/>
  <c r="L91" i="1"/>
  <c r="B89" i="1"/>
  <c r="P102" i="1"/>
  <c r="M73" i="1"/>
  <c r="H106" i="1"/>
  <c r="W103" i="1"/>
  <c r="W318" i="1" s="1"/>
  <c r="F106" i="1"/>
  <c r="R106" i="1"/>
  <c r="M91" i="1"/>
  <c r="V89" i="1"/>
  <c r="V112" i="1"/>
  <c r="I90" i="1"/>
  <c r="G229" i="1"/>
  <c r="F113" i="1"/>
  <c r="O90" i="1"/>
  <c r="P106" i="1"/>
  <c r="K118" i="1"/>
  <c r="R103" i="1"/>
  <c r="F87" i="1"/>
  <c r="F73" i="1"/>
  <c r="W73" i="1"/>
  <c r="W74" i="1" s="1"/>
  <c r="AL99" i="1"/>
  <c r="AL260" i="1" s="1"/>
  <c r="AL88" i="1"/>
  <c r="L72" i="1"/>
  <c r="L297" i="1" s="1"/>
  <c r="BX220" i="1"/>
  <c r="BY220" i="1" s="1"/>
  <c r="V99" i="1"/>
  <c r="JE9" i="4" s="1"/>
  <c r="HV9" i="4" s="1"/>
  <c r="HT9" i="4" s="1"/>
  <c r="AL102" i="1"/>
  <c r="AL79" i="1"/>
  <c r="I102" i="1"/>
  <c r="P73" i="1"/>
  <c r="D72" i="1"/>
  <c r="D297" i="1" s="1"/>
  <c r="C89" i="1"/>
  <c r="N77" i="1"/>
  <c r="H114" i="1"/>
  <c r="G72" i="1"/>
  <c r="G297" i="1" s="1"/>
  <c r="L103" i="1"/>
  <c r="S106" i="1"/>
  <c r="Q112" i="1"/>
  <c r="T118" i="1"/>
  <c r="V92" i="1"/>
  <c r="W92" i="1"/>
  <c r="R113" i="1"/>
  <c r="T79" i="1"/>
  <c r="T91" i="1"/>
  <c r="D113" i="1"/>
  <c r="U112" i="1"/>
  <c r="HR16" i="4" s="1"/>
  <c r="HX16" i="4" s="1"/>
  <c r="AL72" i="1"/>
  <c r="AL297" i="1" s="1"/>
  <c r="AL89" i="1"/>
  <c r="B113" i="1"/>
  <c r="Q73" i="1"/>
  <c r="JA9" i="4" s="1"/>
  <c r="JG9" i="4" s="1"/>
  <c r="JI16" i="4" s="1"/>
  <c r="IM16" i="4" s="1"/>
  <c r="IX9" i="4" s="1"/>
  <c r="IN9" i="4" s="1"/>
  <c r="JD16" i="4" s="1"/>
  <c r="BX77" i="1"/>
  <c r="AK88" i="1"/>
  <c r="AM102" i="1"/>
  <c r="AM72" i="1"/>
  <c r="AM297" i="1" s="1"/>
  <c r="AJ79" i="1"/>
  <c r="AK87" i="1"/>
  <c r="AL78" i="1"/>
  <c r="AK89" i="1"/>
  <c r="BJ77" i="1"/>
  <c r="AM91" i="1"/>
  <c r="M90" i="1"/>
  <c r="H92" i="1"/>
  <c r="G113" i="1"/>
  <c r="O79" i="1"/>
  <c r="BX185" i="1"/>
  <c r="BY185" i="1" s="1"/>
  <c r="J89" i="1"/>
  <c r="BX199" i="1"/>
  <c r="P112" i="1"/>
  <c r="L90" i="1"/>
  <c r="C99" i="1"/>
  <c r="C260" i="1" s="1"/>
  <c r="O106" i="1"/>
  <c r="S92" i="1"/>
  <c r="L118" i="1"/>
  <c r="C102" i="1"/>
  <c r="T73" i="1"/>
  <c r="G92" i="1"/>
  <c r="B99" i="1"/>
  <c r="E91" i="1"/>
  <c r="M99" i="1"/>
  <c r="M260" i="1" s="1"/>
  <c r="M89" i="1"/>
  <c r="P118" i="1"/>
  <c r="N73" i="1"/>
  <c r="N92" i="1"/>
  <c r="E92" i="1"/>
  <c r="HV16" i="4" s="1"/>
  <c r="AK92" i="1"/>
  <c r="AL77" i="1"/>
  <c r="BX229" i="1"/>
  <c r="BY229" i="1" s="1"/>
  <c r="G118" i="1"/>
  <c r="B90" i="1"/>
  <c r="U106" i="1"/>
  <c r="BX197" i="1"/>
  <c r="BX190" i="1"/>
  <c r="BY190" i="1" s="1"/>
  <c r="K77" i="1"/>
  <c r="W91" i="1"/>
  <c r="H103" i="1"/>
  <c r="B118" i="1"/>
  <c r="N114" i="1"/>
  <c r="S87" i="1"/>
  <c r="U89" i="1"/>
  <c r="D114" i="1"/>
  <c r="Q102" i="1"/>
  <c r="N99" i="1"/>
  <c r="N260" i="1" s="1"/>
  <c r="W102" i="1"/>
  <c r="O73" i="1"/>
  <c r="AJ99" i="1"/>
  <c r="AJ260" i="1" s="1"/>
  <c r="AJ103" i="1"/>
  <c r="AM78" i="1"/>
  <c r="AM87" i="1"/>
  <c r="BJ90" i="1"/>
  <c r="AJ77" i="1"/>
  <c r="AL103" i="1"/>
  <c r="BX112" i="1"/>
  <c r="BX210" i="1"/>
  <c r="T112" i="1"/>
  <c r="P219" i="1"/>
  <c r="B77" i="1"/>
  <c r="BX209" i="1"/>
  <c r="BY209" i="1" s="1"/>
  <c r="BX225" i="1"/>
  <c r="J87" i="1"/>
  <c r="M92" i="1"/>
  <c r="O89" i="1"/>
  <c r="BL141" i="1"/>
  <c r="D91" i="1"/>
  <c r="P103" i="1"/>
  <c r="L73" i="1"/>
  <c r="D90" i="1"/>
  <c r="O77" i="1"/>
  <c r="J118" i="1"/>
  <c r="S114" i="1"/>
  <c r="N89" i="1"/>
  <c r="Q92" i="1"/>
  <c r="R92" i="1"/>
  <c r="P91" i="1"/>
  <c r="S90" i="1"/>
  <c r="H89" i="1"/>
  <c r="N87" i="1"/>
  <c r="F114" i="1"/>
  <c r="U118" i="1"/>
  <c r="T88" i="1"/>
  <c r="P87" i="1"/>
  <c r="T87" i="1"/>
  <c r="U114" i="1"/>
  <c r="IB16" i="4" s="1"/>
  <c r="HY9" i="4" s="1"/>
  <c r="JE16" i="4" s="1"/>
  <c r="JB9" i="4" s="1"/>
  <c r="ID9" i="4" s="1"/>
  <c r="AM103" i="1"/>
  <c r="AM106" i="1"/>
  <c r="BX89" i="1"/>
  <c r="AK102" i="1"/>
  <c r="AJ87" i="1"/>
  <c r="AK77" i="1"/>
  <c r="AK79" i="1"/>
  <c r="D92" i="1"/>
  <c r="U87" i="1"/>
  <c r="BX212" i="1"/>
  <c r="BY212" i="1" s="1"/>
  <c r="R88" i="1"/>
  <c r="I114" i="1"/>
  <c r="BX198" i="1"/>
  <c r="B114" i="1"/>
  <c r="BX219" i="1"/>
  <c r="O114" i="1"/>
  <c r="L112" i="1"/>
  <c r="C73" i="1"/>
  <c r="H79" i="1"/>
  <c r="D88" i="1"/>
  <c r="Q114" i="1"/>
  <c r="U79" i="1"/>
  <c r="IY16" i="4" s="1"/>
  <c r="IE9" i="4" s="1"/>
  <c r="IB9" i="4" s="1"/>
  <c r="AL87" i="1"/>
  <c r="AM90" i="1"/>
  <c r="BJ91" i="1"/>
  <c r="BX211" i="1"/>
  <c r="C103" i="1"/>
  <c r="W118" i="1"/>
  <c r="H72" i="1"/>
  <c r="H297" i="1" s="1"/>
  <c r="P221" i="1"/>
  <c r="U91" i="1"/>
  <c r="BY140" i="1"/>
  <c r="B73" i="1"/>
  <c r="R89" i="1"/>
  <c r="C92" i="1"/>
  <c r="I118" i="1"/>
  <c r="R73" i="1"/>
  <c r="M106" i="1"/>
  <c r="G73" i="1"/>
  <c r="O92" i="1"/>
  <c r="V114" i="1"/>
  <c r="G102" i="1"/>
  <c r="C79" i="1"/>
  <c r="M113" i="1"/>
  <c r="P79" i="1"/>
  <c r="L113" i="1"/>
  <c r="N103" i="1"/>
  <c r="T89" i="1"/>
  <c r="I113" i="1"/>
  <c r="K73" i="1"/>
  <c r="T102" i="1"/>
  <c r="N72" i="1"/>
  <c r="N297" i="1" s="1"/>
  <c r="K114" i="1"/>
  <c r="P89" i="1"/>
  <c r="II14" i="4" s="1"/>
  <c r="BJ79" i="1"/>
  <c r="AK112" i="1"/>
  <c r="BX72" i="1"/>
  <c r="AM99" i="1"/>
  <c r="AM260" i="1" s="1"/>
  <c r="AL90" i="1"/>
  <c r="AL106" i="1"/>
  <c r="E89" i="1"/>
  <c r="K99" i="1"/>
  <c r="K260" i="1" s="1"/>
  <c r="S91" i="1"/>
  <c r="Q106" i="1"/>
  <c r="H77" i="1"/>
  <c r="R114" i="1"/>
  <c r="Q77" i="1"/>
  <c r="M79" i="1"/>
  <c r="BX192" i="1"/>
  <c r="BY192" i="1" s="1"/>
  <c r="M102" i="1"/>
  <c r="I112" i="1"/>
  <c r="H113" i="1"/>
  <c r="G90" i="1"/>
  <c r="B103" i="1"/>
  <c r="V113" i="1"/>
  <c r="J106" i="1"/>
  <c r="M87" i="1"/>
  <c r="O91" i="1"/>
  <c r="S113" i="1"/>
  <c r="J114" i="1"/>
  <c r="N90" i="1"/>
  <c r="JH7" i="4" s="1"/>
  <c r="JB15" i="4" s="1"/>
  <c r="IC9" i="4" s="1"/>
  <c r="IT9" i="4" s="1"/>
  <c r="IR9" i="4" s="1"/>
  <c r="IV15" i="4" s="1"/>
  <c r="IP8" i="4" s="1"/>
  <c r="BX113" i="1"/>
  <c r="BX92" i="1"/>
  <c r="AL118" i="1"/>
  <c r="F92" i="1"/>
  <c r="W79" i="1"/>
  <c r="G103" i="1"/>
  <c r="M112" i="1"/>
  <c r="V87" i="1"/>
  <c r="BX226" i="1"/>
  <c r="BX203" i="1"/>
  <c r="BY203" i="1" s="1"/>
  <c r="G88" i="1"/>
  <c r="D73" i="1"/>
  <c r="BX184" i="1"/>
  <c r="BY184" i="1" s="1"/>
  <c r="L77" i="1"/>
  <c r="V88" i="1"/>
  <c r="P92" i="1"/>
  <c r="G89" i="1"/>
  <c r="D103" i="1"/>
  <c r="O113" i="1"/>
  <c r="O87" i="1"/>
  <c r="V77" i="1"/>
  <c r="F88" i="1"/>
  <c r="G219" i="1"/>
  <c r="V106" i="1"/>
  <c r="H90" i="1"/>
  <c r="B87" i="1"/>
  <c r="P113" i="1"/>
  <c r="N113" i="1"/>
  <c r="G106" i="1"/>
  <c r="V91" i="1"/>
  <c r="I92" i="1"/>
  <c r="D112" i="1"/>
  <c r="J77" i="1"/>
  <c r="H102" i="1"/>
  <c r="G91" i="1"/>
  <c r="IE16" i="4" s="1"/>
  <c r="IH16" i="4" s="1"/>
  <c r="IJ16" i="4" s="1"/>
  <c r="BX106" i="1"/>
  <c r="AM88" i="1"/>
  <c r="BJ78" i="1"/>
  <c r="AJ118" i="1"/>
  <c r="AK113" i="1"/>
  <c r="BX103" i="1"/>
  <c r="AK91" i="1"/>
  <c r="AJ106" i="1"/>
  <c r="AK90" i="1"/>
  <c r="BX78" i="1"/>
  <c r="N88" i="1"/>
  <c r="U103" i="1"/>
  <c r="U318" i="1" s="1"/>
  <c r="E106" i="1"/>
  <c r="BX191" i="1"/>
  <c r="BY191" i="1" s="1"/>
  <c r="L106" i="1"/>
  <c r="W112" i="1"/>
  <c r="BX141" i="1"/>
  <c r="S102" i="1"/>
  <c r="Q91" i="1"/>
  <c r="P90" i="1"/>
  <c r="O118" i="1"/>
  <c r="L79" i="1"/>
  <c r="F99" i="1"/>
  <c r="F260" i="1" s="1"/>
  <c r="I79" i="1"/>
  <c r="F112" i="1"/>
  <c r="R102" i="1"/>
  <c r="N106" i="1"/>
  <c r="M114" i="1"/>
  <c r="Q219" i="1"/>
  <c r="N91" i="1"/>
  <c r="G79" i="1"/>
  <c r="I87" i="1"/>
  <c r="D118" i="1"/>
  <c r="U88" i="1"/>
  <c r="N79" i="1"/>
  <c r="M103" i="1"/>
  <c r="B91" i="1"/>
  <c r="J112" i="1"/>
  <c r="I99" i="1"/>
  <c r="I260" i="1" s="1"/>
  <c r="E225" i="1"/>
  <c r="V103" i="1"/>
  <c r="V318" i="1" s="1"/>
  <c r="IO16" i="4" s="1"/>
  <c r="HU9" i="4" s="1"/>
  <c r="BX73" i="1"/>
  <c r="AM89" i="1"/>
  <c r="AJ114" i="1"/>
  <c r="D99" i="1"/>
  <c r="D319" i="1" s="1"/>
  <c r="S103" i="1"/>
  <c r="HZ14" i="4" s="1"/>
  <c r="IX16" i="4" s="1"/>
  <c r="JD9" i="4" s="1"/>
  <c r="JD21" i="4" s="1"/>
  <c r="BX144" i="1" s="1"/>
  <c r="BX156" i="1" s="1"/>
  <c r="IV16" i="4" s="1"/>
  <c r="IS16" i="4" s="1"/>
  <c r="IL15" i="4" s="1"/>
  <c r="IN7" i="4" s="1"/>
  <c r="HP9" i="4" s="1"/>
  <c r="IO14" i="4" s="1"/>
  <c r="IY14" i="4" s="1"/>
  <c r="IK9" i="4" s="1"/>
  <c r="IS9" i="4" s="1"/>
  <c r="AJ113" i="1"/>
  <c r="BJ88" i="1"/>
  <c r="BX114" i="1"/>
  <c r="BX91" i="1"/>
  <c r="AJ92" i="1"/>
  <c r="AJ112" i="1"/>
  <c r="AK114" i="1"/>
  <c r="AL73" i="1"/>
  <c r="AL91" i="1"/>
  <c r="U90" i="1"/>
  <c r="I106" i="1"/>
  <c r="J99" i="1"/>
  <c r="J260" i="1" s="1"/>
  <c r="BX216" i="1"/>
  <c r="BY216" i="1" s="1"/>
  <c r="BX230" i="1"/>
  <c r="BY230" i="1" s="1"/>
  <c r="I88" i="1"/>
  <c r="I77" i="1"/>
  <c r="BX193" i="1"/>
  <c r="BY193" i="1" s="1"/>
  <c r="S77" i="1"/>
  <c r="Q99" i="1"/>
  <c r="Q260" i="1" s="1"/>
  <c r="D102" i="1"/>
  <c r="O112" i="1"/>
  <c r="L114" i="1"/>
  <c r="Q88" i="1"/>
  <c r="S99" i="1"/>
  <c r="S260" i="1" s="1"/>
  <c r="H118" i="1"/>
  <c r="I72" i="1"/>
  <c r="I297" i="1" s="1"/>
  <c r="V79" i="1"/>
  <c r="R91" i="1"/>
  <c r="U113" i="1"/>
  <c r="K113" i="1"/>
  <c r="P193" i="1"/>
  <c r="K102" i="1"/>
  <c r="W88" i="1"/>
  <c r="M77" i="1"/>
  <c r="W87" i="1"/>
  <c r="E102" i="1"/>
  <c r="K89" i="1"/>
  <c r="K90" i="1"/>
  <c r="S73" i="1"/>
  <c r="J103" i="1"/>
  <c r="C91" i="1"/>
  <c r="P77" i="1"/>
  <c r="C190" i="1"/>
  <c r="K92" i="1"/>
  <c r="K91" i="1"/>
  <c r="T72" i="1"/>
  <c r="T297" i="1" s="1"/>
  <c r="C72" i="1"/>
  <c r="F102" i="1"/>
  <c r="L88" i="1"/>
  <c r="IW9" i="4" s="1"/>
  <c r="HW9" i="4" s="1"/>
  <c r="IF16" i="4" s="1"/>
  <c r="HX9" i="4" s="1"/>
  <c r="AK72" i="1"/>
  <c r="AK297" i="1" s="1"/>
  <c r="AJ88" i="1"/>
  <c r="BX218" i="1"/>
  <c r="BY218" i="1" s="1"/>
  <c r="L102" i="1"/>
  <c r="IO9" i="4" s="1"/>
  <c r="IV9" i="4" s="1"/>
  <c r="IG9" i="4" s="1"/>
  <c r="IT16" i="4" s="1"/>
  <c r="IQ16" i="4" s="1"/>
  <c r="HZ9" i="4" s="1"/>
  <c r="HP16" i="4" s="1"/>
  <c r="IP9" i="4" s="1"/>
  <c r="HR9" i="4" s="1"/>
  <c r="AL114" i="1"/>
  <c r="AK106" i="1"/>
  <c r="AK73" i="1"/>
  <c r="BX206" i="1"/>
  <c r="BY206" i="1" s="1"/>
  <c r="BZ268" i="1" s="1"/>
  <c r="B106" i="1"/>
  <c r="C88" i="1"/>
  <c r="T113" i="1"/>
  <c r="BX201" i="1"/>
  <c r="BY201" i="1" s="1"/>
  <c r="U77" i="1"/>
  <c r="K106" i="1"/>
  <c r="B88" i="1"/>
  <c r="D79" i="1"/>
  <c r="B112" i="1"/>
  <c r="C113" i="1"/>
  <c r="H91" i="1"/>
  <c r="R87" i="1"/>
  <c r="K87" i="1"/>
  <c r="H112" i="1"/>
  <c r="V118" i="1"/>
  <c r="O102" i="1"/>
  <c r="Q89" i="1"/>
  <c r="S79" i="1"/>
  <c r="T106" i="1"/>
  <c r="J113" i="1"/>
  <c r="W77" i="1"/>
  <c r="G114" i="1"/>
  <c r="T114" i="1"/>
  <c r="H99" i="1"/>
  <c r="H260" i="1" s="1"/>
  <c r="P72" i="1"/>
  <c r="W183" i="1"/>
  <c r="IA9" i="4" s="1"/>
  <c r="AJ91" i="1"/>
  <c r="E88" i="1"/>
  <c r="C77" i="1"/>
  <c r="S88" i="1"/>
  <c r="HX7" i="4" s="1"/>
  <c r="IM9" i="4" s="1"/>
  <c r="JA8" i="4" s="1"/>
  <c r="IA14" i="4" s="1"/>
  <c r="IQ9" i="4" s="1"/>
  <c r="II9" i="4" s="1"/>
  <c r="AL113" i="1"/>
  <c r="AJ89" i="1"/>
  <c r="BX99" i="1"/>
  <c r="BX260" i="1" s="1"/>
  <c r="AM92" i="1"/>
  <c r="AK118" i="1"/>
  <c r="BX118" i="1"/>
  <c r="BJ92" i="1"/>
  <c r="AK99" i="1"/>
  <c r="AK260" i="1" s="1"/>
  <c r="AK103" i="1"/>
  <c r="BX208" i="1"/>
  <c r="BY208" i="1" s="1"/>
  <c r="J90" i="1"/>
  <c r="B92" i="1"/>
  <c r="Q87" i="1"/>
  <c r="BX188" i="1"/>
  <c r="BY188" i="1" s="1"/>
  <c r="G112" i="1"/>
  <c r="O103" i="1"/>
  <c r="J72" i="1"/>
  <c r="F77" i="1"/>
  <c r="E114" i="1"/>
  <c r="E87" i="1"/>
  <c r="L92" i="1"/>
  <c r="Q90" i="1"/>
  <c r="F103" i="1"/>
  <c r="F118" i="1"/>
  <c r="E103" i="1"/>
  <c r="W198" i="1"/>
  <c r="I73" i="1"/>
  <c r="J73" i="1"/>
  <c r="M118" i="1"/>
  <c r="U102" i="1"/>
  <c r="J91" i="1"/>
  <c r="C114" i="1"/>
  <c r="Q72" i="1"/>
  <c r="Q297" i="1" s="1"/>
  <c r="T103" i="1"/>
  <c r="D87" i="1"/>
  <c r="E99" i="1"/>
  <c r="E260" i="1" s="1"/>
  <c r="Q113" i="1"/>
  <c r="B72" i="1"/>
  <c r="U73" i="1"/>
  <c r="U74" i="1" s="1"/>
  <c r="C112" i="1"/>
  <c r="N112" i="1"/>
  <c r="I89" i="1"/>
  <c r="C87" i="1"/>
  <c r="W113" i="1"/>
  <c r="H88" i="1"/>
  <c r="R118" i="1"/>
  <c r="AK78" i="1"/>
  <c r="AJ102" i="1"/>
  <c r="BJ89" i="1"/>
  <c r="IW16" i="4" s="1"/>
  <c r="IG16" i="4" s="1"/>
  <c r="HQ9" i="4" s="1"/>
  <c r="IF9" i="4" s="1"/>
  <c r="IY9" i="4" s="1"/>
  <c r="HY16" i="4" s="1"/>
  <c r="HW16" i="4" s="1"/>
  <c r="JG16" i="4" s="1"/>
  <c r="IL9" i="4" s="1"/>
  <c r="BX88" i="1"/>
  <c r="AJ90" i="1"/>
  <c r="AJ73" i="1"/>
  <c r="AJ72" i="1"/>
  <c r="AJ297" i="1" s="1"/>
  <c r="E90" i="1"/>
  <c r="W114" i="1"/>
  <c r="J88" i="1"/>
  <c r="E112" i="1"/>
  <c r="S112" i="1"/>
  <c r="BX183" i="1"/>
  <c r="BY183" i="1" s="1"/>
  <c r="N102" i="1"/>
  <c r="K72" i="1"/>
  <c r="K297" i="1" s="1"/>
  <c r="W106" i="1"/>
  <c r="E113" i="1"/>
  <c r="G77" i="1"/>
  <c r="G99" i="1"/>
  <c r="G260" i="1" s="1"/>
  <c r="T92" i="1"/>
  <c r="P99" i="1"/>
  <c r="P260" i="1" s="1"/>
  <c r="W90" i="1"/>
  <c r="R90" i="1"/>
  <c r="E77" i="1"/>
  <c r="M88" i="1"/>
  <c r="H87" i="1"/>
  <c r="P88" i="1"/>
  <c r="T77" i="1"/>
  <c r="J92" i="1"/>
  <c r="J79" i="1"/>
  <c r="E72" i="1"/>
  <c r="E297" i="1" s="1"/>
  <c r="R79" i="1"/>
  <c r="O99" i="1"/>
  <c r="O260" i="1" s="1"/>
  <c r="P226" i="1"/>
  <c r="R99" i="1"/>
  <c r="F91" i="1"/>
  <c r="T99" i="1"/>
  <c r="T260" i="1" s="1"/>
  <c r="S118" i="1"/>
  <c r="AL221" i="1"/>
  <c r="AM221" i="1" s="1"/>
  <c r="AL141" i="1"/>
  <c r="AJ190" i="1"/>
  <c r="AK190" i="1" s="1"/>
  <c r="AJ229" i="1"/>
  <c r="AK229" i="1" s="1"/>
  <c r="AJ193" i="1"/>
  <c r="AK193" i="1" s="1"/>
  <c r="AJ225" i="1"/>
  <c r="AJ188" i="1"/>
  <c r="AK188" i="1" s="1"/>
  <c r="AL216" i="1"/>
  <c r="AM216" i="1" s="1"/>
  <c r="AL191" i="1"/>
  <c r="AM191" i="1" s="1"/>
  <c r="AL230" i="1"/>
  <c r="AM230" i="1" s="1"/>
  <c r="AJ216" i="1"/>
  <c r="AK216" i="1" s="1"/>
  <c r="AJ219" i="1"/>
  <c r="AJ217" i="1"/>
  <c r="AK217" i="1" s="1"/>
  <c r="AL201" i="1"/>
  <c r="AM201" i="1" s="1"/>
  <c r="AJ215" i="1"/>
  <c r="AK215" i="1" s="1"/>
  <c r="AL199" i="1"/>
  <c r="AL229" i="1"/>
  <c r="AM229" i="1" s="1"/>
  <c r="AJ218" i="1"/>
  <c r="AK218" i="1" s="1"/>
  <c r="AJ208" i="1"/>
  <c r="AK208" i="1" s="1"/>
  <c r="AJ220" i="1"/>
  <c r="AK220" i="1" s="1"/>
  <c r="AL188" i="1"/>
  <c r="AM188" i="1" s="1"/>
  <c r="AL219" i="1"/>
  <c r="AL212" i="1"/>
  <c r="AM212" i="1" s="1"/>
  <c r="AL218" i="1"/>
  <c r="AM218" i="1" s="1"/>
  <c r="AL210" i="1"/>
  <c r="AJ199" i="1"/>
  <c r="AJ210" i="1"/>
  <c r="AJ211" i="1"/>
  <c r="AJ226" i="1"/>
  <c r="AJ185" i="1"/>
  <c r="AJ212" i="1"/>
  <c r="AK212" i="1" s="1"/>
  <c r="AJ191" i="1"/>
  <c r="AK191" i="1" s="1"/>
  <c r="AL183" i="1"/>
  <c r="AM183" i="1" s="1"/>
  <c r="AJ183" i="1"/>
  <c r="AK183" i="1" s="1"/>
  <c r="AL190" i="1"/>
  <c r="AM190" i="1" s="1"/>
  <c r="AL198" i="1"/>
  <c r="AL193" i="1"/>
  <c r="AM193" i="1" s="1"/>
  <c r="AJ230" i="1"/>
  <c r="AK230" i="1" s="1"/>
  <c r="AJ192" i="1"/>
  <c r="AK192" i="1" s="1"/>
  <c r="AJ198" i="1"/>
  <c r="AJ221" i="1"/>
  <c r="AK221" i="1" s="1"/>
  <c r="AJ184" i="1"/>
  <c r="AK184" i="1" s="1"/>
  <c r="AJ206" i="1"/>
  <c r="AK206" i="1" s="1"/>
  <c r="AL206" i="1"/>
  <c r="AM206" i="1" s="1"/>
  <c r="AM268" i="1" s="1"/>
  <c r="AJ197" i="1"/>
  <c r="AJ201" i="1"/>
  <c r="AK201" i="1" s="1"/>
  <c r="AJ213" i="1"/>
  <c r="AK213" i="1" s="1"/>
  <c r="AJ209" i="1"/>
  <c r="AK209" i="1" s="1"/>
  <c r="AJ203" i="1"/>
  <c r="AK203" i="1" s="1"/>
  <c r="AL209" i="1"/>
  <c r="JI14" i="4"/>
  <c r="IQ15" i="4"/>
  <c r="HY14" i="4"/>
  <c r="HS15" i="4"/>
  <c r="HW14" i="4"/>
  <c r="IT8" i="4"/>
  <c r="IK14" i="4"/>
  <c r="CP144" i="1"/>
  <c r="CN130" i="1"/>
  <c r="CM132" i="1"/>
  <c r="AL211" i="1" l="1"/>
  <c r="AL208" i="1"/>
  <c r="AM208" i="1" s="1"/>
  <c r="AL197" i="1"/>
  <c r="AL215" i="1"/>
  <c r="AM215" i="1" s="1"/>
  <c r="AL185" i="1"/>
  <c r="AL217" i="1"/>
  <c r="AM217" i="1" s="1"/>
  <c r="AL225" i="1"/>
  <c r="AL220" i="1"/>
  <c r="AM220" i="1" s="1"/>
  <c r="AL192" i="1"/>
  <c r="AM192" i="1" s="1"/>
  <c r="AL184" i="1"/>
  <c r="AM184" i="1" s="1"/>
  <c r="AL226" i="1"/>
  <c r="AL140" i="1"/>
  <c r="AL213" i="1"/>
  <c r="AM213" i="1" s="1"/>
  <c r="AL203" i="1"/>
  <c r="AM203" i="1" s="1"/>
  <c r="W75" i="1"/>
  <c r="IN16" i="4" s="1"/>
  <c r="HS9" i="4" s="1"/>
  <c r="HS21" i="4" s="1"/>
  <c r="AM144" i="1" s="1"/>
  <c r="IW8" i="4" s="1"/>
  <c r="IU9" i="4" s="1"/>
  <c r="ID16" i="4" s="1"/>
  <c r="JH16" i="4" s="1"/>
  <c r="JH21" i="4" s="1"/>
  <c r="CB144" i="1" s="1"/>
  <c r="CB156" i="1" s="1"/>
  <c r="HV21" i="4"/>
  <c r="AP144" i="1" s="1"/>
  <c r="JC16" i="4" s="1"/>
  <c r="JF16" i="4" s="1"/>
  <c r="O74" i="1"/>
  <c r="IJ9" i="4" s="1"/>
  <c r="IC8" i="4" s="1"/>
  <c r="BJ220" i="1"/>
  <c r="BK220" i="1" s="1"/>
  <c r="BJ210" i="1"/>
  <c r="BJ193" i="1"/>
  <c r="BK193" i="1" s="1"/>
  <c r="BJ225" i="1"/>
  <c r="BJ226" i="1"/>
  <c r="BJ213" i="1"/>
  <c r="BK213" i="1" s="1"/>
  <c r="BJ215" i="1"/>
  <c r="BJ221" i="1"/>
  <c r="BK221" i="1" s="1"/>
  <c r="BJ190" i="1"/>
  <c r="BK190" i="1" s="1"/>
  <c r="BJ197" i="1"/>
  <c r="BJ211" i="1"/>
  <c r="BJ230" i="1"/>
  <c r="BJ185" i="1"/>
  <c r="BJ192" i="1"/>
  <c r="BK192" i="1" s="1"/>
  <c r="BJ206" i="1"/>
  <c r="BK206" i="1" s="1"/>
  <c r="BL268" i="1" s="1"/>
  <c r="BJ218" i="1"/>
  <c r="BK218" i="1" s="1"/>
  <c r="BJ201" i="1"/>
  <c r="BK201" i="1" s="1"/>
  <c r="BJ191" i="1"/>
  <c r="BK191" i="1" s="1"/>
  <c r="BJ208" i="1"/>
  <c r="BK208" i="1" s="1"/>
  <c r="BJ198" i="1"/>
  <c r="BJ212" i="1"/>
  <c r="BK212" i="1" s="1"/>
  <c r="BJ184" i="1"/>
  <c r="BK184" i="1" s="1"/>
  <c r="BJ219" i="1"/>
  <c r="BJ216" i="1"/>
  <c r="BK216" i="1" s="1"/>
  <c r="BJ199" i="1"/>
  <c r="BJ217" i="1"/>
  <c r="BK217" i="1" s="1"/>
  <c r="BJ188" i="1"/>
  <c r="BK188" i="1" s="1"/>
  <c r="BJ183" i="1"/>
  <c r="BJ203" i="1"/>
  <c r="BK203" i="1" s="1"/>
  <c r="BJ209" i="1"/>
  <c r="BJ229" i="1"/>
  <c r="BK229" i="1" s="1"/>
  <c r="JF21" i="4"/>
  <c r="BZ144" i="1" s="1"/>
  <c r="HZ16" i="4" s="1"/>
  <c r="IL14" i="4" s="1"/>
  <c r="HQ16" i="4" s="1"/>
  <c r="HT16" i="4" s="1"/>
  <c r="HT21" i="4" s="1"/>
  <c r="AN144" i="1" s="1"/>
  <c r="IB21" i="4"/>
  <c r="AV144" i="1" s="1"/>
  <c r="IP16" i="4" s="1"/>
  <c r="HU21" i="4"/>
  <c r="AO144" i="1" s="1"/>
  <c r="IA21" i="4"/>
  <c r="AU144" i="1" s="1"/>
  <c r="IZ9" i="4" s="1"/>
  <c r="JA16" i="4" s="1"/>
  <c r="II21" i="4"/>
  <c r="BC144" i="1" s="1"/>
  <c r="IZ16" i="4" s="1"/>
  <c r="IU7" i="4" s="1"/>
  <c r="HP15" i="4" s="1"/>
  <c r="JB16" i="4" s="1"/>
  <c r="JB21" i="4" s="1"/>
  <c r="BV144" i="1" s="1"/>
  <c r="IR14" i="4" s="1"/>
  <c r="IC15" i="4" s="1"/>
  <c r="IS8" i="4" s="1"/>
  <c r="IO7" i="4" s="1"/>
  <c r="L260" i="1"/>
  <c r="JE21" i="4"/>
  <c r="BY144" i="1" s="1"/>
  <c r="BY156" i="1" s="1"/>
  <c r="IC21" i="4"/>
  <c r="AW144" i="1" s="1"/>
  <c r="JG21" i="4"/>
  <c r="CA144" i="1" s="1"/>
  <c r="CA156" i="1" s="1"/>
  <c r="IE21" i="4"/>
  <c r="AY144" i="1" s="1"/>
  <c r="JI21" i="4"/>
  <c r="CC144" i="1" s="1"/>
  <c r="JC21" i="4"/>
  <c r="BW144" i="1" s="1"/>
  <c r="IM14" i="4"/>
  <c r="IP14" i="4"/>
  <c r="IU8" i="4"/>
  <c r="HY8" i="4"/>
  <c r="IB14" i="4"/>
  <c r="IS21" i="4"/>
  <c r="BM144" i="1" s="1"/>
  <c r="IN21" i="4"/>
  <c r="BH144" i="1" s="1"/>
  <c r="IA7" i="4"/>
  <c r="HQ15" i="4"/>
  <c r="HZ8" i="4"/>
  <c r="IR15" i="4"/>
  <c r="HT15" i="4"/>
  <c r="HS14" i="4"/>
  <c r="IU14" i="4"/>
  <c r="IN8" i="4"/>
  <c r="AL318" i="1"/>
  <c r="HW15" i="4"/>
  <c r="D74" i="1"/>
  <c r="HP21" i="4"/>
  <c r="AJ144" i="1" s="1"/>
  <c r="HS8" i="4"/>
  <c r="IL8" i="4"/>
  <c r="IK15" i="4"/>
  <c r="IQ7" i="4"/>
  <c r="HY15" i="4"/>
  <c r="IL7" i="4"/>
  <c r="IV14" i="4"/>
  <c r="IM21" i="4"/>
  <c r="BG144" i="1" s="1"/>
  <c r="JE14" i="4"/>
  <c r="JF7" i="4"/>
  <c r="HT14" i="4"/>
  <c r="IY8" i="4"/>
  <c r="IO8" i="4"/>
  <c r="HR21" i="4"/>
  <c r="AL144" i="1" s="1"/>
  <c r="JC15" i="4"/>
  <c r="IE15" i="4"/>
  <c r="ID7" i="4"/>
  <c r="JH8" i="4"/>
  <c r="IC7" i="4"/>
  <c r="JD15" i="4"/>
  <c r="JF14" i="4"/>
  <c r="IM15" i="4"/>
  <c r="IR8" i="4"/>
  <c r="JA15" i="4"/>
  <c r="JE15" i="4"/>
  <c r="IG14" i="4"/>
  <c r="HX8" i="4"/>
  <c r="IZ14" i="4"/>
  <c r="IF14" i="4"/>
  <c r="IJ7" i="4"/>
  <c r="BJ245" i="1"/>
  <c r="BK245" i="1" s="1"/>
  <c r="BJ246" i="1"/>
  <c r="BK246" i="1" s="1"/>
  <c r="V260" i="1"/>
  <c r="V319" i="1"/>
  <c r="L318" i="1"/>
  <c r="IS14" i="4"/>
  <c r="IY15" i="4"/>
  <c r="IY20" i="4" s="1"/>
  <c r="BS146" i="1" s="1"/>
  <c r="BS174" i="1" s="1"/>
  <c r="HW7" i="4"/>
  <c r="HW19" i="4" s="1"/>
  <c r="AQ145" i="1" s="1"/>
  <c r="AQ173" i="1" s="1"/>
  <c r="HR14" i="4"/>
  <c r="IH21" i="4"/>
  <c r="BB144" i="1" s="1"/>
  <c r="IJ21" i="4"/>
  <c r="BD144" i="1" s="1"/>
  <c r="IM7" i="4"/>
  <c r="IX14" i="4"/>
  <c r="IF8" i="4"/>
  <c r="IT21" i="4"/>
  <c r="BN144" i="1" s="1"/>
  <c r="IA8" i="4"/>
  <c r="P318" i="1"/>
  <c r="JI8" i="4"/>
  <c r="JG14" i="4"/>
  <c r="IT14" i="4"/>
  <c r="HP7" i="4"/>
  <c r="IT15" i="4"/>
  <c r="IT20" i="4" s="1"/>
  <c r="BN146" i="1" s="1"/>
  <c r="BN174" i="1" s="1"/>
  <c r="IX7" i="4"/>
  <c r="JA14" i="4"/>
  <c r="IW14" i="4"/>
  <c r="IX15" i="4"/>
  <c r="IG7" i="4"/>
  <c r="IW7" i="4"/>
  <c r="JF15" i="4"/>
  <c r="HU8" i="4"/>
  <c r="HU15" i="4"/>
  <c r="HU20" i="4" s="1"/>
  <c r="AO146" i="1" s="1"/>
  <c r="AO174" i="1" s="1"/>
  <c r="IY21" i="4"/>
  <c r="BS144" i="1" s="1"/>
  <c r="HY21" i="4"/>
  <c r="AS144" i="1" s="1"/>
  <c r="JC14" i="4"/>
  <c r="II7" i="4"/>
  <c r="II19" i="4" s="1"/>
  <c r="BC145" i="1" s="1"/>
  <c r="BC173" i="1" s="1"/>
  <c r="IL21" i="4"/>
  <c r="BF144" i="1" s="1"/>
  <c r="IZ8" i="4"/>
  <c r="IN15" i="4"/>
  <c r="IF15" i="4"/>
  <c r="O318" i="1"/>
  <c r="V75" i="1"/>
  <c r="F318" i="1"/>
  <c r="S318" i="1"/>
  <c r="BX245" i="1"/>
  <c r="BY245" i="1" s="1"/>
  <c r="R318" i="1"/>
  <c r="AM318" i="1"/>
  <c r="U260" i="1"/>
  <c r="W165" i="1"/>
  <c r="W254" i="1"/>
  <c r="F74" i="1"/>
  <c r="H93" i="1"/>
  <c r="AK74" i="1"/>
  <c r="AK52" i="1" s="1"/>
  <c r="G249" i="1"/>
  <c r="P297" i="1"/>
  <c r="S74" i="1"/>
  <c r="S165" i="1" s="1"/>
  <c r="G319" i="1"/>
  <c r="AJ104" i="1"/>
  <c r="BX318" i="1"/>
  <c r="AL93" i="1"/>
  <c r="BX246" i="1"/>
  <c r="BY246" i="1" s="1"/>
  <c r="P249" i="1"/>
  <c r="I318" i="1"/>
  <c r="I74" i="1"/>
  <c r="I80" i="1" s="1"/>
  <c r="T318" i="1"/>
  <c r="S319" i="1"/>
  <c r="AM74" i="1"/>
  <c r="AM52" i="1" s="1"/>
  <c r="V254" i="1"/>
  <c r="BX227" i="1"/>
  <c r="BY275" i="1" s="1"/>
  <c r="T319" i="1"/>
  <c r="BX297" i="1"/>
  <c r="BX319" i="1"/>
  <c r="U165" i="1"/>
  <c r="X254" i="1"/>
  <c r="W319" i="1"/>
  <c r="X75" i="1"/>
  <c r="R74" i="1"/>
  <c r="R165" i="1" s="1"/>
  <c r="D260" i="1"/>
  <c r="N318" i="1"/>
  <c r="G74" i="1"/>
  <c r="G80" i="1" s="1"/>
  <c r="Q74" i="1"/>
  <c r="B74" i="1"/>
  <c r="B80" i="1" s="1"/>
  <c r="B81" i="1" s="1"/>
  <c r="C319" i="1"/>
  <c r="V80" i="1"/>
  <c r="V81" i="1" s="1"/>
  <c r="L74" i="1"/>
  <c r="L165" i="1" s="1"/>
  <c r="CA165" i="1"/>
  <c r="CA166" i="1" s="1"/>
  <c r="L319" i="1"/>
  <c r="BX74" i="1"/>
  <c r="BX52" i="1" s="1"/>
  <c r="O319" i="1"/>
  <c r="N319" i="1"/>
  <c r="H74" i="1"/>
  <c r="H80" i="1" s="1"/>
  <c r="H81" i="1" s="1"/>
  <c r="W80" i="1"/>
  <c r="W81" i="1" s="1"/>
  <c r="M74" i="1"/>
  <c r="F93" i="1"/>
  <c r="AK93" i="1"/>
  <c r="AM165" i="1"/>
  <c r="AM166" i="1" s="1"/>
  <c r="AL319" i="1"/>
  <c r="P93" i="1"/>
  <c r="IH7" i="4"/>
  <c r="HR8" i="4"/>
  <c r="IJ14" i="4"/>
  <c r="C93" i="1"/>
  <c r="HW8" i="4"/>
  <c r="IW15" i="4"/>
  <c r="IW20" i="4" s="1"/>
  <c r="BQ146" i="1" s="1"/>
  <c r="BQ174" i="1" s="1"/>
  <c r="HZ15" i="4"/>
  <c r="HZ20" i="4" s="1"/>
  <c r="AT146" i="1" s="1"/>
  <c r="AT174" i="1" s="1"/>
  <c r="IB15" i="4"/>
  <c r="JB8" i="4"/>
  <c r="IY7" i="4"/>
  <c r="IY19" i="4" s="1"/>
  <c r="BS145" i="1" s="1"/>
  <c r="BS173" i="1" s="1"/>
  <c r="ID15" i="4"/>
  <c r="JE8" i="4"/>
  <c r="BY186" i="1"/>
  <c r="BZ273" i="1" s="1"/>
  <c r="IW21" i="4"/>
  <c r="BQ144" i="1" s="1"/>
  <c r="I93" i="1"/>
  <c r="HV14" i="4"/>
  <c r="IQ14" i="4"/>
  <c r="HQ14" i="4"/>
  <c r="BX249" i="1"/>
  <c r="BY249" i="1" s="1"/>
  <c r="BY194" i="1"/>
  <c r="BZ315" i="1" s="1"/>
  <c r="BZ317" i="1" s="1"/>
  <c r="J297" i="1"/>
  <c r="J318" i="1"/>
  <c r="IC14" i="4"/>
  <c r="I319" i="1"/>
  <c r="C297" i="1"/>
  <c r="Q319" i="1"/>
  <c r="R260" i="1"/>
  <c r="R319" i="1"/>
  <c r="P319" i="1"/>
  <c r="P74" i="1"/>
  <c r="P165" i="1" s="1"/>
  <c r="J319" i="1"/>
  <c r="Q318" i="1"/>
  <c r="K74" i="1"/>
  <c r="K165" i="1" s="1"/>
  <c r="N74" i="1"/>
  <c r="N165" i="1" s="1"/>
  <c r="AJ245" i="1"/>
  <c r="B319" i="1"/>
  <c r="B297" i="1"/>
  <c r="AJ93" i="1"/>
  <c r="Q249" i="1"/>
  <c r="IJ15" i="4"/>
  <c r="IG15" i="4"/>
  <c r="HV15" i="4"/>
  <c r="HQ21" i="4"/>
  <c r="AK144" i="1" s="1"/>
  <c r="BX214" i="1"/>
  <c r="BX248" i="1" s="1"/>
  <c r="IH8" i="4"/>
  <c r="ID14" i="4"/>
  <c r="ID19" i="4" s="1"/>
  <c r="AX145" i="1" s="1"/>
  <c r="AX173" i="1" s="1"/>
  <c r="G93" i="1"/>
  <c r="JD14" i="4"/>
  <c r="C318" i="1"/>
  <c r="AJ249" i="1"/>
  <c r="AJ74" i="1"/>
  <c r="AJ52" i="1" s="1"/>
  <c r="HW21" i="4"/>
  <c r="AQ144" i="1" s="1"/>
  <c r="IF21" i="4"/>
  <c r="AZ144" i="1" s="1"/>
  <c r="HU7" i="4"/>
  <c r="JG15" i="4"/>
  <c r="IG21" i="4"/>
  <c r="BA144" i="1" s="1"/>
  <c r="JH14" i="4"/>
  <c r="JH19" i="4" s="1"/>
  <c r="CB145" i="1" s="1"/>
  <c r="J74" i="1"/>
  <c r="J80" i="1" s="1"/>
  <c r="J81" i="1" s="1"/>
  <c r="E93" i="1"/>
  <c r="B93" i="1"/>
  <c r="IO15" i="4"/>
  <c r="IO20" i="4" s="1"/>
  <c r="BI146" i="1" s="1"/>
  <c r="BI174" i="1" s="1"/>
  <c r="IZ21" i="4"/>
  <c r="BT144" i="1" s="1"/>
  <c r="IS15" i="4"/>
  <c r="IS20" i="4" s="1"/>
  <c r="BM146" i="1" s="1"/>
  <c r="BM174" i="1" s="1"/>
  <c r="JC8" i="4"/>
  <c r="IV8" i="4"/>
  <c r="IV20" i="4" s="1"/>
  <c r="BP146" i="1" s="1"/>
  <c r="BP174" i="1" s="1"/>
  <c r="JH15" i="4"/>
  <c r="IT7" i="4"/>
  <c r="HV7" i="4"/>
  <c r="R93" i="1"/>
  <c r="JI15" i="4"/>
  <c r="IQ21" i="4"/>
  <c r="BK144" i="1" s="1"/>
  <c r="IZ7" i="4"/>
  <c r="IH15" i="4"/>
  <c r="JB7" i="4"/>
  <c r="HX21" i="4"/>
  <c r="AR144" i="1" s="1"/>
  <c r="IP15" i="4"/>
  <c r="IP20" i="4" s="1"/>
  <c r="BJ146" i="1" s="1"/>
  <c r="BJ174" i="1" s="1"/>
  <c r="IK8" i="4"/>
  <c r="II8" i="4"/>
  <c r="IV21" i="4"/>
  <c r="BP144" i="1" s="1"/>
  <c r="IX21" i="4"/>
  <c r="BR144" i="1" s="1"/>
  <c r="AM93" i="1"/>
  <c r="IO21" i="4"/>
  <c r="BI144" i="1" s="1"/>
  <c r="N93" i="1"/>
  <c r="JE7" i="4"/>
  <c r="JD8" i="4"/>
  <c r="D318" i="1"/>
  <c r="G318" i="1"/>
  <c r="IJ8" i="4"/>
  <c r="IZ15" i="4"/>
  <c r="HS7" i="4"/>
  <c r="JI7" i="4"/>
  <c r="JI19" i="4" s="1"/>
  <c r="CC145" i="1" s="1"/>
  <c r="IA15" i="4"/>
  <c r="IM8" i="4"/>
  <c r="HZ7" i="4"/>
  <c r="HX15" i="4"/>
  <c r="HZ21" i="4"/>
  <c r="AT144" i="1" s="1"/>
  <c r="ID21" i="4"/>
  <c r="AX144" i="1" s="1"/>
  <c r="IP7" i="4"/>
  <c r="IP19" i="4" s="1"/>
  <c r="BJ145" i="1" s="1"/>
  <c r="BJ173" i="1" s="1"/>
  <c r="IQ8" i="4"/>
  <c r="IQ20" i="4" s="1"/>
  <c r="BK146" i="1" s="1"/>
  <c r="BK174" i="1" s="1"/>
  <c r="IU21" i="4"/>
  <c r="BO144" i="1" s="1"/>
  <c r="IK21" i="4"/>
  <c r="BE144" i="1" s="1"/>
  <c r="IR21" i="4"/>
  <c r="BL144" i="1" s="1"/>
  <c r="BL161" i="1" s="1"/>
  <c r="AJ100" i="1"/>
  <c r="M93" i="1"/>
  <c r="HP8" i="4"/>
  <c r="HP20" i="4" s="1"/>
  <c r="AJ146" i="1" s="1"/>
  <c r="D93" i="1"/>
  <c r="K93" i="1"/>
  <c r="W93" i="1"/>
  <c r="W94" i="1" s="1"/>
  <c r="JB14" i="4"/>
  <c r="HX14" i="4"/>
  <c r="HX19" i="4" s="1"/>
  <c r="AR145" i="1" s="1"/>
  <c r="AR173" i="1" s="1"/>
  <c r="HY7" i="4"/>
  <c r="HY19" i="4" s="1"/>
  <c r="AS145" i="1" s="1"/>
  <c r="AS173" i="1" s="1"/>
  <c r="IU15" i="4"/>
  <c r="IU20" i="4" s="1"/>
  <c r="BO146" i="1" s="1"/>
  <c r="BO174" i="1" s="1"/>
  <c r="Q93" i="1"/>
  <c r="IE8" i="4"/>
  <c r="IE20" i="4" s="1"/>
  <c r="AY146" i="1" s="1"/>
  <c r="AY174" i="1" s="1"/>
  <c r="HP14" i="4"/>
  <c r="IS7" i="4"/>
  <c r="IE14" i="4"/>
  <c r="B318" i="1"/>
  <c r="IE7" i="4"/>
  <c r="HV8" i="4"/>
  <c r="HQ7" i="4"/>
  <c r="C74" i="1"/>
  <c r="IF7" i="4"/>
  <c r="IG8" i="4"/>
  <c r="T93" i="1"/>
  <c r="J93" i="1"/>
  <c r="H318" i="1"/>
  <c r="BX200" i="1"/>
  <c r="BY200" i="1" s="1"/>
  <c r="BZ100" i="1" s="1"/>
  <c r="IV7" i="4"/>
  <c r="IN14" i="4"/>
  <c r="IN19" i="4" s="1"/>
  <c r="BH145" i="1" s="1"/>
  <c r="BH173" i="1" s="1"/>
  <c r="T74" i="1"/>
  <c r="U254" i="1" s="1"/>
  <c r="IB8" i="4"/>
  <c r="JF8" i="4"/>
  <c r="II15" i="4"/>
  <c r="JG7" i="4"/>
  <c r="IR7" i="4"/>
  <c r="JA7" i="4"/>
  <c r="HT7" i="4"/>
  <c r="ID8" i="4"/>
  <c r="IB7" i="4"/>
  <c r="IK7" i="4"/>
  <c r="IK19" i="4" s="1"/>
  <c r="BE145" i="1" s="1"/>
  <c r="BE173" i="1" s="1"/>
  <c r="IX8" i="4"/>
  <c r="O93" i="1"/>
  <c r="HQ8" i="4"/>
  <c r="IH14" i="4"/>
  <c r="JD7" i="4"/>
  <c r="HT8" i="4"/>
  <c r="HR15" i="4"/>
  <c r="BX93" i="1"/>
  <c r="JC7" i="4"/>
  <c r="E74" i="1"/>
  <c r="V93" i="1"/>
  <c r="V94" i="1" s="1"/>
  <c r="K318" i="1"/>
  <c r="JG8" i="4"/>
  <c r="HU14" i="4"/>
  <c r="L93" i="1"/>
  <c r="S93" i="1"/>
  <c r="HR7" i="4"/>
  <c r="U93" i="1"/>
  <c r="U80" i="1"/>
  <c r="AL74" i="1"/>
  <c r="AL52" i="1" s="1"/>
  <c r="H319" i="1"/>
  <c r="F319" i="1"/>
  <c r="BX186" i="1"/>
  <c r="BX159" i="1" s="1"/>
  <c r="BX161" i="1" s="1"/>
  <c r="M319" i="1"/>
  <c r="AM319" i="1"/>
  <c r="W52" i="1"/>
  <c r="BX194" i="1"/>
  <c r="K319" i="1"/>
  <c r="BX222" i="1"/>
  <c r="BX251" i="1" s="1"/>
  <c r="M318" i="1"/>
  <c r="AL245" i="1"/>
  <c r="AM245" i="1" s="1"/>
  <c r="AL249" i="1"/>
  <c r="AM249" i="1" s="1"/>
  <c r="AJ227" i="1"/>
  <c r="AK275" i="1" s="1"/>
  <c r="AJ194" i="1"/>
  <c r="AJ268" i="1"/>
  <c r="AI262" i="1"/>
  <c r="AI264" i="1" s="1"/>
  <c r="AJ200" i="1"/>
  <c r="AK100" i="1" s="1"/>
  <c r="AJ214" i="1"/>
  <c r="AJ246" i="1"/>
  <c r="AK246" i="1" s="1"/>
  <c r="AK194" i="1"/>
  <c r="AJ186" i="1"/>
  <c r="AJ222" i="1"/>
  <c r="AM209" i="1"/>
  <c r="CB161" i="1"/>
  <c r="CB169" i="1"/>
  <c r="CB152" i="1"/>
  <c r="O80" i="1"/>
  <c r="O81" i="1" s="1"/>
  <c r="O165" i="1"/>
  <c r="AL268" i="1"/>
  <c r="AK268" i="1"/>
  <c r="BY268" i="1"/>
  <c r="CM99" i="1"/>
  <c r="AB144" i="1"/>
  <c r="CQ144" i="1"/>
  <c r="AC206" i="1"/>
  <c r="CN132" i="1"/>
  <c r="CO130" i="1"/>
  <c r="IM19" i="4" l="1"/>
  <c r="BG145" i="1" s="1"/>
  <c r="BG173" i="1" s="1"/>
  <c r="HW20" i="4"/>
  <c r="AQ146" i="1" s="1"/>
  <c r="AQ174" i="1" s="1"/>
  <c r="AM169" i="1"/>
  <c r="D94" i="1"/>
  <c r="CC169" i="1"/>
  <c r="CC161" i="1"/>
  <c r="AL246" i="1"/>
  <c r="AM246" i="1" s="1"/>
  <c r="AM194" i="1"/>
  <c r="AL227" i="1"/>
  <c r="AM275" i="1" s="1"/>
  <c r="AL200" i="1"/>
  <c r="AM200" i="1" s="1"/>
  <c r="AM204" i="1" s="1"/>
  <c r="AL222" i="1"/>
  <c r="AL251" i="1" s="1"/>
  <c r="AL186" i="1"/>
  <c r="AL194" i="1"/>
  <c r="AL214" i="1"/>
  <c r="BJ249" i="1"/>
  <c r="BK249" i="1" s="1"/>
  <c r="JH20" i="4"/>
  <c r="CB146" i="1" s="1"/>
  <c r="JA21" i="4"/>
  <c r="BU144" i="1" s="1"/>
  <c r="IZ20" i="4"/>
  <c r="BT146" i="1" s="1"/>
  <c r="BT174" i="1" s="1"/>
  <c r="IV19" i="4"/>
  <c r="BP145" i="1" s="1"/>
  <c r="BP173" i="1" s="1"/>
  <c r="BK215" i="1"/>
  <c r="BK209" i="1"/>
  <c r="BJ214" i="1"/>
  <c r="BK268" i="1"/>
  <c r="IN20" i="4"/>
  <c r="BH146" i="1" s="1"/>
  <c r="BH174" i="1" s="1"/>
  <c r="IQ19" i="4"/>
  <c r="BK145" i="1" s="1"/>
  <c r="BK173" i="1" s="1"/>
  <c r="IC19" i="4"/>
  <c r="AW145" i="1" s="1"/>
  <c r="AW173" i="1" s="1"/>
  <c r="IK20" i="4"/>
  <c r="BE146" i="1" s="1"/>
  <c r="BE174" i="1" s="1"/>
  <c r="JE19" i="4"/>
  <c r="BY145" i="1" s="1"/>
  <c r="JD20" i="4"/>
  <c r="BX146" i="1" s="1"/>
  <c r="BX174" i="1" s="1"/>
  <c r="IP21" i="4"/>
  <c r="BJ144" i="1" s="1"/>
  <c r="IM20" i="4"/>
  <c r="BG146" i="1" s="1"/>
  <c r="BG174" i="1" s="1"/>
  <c r="HX20" i="4"/>
  <c r="AR146" i="1" s="1"/>
  <c r="AR174" i="1" s="1"/>
  <c r="II20" i="4"/>
  <c r="BC146" i="1" s="1"/>
  <c r="BC174" i="1" s="1"/>
  <c r="IR19" i="4"/>
  <c r="BL145" i="1" s="1"/>
  <c r="CA169" i="1"/>
  <c r="HT19" i="4"/>
  <c r="AN145" i="1" s="1"/>
  <c r="AN173" i="1" s="1"/>
  <c r="HQ20" i="4"/>
  <c r="AK146" i="1" s="1"/>
  <c r="HT20" i="4"/>
  <c r="AN146" i="1" s="1"/>
  <c r="AN174" i="1" s="1"/>
  <c r="E254" i="1"/>
  <c r="HR19" i="4"/>
  <c r="AL145" i="1" s="1"/>
  <c r="HV20" i="4"/>
  <c r="AP146" i="1" s="1"/>
  <c r="AP174" i="1" s="1"/>
  <c r="BJ227" i="1"/>
  <c r="BK275" i="1" s="1"/>
  <c r="BJ200" i="1"/>
  <c r="BK194" i="1"/>
  <c r="BK183" i="1"/>
  <c r="BJ186" i="1"/>
  <c r="BJ222" i="1"/>
  <c r="BJ251" i="1" s="1"/>
  <c r="BJ194" i="1"/>
  <c r="IC20" i="4"/>
  <c r="AW146" i="1" s="1"/>
  <c r="AW174" i="1" s="1"/>
  <c r="IO19" i="4"/>
  <c r="BI145" i="1" s="1"/>
  <c r="BI173" i="1" s="1"/>
  <c r="IF19" i="4"/>
  <c r="AZ145" i="1" s="1"/>
  <c r="AZ173" i="1" s="1"/>
  <c r="JA19" i="4"/>
  <c r="BU145" i="1" s="1"/>
  <c r="BU173" i="1" s="1"/>
  <c r="IJ19" i="4"/>
  <c r="BD145" i="1" s="1"/>
  <c r="BD173" i="1" s="1"/>
  <c r="IB20" i="4"/>
  <c r="AV146" i="1" s="1"/>
  <c r="AV174" i="1" s="1"/>
  <c r="JD19" i="4"/>
  <c r="BX145" i="1" s="1"/>
  <c r="JG20" i="4"/>
  <c r="CA146" i="1" s="1"/>
  <c r="JB19" i="4"/>
  <c r="BV145" i="1" s="1"/>
  <c r="BV173" i="1" s="1"/>
  <c r="CC152" i="1"/>
  <c r="CC156" i="1"/>
  <c r="BZ161" i="1"/>
  <c r="BZ156" i="1"/>
  <c r="IB19" i="4"/>
  <c r="AV145" i="1" s="1"/>
  <c r="AV173" i="1" s="1"/>
  <c r="IA19" i="4"/>
  <c r="AU145" i="1" s="1"/>
  <c r="AU173" i="1" s="1"/>
  <c r="CA161" i="1"/>
  <c r="JB20" i="4"/>
  <c r="BV146" i="1" s="1"/>
  <c r="BV174" i="1" s="1"/>
  <c r="HZ19" i="4"/>
  <c r="AT145" i="1" s="1"/>
  <c r="AT173" i="1" s="1"/>
  <c r="IU19" i="4"/>
  <c r="BO145" i="1" s="1"/>
  <c r="BO173" i="1" s="1"/>
  <c r="HS20" i="4"/>
  <c r="AM146" i="1" s="1"/>
  <c r="IR20" i="4"/>
  <c r="BL146" i="1" s="1"/>
  <c r="BL163" i="1" s="1"/>
  <c r="D80" i="1"/>
  <c r="IJ20" i="4"/>
  <c r="BD146" i="1" s="1"/>
  <c r="BD174" i="1" s="1"/>
  <c r="HR20" i="4"/>
  <c r="AL146" i="1" s="1"/>
  <c r="HV19" i="4"/>
  <c r="AP145" i="1" s="1"/>
  <c r="AP173" i="1" s="1"/>
  <c r="JF19" i="4"/>
  <c r="BZ145" i="1" s="1"/>
  <c r="HS19" i="4"/>
  <c r="AM145" i="1" s="1"/>
  <c r="JE20" i="4"/>
  <c r="BY146" i="1" s="1"/>
  <c r="BY174" i="1" s="1"/>
  <c r="JC20" i="4"/>
  <c r="BW146" i="1" s="1"/>
  <c r="BW174" i="1" s="1"/>
  <c r="HY20" i="4"/>
  <c r="AS146" i="1" s="1"/>
  <c r="AS174" i="1" s="1"/>
  <c r="JA20" i="4"/>
  <c r="BU146" i="1" s="1"/>
  <c r="BU174" i="1" s="1"/>
  <c r="JG19" i="4"/>
  <c r="CA145" i="1" s="1"/>
  <c r="IG20" i="4"/>
  <c r="BA146" i="1" s="1"/>
  <c r="BA174" i="1" s="1"/>
  <c r="IL19" i="4"/>
  <c r="BF145" i="1" s="1"/>
  <c r="BF173" i="1" s="1"/>
  <c r="IL20" i="4"/>
  <c r="BF146" i="1" s="1"/>
  <c r="BF174" i="1" s="1"/>
  <c r="IG19" i="4"/>
  <c r="BA145" i="1" s="1"/>
  <c r="BA173" i="1" s="1"/>
  <c r="IX19" i="4"/>
  <c r="BR145" i="1" s="1"/>
  <c r="BR173" i="1" s="1"/>
  <c r="IW19" i="4"/>
  <c r="BQ145" i="1" s="1"/>
  <c r="BQ173" i="1" s="1"/>
  <c r="IF20" i="4"/>
  <c r="AZ146" i="1" s="1"/>
  <c r="AZ174" i="1" s="1"/>
  <c r="ID20" i="4"/>
  <c r="AX146" i="1" s="1"/>
  <c r="AX174" i="1" s="1"/>
  <c r="JI20" i="4"/>
  <c r="CC146" i="1" s="1"/>
  <c r="IZ19" i="4"/>
  <c r="BT145" i="1" s="1"/>
  <c r="BT173" i="1" s="1"/>
  <c r="IH20" i="4"/>
  <c r="BB146" i="1" s="1"/>
  <c r="BB174" i="1" s="1"/>
  <c r="IA20" i="4"/>
  <c r="AU146" i="1" s="1"/>
  <c r="AU174" i="1" s="1"/>
  <c r="HP19" i="4"/>
  <c r="AJ145" i="1" s="1"/>
  <c r="IS19" i="4"/>
  <c r="BM145" i="1" s="1"/>
  <c r="BM173" i="1" s="1"/>
  <c r="IE19" i="4"/>
  <c r="AY145" i="1" s="1"/>
  <c r="AY173" i="1" s="1"/>
  <c r="JF20" i="4"/>
  <c r="BZ146" i="1" s="1"/>
  <c r="IX20" i="4"/>
  <c r="BR146" i="1" s="1"/>
  <c r="BR174" i="1" s="1"/>
  <c r="IH19" i="4"/>
  <c r="BB145" i="1" s="1"/>
  <c r="BB173" i="1" s="1"/>
  <c r="JC19" i="4"/>
  <c r="BW145" i="1" s="1"/>
  <c r="BW173" i="1" s="1"/>
  <c r="HU19" i="4"/>
  <c r="AO145" i="1" s="1"/>
  <c r="AO173" i="1" s="1"/>
  <c r="IT19" i="4"/>
  <c r="BN145" i="1" s="1"/>
  <c r="BN173" i="1" s="1"/>
  <c r="HQ19" i="4"/>
  <c r="AK145" i="1" s="1"/>
  <c r="F165" i="1"/>
  <c r="F80" i="1"/>
  <c r="AK80" i="1"/>
  <c r="AK95" i="1" s="1"/>
  <c r="AK94" i="1"/>
  <c r="S80" i="1"/>
  <c r="S81" i="1" s="1"/>
  <c r="BY159" i="1"/>
  <c r="BY161" i="1" s="1"/>
  <c r="K254" i="1"/>
  <c r="AM80" i="1"/>
  <c r="AM81" i="1" s="1"/>
  <c r="AM94" i="1"/>
  <c r="T165" i="1"/>
  <c r="T254" i="1"/>
  <c r="U75" i="1"/>
  <c r="F75" i="1"/>
  <c r="K80" i="1"/>
  <c r="BX234" i="1"/>
  <c r="BX175" i="1" s="1"/>
  <c r="B95" i="1"/>
  <c r="B96" i="1" s="1"/>
  <c r="BX247" i="1"/>
  <c r="E80" i="1"/>
  <c r="F254" i="1"/>
  <c r="E75" i="1"/>
  <c r="T75" i="1"/>
  <c r="AL250" i="1"/>
  <c r="C75" i="1"/>
  <c r="T80" i="1"/>
  <c r="U82" i="1" s="1"/>
  <c r="V82" i="1"/>
  <c r="I165" i="1"/>
  <c r="E165" i="1"/>
  <c r="BX94" i="1"/>
  <c r="CC254" i="1"/>
  <c r="G75" i="1"/>
  <c r="S75" i="1"/>
  <c r="R254" i="1"/>
  <c r="G165" i="1"/>
  <c r="P75" i="1"/>
  <c r="BY204" i="1"/>
  <c r="BZ269" i="1" s="1"/>
  <c r="BZ267" i="1" s="1"/>
  <c r="J75" i="1"/>
  <c r="P254" i="1"/>
  <c r="H254" i="1"/>
  <c r="P80" i="1"/>
  <c r="P82" i="1" s="1"/>
  <c r="K75" i="1"/>
  <c r="I254" i="1"/>
  <c r="J165" i="1"/>
  <c r="Q75" i="1"/>
  <c r="BX204" i="1"/>
  <c r="BX312" i="1" s="1"/>
  <c r="N80" i="1"/>
  <c r="O82" i="1" s="1"/>
  <c r="O254" i="1"/>
  <c r="I75" i="1"/>
  <c r="O75" i="1"/>
  <c r="E94" i="1"/>
  <c r="U81" i="1"/>
  <c r="Q254" i="1"/>
  <c r="Q165" i="1"/>
  <c r="R75" i="1"/>
  <c r="Q80" i="1"/>
  <c r="Q81" i="1" s="1"/>
  <c r="C254" i="1"/>
  <c r="G254" i="1"/>
  <c r="AK76" i="1"/>
  <c r="H75" i="1"/>
  <c r="S254" i="1"/>
  <c r="H165" i="1"/>
  <c r="R80" i="1"/>
  <c r="BY100" i="1"/>
  <c r="J254" i="1"/>
  <c r="V95" i="1"/>
  <c r="V178" i="1" s="1"/>
  <c r="W82" i="1"/>
  <c r="BX80" i="1"/>
  <c r="BX81" i="1" s="1"/>
  <c r="X82" i="1"/>
  <c r="C94" i="1"/>
  <c r="L254" i="1"/>
  <c r="D75" i="1"/>
  <c r="AM76" i="1"/>
  <c r="C80" i="1"/>
  <c r="C81" i="1" s="1"/>
  <c r="AL94" i="1"/>
  <c r="L80" i="1"/>
  <c r="L81" i="1" s="1"/>
  <c r="M254" i="1"/>
  <c r="L75" i="1"/>
  <c r="D254" i="1"/>
  <c r="CB75" i="1"/>
  <c r="W95" i="1"/>
  <c r="W298" i="1" s="1"/>
  <c r="W299" i="1" s="1"/>
  <c r="AJ94" i="1"/>
  <c r="N254" i="1"/>
  <c r="M75" i="1"/>
  <c r="BX250" i="1"/>
  <c r="N75" i="1"/>
  <c r="B94" i="1"/>
  <c r="AL80" i="1"/>
  <c r="AM291" i="1"/>
  <c r="AL76" i="1"/>
  <c r="BY76" i="1"/>
  <c r="M165" i="1"/>
  <c r="M80" i="1"/>
  <c r="M81" i="1" s="1"/>
  <c r="AJ80" i="1"/>
  <c r="AJ81" i="1" s="1"/>
  <c r="BX252" i="1"/>
  <c r="CB255" i="1" s="1"/>
  <c r="BX223" i="1"/>
  <c r="BY195" i="1"/>
  <c r="BZ272" i="1"/>
  <c r="BZ271" i="1" s="1"/>
  <c r="BY315" i="1"/>
  <c r="BY272" i="1"/>
  <c r="BX314" i="1"/>
  <c r="BY273" i="1"/>
  <c r="BX195" i="1"/>
  <c r="AJ195" i="1"/>
  <c r="AK272" i="1"/>
  <c r="AM315" i="1"/>
  <c r="AJ234" i="1"/>
  <c r="AK104" i="1" s="1"/>
  <c r="AJ272" i="1"/>
  <c r="AM100" i="1"/>
  <c r="AL204" i="1"/>
  <c r="AL159" i="1"/>
  <c r="AL314" i="1"/>
  <c r="AL272" i="1"/>
  <c r="AM272" i="1"/>
  <c r="AJ263" i="1"/>
  <c r="AJ251" i="1"/>
  <c r="AK200" i="1"/>
  <c r="AL234" i="1"/>
  <c r="AJ223" i="1"/>
  <c r="AJ204" i="1"/>
  <c r="AL315" i="1"/>
  <c r="AL195" i="1"/>
  <c r="AJ262" i="1"/>
  <c r="AJ248" i="1"/>
  <c r="AL248" i="1"/>
  <c r="AL223" i="1"/>
  <c r="I81" i="1"/>
  <c r="I82" i="1"/>
  <c r="J82" i="1"/>
  <c r="CB153" i="1"/>
  <c r="CB170" i="1"/>
  <c r="CB162" i="1"/>
  <c r="CB173" i="1"/>
  <c r="CB176" i="1" s="1"/>
  <c r="CB179" i="1" s="1"/>
  <c r="CC162" i="1"/>
  <c r="CC173" i="1"/>
  <c r="CC170" i="1"/>
  <c r="CC153" i="1"/>
  <c r="CF157" i="1" s="1"/>
  <c r="CB163" i="1"/>
  <c r="CB174" i="1"/>
  <c r="CB177" i="1" s="1"/>
  <c r="CB180" i="1" s="1"/>
  <c r="BX163" i="1"/>
  <c r="CB171" i="1"/>
  <c r="BL174" i="1"/>
  <c r="BL177" i="1" s="1"/>
  <c r="CB154" i="1"/>
  <c r="BY173" i="1"/>
  <c r="D81" i="1"/>
  <c r="D95" i="1"/>
  <c r="G81" i="1"/>
  <c r="H82" i="1"/>
  <c r="CM260" i="1"/>
  <c r="CM198" i="1"/>
  <c r="CM200" i="1" s="1"/>
  <c r="CM204" i="1" s="1"/>
  <c r="CM269" i="1" s="1"/>
  <c r="CM267" i="1" s="1"/>
  <c r="CR144" i="1"/>
  <c r="AC268" i="1"/>
  <c r="AB215" i="1"/>
  <c r="AB183" i="1"/>
  <c r="CO132" i="1"/>
  <c r="CP130" i="1"/>
  <c r="CA291" i="1"/>
  <c r="BJ248" i="1" l="1"/>
  <c r="BJ250" i="1"/>
  <c r="BL162" i="1"/>
  <c r="BL173" i="1"/>
  <c r="BL176" i="1" s="1"/>
  <c r="BK315" i="1"/>
  <c r="BK200" i="1"/>
  <c r="BJ204" i="1"/>
  <c r="BJ312" i="1" s="1"/>
  <c r="BL272" i="1"/>
  <c r="BL315" i="1"/>
  <c r="BJ159" i="1"/>
  <c r="BJ314" i="1"/>
  <c r="BJ234" i="1"/>
  <c r="BJ175" i="1" s="1"/>
  <c r="BK272" i="1"/>
  <c r="BJ223" i="1"/>
  <c r="CA163" i="1"/>
  <c r="CA171" i="1"/>
  <c r="AL173" i="1"/>
  <c r="BJ195" i="1"/>
  <c r="BX173" i="1"/>
  <c r="CA174" i="1"/>
  <c r="BX162" i="1"/>
  <c r="AM174" i="1"/>
  <c r="AM171" i="1"/>
  <c r="AL174" i="1"/>
  <c r="BZ173" i="1"/>
  <c r="BZ176" i="1" s="1"/>
  <c r="CA173" i="1"/>
  <c r="AL163" i="1"/>
  <c r="AM170" i="1"/>
  <c r="AM173" i="1"/>
  <c r="BZ162" i="1"/>
  <c r="CA170" i="1"/>
  <c r="CA162" i="1"/>
  <c r="CC171" i="1"/>
  <c r="CC174" i="1"/>
  <c r="BZ163" i="1"/>
  <c r="CC154" i="1"/>
  <c r="CC163" i="1"/>
  <c r="BZ174" i="1"/>
  <c r="BZ177" i="1" s="1"/>
  <c r="F82" i="1"/>
  <c r="F81" i="1"/>
  <c r="G82" i="1"/>
  <c r="K81" i="1"/>
  <c r="K82" i="1"/>
  <c r="R81" i="1"/>
  <c r="S82" i="1"/>
  <c r="BY163" i="1"/>
  <c r="AM95" i="1"/>
  <c r="AM96" i="1" s="1"/>
  <c r="BY162" i="1"/>
  <c r="AK81" i="1"/>
  <c r="BY104" i="1"/>
  <c r="AM83" i="1"/>
  <c r="E95" i="1"/>
  <c r="E96" i="1" s="1"/>
  <c r="T82" i="1"/>
  <c r="B178" i="1"/>
  <c r="E81" i="1"/>
  <c r="E82" i="1"/>
  <c r="T81" i="1"/>
  <c r="P81" i="1"/>
  <c r="W316" i="1"/>
  <c r="W178" i="1"/>
  <c r="V96" i="1"/>
  <c r="W101" i="1"/>
  <c r="W105" i="1" s="1"/>
  <c r="W108" i="1" s="1"/>
  <c r="V101" i="1"/>
  <c r="V105" i="1" s="1"/>
  <c r="V107" i="1" s="1"/>
  <c r="X316" i="1"/>
  <c r="N82" i="1"/>
  <c r="W96" i="1"/>
  <c r="X97" i="1"/>
  <c r="V298" i="1"/>
  <c r="V299" i="1" s="1"/>
  <c r="BY269" i="1"/>
  <c r="BY267" i="1" s="1"/>
  <c r="W97" i="1"/>
  <c r="N81" i="1"/>
  <c r="BX231" i="1"/>
  <c r="BX232" i="1" s="1"/>
  <c r="D82" i="1"/>
  <c r="Q82" i="1"/>
  <c r="AL95" i="1"/>
  <c r="AL316" i="1" s="1"/>
  <c r="AL317" i="1" s="1"/>
  <c r="R82" i="1"/>
  <c r="C95" i="1"/>
  <c r="C97" i="1" s="1"/>
  <c r="BX95" i="1"/>
  <c r="CA178" i="1" s="1"/>
  <c r="BY83" i="1"/>
  <c r="AL81" i="1"/>
  <c r="AL83" i="1"/>
  <c r="CB82" i="1"/>
  <c r="M82" i="1"/>
  <c r="L82" i="1"/>
  <c r="AK83" i="1"/>
  <c r="C82" i="1"/>
  <c r="AJ95" i="1"/>
  <c r="AJ101" i="1" s="1"/>
  <c r="AJ105" i="1" s="1"/>
  <c r="BY271" i="1"/>
  <c r="AJ231" i="1"/>
  <c r="AJ232" i="1" s="1"/>
  <c r="AJ264" i="1"/>
  <c r="AL231" i="1"/>
  <c r="AL232" i="1" s="1"/>
  <c r="AM269" i="1"/>
  <c r="AM267" i="1" s="1"/>
  <c r="AL312" i="1"/>
  <c r="AK204" i="1"/>
  <c r="AL100" i="1"/>
  <c r="AL161" i="1"/>
  <c r="AL162" i="1"/>
  <c r="AL175" i="1"/>
  <c r="AM104" i="1"/>
  <c r="AJ269" i="1"/>
  <c r="AJ267" i="1" s="1"/>
  <c r="BJ252" i="1"/>
  <c r="BJ247" i="1"/>
  <c r="AL247" i="1"/>
  <c r="AL252" i="1"/>
  <c r="CE157" i="1"/>
  <c r="BX177" i="1"/>
  <c r="D96" i="1"/>
  <c r="D101" i="1"/>
  <c r="D105" i="1" s="1"/>
  <c r="D298" i="1"/>
  <c r="D299" i="1" s="1"/>
  <c r="D178" i="1"/>
  <c r="AK298" i="1"/>
  <c r="AK299" i="1" s="1"/>
  <c r="AK96" i="1"/>
  <c r="AK101" i="1"/>
  <c r="AK105" i="1" s="1"/>
  <c r="CN99" i="1"/>
  <c r="CS144" i="1"/>
  <c r="AB229" i="1"/>
  <c r="CP132" i="1"/>
  <c r="CQ130" i="1"/>
  <c r="AC183" i="1"/>
  <c r="AC215" i="1"/>
  <c r="CB291" i="1"/>
  <c r="BQ1" i="1"/>
  <c r="BR1" i="1" s="1"/>
  <c r="BS1" i="1" s="1"/>
  <c r="BT1" i="1" s="1"/>
  <c r="BL100" i="1" l="1"/>
  <c r="BK204" i="1"/>
  <c r="BL269" i="1" s="1"/>
  <c r="BL267" i="1" s="1"/>
  <c r="BJ161" i="1"/>
  <c r="BJ162" i="1"/>
  <c r="BJ163" i="1"/>
  <c r="BJ176" i="1"/>
  <c r="BJ177" i="1"/>
  <c r="BX176" i="1"/>
  <c r="AM298" i="1"/>
  <c r="AM299" i="1" s="1"/>
  <c r="AM101" i="1"/>
  <c r="AM105" i="1" s="1"/>
  <c r="AM107" i="1" s="1"/>
  <c r="E97" i="1"/>
  <c r="V108" i="1"/>
  <c r="AM316" i="1"/>
  <c r="AM317" i="1" s="1"/>
  <c r="W107" i="1"/>
  <c r="BY316" i="1"/>
  <c r="BY317" i="1" s="1"/>
  <c r="AL98" i="1"/>
  <c r="AL101" i="1"/>
  <c r="AL105" i="1" s="1"/>
  <c r="CB97" i="1"/>
  <c r="AM98" i="1"/>
  <c r="D97" i="1"/>
  <c r="C96" i="1"/>
  <c r="D316" i="1"/>
  <c r="BX298" i="1"/>
  <c r="BX299" i="1" s="1"/>
  <c r="BX96" i="1"/>
  <c r="C316" i="1"/>
  <c r="BY98" i="1"/>
  <c r="BX101" i="1"/>
  <c r="BX105" i="1" s="1"/>
  <c r="AL298" i="1"/>
  <c r="AL299" i="1" s="1"/>
  <c r="AL96" i="1"/>
  <c r="AJ108" i="1"/>
  <c r="AJ300" i="1" s="1"/>
  <c r="AJ107" i="1"/>
  <c r="AM178" i="1"/>
  <c r="AJ298" i="1"/>
  <c r="AJ299" i="1" s="1"/>
  <c r="AJ96" i="1"/>
  <c r="AK98" i="1"/>
  <c r="AM292" i="1"/>
  <c r="AL177" i="1"/>
  <c r="AL176" i="1"/>
  <c r="AK269" i="1"/>
  <c r="AK267" i="1" s="1"/>
  <c r="AL269" i="1"/>
  <c r="AL267" i="1" s="1"/>
  <c r="AK108" i="1"/>
  <c r="AK107" i="1"/>
  <c r="D108" i="1"/>
  <c r="D107" i="1"/>
  <c r="W115" i="1"/>
  <c r="W119" i="1" s="1"/>
  <c r="W300" i="1"/>
  <c r="W109" i="1"/>
  <c r="W311" i="1" s="1"/>
  <c r="X110" i="1"/>
  <c r="CN198" i="1"/>
  <c r="CN200" i="1" s="1"/>
  <c r="CO99" i="1" s="1"/>
  <c r="CT144" i="1"/>
  <c r="AB203" i="1"/>
  <c r="AD215" i="1"/>
  <c r="AE215" i="1"/>
  <c r="AD183" i="1"/>
  <c r="AE183" i="1"/>
  <c r="CQ132" i="1"/>
  <c r="CR130" i="1"/>
  <c r="AC229" i="1"/>
  <c r="BU1" i="1"/>
  <c r="Q94" i="1"/>
  <c r="P94" i="1"/>
  <c r="O94" i="1"/>
  <c r="I94" i="1"/>
  <c r="H94" i="1"/>
  <c r="G94" i="1"/>
  <c r="U94" i="1"/>
  <c r="T94" i="1"/>
  <c r="S94" i="1"/>
  <c r="R94" i="1"/>
  <c r="N94" i="1"/>
  <c r="M94" i="1"/>
  <c r="L94" i="1"/>
  <c r="K94" i="1"/>
  <c r="J94" i="1"/>
  <c r="F94" i="1"/>
  <c r="AM108" i="1" l="1"/>
  <c r="AM109" i="1" s="1"/>
  <c r="AM311" i="1" s="1"/>
  <c r="V109" i="1"/>
  <c r="V311" i="1" s="1"/>
  <c r="V115" i="1"/>
  <c r="W110" i="1"/>
  <c r="AL107" i="1"/>
  <c r="AL108" i="1"/>
  <c r="AL111" i="1" s="1"/>
  <c r="AJ115" i="1"/>
  <c r="AJ133" i="1" s="1"/>
  <c r="CA122" i="1"/>
  <c r="AJ109" i="1"/>
  <c r="AK300" i="1"/>
  <c r="AK115" i="1"/>
  <c r="AK185" i="1" s="1"/>
  <c r="AK186" i="1" s="1"/>
  <c r="AK195" i="1" s="1"/>
  <c r="AK109" i="1"/>
  <c r="AK111" i="1"/>
  <c r="D300" i="1"/>
  <c r="D109" i="1"/>
  <c r="D115" i="1"/>
  <c r="BX107" i="1"/>
  <c r="BX108" i="1"/>
  <c r="CO260" i="1"/>
  <c r="CO198" i="1"/>
  <c r="CN204" i="1"/>
  <c r="CN260" i="1"/>
  <c r="AC144" i="1"/>
  <c r="CU144" i="1"/>
  <c r="AD229" i="1"/>
  <c r="AE229" i="1"/>
  <c r="AD206" i="1"/>
  <c r="CR132" i="1"/>
  <c r="CS130" i="1"/>
  <c r="AC203" i="1"/>
  <c r="BV1" i="1"/>
  <c r="BW1" i="1" s="1"/>
  <c r="BX1" i="1" s="1"/>
  <c r="B298" i="1"/>
  <c r="B299" i="1" s="1"/>
  <c r="BL298" i="1"/>
  <c r="BL299" i="1" s="1"/>
  <c r="G95" i="1"/>
  <c r="O95" i="1"/>
  <c r="H95" i="1"/>
  <c r="P95" i="1"/>
  <c r="I95" i="1"/>
  <c r="Q95" i="1"/>
  <c r="J95" i="1"/>
  <c r="R95" i="1"/>
  <c r="K95" i="1"/>
  <c r="S95" i="1"/>
  <c r="L95" i="1"/>
  <c r="T95" i="1"/>
  <c r="M95" i="1"/>
  <c r="U95" i="1"/>
  <c r="F95" i="1"/>
  <c r="F316" i="1" s="1"/>
  <c r="N95" i="1"/>
  <c r="AM300" i="1" l="1"/>
  <c r="AJ119" i="1"/>
  <c r="AL115" i="1"/>
  <c r="AL109" i="1"/>
  <c r="AL311" i="1" s="1"/>
  <c r="AM111" i="1"/>
  <c r="AL300" i="1"/>
  <c r="AM293" i="1"/>
  <c r="AJ273" i="1"/>
  <c r="AJ271" i="1" s="1"/>
  <c r="AJ259" i="1"/>
  <c r="AJ261" i="1" s="1"/>
  <c r="AJ265" i="1" s="1"/>
  <c r="AJ279" i="1" s="1"/>
  <c r="T316" i="1"/>
  <c r="P316" i="1"/>
  <c r="D259" i="1"/>
  <c r="D261" i="1" s="1"/>
  <c r="D119" i="1"/>
  <c r="CB110" i="1"/>
  <c r="BX300" i="1"/>
  <c r="BX109" i="1"/>
  <c r="BX311" i="1" s="1"/>
  <c r="BX115" i="1"/>
  <c r="BY111" i="1"/>
  <c r="AK259" i="1"/>
  <c r="AK261" i="1" s="1"/>
  <c r="AK133" i="1"/>
  <c r="AK119" i="1"/>
  <c r="M316" i="1"/>
  <c r="R316" i="1"/>
  <c r="I316" i="1"/>
  <c r="K316" i="1"/>
  <c r="G316" i="1"/>
  <c r="H316" i="1"/>
  <c r="L316" i="1"/>
  <c r="S316" i="1"/>
  <c r="O316" i="1"/>
  <c r="J316" i="1"/>
  <c r="N316" i="1"/>
  <c r="U316" i="1"/>
  <c r="V316" i="1"/>
  <c r="Q316" i="1"/>
  <c r="R178" i="1"/>
  <c r="S97" i="1"/>
  <c r="T178" i="1"/>
  <c r="U97" i="1"/>
  <c r="U178" i="1"/>
  <c r="V97" i="1"/>
  <c r="P178" i="1"/>
  <c r="Q97" i="1"/>
  <c r="Q178" i="1"/>
  <c r="R97" i="1"/>
  <c r="I178" i="1"/>
  <c r="J97" i="1"/>
  <c r="S178" i="1"/>
  <c r="T97" i="1"/>
  <c r="H178" i="1"/>
  <c r="I97" i="1"/>
  <c r="E178" i="1"/>
  <c r="F97" i="1"/>
  <c r="L178" i="1"/>
  <c r="M97" i="1"/>
  <c r="O178" i="1"/>
  <c r="P97" i="1"/>
  <c r="N178" i="1"/>
  <c r="O97" i="1"/>
  <c r="K178" i="1"/>
  <c r="L97" i="1"/>
  <c r="F178" i="1"/>
  <c r="G97" i="1"/>
  <c r="G178" i="1"/>
  <c r="H97" i="1"/>
  <c r="M178" i="1"/>
  <c r="N97" i="1"/>
  <c r="J178" i="1"/>
  <c r="K97" i="1"/>
  <c r="CN269" i="1"/>
  <c r="CN267" i="1" s="1"/>
  <c r="CO200" i="1"/>
  <c r="CV144" i="1"/>
  <c r="AD268" i="1"/>
  <c r="AB208" i="1"/>
  <c r="AE203" i="1"/>
  <c r="AD203" i="1"/>
  <c r="CT130" i="1"/>
  <c r="CS132" i="1"/>
  <c r="C178" i="1"/>
  <c r="BY1" i="1"/>
  <c r="L96" i="1"/>
  <c r="N96" i="1"/>
  <c r="F96" i="1"/>
  <c r="O96" i="1"/>
  <c r="U101" i="1"/>
  <c r="U105" i="1" s="1"/>
  <c r="U96" i="1"/>
  <c r="G96" i="1"/>
  <c r="S96" i="1"/>
  <c r="M96" i="1"/>
  <c r="R96" i="1"/>
  <c r="J96" i="1"/>
  <c r="I96" i="1"/>
  <c r="P96" i="1"/>
  <c r="H96" i="1"/>
  <c r="K96" i="1"/>
  <c r="T96" i="1"/>
  <c r="Q96" i="1"/>
  <c r="T298" i="1"/>
  <c r="T299" i="1" s="1"/>
  <c r="Q298" i="1"/>
  <c r="Q299" i="1" s="1"/>
  <c r="K298" i="1"/>
  <c r="K299" i="1" s="1"/>
  <c r="O298" i="1"/>
  <c r="O299" i="1" s="1"/>
  <c r="U298" i="1"/>
  <c r="U299" i="1" s="1"/>
  <c r="L298" i="1"/>
  <c r="L299" i="1" s="1"/>
  <c r="C298" i="1"/>
  <c r="C299" i="1" s="1"/>
  <c r="I298" i="1"/>
  <c r="I299" i="1" s="1"/>
  <c r="G298" i="1"/>
  <c r="G299" i="1" s="1"/>
  <c r="R298" i="1"/>
  <c r="R299" i="1" s="1"/>
  <c r="P298" i="1"/>
  <c r="P299" i="1" s="1"/>
  <c r="F298" i="1"/>
  <c r="F299" i="1" s="1"/>
  <c r="M298" i="1"/>
  <c r="M299" i="1" s="1"/>
  <c r="N298" i="1"/>
  <c r="N299" i="1" s="1"/>
  <c r="E298" i="1"/>
  <c r="E299" i="1" s="1"/>
  <c r="S298" i="1"/>
  <c r="S299" i="1" s="1"/>
  <c r="J298" i="1"/>
  <c r="J299" i="1" s="1"/>
  <c r="H298" i="1"/>
  <c r="H299" i="1" s="1"/>
  <c r="B101" i="1"/>
  <c r="L101" i="1"/>
  <c r="Q101" i="1"/>
  <c r="T101" i="1"/>
  <c r="N101" i="1"/>
  <c r="S101" i="1"/>
  <c r="F101" i="1"/>
  <c r="K101" i="1"/>
  <c r="H101" i="1"/>
  <c r="I101" i="1"/>
  <c r="P101" i="1"/>
  <c r="C101" i="1"/>
  <c r="O101" i="1"/>
  <c r="R101" i="1"/>
  <c r="M101" i="1"/>
  <c r="G101" i="1"/>
  <c r="E101" i="1"/>
  <c r="J101" i="1"/>
  <c r="AJ276" i="1" l="1"/>
  <c r="AJ277" i="1" s="1"/>
  <c r="AL133" i="1"/>
  <c r="AL119" i="1"/>
  <c r="AL259" i="1"/>
  <c r="AL261" i="1" s="1"/>
  <c r="CA121" i="1"/>
  <c r="BX133" i="1"/>
  <c r="CA136" i="1" s="1"/>
  <c r="BW156" i="1" s="1"/>
  <c r="BX259" i="1"/>
  <c r="BX261" i="1" s="1"/>
  <c r="BX119" i="1"/>
  <c r="AK273" i="1"/>
  <c r="AK271" i="1" s="1"/>
  <c r="AL273" i="1"/>
  <c r="AL271" i="1" s="1"/>
  <c r="BK230" i="1"/>
  <c r="BM230" i="1"/>
  <c r="CO204" i="1"/>
  <c r="CP99" i="1"/>
  <c r="CW144" i="1"/>
  <c r="AE206" i="1"/>
  <c r="AE268" i="1" s="1"/>
  <c r="CT132" i="1"/>
  <c r="CU130" i="1"/>
  <c r="BZ1" i="1"/>
  <c r="U108" i="1"/>
  <c r="V110" i="1" s="1"/>
  <c r="U107" i="1"/>
  <c r="P105" i="1"/>
  <c r="P108" i="1" s="1"/>
  <c r="R105" i="1"/>
  <c r="R108" i="1" s="1"/>
  <c r="E105" i="1"/>
  <c r="S105" i="1"/>
  <c r="S107" i="1" s="1"/>
  <c r="G105" i="1"/>
  <c r="G108" i="1" s="1"/>
  <c r="K105" i="1"/>
  <c r="K108" i="1" s="1"/>
  <c r="B105" i="1"/>
  <c r="O105" i="1"/>
  <c r="O108" i="1" s="1"/>
  <c r="H105" i="1"/>
  <c r="H108" i="1" s="1"/>
  <c r="N105" i="1"/>
  <c r="N108" i="1" s="1"/>
  <c r="L105" i="1"/>
  <c r="L107" i="1" s="1"/>
  <c r="C105" i="1"/>
  <c r="M105" i="1"/>
  <c r="M107" i="1" s="1"/>
  <c r="T105" i="1"/>
  <c r="T108" i="1" s="1"/>
  <c r="F105" i="1"/>
  <c r="F107" i="1" s="1"/>
  <c r="J105" i="1"/>
  <c r="J107" i="1" s="1"/>
  <c r="I105" i="1"/>
  <c r="I107" i="1" s="1"/>
  <c r="Q105" i="1"/>
  <c r="Q108" i="1" s="1"/>
  <c r="V300" i="1"/>
  <c r="R110" i="1" l="1"/>
  <c r="CE137" i="1"/>
  <c r="CA154" i="1"/>
  <c r="CA153" i="1"/>
  <c r="CD157" i="1" s="1"/>
  <c r="CA152" i="1"/>
  <c r="U110" i="1"/>
  <c r="O110" i="1"/>
  <c r="AB99" i="1"/>
  <c r="B108" i="1"/>
  <c r="B107" i="1"/>
  <c r="C108" i="1"/>
  <c r="C107" i="1"/>
  <c r="E108" i="1"/>
  <c r="E115" i="1" s="1"/>
  <c r="E107" i="1"/>
  <c r="P110" i="1"/>
  <c r="H110" i="1"/>
  <c r="Q110" i="1"/>
  <c r="BJ231" i="1"/>
  <c r="BJ232" i="1" s="1"/>
  <c r="BL231" i="1"/>
  <c r="BL232" i="1" s="1"/>
  <c r="CP260" i="1"/>
  <c r="CP198" i="1"/>
  <c r="CO269" i="1"/>
  <c r="CO267" i="1" s="1"/>
  <c r="CX144" i="1"/>
  <c r="CV130" i="1"/>
  <c r="CU132" i="1"/>
  <c r="CA1" i="1"/>
  <c r="CB1" i="1" s="1"/>
  <c r="O107" i="1"/>
  <c r="BL300" i="1"/>
  <c r="S108" i="1"/>
  <c r="U109" i="1"/>
  <c r="U311" i="1" s="1"/>
  <c r="P109" i="1"/>
  <c r="P311" i="1" s="1"/>
  <c r="Q115" i="1"/>
  <c r="Q109" i="1"/>
  <c r="Q311" i="1" s="1"/>
  <c r="L108" i="1"/>
  <c r="P107" i="1"/>
  <c r="H109" i="1"/>
  <c r="H311" i="1" s="1"/>
  <c r="G109" i="1"/>
  <c r="G311" i="1" s="1"/>
  <c r="U115" i="1"/>
  <c r="N109" i="1"/>
  <c r="N311" i="1" s="1"/>
  <c r="R109" i="1"/>
  <c r="R311" i="1" s="1"/>
  <c r="K109" i="1"/>
  <c r="K311" i="1" s="1"/>
  <c r="O115" i="1"/>
  <c r="O109" i="1"/>
  <c r="O311" i="1" s="1"/>
  <c r="T115" i="1"/>
  <c r="T109" i="1"/>
  <c r="T311" i="1" s="1"/>
  <c r="R107" i="1"/>
  <c r="K107" i="1"/>
  <c r="N107" i="1"/>
  <c r="G107" i="1"/>
  <c r="H107" i="1"/>
  <c r="J108" i="1"/>
  <c r="K110" i="1" s="1"/>
  <c r="M108" i="1"/>
  <c r="N110" i="1" s="1"/>
  <c r="T107" i="1"/>
  <c r="F108" i="1"/>
  <c r="G110" i="1" s="1"/>
  <c r="I108" i="1"/>
  <c r="I110" i="1" s="1"/>
  <c r="O300" i="1"/>
  <c r="Q107" i="1"/>
  <c r="P300" i="1"/>
  <c r="P115" i="1"/>
  <c r="K300" i="1"/>
  <c r="K115" i="1"/>
  <c r="H300" i="1"/>
  <c r="H115" i="1"/>
  <c r="R115" i="1"/>
  <c r="N115" i="1"/>
  <c r="G115" i="1"/>
  <c r="G300" i="1"/>
  <c r="R300" i="1"/>
  <c r="N300" i="1"/>
  <c r="Q300" i="1"/>
  <c r="U300" i="1"/>
  <c r="T300" i="1"/>
  <c r="V119" i="1"/>
  <c r="V259" i="1"/>
  <c r="V261" i="1" s="1"/>
  <c r="E300" i="1" l="1"/>
  <c r="AB260" i="1"/>
  <c r="E109" i="1"/>
  <c r="E311" i="1" s="1"/>
  <c r="E110" i="1"/>
  <c r="D110" i="1"/>
  <c r="C109" i="1"/>
  <c r="B109" i="1"/>
  <c r="C110" i="1"/>
  <c r="F110" i="1"/>
  <c r="M110" i="1"/>
  <c r="S109" i="1"/>
  <c r="S311" i="1" s="1"/>
  <c r="T110" i="1"/>
  <c r="L110" i="1"/>
  <c r="J110" i="1"/>
  <c r="S110" i="1"/>
  <c r="AB198" i="1"/>
  <c r="AB200" i="1" s="1"/>
  <c r="AB100" i="1" s="1"/>
  <c r="CP200" i="1"/>
  <c r="AD144" i="1"/>
  <c r="CY144" i="1"/>
  <c r="CV132" i="1"/>
  <c r="CW130" i="1"/>
  <c r="CC1" i="1"/>
  <c r="K119" i="1"/>
  <c r="G119" i="1"/>
  <c r="E119" i="1"/>
  <c r="S115" i="1"/>
  <c r="S300" i="1"/>
  <c r="L300" i="1"/>
  <c r="L115" i="1"/>
  <c r="O259" i="1"/>
  <c r="O261" i="1" s="1"/>
  <c r="O119" i="1"/>
  <c r="B300" i="1"/>
  <c r="B115" i="1"/>
  <c r="M115" i="1"/>
  <c r="M109" i="1"/>
  <c r="M311" i="1" s="1"/>
  <c r="C300" i="1"/>
  <c r="I115" i="1"/>
  <c r="I109" i="1"/>
  <c r="I311" i="1" s="1"/>
  <c r="J115" i="1"/>
  <c r="J109" i="1"/>
  <c r="J311" i="1" s="1"/>
  <c r="F115" i="1"/>
  <c r="F109" i="1"/>
  <c r="F311" i="1" s="1"/>
  <c r="L109" i="1"/>
  <c r="L311" i="1" s="1"/>
  <c r="J300" i="1"/>
  <c r="E259" i="1"/>
  <c r="E261" i="1" s="1"/>
  <c r="R259" i="1"/>
  <c r="R261" i="1" s="1"/>
  <c r="M300" i="1"/>
  <c r="R119" i="1"/>
  <c r="I300" i="1"/>
  <c r="H119" i="1"/>
  <c r="H259" i="1"/>
  <c r="H261" i="1" s="1"/>
  <c r="F300" i="1"/>
  <c r="C115" i="1"/>
  <c r="N259" i="1"/>
  <c r="N261" i="1" s="1"/>
  <c r="N119" i="1"/>
  <c r="G259" i="1"/>
  <c r="G261" i="1" s="1"/>
  <c r="P119" i="1"/>
  <c r="K259" i="1"/>
  <c r="K261" i="1" s="1"/>
  <c r="P259" i="1"/>
  <c r="P261" i="1" s="1"/>
  <c r="U119" i="1"/>
  <c r="U259" i="1"/>
  <c r="U261" i="1" s="1"/>
  <c r="Q119" i="1"/>
  <c r="Q259" i="1"/>
  <c r="Q261" i="1" s="1"/>
  <c r="T119" i="1"/>
  <c r="T259" i="1"/>
  <c r="T261" i="1" s="1"/>
  <c r="CP204" i="1" l="1"/>
  <c r="CP269" i="1" s="1"/>
  <c r="CP267" i="1" s="1"/>
  <c r="CQ99" i="1"/>
  <c r="CZ144" i="1"/>
  <c r="AC208" i="1"/>
  <c r="CX130" i="1"/>
  <c r="CW132" i="1"/>
  <c r="CD1" i="1"/>
  <c r="CE1" i="1" s="1"/>
  <c r="CF1" i="1" s="1"/>
  <c r="CG1" i="1" s="1"/>
  <c r="CH1" i="1" s="1"/>
  <c r="CI1" i="1" s="1"/>
  <c r="CJ1" i="1" s="1"/>
  <c r="CK1" i="1" s="1"/>
  <c r="L259" i="1"/>
  <c r="L261" i="1" s="1"/>
  <c r="J259" i="1"/>
  <c r="J261" i="1" s="1"/>
  <c r="M259" i="1"/>
  <c r="M261" i="1" s="1"/>
  <c r="B119" i="1"/>
  <c r="F119" i="1"/>
  <c r="I119" i="1"/>
  <c r="C119" i="1"/>
  <c r="L119" i="1"/>
  <c r="S119" i="1"/>
  <c r="J119" i="1"/>
  <c r="S259" i="1"/>
  <c r="S261" i="1" s="1"/>
  <c r="M119" i="1"/>
  <c r="I259" i="1"/>
  <c r="I261" i="1" s="1"/>
  <c r="F259" i="1"/>
  <c r="F261" i="1" s="1"/>
  <c r="C259" i="1"/>
  <c r="C261" i="1" s="1"/>
  <c r="CQ260" i="1" l="1"/>
  <c r="CQ198" i="1"/>
  <c r="DA144" i="1"/>
  <c r="CX132" i="1"/>
  <c r="CY130" i="1"/>
  <c r="AB190" i="1"/>
  <c r="CL1" i="1"/>
  <c r="CM1" i="1" s="1"/>
  <c r="CN1" i="1" s="1"/>
  <c r="CO1" i="1" s="1"/>
  <c r="CP1" i="1" s="1"/>
  <c r="CQ1" i="1" s="1"/>
  <c r="CR1" i="1" s="1"/>
  <c r="CS1" i="1" s="1"/>
  <c r="CT1" i="1" s="1"/>
  <c r="CU1" i="1" s="1"/>
  <c r="CV1" i="1" s="1"/>
  <c r="CW1" i="1" s="1"/>
  <c r="CX1" i="1" s="1"/>
  <c r="CY1" i="1" s="1"/>
  <c r="CZ1" i="1" s="1"/>
  <c r="DA1" i="1" s="1"/>
  <c r="DB1" i="1" s="1"/>
  <c r="V98" i="2"/>
  <c r="I89" i="2"/>
  <c r="M71" i="2"/>
  <c r="P113" i="2"/>
  <c r="P104" i="2"/>
  <c r="I98" i="2"/>
  <c r="R69" i="2"/>
  <c r="U79" i="2"/>
  <c r="K54" i="2"/>
  <c r="C70" i="2"/>
  <c r="L75" i="2"/>
  <c r="U72" i="2"/>
  <c r="P94" i="2"/>
  <c r="D111" i="2"/>
  <c r="E62" i="2"/>
  <c r="E76" i="2"/>
  <c r="I67" i="2"/>
  <c r="E86" i="2"/>
  <c r="F104" i="2"/>
  <c r="X49" i="2"/>
  <c r="W98" i="2"/>
  <c r="M50" i="2"/>
  <c r="G45" i="2"/>
  <c r="I104" i="2"/>
  <c r="P59" i="2"/>
  <c r="P67" i="2"/>
  <c r="N112" i="2"/>
  <c r="S70" i="2"/>
  <c r="W113" i="2"/>
  <c r="O78" i="2"/>
  <c r="J59" i="2"/>
  <c r="K80" i="2"/>
  <c r="C53" i="2"/>
  <c r="E65" i="2"/>
  <c r="L113" i="2"/>
  <c r="J82" i="2"/>
  <c r="U58" i="2"/>
  <c r="X46" i="2"/>
  <c r="W87" i="2"/>
  <c r="R88" i="2"/>
  <c r="N104" i="2"/>
  <c r="N72" i="2"/>
  <c r="X44" i="2"/>
  <c r="N76" i="2"/>
  <c r="U62" i="2"/>
  <c r="C64" i="2"/>
  <c r="Q106" i="2"/>
  <c r="N90" i="2"/>
  <c r="W94" i="2"/>
  <c r="K109" i="2"/>
  <c r="J63" i="2"/>
  <c r="J99" i="2"/>
  <c r="E69" i="2"/>
  <c r="U63" i="2"/>
  <c r="G91" i="2"/>
  <c r="V76" i="2"/>
  <c r="O86" i="2"/>
  <c r="I97" i="2"/>
  <c r="G68" i="2"/>
  <c r="R113" i="2"/>
  <c r="W51" i="2"/>
  <c r="C82" i="2"/>
  <c r="J40" i="2"/>
  <c r="P44" i="2"/>
  <c r="Q75" i="2"/>
  <c r="O60" i="2"/>
  <c r="V112" i="2"/>
  <c r="M83" i="2"/>
  <c r="H69" i="2"/>
  <c r="O112" i="2"/>
  <c r="X52" i="2"/>
  <c r="D60" i="2"/>
  <c r="E59" i="2"/>
  <c r="D59" i="2"/>
  <c r="J48" i="2"/>
  <c r="S52" i="2"/>
  <c r="X91" i="2"/>
  <c r="I81" i="2"/>
  <c r="C44" i="2"/>
  <c r="T112" i="2"/>
  <c r="H63" i="2"/>
  <c r="L106" i="2"/>
  <c r="P52" i="2"/>
  <c r="H88" i="2"/>
  <c r="L42" i="2"/>
  <c r="U70" i="2"/>
  <c r="N67" i="2"/>
  <c r="U107" i="2"/>
  <c r="F62" i="2"/>
  <c r="S66" i="2"/>
  <c r="R50" i="2"/>
  <c r="D107" i="2"/>
  <c r="O47" i="2"/>
  <c r="H55" i="2"/>
  <c r="F88" i="2"/>
  <c r="AP96" i="3"/>
  <c r="AP48" i="3"/>
  <c r="AP65" i="3"/>
  <c r="AP87" i="3"/>
  <c r="AP50" i="3"/>
  <c r="AP73" i="3"/>
  <c r="I22" i="3"/>
  <c r="AI12" i="3"/>
  <c r="AK5" i="3"/>
  <c r="Q34" i="3"/>
  <c r="O29" i="3"/>
  <c r="AC20" i="3"/>
  <c r="P5" i="3"/>
  <c r="S12" i="3"/>
  <c r="AH13" i="3"/>
  <c r="U15" i="3"/>
  <c r="AP19" i="3"/>
  <c r="O17" i="3"/>
  <c r="X24" i="3"/>
  <c r="AP36" i="3"/>
  <c r="AI30" i="3"/>
  <c r="AE34" i="3"/>
  <c r="S42" i="3"/>
  <c r="X10" i="3"/>
  <c r="U31" i="3"/>
  <c r="AN20" i="3"/>
  <c r="AP40" i="3"/>
  <c r="AN37" i="3"/>
  <c r="O42" i="3"/>
  <c r="AA40" i="3"/>
  <c r="O16" i="3"/>
  <c r="AJ23" i="3"/>
  <c r="Y38" i="3"/>
  <c r="H9" i="3"/>
  <c r="Q19" i="3"/>
  <c r="L14" i="3"/>
  <c r="J38" i="3"/>
  <c r="C30" i="3"/>
  <c r="N36" i="3"/>
  <c r="C27" i="3"/>
  <c r="AG38" i="3"/>
  <c r="AK41" i="3"/>
  <c r="I7" i="3"/>
  <c r="AJ34" i="3"/>
  <c r="L18" i="3"/>
  <c r="AC23" i="3"/>
  <c r="I42" i="3"/>
  <c r="W10" i="3"/>
  <c r="L39" i="3"/>
  <c r="N8" i="3"/>
  <c r="AD19" i="3"/>
  <c r="Z29" i="3"/>
  <c r="AH32" i="3"/>
  <c r="R9" i="3"/>
  <c r="AO16" i="3"/>
  <c r="AJ28" i="3"/>
  <c r="AM37" i="3"/>
  <c r="AH28" i="3"/>
  <c r="AD47" i="3"/>
  <c r="AL17" i="3"/>
  <c r="P31" i="3"/>
  <c r="Z22" i="3"/>
  <c r="AK33" i="3"/>
  <c r="I12" i="3"/>
  <c r="AG19" i="3"/>
  <c r="U10" i="3"/>
  <c r="Y29" i="3"/>
  <c r="S5" i="3"/>
  <c r="Q21" i="3"/>
  <c r="AH38" i="3"/>
  <c r="L7" i="3"/>
  <c r="Y9" i="3"/>
  <c r="AC32" i="3"/>
  <c r="D49" i="3"/>
  <c r="R8" i="3"/>
  <c r="N23" i="3"/>
  <c r="D47" i="3"/>
  <c r="C36" i="3"/>
  <c r="AJ40" i="3"/>
  <c r="I32" i="3"/>
  <c r="S10" i="3"/>
  <c r="AG40" i="3"/>
  <c r="P14" i="3"/>
  <c r="AL19" i="3"/>
  <c r="Y41" i="3"/>
  <c r="AK19" i="3"/>
  <c r="N18" i="3"/>
  <c r="M40" i="3"/>
  <c r="M41" i="3"/>
  <c r="U40" i="3"/>
  <c r="T31" i="3"/>
  <c r="AH39" i="3"/>
  <c r="M14" i="3"/>
  <c r="C35" i="3"/>
  <c r="Z33" i="3"/>
  <c r="M40" i="2"/>
  <c r="Q45" i="2"/>
  <c r="H40" i="2"/>
  <c r="P84" i="2"/>
  <c r="G75" i="2"/>
  <c r="E75" i="2"/>
  <c r="D80" i="2"/>
  <c r="I94" i="2"/>
  <c r="P73" i="2"/>
  <c r="C81" i="2"/>
  <c r="N85" i="2"/>
  <c r="T44" i="2"/>
  <c r="M104" i="2"/>
  <c r="N56" i="2"/>
  <c r="D66" i="2"/>
  <c r="P46" i="2"/>
  <c r="K97" i="2"/>
  <c r="S51" i="2"/>
  <c r="N50" i="2"/>
  <c r="I71" i="2"/>
  <c r="K79" i="2"/>
  <c r="I80" i="2"/>
  <c r="I65" i="2"/>
  <c r="Q109" i="2"/>
  <c r="E64" i="2"/>
  <c r="W97" i="2"/>
  <c r="W90" i="2"/>
  <c r="F57" i="2"/>
  <c r="S61" i="2"/>
  <c r="Q67" i="2"/>
  <c r="X93" i="2"/>
  <c r="U48" i="2"/>
  <c r="S89" i="2"/>
  <c r="G89" i="2"/>
  <c r="X60" i="2"/>
  <c r="F52" i="2"/>
  <c r="V73" i="2"/>
  <c r="P54" i="2"/>
  <c r="U56" i="2"/>
  <c r="E79" i="2"/>
  <c r="N41" i="2"/>
  <c r="D105" i="2"/>
  <c r="M78" i="2"/>
  <c r="L47" i="2"/>
  <c r="V110" i="2"/>
  <c r="N40" i="2"/>
  <c r="M77" i="2"/>
  <c r="G112" i="2"/>
  <c r="H85" i="2"/>
  <c r="J106" i="2"/>
  <c r="J91" i="2"/>
  <c r="Q93" i="2"/>
  <c r="M52" i="2"/>
  <c r="E55" i="2"/>
  <c r="D54" i="2"/>
  <c r="I59" i="2"/>
  <c r="T81" i="2"/>
  <c r="G52" i="2"/>
  <c r="H98" i="2"/>
  <c r="S45" i="2"/>
  <c r="C62" i="2"/>
  <c r="M73" i="2"/>
  <c r="T87" i="2"/>
  <c r="G50" i="2"/>
  <c r="H92" i="2"/>
  <c r="E105" i="2"/>
  <c r="J58" i="2"/>
  <c r="M107" i="2"/>
  <c r="S41" i="2"/>
  <c r="V93" i="2"/>
  <c r="T60" i="2"/>
  <c r="O64" i="2"/>
  <c r="N91" i="2"/>
  <c r="Q80" i="2"/>
  <c r="H61" i="2"/>
  <c r="R43" i="2"/>
  <c r="Q111" i="2"/>
  <c r="H80" i="2"/>
  <c r="Q60" i="2"/>
  <c r="C80" i="2"/>
  <c r="G74" i="2"/>
  <c r="N110" i="2"/>
  <c r="J88" i="2"/>
  <c r="R68" i="2"/>
  <c r="K83" i="2"/>
  <c r="L61" i="2"/>
  <c r="W79" i="2"/>
  <c r="H77" i="2"/>
  <c r="K106" i="2"/>
  <c r="G51" i="2"/>
  <c r="C56" i="2"/>
  <c r="X68" i="2"/>
  <c r="X84" i="2"/>
  <c r="N77" i="2"/>
  <c r="AB89" i="3"/>
  <c r="AP86" i="3"/>
  <c r="AP71" i="3"/>
  <c r="AB63" i="3"/>
  <c r="AP80" i="3"/>
  <c r="AB91" i="3"/>
  <c r="AM33" i="3"/>
  <c r="AL33" i="3"/>
  <c r="Y22" i="3"/>
  <c r="AO33" i="3"/>
  <c r="T25" i="3"/>
  <c r="N15" i="3"/>
  <c r="P10" i="3"/>
  <c r="Z8" i="3"/>
  <c r="H38" i="3"/>
  <c r="AB41" i="3"/>
  <c r="P41" i="3"/>
  <c r="Q16" i="3"/>
  <c r="N39" i="3"/>
  <c r="AP13" i="3"/>
  <c r="AJ33" i="3"/>
  <c r="W19" i="3"/>
  <c r="AM8" i="3"/>
  <c r="AB34" i="3"/>
  <c r="AB22" i="3"/>
  <c r="K35" i="3"/>
  <c r="AN32" i="3"/>
  <c r="C22" i="3"/>
  <c r="N10" i="3"/>
  <c r="V18" i="3"/>
  <c r="AI10" i="3"/>
  <c r="G32" i="3"/>
  <c r="J34" i="3"/>
  <c r="AP26" i="3"/>
  <c r="AN34" i="3"/>
  <c r="P18" i="3"/>
  <c r="AO32" i="3"/>
  <c r="M31" i="3"/>
  <c r="L28" i="3"/>
  <c r="AQ19" i="3"/>
  <c r="P21" i="3"/>
  <c r="H35" i="3"/>
  <c r="H25" i="3"/>
  <c r="O19" i="3"/>
  <c r="AM20" i="3"/>
  <c r="AN24" i="3"/>
  <c r="AG18" i="3"/>
  <c r="W31" i="3"/>
  <c r="M30" i="3"/>
  <c r="K18" i="3"/>
  <c r="S23" i="3"/>
  <c r="Y36" i="3"/>
  <c r="AE29" i="3"/>
  <c r="AH34" i="3"/>
  <c r="Z23" i="3"/>
  <c r="P24" i="3"/>
  <c r="AA14" i="3"/>
  <c r="J20" i="3"/>
  <c r="S26" i="3"/>
  <c r="U39" i="3"/>
  <c r="L42" i="3"/>
  <c r="AO18" i="3"/>
  <c r="I20" i="3"/>
  <c r="C20" i="3"/>
  <c r="T20" i="3"/>
  <c r="AL18" i="3"/>
  <c r="V22" i="3"/>
  <c r="AM35" i="3"/>
  <c r="M28" i="3"/>
  <c r="AQ5" i="3"/>
  <c r="J39" i="3"/>
  <c r="AI7" i="3"/>
  <c r="N16" i="3"/>
  <c r="Z39" i="3"/>
  <c r="H31" i="3"/>
  <c r="U38" i="3"/>
  <c r="AB40" i="3"/>
  <c r="N33" i="3"/>
  <c r="AG9" i="3"/>
  <c r="K28" i="3"/>
  <c r="H29" i="3"/>
  <c r="Z17" i="3"/>
  <c r="H12" i="3"/>
  <c r="S28" i="3"/>
  <c r="Z27" i="3"/>
  <c r="AA26" i="3"/>
  <c r="L41" i="3"/>
  <c r="AM42" i="3"/>
  <c r="AA37" i="3"/>
  <c r="AO26" i="3"/>
  <c r="AA19" i="3"/>
  <c r="J11" i="3"/>
  <c r="R34" i="3"/>
  <c r="V26" i="3"/>
  <c r="N31" i="3"/>
  <c r="V5" i="3"/>
  <c r="N12" i="3"/>
  <c r="Z16" i="3"/>
  <c r="AE13" i="3"/>
  <c r="T36" i="3"/>
  <c r="AG13" i="3"/>
  <c r="J26" i="3"/>
  <c r="AB15" i="3"/>
  <c r="AK28" i="3"/>
  <c r="U13" i="3"/>
  <c r="Y12" i="3"/>
  <c r="Y10" i="3"/>
  <c r="AN39" i="3"/>
  <c r="K34" i="3"/>
  <c r="V10" i="3"/>
  <c r="AD23" i="3"/>
  <c r="AG29" i="3"/>
  <c r="AJ6" i="3"/>
  <c r="H83" i="2"/>
  <c r="E109" i="2"/>
  <c r="E90" i="2"/>
  <c r="U98" i="2"/>
  <c r="H104" i="2"/>
  <c r="I95" i="2"/>
  <c r="P96" i="2"/>
  <c r="L85" i="2"/>
  <c r="M85" i="2"/>
  <c r="F84" i="2"/>
  <c r="E110" i="2"/>
  <c r="X65" i="2"/>
  <c r="M55" i="2"/>
  <c r="H64" i="2"/>
  <c r="P64" i="2"/>
  <c r="C50" i="2"/>
  <c r="J56" i="2"/>
  <c r="L93" i="2"/>
  <c r="M80" i="2"/>
  <c r="S77" i="2"/>
  <c r="K52" i="2"/>
  <c r="I54" i="2"/>
  <c r="W57" i="2"/>
  <c r="U75" i="2"/>
  <c r="F96" i="2"/>
  <c r="V40" i="2"/>
  <c r="M106" i="2"/>
  <c r="V67" i="2"/>
  <c r="J62" i="2"/>
  <c r="Q83" i="2"/>
  <c r="P55" i="2"/>
  <c r="D51" i="2"/>
  <c r="H91" i="2"/>
  <c r="S106" i="2"/>
  <c r="L63" i="2"/>
  <c r="J107" i="2"/>
  <c r="U91" i="2"/>
  <c r="F53" i="2"/>
  <c r="C94" i="2"/>
  <c r="S109" i="2"/>
  <c r="L87" i="2"/>
  <c r="G106" i="2"/>
  <c r="T78" i="2"/>
  <c r="J72" i="2"/>
  <c r="O76" i="2"/>
  <c r="X70" i="2"/>
  <c r="N93" i="2"/>
  <c r="K61" i="2"/>
  <c r="D53" i="2"/>
  <c r="H78" i="2"/>
  <c r="D98" i="2"/>
  <c r="T95" i="2"/>
  <c r="I52" i="2"/>
  <c r="N107" i="2"/>
  <c r="F46" i="2"/>
  <c r="J104" i="2"/>
  <c r="M54" i="2"/>
  <c r="T65" i="2"/>
  <c r="O71" i="2"/>
  <c r="H53" i="2"/>
  <c r="U96" i="2"/>
  <c r="V52" i="2"/>
  <c r="C98" i="2"/>
  <c r="F111" i="2"/>
  <c r="C76" i="2"/>
  <c r="W99" i="2"/>
  <c r="W68" i="2"/>
  <c r="H81" i="2"/>
  <c r="V113" i="2"/>
  <c r="X99" i="2"/>
  <c r="I84" i="2"/>
  <c r="R77" i="2"/>
  <c r="W105" i="2"/>
  <c r="U88" i="2"/>
  <c r="W109" i="2"/>
  <c r="W107" i="2"/>
  <c r="O72" i="2"/>
  <c r="K98" i="2"/>
  <c r="J79" i="2"/>
  <c r="R49" i="2"/>
  <c r="H72" i="2"/>
  <c r="W61" i="2"/>
  <c r="E111" i="2"/>
  <c r="M41" i="2"/>
  <c r="W80" i="2"/>
  <c r="X67" i="2"/>
  <c r="M112" i="2"/>
  <c r="S72" i="2"/>
  <c r="U95" i="2"/>
  <c r="V63" i="2"/>
  <c r="G88" i="2"/>
  <c r="V41" i="2"/>
  <c r="F107" i="2"/>
  <c r="R72" i="2"/>
  <c r="O93" i="2"/>
  <c r="K92" i="2"/>
  <c r="C52" i="2"/>
  <c r="M70" i="2"/>
  <c r="M75" i="2"/>
  <c r="Q42" i="2"/>
  <c r="E40" i="2"/>
  <c r="C83" i="2"/>
  <c r="K112" i="2"/>
  <c r="F98" i="2"/>
  <c r="M63" i="2"/>
  <c r="C78" i="2"/>
  <c r="U86" i="2"/>
  <c r="U110" i="2"/>
  <c r="G67" i="2"/>
  <c r="O70" i="2"/>
  <c r="P74" i="2"/>
  <c r="D41" i="2"/>
  <c r="G79" i="2"/>
  <c r="J98" i="2"/>
  <c r="H97" i="2"/>
  <c r="H76" i="2"/>
  <c r="H59" i="2"/>
  <c r="O109" i="2"/>
  <c r="F67" i="2"/>
  <c r="R60" i="2"/>
  <c r="AP68" i="3"/>
  <c r="AP93" i="3"/>
  <c r="AB93" i="3"/>
  <c r="AB96" i="3"/>
  <c r="AB82" i="3"/>
  <c r="AP77" i="3"/>
  <c r="AB74" i="3"/>
  <c r="AN8" i="3"/>
  <c r="AC18" i="3"/>
  <c r="AJ31" i="3"/>
  <c r="W28" i="3"/>
  <c r="Y40" i="3"/>
  <c r="AJ22" i="3"/>
  <c r="AC39" i="3"/>
  <c r="C7" i="3"/>
  <c r="AA25" i="3"/>
  <c r="J12" i="3"/>
  <c r="Z34" i="3"/>
  <c r="AA8" i="3"/>
  <c r="T33" i="3"/>
  <c r="Q35" i="3"/>
  <c r="X35" i="3"/>
  <c r="W34" i="3"/>
  <c r="X36" i="3"/>
  <c r="Y11" i="3"/>
  <c r="Y25" i="3"/>
  <c r="X15" i="3"/>
  <c r="J42" i="3"/>
  <c r="P22" i="3"/>
  <c r="L6" i="3"/>
  <c r="AN25" i="3"/>
  <c r="T30" i="3"/>
  <c r="AH7" i="3"/>
  <c r="AN7" i="3"/>
  <c r="AP14" i="3"/>
  <c r="P6" i="3"/>
  <c r="AA21" i="3"/>
  <c r="AC6" i="3"/>
  <c r="L23" i="3"/>
  <c r="U37" i="3"/>
  <c r="K19" i="3"/>
  <c r="T26" i="3"/>
  <c r="AI28" i="3"/>
  <c r="C9" i="3"/>
  <c r="AJ11" i="3"/>
  <c r="Z37" i="3"/>
  <c r="AQ14" i="3"/>
  <c r="AA41" i="3"/>
  <c r="W35" i="3"/>
  <c r="AO41" i="3"/>
  <c r="AK13" i="3"/>
  <c r="AJ13" i="3"/>
  <c r="X21" i="3"/>
  <c r="U36" i="3"/>
  <c r="I6" i="3"/>
  <c r="U26" i="3"/>
  <c r="AO17" i="3"/>
  <c r="N9" i="3"/>
  <c r="I24" i="3"/>
  <c r="H16" i="3"/>
  <c r="Z38" i="3"/>
  <c r="AC28" i="3"/>
  <c r="AK14" i="3"/>
  <c r="R13" i="3"/>
  <c r="AB28" i="3"/>
  <c r="S6" i="3"/>
  <c r="AL28" i="3"/>
  <c r="I27" i="3"/>
  <c r="K30" i="3"/>
  <c r="AA22" i="3"/>
  <c r="S8" i="3"/>
  <c r="K39" i="3"/>
  <c r="K27" i="3"/>
  <c r="AL24" i="3"/>
  <c r="AK8" i="3"/>
  <c r="AC11" i="3"/>
  <c r="K7" i="3"/>
  <c r="AJ37" i="3"/>
  <c r="AO19" i="3"/>
  <c r="V14" i="3"/>
  <c r="AA28" i="3"/>
  <c r="I17" i="3"/>
  <c r="AK25" i="3"/>
  <c r="AC41" i="3"/>
  <c r="N27" i="3"/>
  <c r="P38" i="3"/>
  <c r="J10" i="3"/>
  <c r="AO5" i="3"/>
  <c r="Q11" i="3"/>
  <c r="M18" i="3"/>
  <c r="S37" i="3"/>
  <c r="N25" i="3"/>
  <c r="O12" i="3"/>
  <c r="X19" i="3"/>
  <c r="AQ20" i="3"/>
  <c r="AO27" i="3"/>
  <c r="N87" i="2"/>
  <c r="U49" i="2"/>
  <c r="O77" i="2"/>
  <c r="G111" i="2"/>
  <c r="V60" i="2"/>
  <c r="Q53" i="2"/>
  <c r="H66" i="2"/>
  <c r="M66" i="2"/>
  <c r="F50" i="2"/>
  <c r="R41" i="2"/>
  <c r="E53" i="2"/>
  <c r="K50" i="2"/>
  <c r="Q110" i="2"/>
  <c r="E63" i="2"/>
  <c r="M91" i="2"/>
  <c r="V64" i="2"/>
  <c r="K93" i="2"/>
  <c r="T69" i="2"/>
  <c r="U76" i="2"/>
  <c r="S96" i="2"/>
  <c r="K62" i="2"/>
  <c r="O94" i="2"/>
  <c r="C85" i="2"/>
  <c r="Q89" i="2"/>
  <c r="J83" i="2"/>
  <c r="N78" i="2"/>
  <c r="K104" i="2"/>
  <c r="R92" i="2"/>
  <c r="V43" i="2"/>
  <c r="U68" i="2"/>
  <c r="R42" i="2"/>
  <c r="L55" i="2"/>
  <c r="I82" i="2"/>
  <c r="M61" i="2"/>
  <c r="W77" i="2"/>
  <c r="D110" i="2"/>
  <c r="S81" i="2"/>
  <c r="S112" i="2"/>
  <c r="N105" i="2"/>
  <c r="P75" i="2"/>
  <c r="Q95" i="2"/>
  <c r="W44" i="2"/>
  <c r="F76" i="2"/>
  <c r="W56" i="2"/>
  <c r="P47" i="2"/>
  <c r="N89" i="2"/>
  <c r="M69" i="2"/>
  <c r="R105" i="2"/>
  <c r="Q92" i="2"/>
  <c r="S68" i="2"/>
  <c r="R64" i="2"/>
  <c r="I50" i="2"/>
  <c r="C45" i="2"/>
  <c r="D91" i="2"/>
  <c r="N94" i="2"/>
  <c r="K53" i="2"/>
  <c r="K51" i="2"/>
  <c r="S50" i="2"/>
  <c r="E108" i="2"/>
  <c r="P82" i="2"/>
  <c r="I112" i="2"/>
  <c r="T106" i="2"/>
  <c r="U61" i="2"/>
  <c r="X58" i="2"/>
  <c r="F54" i="2"/>
  <c r="O53" i="2"/>
  <c r="H52" i="2"/>
  <c r="U112" i="2"/>
  <c r="N99" i="2"/>
  <c r="E44" i="2"/>
  <c r="D82" i="2"/>
  <c r="K71" i="2"/>
  <c r="C75" i="2"/>
  <c r="H47" i="2"/>
  <c r="S47" i="2"/>
  <c r="O97" i="2"/>
  <c r="V53" i="2"/>
  <c r="H106" i="2"/>
  <c r="K85" i="2"/>
  <c r="R94" i="2"/>
  <c r="T52" i="2"/>
  <c r="D106" i="2"/>
  <c r="K41" i="2"/>
  <c r="S111" i="2"/>
  <c r="X74" i="2"/>
  <c r="G78" i="2"/>
  <c r="J95" i="2"/>
  <c r="C79" i="2"/>
  <c r="N98" i="2"/>
  <c r="G60" i="2"/>
  <c r="C108" i="2"/>
  <c r="X85" i="2"/>
  <c r="F69" i="2"/>
  <c r="E42" i="2"/>
  <c r="AP56" i="3"/>
  <c r="AP97" i="3"/>
  <c r="AP61" i="3"/>
  <c r="AP62" i="3"/>
  <c r="AB97" i="3"/>
  <c r="AB76" i="3"/>
  <c r="Z30" i="3"/>
  <c r="N24" i="3"/>
  <c r="P39" i="3"/>
  <c r="J16" i="3"/>
  <c r="S31" i="3"/>
  <c r="AG42" i="3"/>
  <c r="AO15" i="3"/>
  <c r="AK12" i="3"/>
  <c r="K38" i="3"/>
  <c r="O37" i="3"/>
  <c r="AQ38" i="3"/>
  <c r="AA12" i="3"/>
  <c r="W18" i="3"/>
  <c r="L33" i="3"/>
  <c r="X28" i="3"/>
  <c r="AL37" i="3"/>
  <c r="L8" i="3"/>
  <c r="Y39" i="3"/>
  <c r="AM14" i="3"/>
  <c r="T35" i="3"/>
  <c r="V9" i="3"/>
  <c r="Z28" i="3"/>
  <c r="G40" i="3"/>
  <c r="AN27" i="3"/>
  <c r="AC13" i="3"/>
  <c r="AK30" i="3"/>
  <c r="AO24" i="3"/>
  <c r="AJ14" i="3"/>
  <c r="J7" i="3"/>
  <c r="O20" i="3"/>
  <c r="I25" i="3"/>
  <c r="S30" i="3"/>
  <c r="R26" i="3"/>
  <c r="AN17" i="3"/>
  <c r="L26" i="3"/>
  <c r="AB24" i="3"/>
  <c r="AH10" i="3"/>
  <c r="W36" i="3"/>
  <c r="AB29" i="3"/>
  <c r="Q22" i="3"/>
  <c r="J21" i="3"/>
  <c r="AP22" i="3"/>
  <c r="G39" i="3"/>
  <c r="AG36" i="3"/>
  <c r="AJ32" i="3"/>
  <c r="AK10" i="3"/>
  <c r="J29" i="3"/>
  <c r="O26" i="3"/>
  <c r="AO30" i="3"/>
  <c r="V32" i="3"/>
  <c r="AD30" i="3"/>
  <c r="AL13" i="3"/>
  <c r="G38" i="3"/>
  <c r="AL29" i="3"/>
  <c r="AN28" i="3"/>
  <c r="AB7" i="3"/>
  <c r="AL26" i="3"/>
  <c r="AE37" i="3"/>
  <c r="X33" i="3"/>
  <c r="AN21" i="3"/>
  <c r="AN16" i="3"/>
  <c r="AK6" i="3"/>
  <c r="AE35" i="3"/>
  <c r="P7" i="3"/>
  <c r="J33" i="3"/>
  <c r="J28" i="3"/>
  <c r="J24" i="3"/>
  <c r="AJ10" i="3"/>
  <c r="AK26" i="3"/>
  <c r="AC10" i="3"/>
  <c r="M24" i="3"/>
  <c r="Z14" i="3"/>
  <c r="AK23" i="3"/>
  <c r="AB17" i="3"/>
  <c r="O34" i="3"/>
  <c r="O13" i="3"/>
  <c r="AB31" i="3"/>
  <c r="S14" i="3"/>
  <c r="AP38" i="3"/>
  <c r="AO8" i="3"/>
  <c r="Q25" i="3"/>
  <c r="AQ11" i="3"/>
  <c r="AK15" i="3"/>
  <c r="J14" i="3"/>
  <c r="AJ29" i="3"/>
  <c r="V23" i="3"/>
  <c r="C29" i="3"/>
  <c r="Q13" i="3"/>
  <c r="K31" i="3"/>
  <c r="AC35" i="3"/>
  <c r="T38" i="3"/>
  <c r="AD22" i="3"/>
  <c r="AI17" i="3"/>
  <c r="P12" i="3"/>
  <c r="AK18" i="3"/>
  <c r="AA24" i="3"/>
  <c r="Y21" i="3"/>
  <c r="AE15" i="3"/>
  <c r="AA35" i="3"/>
  <c r="AQ31" i="3"/>
  <c r="C13" i="3"/>
  <c r="Q20" i="3"/>
  <c r="AG14" i="3"/>
  <c r="X41" i="3"/>
  <c r="O33" i="3"/>
  <c r="AA39" i="3"/>
  <c r="AG11" i="3"/>
  <c r="H107" i="2"/>
  <c r="E95" i="2"/>
  <c r="H43" i="2"/>
  <c r="R67" i="2"/>
  <c r="D109" i="2"/>
  <c r="O69" i="2"/>
  <c r="J109" i="2"/>
  <c r="I49" i="2"/>
  <c r="T73" i="2"/>
  <c r="S44" i="2"/>
  <c r="F70" i="2"/>
  <c r="N68" i="2"/>
  <c r="T77" i="2"/>
  <c r="U84" i="2"/>
  <c r="I68" i="2"/>
  <c r="G107" i="2"/>
  <c r="F113" i="2"/>
  <c r="W65" i="2"/>
  <c r="R78" i="2"/>
  <c r="M53" i="2"/>
  <c r="U97" i="2"/>
  <c r="U82" i="2"/>
  <c r="D108" i="2"/>
  <c r="G113" i="2"/>
  <c r="M105" i="2"/>
  <c r="T42" i="2"/>
  <c r="C73" i="2"/>
  <c r="O81" i="2"/>
  <c r="F95" i="2"/>
  <c r="F83" i="2"/>
  <c r="G81" i="2"/>
  <c r="T90" i="2"/>
  <c r="E47" i="2"/>
  <c r="X90" i="2"/>
  <c r="Q74" i="2"/>
  <c r="L59" i="2"/>
  <c r="O83" i="2"/>
  <c r="T40" i="2"/>
  <c r="V58" i="2"/>
  <c r="G82" i="2"/>
  <c r="W59" i="2"/>
  <c r="R108" i="2"/>
  <c r="E41" i="2"/>
  <c r="L44" i="2"/>
  <c r="D49" i="2"/>
  <c r="E81" i="2"/>
  <c r="D79" i="2"/>
  <c r="L89" i="2"/>
  <c r="K42" i="2"/>
  <c r="T68" i="2"/>
  <c r="M49" i="2"/>
  <c r="U67" i="2"/>
  <c r="X69" i="2"/>
  <c r="U50" i="2"/>
  <c r="U94" i="2"/>
  <c r="S93" i="2"/>
  <c r="E57" i="2"/>
  <c r="W69" i="2"/>
  <c r="U109" i="2"/>
  <c r="R47" i="2"/>
  <c r="V99" i="2"/>
  <c r="L60" i="2"/>
  <c r="Q112" i="2"/>
  <c r="D112" i="2"/>
  <c r="F61" i="2"/>
  <c r="O80" i="2"/>
  <c r="R76" i="2"/>
  <c r="J97" i="2"/>
  <c r="D64" i="2"/>
  <c r="N69" i="2"/>
  <c r="W53" i="2"/>
  <c r="V82" i="2"/>
  <c r="X48" i="2"/>
  <c r="G56" i="2"/>
  <c r="K55" i="2"/>
  <c r="F58" i="2"/>
  <c r="G49" i="2"/>
  <c r="D43" i="2"/>
  <c r="Q98" i="2"/>
  <c r="I51" i="2"/>
  <c r="V91" i="2"/>
  <c r="S65" i="2"/>
  <c r="D75" i="2"/>
  <c r="I93" i="2"/>
  <c r="E112" i="2"/>
  <c r="T57" i="2"/>
  <c r="N44" i="2"/>
  <c r="O66" i="2"/>
  <c r="W52" i="2"/>
  <c r="I79" i="2"/>
  <c r="U65" i="2"/>
  <c r="T110" i="2"/>
  <c r="L109" i="2"/>
  <c r="X45" i="2"/>
  <c r="AB81" i="3"/>
  <c r="AP66" i="3"/>
  <c r="AB92" i="3"/>
  <c r="AP91" i="3"/>
  <c r="AP74" i="3"/>
  <c r="AB69" i="3"/>
  <c r="T23" i="3"/>
  <c r="AP12" i="3"/>
  <c r="AN33" i="3"/>
  <c r="M17" i="3"/>
  <c r="W26" i="3"/>
  <c r="Z10" i="3"/>
  <c r="W22" i="3"/>
  <c r="H5" i="3"/>
  <c r="AB20" i="3"/>
  <c r="X27" i="3"/>
  <c r="E47" i="3"/>
  <c r="S33" i="3"/>
  <c r="V31" i="3"/>
  <c r="AE25" i="3"/>
  <c r="P50" i="2"/>
  <c r="G41" i="2"/>
  <c r="K75" i="2"/>
  <c r="G98" i="2"/>
  <c r="X77" i="2"/>
  <c r="K107" i="2"/>
  <c r="J61" i="2"/>
  <c r="T98" i="2"/>
  <c r="U42" i="2"/>
  <c r="X83" i="2"/>
  <c r="F47" i="2"/>
  <c r="T55" i="2"/>
  <c r="W93" i="2"/>
  <c r="N96" i="2"/>
  <c r="J112" i="2"/>
  <c r="K94" i="2"/>
  <c r="F78" i="2"/>
  <c r="V96" i="2"/>
  <c r="P63" i="2"/>
  <c r="C48" i="2"/>
  <c r="O49" i="2"/>
  <c r="M57" i="2"/>
  <c r="D69" i="2"/>
  <c r="D83" i="2"/>
  <c r="C58" i="2"/>
  <c r="X64" i="2"/>
  <c r="P71" i="2"/>
  <c r="T50" i="2"/>
  <c r="U41" i="2"/>
  <c r="W71" i="2"/>
  <c r="I113" i="2"/>
  <c r="H105" i="2"/>
  <c r="L72" i="2"/>
  <c r="L51" i="2"/>
  <c r="Q52" i="2"/>
  <c r="W47" i="2"/>
  <c r="U81" i="2"/>
  <c r="O42" i="2"/>
  <c r="R58" i="2"/>
  <c r="S63" i="2"/>
  <c r="P78" i="2"/>
  <c r="K60" i="2"/>
  <c r="T80" i="2"/>
  <c r="V86" i="2"/>
  <c r="X82" i="2"/>
  <c r="H44" i="2"/>
  <c r="J108" i="2"/>
  <c r="T107" i="2"/>
  <c r="R74" i="2"/>
  <c r="N80" i="2"/>
  <c r="K70" i="2"/>
  <c r="Q88" i="2"/>
  <c r="R82" i="2"/>
  <c r="W55" i="2"/>
  <c r="F51" i="2"/>
  <c r="K66" i="2"/>
  <c r="I99" i="2"/>
  <c r="R111" i="2"/>
  <c r="C107" i="2"/>
  <c r="D46" i="2"/>
  <c r="J73" i="2"/>
  <c r="C86" i="2"/>
  <c r="E68" i="2"/>
  <c r="L98" i="2"/>
  <c r="O92" i="2"/>
  <c r="K81" i="2"/>
  <c r="U89" i="2"/>
  <c r="E72" i="2"/>
  <c r="G63" i="2"/>
  <c r="M72" i="2"/>
  <c r="U46" i="2"/>
  <c r="C77" i="2"/>
  <c r="U106" i="2"/>
  <c r="U93" i="2"/>
  <c r="N49" i="2"/>
  <c r="C104" i="2"/>
  <c r="H108" i="2"/>
  <c r="G80" i="2"/>
  <c r="D67" i="2"/>
  <c r="F85" i="2"/>
  <c r="I105" i="2"/>
  <c r="F77" i="2"/>
  <c r="P110" i="2"/>
  <c r="F66" i="2"/>
  <c r="X78" i="2"/>
  <c r="H45" i="2"/>
  <c r="T70" i="2"/>
  <c r="I40" i="2"/>
  <c r="R97" i="2"/>
  <c r="K64" i="2"/>
  <c r="E77" i="2"/>
  <c r="O62" i="2"/>
  <c r="E96" i="2"/>
  <c r="V79" i="2"/>
  <c r="AB60" i="3"/>
  <c r="AB80" i="3"/>
  <c r="AP59" i="3"/>
  <c r="AB75" i="3"/>
  <c r="AP85" i="3"/>
  <c r="AP67" i="3"/>
  <c r="H34" i="3"/>
  <c r="O22" i="3"/>
  <c r="H41" i="3"/>
  <c r="O23" i="3"/>
  <c r="J41" i="3"/>
  <c r="Z6" i="3"/>
  <c r="AB19" i="3"/>
  <c r="M34" i="3"/>
  <c r="W33" i="3"/>
  <c r="AA34" i="3"/>
  <c r="AO7" i="3"/>
  <c r="U19" i="3"/>
  <c r="G37" i="3"/>
  <c r="AO20" i="3"/>
  <c r="AJ41" i="3"/>
  <c r="AP37" i="3"/>
  <c r="H11" i="3"/>
  <c r="AM21" i="3"/>
  <c r="H27" i="3"/>
  <c r="AI9" i="3"/>
  <c r="AC36" i="3"/>
  <c r="C12" i="3"/>
  <c r="O35" i="3"/>
  <c r="M13" i="3"/>
  <c r="S11" i="3"/>
  <c r="O18" i="3"/>
  <c r="Y19" i="3"/>
  <c r="I15" i="3"/>
  <c r="T28" i="3"/>
  <c r="R20" i="3"/>
  <c r="J17" i="3"/>
  <c r="AO11" i="3"/>
  <c r="O24" i="3"/>
  <c r="W16" i="3"/>
  <c r="AQ12" i="3"/>
  <c r="Y30" i="3"/>
  <c r="AE33" i="3"/>
  <c r="AL42" i="3"/>
  <c r="G48" i="3"/>
  <c r="H37" i="3"/>
  <c r="W9" i="3"/>
  <c r="AE5" i="3"/>
  <c r="AE6" i="3"/>
  <c r="AL8" i="3"/>
  <c r="AC5" i="3"/>
  <c r="S21" i="3"/>
  <c r="P29" i="3"/>
  <c r="R33" i="3"/>
  <c r="AA13" i="3"/>
  <c r="I30" i="3"/>
  <c r="Z7" i="3"/>
  <c r="AI18" i="3"/>
  <c r="AE23" i="3"/>
  <c r="AQ15" i="3"/>
  <c r="P42" i="3"/>
  <c r="AL6" i="3"/>
  <c r="L15" i="3"/>
  <c r="U34" i="3"/>
  <c r="W38" i="3"/>
  <c r="X17" i="3"/>
  <c r="AI39" i="3"/>
  <c r="AG5" i="3"/>
  <c r="AN11" i="3"/>
  <c r="K11" i="3"/>
  <c r="Q42" i="3"/>
  <c r="V21" i="3"/>
  <c r="AG12" i="3"/>
  <c r="X39" i="3"/>
  <c r="AI40" i="3"/>
  <c r="AH5" i="3"/>
  <c r="V42" i="3"/>
  <c r="S15" i="3"/>
  <c r="AB32" i="3"/>
  <c r="R19" i="3"/>
  <c r="AJ27" i="3"/>
  <c r="V36" i="3"/>
  <c r="K37" i="3"/>
  <c r="L21" i="3"/>
  <c r="P9" i="3"/>
  <c r="Q18" i="3"/>
  <c r="AQ7" i="3"/>
  <c r="S18" i="3"/>
  <c r="J31" i="3"/>
  <c r="J19" i="3"/>
  <c r="AD39" i="3"/>
  <c r="Q7" i="3"/>
  <c r="X11" i="3"/>
  <c r="Q17" i="3"/>
  <c r="AI33" i="3"/>
  <c r="V57" i="2"/>
  <c r="Q43" i="2"/>
  <c r="P90" i="2"/>
  <c r="T59" i="2"/>
  <c r="P51" i="2"/>
  <c r="L86" i="2"/>
  <c r="S87" i="2"/>
  <c r="N60" i="2"/>
  <c r="D78" i="2"/>
  <c r="J66" i="2"/>
  <c r="C88" i="2"/>
  <c r="I78" i="2"/>
  <c r="R52" i="2"/>
  <c r="X94" i="2"/>
  <c r="S74" i="2"/>
  <c r="F110" i="2"/>
  <c r="G77" i="2"/>
  <c r="I106" i="2"/>
  <c r="Q84" i="2"/>
  <c r="F80" i="2"/>
  <c r="V75" i="2"/>
  <c r="F63" i="2"/>
  <c r="J53" i="2"/>
  <c r="G99" i="2"/>
  <c r="Q104" i="2"/>
  <c r="L52" i="2"/>
  <c r="L112" i="2"/>
  <c r="L70" i="2"/>
  <c r="Q96" i="2"/>
  <c r="P107" i="2"/>
  <c r="Q71" i="2"/>
  <c r="Q49" i="2"/>
  <c r="X98" i="2"/>
  <c r="O43" i="2"/>
  <c r="E60" i="2"/>
  <c r="L50" i="2"/>
  <c r="F74" i="2"/>
  <c r="R61" i="2"/>
  <c r="M45" i="2"/>
  <c r="T54" i="2"/>
  <c r="Q70" i="2"/>
  <c r="K88" i="2"/>
  <c r="I90" i="2"/>
  <c r="R85" i="2"/>
  <c r="C74" i="2"/>
  <c r="P80" i="2"/>
  <c r="H87" i="2"/>
  <c r="R51" i="2"/>
  <c r="V48" i="2"/>
  <c r="L74" i="2"/>
  <c r="V71" i="2"/>
  <c r="P40" i="2"/>
  <c r="Q81" i="2"/>
  <c r="U87" i="2"/>
  <c r="K110" i="2"/>
  <c r="X95" i="2"/>
  <c r="L108" i="2"/>
  <c r="M98" i="2"/>
  <c r="V50" i="2"/>
  <c r="W106" i="2"/>
  <c r="V84" i="2"/>
  <c r="O59" i="2"/>
  <c r="P43" i="2"/>
  <c r="I46" i="2"/>
  <c r="N95" i="2"/>
  <c r="E107" i="2"/>
  <c r="J64" i="2"/>
  <c r="K96" i="2"/>
  <c r="K40" i="2"/>
  <c r="D77" i="2"/>
  <c r="W78" i="2"/>
  <c r="K89" i="2"/>
  <c r="J86" i="2"/>
  <c r="K69" i="2"/>
  <c r="S113" i="2"/>
  <c r="O111" i="2"/>
  <c r="S110" i="2"/>
  <c r="T96" i="2"/>
  <c r="T61" i="2"/>
  <c r="V108" i="2"/>
  <c r="R45" i="2"/>
  <c r="E73" i="2"/>
  <c r="X86" i="2"/>
  <c r="J90" i="2"/>
  <c r="S42" i="2"/>
  <c r="D94" i="2"/>
  <c r="C51" i="2"/>
  <c r="L46" i="2"/>
  <c r="U108" i="2"/>
  <c r="S54" i="2"/>
  <c r="C95" i="2"/>
  <c r="M108" i="2"/>
  <c r="O108" i="2"/>
  <c r="C91" i="2"/>
  <c r="C63" i="2"/>
  <c r="AP75" i="3"/>
  <c r="AP88" i="3"/>
  <c r="AP57" i="3"/>
  <c r="AP94" i="3"/>
  <c r="AB67" i="3"/>
  <c r="AB85" i="3"/>
  <c r="K13" i="3"/>
  <c r="Z19" i="3"/>
  <c r="N26" i="3"/>
  <c r="AH31" i="3"/>
  <c r="S16" i="3"/>
  <c r="O21" i="3"/>
  <c r="AD37" i="3"/>
  <c r="AE24" i="3"/>
  <c r="AI41" i="3"/>
  <c r="O38" i="3"/>
  <c r="AI11" i="3"/>
  <c r="S32" i="3"/>
  <c r="T32" i="3"/>
  <c r="K36" i="3"/>
  <c r="I8" i="3"/>
  <c r="H6" i="3"/>
  <c r="U41" i="3"/>
  <c r="R32" i="3"/>
  <c r="Y18" i="3"/>
  <c r="AA36" i="3"/>
  <c r="AM39" i="3"/>
  <c r="C41" i="3"/>
  <c r="M22" i="3"/>
  <c r="AB18" i="3"/>
  <c r="AB11" i="3"/>
  <c r="V33" i="3"/>
  <c r="AI38" i="3"/>
  <c r="AB21" i="3"/>
  <c r="AN6" i="3"/>
  <c r="U12" i="3"/>
  <c r="AQ9" i="3"/>
  <c r="M7" i="3"/>
  <c r="Y31" i="3"/>
  <c r="AJ5" i="3"/>
  <c r="AG23" i="3"/>
  <c r="I29" i="3"/>
  <c r="AB6" i="3"/>
  <c r="K15" i="3"/>
  <c r="E48" i="3"/>
  <c r="AQ33" i="3"/>
  <c r="AC16" i="3"/>
  <c r="I34" i="3"/>
  <c r="AC14" i="3"/>
  <c r="Z36" i="3"/>
  <c r="AE38" i="3"/>
  <c r="M5" i="3"/>
  <c r="L27" i="3"/>
  <c r="Q41" i="3"/>
  <c r="Q28" i="3"/>
  <c r="Y33" i="3"/>
  <c r="Z40" i="3"/>
  <c r="AN40" i="3"/>
  <c r="AN38" i="3"/>
  <c r="AL40" i="3"/>
  <c r="U35" i="3"/>
  <c r="J5" i="3"/>
  <c r="AA16" i="3"/>
  <c r="U27" i="3"/>
  <c r="T37" i="3"/>
  <c r="AC21" i="3"/>
  <c r="U29" i="3"/>
  <c r="Y35" i="3"/>
  <c r="AG33" i="3"/>
  <c r="AK32" i="3"/>
  <c r="AA18" i="3"/>
  <c r="I11" i="3"/>
  <c r="T39" i="3"/>
  <c r="AJ19" i="3"/>
  <c r="N11" i="3"/>
  <c r="AE16" i="3"/>
  <c r="R5" i="3"/>
  <c r="AM18" i="3"/>
  <c r="U42" i="3"/>
  <c r="T27" i="3"/>
  <c r="S20" i="3"/>
  <c r="X18" i="3"/>
  <c r="AG22" i="3"/>
  <c r="K41" i="3"/>
  <c r="AD49" i="3"/>
  <c r="K25" i="3"/>
  <c r="T13" i="3"/>
  <c r="AC24" i="3"/>
  <c r="P33" i="3"/>
  <c r="K5" i="3"/>
  <c r="AO13" i="3"/>
  <c r="AD31" i="3"/>
  <c r="Q24" i="3"/>
  <c r="X37" i="3"/>
  <c r="U7" i="3"/>
  <c r="W25" i="3"/>
  <c r="M19" i="3"/>
  <c r="T40" i="3"/>
  <c r="G34" i="3"/>
  <c r="R12" i="3"/>
  <c r="AA38" i="3"/>
  <c r="AI14" i="3"/>
  <c r="W8" i="3"/>
  <c r="AP21" i="3"/>
  <c r="AP42" i="3"/>
  <c r="Y5" i="3"/>
  <c r="AG41" i="3"/>
  <c r="V35" i="3"/>
  <c r="AH9" i="3"/>
  <c r="C16" i="3"/>
  <c r="AE22" i="3"/>
  <c r="T5" i="3"/>
  <c r="V15" i="3"/>
  <c r="Q62" i="2"/>
  <c r="Q113" i="2"/>
  <c r="V106" i="2"/>
  <c r="D99" i="2"/>
  <c r="I57" i="2"/>
  <c r="N51" i="2"/>
  <c r="O95" i="2"/>
  <c r="I64" i="2"/>
  <c r="P91" i="2"/>
  <c r="M62" i="2"/>
  <c r="S82" i="2"/>
  <c r="T64" i="2"/>
  <c r="L81" i="2"/>
  <c r="H75" i="2"/>
  <c r="U105" i="2"/>
  <c r="O68" i="2"/>
  <c r="I48" i="2"/>
  <c r="D70" i="2"/>
  <c r="D85" i="2"/>
  <c r="V88" i="2"/>
  <c r="J78" i="2"/>
  <c r="G47" i="2"/>
  <c r="D48" i="2"/>
  <c r="T67" i="2"/>
  <c r="M82" i="2"/>
  <c r="I60" i="2"/>
  <c r="R106" i="2"/>
  <c r="O98" i="2"/>
  <c r="E49" i="2"/>
  <c r="T99" i="2"/>
  <c r="W60" i="2"/>
  <c r="T72" i="2"/>
  <c r="J55" i="2"/>
  <c r="R81" i="2"/>
  <c r="V78" i="2"/>
  <c r="G48" i="2"/>
  <c r="D72" i="2"/>
  <c r="V51" i="2"/>
  <c r="P111" i="2"/>
  <c r="W40" i="2"/>
  <c r="W72" i="2"/>
  <c r="R91" i="2"/>
  <c r="S92" i="2"/>
  <c r="E94" i="2"/>
  <c r="H46" i="2"/>
  <c r="T75" i="2"/>
  <c r="S55" i="2"/>
  <c r="E92" i="2"/>
  <c r="T48" i="2"/>
  <c r="W85" i="2"/>
  <c r="V89" i="2"/>
  <c r="N66" i="2"/>
  <c r="H73" i="2"/>
  <c r="H111" i="2"/>
  <c r="R89" i="2"/>
  <c r="O45" i="2"/>
  <c r="J76" i="2"/>
  <c r="R84" i="2"/>
  <c r="S76" i="2"/>
  <c r="S71" i="2"/>
  <c r="L56" i="2"/>
  <c r="L73" i="2"/>
  <c r="T82" i="2"/>
  <c r="F112" i="2"/>
  <c r="P61" i="2"/>
  <c r="E50" i="2"/>
  <c r="V47" i="2"/>
  <c r="C68" i="2"/>
  <c r="N106" i="2"/>
  <c r="E88" i="2"/>
  <c r="N75" i="2"/>
  <c r="I45" i="2"/>
  <c r="M109" i="2"/>
  <c r="K65" i="2"/>
  <c r="H67" i="2"/>
  <c r="R73" i="2"/>
  <c r="D73" i="2"/>
  <c r="K78" i="2"/>
  <c r="T86" i="2"/>
  <c r="W64" i="2"/>
  <c r="J51" i="2"/>
  <c r="M56" i="2"/>
  <c r="M64" i="2"/>
  <c r="R104" i="2"/>
  <c r="T62" i="2"/>
  <c r="N46" i="2"/>
  <c r="G76" i="2"/>
  <c r="R40" i="2"/>
  <c r="G69" i="2"/>
  <c r="J67" i="2"/>
  <c r="O61" i="2"/>
  <c r="V83" i="2"/>
  <c r="L40" i="2"/>
  <c r="U113" i="2"/>
  <c r="AP84" i="3"/>
  <c r="K56" i="2"/>
  <c r="O56" i="2"/>
  <c r="T108" i="2"/>
  <c r="P95" i="2"/>
  <c r="P85" i="2"/>
  <c r="H60" i="2"/>
  <c r="S91" i="2"/>
  <c r="G40" i="2"/>
  <c r="J43" i="2"/>
  <c r="I74" i="2"/>
  <c r="D61" i="2"/>
  <c r="W108" i="2"/>
  <c r="T113" i="2"/>
  <c r="S40" i="2"/>
  <c r="S94" i="2"/>
  <c r="Q65" i="2"/>
  <c r="P65" i="2"/>
  <c r="O74" i="2"/>
  <c r="H48" i="2"/>
  <c r="G58" i="2"/>
  <c r="D62" i="2"/>
  <c r="F65" i="2"/>
  <c r="L82" i="2"/>
  <c r="T43" i="2"/>
  <c r="L92" i="2"/>
  <c r="E61" i="2"/>
  <c r="D63" i="2"/>
  <c r="V61" i="2"/>
  <c r="S99" i="2"/>
  <c r="C96" i="2"/>
  <c r="P97" i="2"/>
  <c r="E70" i="2"/>
  <c r="N81" i="2"/>
  <c r="L91" i="2"/>
  <c r="S78" i="2"/>
  <c r="Q76" i="2"/>
  <c r="L43" i="2"/>
  <c r="G61" i="2"/>
  <c r="I66" i="2"/>
  <c r="F92" i="2"/>
  <c r="O58" i="2"/>
  <c r="C69" i="2"/>
  <c r="I96" i="2"/>
  <c r="D52" i="2"/>
  <c r="L77" i="2"/>
  <c r="I72" i="2"/>
  <c r="L111" i="2"/>
  <c r="E85" i="2"/>
  <c r="H50" i="2"/>
  <c r="V111" i="2"/>
  <c r="U111" i="2"/>
  <c r="G95" i="2"/>
  <c r="F48" i="2"/>
  <c r="E71" i="2"/>
  <c r="O46" i="2"/>
  <c r="D74" i="2"/>
  <c r="C60" i="2"/>
  <c r="V69" i="2"/>
  <c r="N62" i="2"/>
  <c r="R83" i="2"/>
  <c r="F44" i="2"/>
  <c r="N53" i="2"/>
  <c r="H71" i="2"/>
  <c r="X55" i="2"/>
  <c r="O99" i="2"/>
  <c r="X76" i="2"/>
  <c r="C54" i="2"/>
  <c r="M58" i="2"/>
  <c r="O55" i="2"/>
  <c r="N42" i="2"/>
  <c r="U69" i="2"/>
  <c r="L64" i="2"/>
  <c r="E74" i="2"/>
  <c r="P86" i="2"/>
  <c r="P93" i="2"/>
  <c r="T91" i="2"/>
  <c r="P58" i="2"/>
  <c r="W45" i="2"/>
  <c r="V59" i="2"/>
  <c r="J96" i="2"/>
  <c r="U43" i="2"/>
  <c r="N71" i="2"/>
  <c r="N54" i="2"/>
  <c r="T74" i="2"/>
  <c r="J45" i="2"/>
  <c r="Q44" i="2"/>
  <c r="G55" i="2"/>
  <c r="I44" i="2"/>
  <c r="H93" i="2"/>
  <c r="K63" i="2"/>
  <c r="M111" i="2"/>
  <c r="L105" i="2"/>
  <c r="AB77" i="3"/>
  <c r="AP64" i="3"/>
  <c r="AM32" i="3"/>
  <c r="V24" i="3"/>
  <c r="Z25" i="3"/>
  <c r="AQ8" i="3"/>
  <c r="AC27" i="3"/>
  <c r="AQ36" i="3"/>
  <c r="AJ15" i="3"/>
  <c r="M33" i="3"/>
  <c r="L22" i="3"/>
  <c r="AP33" i="3"/>
  <c r="T12" i="3"/>
  <c r="AM29" i="3"/>
  <c r="J13" i="3"/>
  <c r="Q15" i="3"/>
  <c r="AJ39" i="3"/>
  <c r="K14" i="3"/>
  <c r="T18" i="3"/>
  <c r="AO42" i="3"/>
  <c r="AC34" i="3"/>
  <c r="K8" i="3"/>
  <c r="AG35" i="3"/>
  <c r="AO37" i="3"/>
  <c r="W50" i="2"/>
  <c r="G72" i="2"/>
  <c r="N64" i="2"/>
  <c r="M96" i="2"/>
  <c r="Q40" i="2"/>
  <c r="N58" i="2"/>
  <c r="D92" i="2"/>
  <c r="D57" i="2"/>
  <c r="X62" i="2"/>
  <c r="P106" i="2"/>
  <c r="K99" i="2"/>
  <c r="W92" i="2"/>
  <c r="E66" i="2"/>
  <c r="L58" i="2"/>
  <c r="H89" i="2"/>
  <c r="H96" i="2"/>
  <c r="L104" i="2"/>
  <c r="Q107" i="2"/>
  <c r="M74" i="2"/>
  <c r="T93" i="2"/>
  <c r="V97" i="2"/>
  <c r="R99" i="2"/>
  <c r="N61" i="2"/>
  <c r="AB61" i="3"/>
  <c r="AP95" i="3"/>
  <c r="O39" i="3"/>
  <c r="P34" i="3"/>
  <c r="H14" i="3"/>
  <c r="AE14" i="3"/>
  <c r="W12" i="3"/>
  <c r="C32" i="3"/>
  <c r="N20" i="3"/>
  <c r="I41" i="3"/>
  <c r="G50" i="3"/>
  <c r="AO10" i="3"/>
  <c r="AO29" i="3"/>
  <c r="R37" i="3"/>
  <c r="AL12" i="3"/>
  <c r="I33" i="3"/>
  <c r="O32" i="3"/>
  <c r="AH27" i="3"/>
  <c r="AK38" i="3"/>
  <c r="AI13" i="3"/>
  <c r="AM27" i="3"/>
  <c r="X20" i="3"/>
  <c r="W32" i="3"/>
  <c r="U18" i="3"/>
  <c r="AG16" i="3"/>
  <c r="AN13" i="3"/>
  <c r="AD41" i="3"/>
  <c r="V28" i="3"/>
  <c r="AO22" i="3"/>
  <c r="E106" i="2"/>
  <c r="G108" i="2"/>
  <c r="R44" i="2"/>
  <c r="E52" i="2"/>
  <c r="V87" i="2"/>
  <c r="S104" i="2"/>
  <c r="D45" i="2"/>
  <c r="Q87" i="2"/>
  <c r="I109" i="2"/>
  <c r="R62" i="2"/>
  <c r="J75" i="2"/>
  <c r="N48" i="2"/>
  <c r="M86" i="2"/>
  <c r="X79" i="2"/>
  <c r="W81" i="2"/>
  <c r="O87" i="2"/>
  <c r="X72" i="2"/>
  <c r="R75" i="2"/>
  <c r="G53" i="2"/>
  <c r="C55" i="2"/>
  <c r="F90" i="2"/>
  <c r="W89" i="2"/>
  <c r="P108" i="2"/>
  <c r="Q64" i="2"/>
  <c r="N43" i="2"/>
  <c r="J105" i="2"/>
  <c r="V104" i="2"/>
  <c r="I42" i="2"/>
  <c r="M79" i="2"/>
  <c r="M90" i="2"/>
  <c r="H42" i="2"/>
  <c r="H68" i="2"/>
  <c r="P49" i="2"/>
  <c r="V68" i="2"/>
  <c r="S90" i="2"/>
  <c r="R65" i="2"/>
  <c r="K77" i="2"/>
  <c r="G62" i="2"/>
  <c r="S95" i="2"/>
  <c r="F97" i="2"/>
  <c r="AB65" i="3"/>
  <c r="AB72" i="3"/>
  <c r="AP79" i="3"/>
  <c r="AB56" i="3"/>
  <c r="AP60" i="3"/>
  <c r="AI6" i="3"/>
  <c r="C23" i="3"/>
  <c r="AQ39" i="3"/>
  <c r="AQ29" i="3"/>
  <c r="AN31" i="3"/>
  <c r="AI24" i="3"/>
  <c r="AE9" i="3"/>
  <c r="AD28" i="3"/>
  <c r="AM25" i="3"/>
  <c r="P30" i="3"/>
  <c r="Q31" i="3"/>
  <c r="AA30" i="3"/>
  <c r="T34" i="3"/>
  <c r="H24" i="3"/>
  <c r="M23" i="3"/>
  <c r="AA17" i="3"/>
  <c r="AD38" i="3"/>
  <c r="G35" i="3"/>
  <c r="AL9" i="3"/>
  <c r="C25" i="3"/>
  <c r="AO14" i="3"/>
  <c r="V29" i="3"/>
  <c r="AA6" i="3"/>
  <c r="T41" i="3"/>
  <c r="J8" i="3"/>
  <c r="Q38" i="3"/>
  <c r="AC8" i="3"/>
  <c r="L16" i="3"/>
  <c r="C33" i="3"/>
  <c r="AJ8" i="3"/>
  <c r="AH35" i="3"/>
  <c r="C8" i="3"/>
  <c r="AO25" i="3"/>
  <c r="R42" i="3"/>
  <c r="AA32" i="3"/>
  <c r="W11" i="3"/>
  <c r="O30" i="3"/>
  <c r="T11" i="3"/>
  <c r="AK7" i="3"/>
  <c r="N29" i="3"/>
  <c r="AN29" i="3"/>
  <c r="AA23" i="3"/>
  <c r="N28" i="3"/>
  <c r="AG34" i="3"/>
  <c r="U23" i="3"/>
  <c r="C6" i="3"/>
  <c r="AO9" i="3"/>
  <c r="AC26" i="3"/>
  <c r="L9" i="3"/>
  <c r="U14" i="3"/>
  <c r="AB36" i="3"/>
  <c r="W42" i="3"/>
  <c r="L17" i="3"/>
  <c r="L13" i="3"/>
  <c r="R27" i="3"/>
  <c r="AI37" i="3"/>
  <c r="AC12" i="3"/>
  <c r="AK40" i="3"/>
  <c r="X8" i="3"/>
  <c r="Y42" i="3"/>
  <c r="AC38" i="3"/>
  <c r="N37" i="3"/>
  <c r="AH30" i="3"/>
  <c r="AL35" i="3"/>
  <c r="U8" i="3"/>
  <c r="H39" i="3"/>
  <c r="I5" i="3"/>
  <c r="U16" i="3"/>
  <c r="AH6" i="3"/>
  <c r="AN30" i="3"/>
  <c r="W20" i="3"/>
  <c r="AL5" i="3"/>
  <c r="AC40" i="3"/>
  <c r="AH18" i="3"/>
  <c r="V37" i="3"/>
  <c r="V19" i="3"/>
  <c r="C11" i="3"/>
  <c r="J54" i="2"/>
  <c r="U66" i="2"/>
  <c r="S69" i="2"/>
  <c r="G43" i="2"/>
  <c r="T76" i="2"/>
  <c r="L84" i="2"/>
  <c r="X71" i="2"/>
  <c r="U80" i="2"/>
  <c r="E84" i="2"/>
  <c r="X106" i="2"/>
  <c r="N97" i="2"/>
  <c r="X73" i="2"/>
  <c r="R46" i="2"/>
  <c r="D90" i="2"/>
  <c r="F105" i="2"/>
  <c r="H113" i="2"/>
  <c r="J71" i="2"/>
  <c r="K76" i="2"/>
  <c r="I41" i="2"/>
  <c r="Q63" i="2"/>
  <c r="X50" i="2"/>
  <c r="D65" i="2"/>
  <c r="G92" i="2"/>
  <c r="G96" i="2"/>
  <c r="P79" i="2"/>
  <c r="M46" i="2"/>
  <c r="S86" i="2"/>
  <c r="D88" i="2"/>
  <c r="Q91" i="2"/>
  <c r="F71" i="2"/>
  <c r="J52" i="2"/>
  <c r="U92" i="2"/>
  <c r="R55" i="2"/>
  <c r="S73" i="2"/>
  <c r="F42" i="2"/>
  <c r="H70" i="2"/>
  <c r="R57" i="2"/>
  <c r="O106" i="2"/>
  <c r="O105" i="2"/>
  <c r="R66" i="2"/>
  <c r="P41" i="2"/>
  <c r="F72" i="2"/>
  <c r="D97" i="2"/>
  <c r="C47" i="2"/>
  <c r="X113" i="2"/>
  <c r="G57" i="2"/>
  <c r="L94" i="2"/>
  <c r="S84" i="2"/>
  <c r="D84" i="2"/>
  <c r="R98" i="2"/>
  <c r="I47" i="2"/>
  <c r="C99" i="2"/>
  <c r="W111" i="2"/>
  <c r="U83" i="2"/>
  <c r="U73" i="2"/>
  <c r="D96" i="2"/>
  <c r="X51" i="2"/>
  <c r="Q90" i="2"/>
  <c r="J68" i="2"/>
  <c r="W67" i="2"/>
  <c r="N111" i="2"/>
  <c r="K48" i="2"/>
  <c r="U77" i="2"/>
  <c r="R70" i="2"/>
  <c r="V56" i="2"/>
  <c r="L96" i="2"/>
  <c r="V66" i="2"/>
  <c r="X105" i="2"/>
  <c r="X107" i="2"/>
  <c r="D95" i="2"/>
  <c r="I87" i="2"/>
  <c r="U59" i="2"/>
  <c r="I111" i="2"/>
  <c r="O104" i="2"/>
  <c r="S83" i="2"/>
  <c r="X43" i="2"/>
  <c r="V46" i="2"/>
  <c r="M68" i="2"/>
  <c r="H58" i="2"/>
  <c r="I110" i="2"/>
  <c r="E97" i="2"/>
  <c r="P57" i="2"/>
  <c r="G94" i="2"/>
  <c r="K73" i="2"/>
  <c r="C61" i="2"/>
  <c r="G64" i="2"/>
  <c r="N63" i="2"/>
  <c r="Q51" i="2"/>
  <c r="L67" i="2"/>
  <c r="E78" i="2"/>
  <c r="W112" i="2"/>
  <c r="K111" i="2"/>
  <c r="L97" i="2"/>
  <c r="C87" i="2"/>
  <c r="AB73" i="3"/>
  <c r="AB47" i="3"/>
  <c r="AB50" i="3"/>
  <c r="AP82" i="3"/>
  <c r="AB86" i="3"/>
  <c r="AP69" i="3"/>
  <c r="P32" i="3"/>
  <c r="AJ38" i="3"/>
  <c r="R18" i="3"/>
  <c r="AP10" i="3"/>
  <c r="AN22" i="3"/>
  <c r="Y17" i="3"/>
  <c r="I28" i="3"/>
  <c r="S36" i="3"/>
  <c r="AI16" i="3"/>
  <c r="K40" i="3"/>
  <c r="L37" i="3"/>
  <c r="AE21" i="3"/>
  <c r="AL30" i="3"/>
  <c r="P25" i="3"/>
  <c r="AI21" i="3"/>
  <c r="I26" i="3"/>
  <c r="I39" i="3"/>
  <c r="AG28" i="3"/>
  <c r="AC29" i="3"/>
  <c r="AG7" i="3"/>
  <c r="P8" i="3"/>
  <c r="AM26" i="3"/>
  <c r="H40" i="3"/>
  <c r="I13" i="3"/>
  <c r="H21" i="3"/>
  <c r="V34" i="3"/>
  <c r="AL22" i="3"/>
  <c r="AK22" i="3"/>
  <c r="AM13" i="3"/>
  <c r="AP28" i="3"/>
  <c r="AC7" i="3"/>
  <c r="K42" i="3"/>
  <c r="O6" i="3"/>
  <c r="AL39" i="3"/>
  <c r="R14" i="3"/>
  <c r="V27" i="3"/>
  <c r="AB42" i="3"/>
  <c r="AQ21" i="3"/>
  <c r="AL15" i="3"/>
  <c r="E50" i="3"/>
  <c r="AQ37" i="3"/>
  <c r="AO23" i="3"/>
  <c r="S24" i="3"/>
  <c r="AI42" i="3"/>
  <c r="V11" i="3"/>
  <c r="AQ40" i="3"/>
  <c r="R10" i="3"/>
  <c r="P17" i="3"/>
  <c r="AQ30" i="3"/>
  <c r="AI20" i="3"/>
  <c r="AQ24" i="3"/>
  <c r="AE17" i="3"/>
  <c r="AL36" i="3"/>
  <c r="Z20" i="3"/>
  <c r="AP20" i="3"/>
  <c r="AM17" i="3"/>
  <c r="AM34" i="3"/>
  <c r="X9" i="3"/>
  <c r="Y26" i="3"/>
  <c r="S29" i="3"/>
  <c r="L12" i="3"/>
  <c r="C4" i="3"/>
  <c r="AQ35" i="3"/>
  <c r="AD34" i="3"/>
  <c r="K32" i="3"/>
  <c r="J35" i="3"/>
  <c r="N41" i="3"/>
  <c r="AL14" i="3"/>
  <c r="AB9" i="3"/>
  <c r="U21" i="3"/>
  <c r="K44" i="2"/>
  <c r="L57" i="2"/>
  <c r="T89" i="2"/>
  <c r="O88" i="2"/>
  <c r="L78" i="2"/>
  <c r="R24" i="3"/>
  <c r="T29" i="3"/>
  <c r="G66" i="2"/>
  <c r="K49" i="2"/>
  <c r="Q97" i="2"/>
  <c r="K45" i="2"/>
  <c r="W62" i="2"/>
  <c r="K95" i="2"/>
  <c r="I56" i="2"/>
  <c r="G110" i="2"/>
  <c r="V81" i="2"/>
  <c r="Q72" i="2"/>
  <c r="I88" i="2"/>
  <c r="V95" i="2"/>
  <c r="AB87" i="3"/>
  <c r="V16" i="3"/>
  <c r="V8" i="3"/>
  <c r="G42" i="3"/>
  <c r="Q33" i="3"/>
  <c r="Y34" i="3"/>
  <c r="S34" i="3"/>
  <c r="AG26" i="3"/>
  <c r="T16" i="3"/>
  <c r="Z31" i="3"/>
  <c r="D50" i="3"/>
  <c r="K6" i="3"/>
  <c r="AD21" i="3"/>
  <c r="M8" i="3"/>
  <c r="P15" i="3"/>
  <c r="Z21" i="3"/>
  <c r="W23" i="3"/>
  <c r="AD42" i="3"/>
  <c r="AB16" i="3"/>
  <c r="K26" i="3"/>
  <c r="W17" i="3"/>
  <c r="W30" i="3"/>
  <c r="H22" i="3"/>
  <c r="V55" i="2"/>
  <c r="U44" i="2"/>
  <c r="G71" i="2"/>
  <c r="P66" i="2"/>
  <c r="M110" i="2"/>
  <c r="J50" i="2"/>
  <c r="O54" i="2"/>
  <c r="J65" i="2"/>
  <c r="Q66" i="2"/>
  <c r="C72" i="2"/>
  <c r="J47" i="2"/>
  <c r="Q68" i="2"/>
  <c r="I107" i="2"/>
  <c r="E67" i="2"/>
  <c r="D76" i="2"/>
  <c r="L62" i="2"/>
  <c r="V94" i="2"/>
  <c r="J84" i="2"/>
  <c r="E83" i="2"/>
  <c r="J111" i="2"/>
  <c r="M95" i="2"/>
  <c r="L99" i="2"/>
  <c r="G87" i="2"/>
  <c r="P60" i="2"/>
  <c r="X97" i="2"/>
  <c r="P48" i="2"/>
  <c r="E48" i="2"/>
  <c r="H109" i="2"/>
  <c r="J81" i="2"/>
  <c r="M59" i="2"/>
  <c r="AP70" i="3"/>
  <c r="AP92" i="3"/>
  <c r="AP49" i="3"/>
  <c r="C37" i="3"/>
  <c r="AL20" i="3"/>
  <c r="AH21" i="3"/>
  <c r="AD35" i="3"/>
  <c r="X7" i="3"/>
  <c r="Y6" i="3"/>
  <c r="W29" i="3"/>
  <c r="AM12" i="3"/>
  <c r="AI5" i="3"/>
  <c r="W7" i="3"/>
  <c r="AG21" i="3"/>
  <c r="X5" i="3"/>
  <c r="AB26" i="3"/>
  <c r="AK20" i="3"/>
  <c r="W13" i="3"/>
  <c r="J23" i="3"/>
  <c r="AL25" i="3"/>
  <c r="AO35" i="3"/>
  <c r="AP27" i="3"/>
  <c r="AP32" i="3"/>
  <c r="G83" i="2"/>
  <c r="AB79" i="3"/>
  <c r="S7" i="3"/>
  <c r="R25" i="3"/>
  <c r="H28" i="3"/>
  <c r="W21" i="3"/>
  <c r="V41" i="3"/>
  <c r="M32" i="3"/>
  <c r="C19" i="3"/>
  <c r="AG10" i="3"/>
  <c r="Q5" i="3"/>
  <c r="P16" i="3"/>
  <c r="AQ41" i="3"/>
  <c r="Z26" i="3"/>
  <c r="Y23" i="3"/>
  <c r="AH25" i="3"/>
  <c r="AI25" i="3"/>
  <c r="G33" i="3"/>
  <c r="K12" i="3"/>
  <c r="AL23" i="3"/>
  <c r="AN36" i="3"/>
  <c r="AN15" i="3"/>
  <c r="AH12" i="3"/>
  <c r="V39" i="3"/>
  <c r="AO40" i="3"/>
  <c r="H51" i="2"/>
  <c r="X59" i="2"/>
  <c r="W91" i="2"/>
  <c r="K86" i="2"/>
  <c r="L65" i="2"/>
  <c r="W43" i="2"/>
  <c r="H65" i="2"/>
  <c r="R56" i="2"/>
  <c r="I62" i="2"/>
  <c r="M113" i="2"/>
  <c r="I61" i="2"/>
  <c r="H94" i="2"/>
  <c r="I53" i="2"/>
  <c r="E51" i="2"/>
  <c r="Q41" i="2"/>
  <c r="U60" i="2"/>
  <c r="H62" i="2"/>
  <c r="S75" i="2"/>
  <c r="K57" i="2"/>
  <c r="D40" i="2"/>
  <c r="X80" i="2"/>
  <c r="I58" i="2"/>
  <c r="N92" i="2"/>
  <c r="C48" i="3"/>
  <c r="AP89" i="3"/>
  <c r="AK31" i="3"/>
  <c r="I23" i="3"/>
  <c r="L11" i="3"/>
  <c r="V12" i="3"/>
  <c r="Z12" i="3"/>
  <c r="AA42" i="3"/>
  <c r="W24" i="3"/>
  <c r="AO34" i="3"/>
  <c r="V38" i="3"/>
  <c r="I35" i="3"/>
  <c r="AD48" i="3"/>
  <c r="V13" i="3"/>
  <c r="O10" i="3"/>
  <c r="AD36" i="3"/>
  <c r="N13" i="3"/>
  <c r="AM28" i="3"/>
  <c r="AM19" i="3"/>
  <c r="AP35" i="3"/>
  <c r="AN41" i="3"/>
  <c r="V40" i="3"/>
  <c r="Q10" i="3"/>
  <c r="AQ25" i="3"/>
  <c r="U32" i="3"/>
  <c r="P36" i="3"/>
  <c r="Z42" i="3"/>
  <c r="Q8" i="3"/>
  <c r="K20" i="3"/>
  <c r="P105" i="2"/>
  <c r="R90" i="2"/>
  <c r="F40" i="2"/>
  <c r="M87" i="2"/>
  <c r="G73" i="2"/>
  <c r="V65" i="2"/>
  <c r="F41" i="2"/>
  <c r="R79" i="2"/>
  <c r="X40" i="2"/>
  <c r="C49" i="2"/>
  <c r="F87" i="2"/>
  <c r="N59" i="2"/>
  <c r="W83" i="2"/>
  <c r="E58" i="2"/>
  <c r="D44" i="2"/>
  <c r="L69" i="2"/>
  <c r="U47" i="2"/>
  <c r="Q48" i="2"/>
  <c r="M89" i="2"/>
  <c r="S49" i="2"/>
  <c r="L76" i="2"/>
  <c r="N52" i="2"/>
  <c r="D87" i="2"/>
  <c r="L49" i="2"/>
  <c r="D71" i="2"/>
  <c r="T83" i="2"/>
  <c r="W58" i="2"/>
  <c r="L80" i="2"/>
  <c r="N113" i="2"/>
  <c r="N109" i="2"/>
  <c r="O79" i="2"/>
  <c r="M51" i="2"/>
  <c r="C110" i="2"/>
  <c r="O91" i="2"/>
  <c r="D68" i="2"/>
  <c r="S58" i="2"/>
  <c r="U85" i="2"/>
  <c r="O50" i="2"/>
  <c r="N57" i="2"/>
  <c r="M47" i="2"/>
  <c r="AB58" i="3"/>
  <c r="AP90" i="3"/>
  <c r="AP47" i="3"/>
  <c r="C49" i="3"/>
  <c r="AB84" i="3"/>
  <c r="J36" i="3"/>
  <c r="AJ17" i="3"/>
  <c r="X30" i="3"/>
  <c r="X31" i="3"/>
  <c r="L25" i="3"/>
  <c r="AJ25" i="3"/>
  <c r="Q27" i="3"/>
  <c r="R35" i="3"/>
  <c r="K29" i="3"/>
  <c r="AQ18" i="3"/>
  <c r="AJ24" i="3"/>
  <c r="AH15" i="3"/>
  <c r="U24" i="3"/>
  <c r="AP23" i="3"/>
  <c r="M36" i="3"/>
  <c r="M39" i="3"/>
  <c r="AE7" i="3"/>
  <c r="AC37" i="3"/>
  <c r="AP8" i="3"/>
  <c r="M25" i="3"/>
  <c r="P20" i="3"/>
  <c r="AH11" i="3"/>
  <c r="S9" i="3"/>
  <c r="AQ32" i="3"/>
  <c r="AM9" i="3"/>
  <c r="AP9" i="3"/>
  <c r="Z24" i="3"/>
  <c r="H42" i="3"/>
  <c r="J15" i="3"/>
  <c r="AP15" i="3"/>
  <c r="AJ36" i="3"/>
  <c r="AN14" i="3"/>
  <c r="AO31" i="3"/>
  <c r="AM24" i="3"/>
  <c r="M6" i="3"/>
  <c r="AA5" i="3"/>
  <c r="AQ22" i="3"/>
  <c r="AL34" i="3"/>
  <c r="W27" i="3"/>
  <c r="N30" i="3"/>
  <c r="AI27" i="3"/>
  <c r="AO38" i="3"/>
  <c r="AL7" i="3"/>
  <c r="AK39" i="3"/>
  <c r="AJ12" i="3"/>
  <c r="K10" i="3"/>
  <c r="R39" i="3"/>
  <c r="AM23" i="3"/>
  <c r="U9" i="3"/>
  <c r="J9" i="3"/>
  <c r="AK35" i="3"/>
  <c r="Q30" i="3"/>
  <c r="Q6" i="3"/>
  <c r="J6" i="3"/>
  <c r="P37" i="3"/>
  <c r="N6" i="3"/>
  <c r="Z18" i="3"/>
  <c r="M42" i="3"/>
  <c r="AL32" i="3"/>
  <c r="Y15" i="3"/>
  <c r="D48" i="3"/>
  <c r="Y27" i="3"/>
  <c r="AA15" i="3"/>
  <c r="M16" i="3"/>
  <c r="R7" i="3"/>
  <c r="AG25" i="3"/>
  <c r="T6" i="3"/>
  <c r="N22" i="3"/>
  <c r="X42" i="3"/>
  <c r="AM10" i="3"/>
  <c r="AP29" i="3"/>
  <c r="O31" i="3"/>
  <c r="AM36" i="3"/>
  <c r="R16" i="3"/>
  <c r="U17" i="3"/>
  <c r="AQ17" i="3"/>
  <c r="T111" i="2"/>
  <c r="O113" i="2"/>
  <c r="T45" i="2"/>
  <c r="L54" i="2"/>
  <c r="P83" i="2"/>
  <c r="I108" i="2"/>
  <c r="U54" i="2"/>
  <c r="U99" i="2"/>
  <c r="R109" i="2"/>
  <c r="V85" i="2"/>
  <c r="G109" i="2"/>
  <c r="T88" i="2"/>
  <c r="D89" i="2"/>
  <c r="C41" i="2"/>
  <c r="V107" i="2"/>
  <c r="R53" i="2"/>
  <c r="H110" i="2"/>
  <c r="O41" i="2"/>
  <c r="L90" i="2"/>
  <c r="I85" i="2"/>
  <c r="R95" i="2"/>
  <c r="N65" i="2"/>
  <c r="C67" i="2"/>
  <c r="H112" i="2"/>
  <c r="I91" i="2"/>
  <c r="K108" i="2"/>
  <c r="W73" i="2"/>
  <c r="G44" i="2"/>
  <c r="P42" i="2"/>
  <c r="J80" i="2"/>
  <c r="T53" i="2"/>
  <c r="U53" i="2"/>
  <c r="K82" i="2"/>
  <c r="E43" i="2"/>
  <c r="W88" i="2"/>
  <c r="P87" i="2"/>
  <c r="H86" i="2"/>
  <c r="S79" i="2"/>
  <c r="M99" i="2"/>
  <c r="S46" i="2"/>
  <c r="J94" i="2"/>
  <c r="H41" i="2"/>
  <c r="P81" i="2"/>
  <c r="F49" i="2"/>
  <c r="U78" i="2"/>
  <c r="U45" i="2"/>
  <c r="P62" i="2"/>
  <c r="E99" i="2"/>
  <c r="W49" i="2"/>
  <c r="X96" i="2"/>
  <c r="E89" i="2"/>
  <c r="T79" i="2"/>
  <c r="D86" i="2"/>
  <c r="M94" i="2"/>
  <c r="C57" i="2"/>
  <c r="S97" i="2"/>
  <c r="Q94" i="2"/>
  <c r="L53" i="2"/>
  <c r="X42" i="2"/>
  <c r="Q79" i="2"/>
  <c r="N74" i="2"/>
  <c r="O110" i="2"/>
  <c r="T41" i="2"/>
  <c r="C105" i="2"/>
  <c r="W41" i="2"/>
  <c r="I43" i="2"/>
  <c r="G59" i="2"/>
  <c r="M43" i="2"/>
  <c r="X56" i="2"/>
  <c r="P53" i="2"/>
  <c r="F79" i="2"/>
  <c r="Q61" i="2"/>
  <c r="W82" i="2"/>
  <c r="T71" i="2"/>
  <c r="N79" i="2"/>
  <c r="G54" i="2"/>
  <c r="J77" i="2"/>
  <c r="X53" i="2"/>
  <c r="O52" i="2"/>
  <c r="K46" i="2"/>
  <c r="R107" i="2"/>
  <c r="D56" i="2"/>
  <c r="X104" i="2"/>
  <c r="I75" i="2"/>
  <c r="J60" i="2"/>
  <c r="T58" i="2"/>
  <c r="G70" i="2"/>
  <c r="Q73" i="2"/>
  <c r="X112" i="2"/>
  <c r="P92" i="2"/>
  <c r="W96" i="2"/>
  <c r="S64" i="2"/>
  <c r="U40" i="2"/>
  <c r="S98" i="2"/>
  <c r="AB83" i="3"/>
  <c r="AB59" i="3"/>
  <c r="AP83" i="3"/>
  <c r="AP63" i="3"/>
  <c r="AB54" i="3"/>
  <c r="AB70" i="3"/>
  <c r="AB95" i="3"/>
  <c r="AG39" i="3"/>
  <c r="L32" i="3"/>
  <c r="G36" i="3"/>
  <c r="M10" i="3"/>
  <c r="AE10" i="3"/>
  <c r="R36" i="3"/>
  <c r="AE31" i="3"/>
  <c r="AE32" i="3"/>
  <c r="I19" i="3"/>
  <c r="AA9" i="3"/>
  <c r="AN9" i="3"/>
  <c r="J37" i="3"/>
  <c r="X34" i="3"/>
  <c r="AD20" i="3"/>
  <c r="Z11" i="3"/>
  <c r="AI15" i="3"/>
  <c r="AB38" i="3"/>
  <c r="AH24" i="3"/>
  <c r="Z35" i="3"/>
  <c r="AB37" i="3"/>
  <c r="AK29" i="3"/>
  <c r="H19" i="3"/>
  <c r="L31" i="3"/>
  <c r="R40" i="3"/>
  <c r="K23" i="3"/>
  <c r="C17" i="3"/>
  <c r="S40" i="3"/>
  <c r="J27" i="3"/>
  <c r="R17" i="3"/>
  <c r="W6" i="3"/>
  <c r="V25" i="3"/>
  <c r="AC25" i="3"/>
  <c r="Y16" i="3"/>
  <c r="AE8" i="3"/>
  <c r="AG32" i="3"/>
  <c r="S38" i="3"/>
  <c r="AC9" i="3"/>
  <c r="AK36" i="3"/>
  <c r="X25" i="3"/>
  <c r="Y24" i="3"/>
  <c r="X13" i="3"/>
  <c r="X26" i="3"/>
  <c r="H7" i="3"/>
  <c r="R38" i="3"/>
  <c r="AL21" i="3"/>
  <c r="N42" i="3"/>
  <c r="P40" i="3"/>
  <c r="AE30" i="3"/>
  <c r="AA33" i="3"/>
  <c r="J32" i="3"/>
  <c r="Y20" i="3"/>
  <c r="S39" i="3"/>
  <c r="AD25" i="3"/>
  <c r="Q14" i="3"/>
  <c r="AI22" i="3"/>
  <c r="AG31" i="3"/>
  <c r="AQ27" i="3"/>
  <c r="AJ26" i="3"/>
  <c r="Y14" i="3"/>
  <c r="AJ35" i="3"/>
  <c r="U5" i="3"/>
  <c r="U63" i="3" s="1"/>
  <c r="P28" i="3"/>
  <c r="AB8" i="3"/>
  <c r="R11" i="3"/>
  <c r="W39" i="3"/>
  <c r="W14" i="3"/>
  <c r="S13" i="3"/>
  <c r="AH16" i="3"/>
  <c r="N14" i="3"/>
  <c r="H13" i="3"/>
  <c r="U11" i="3"/>
  <c r="AN12" i="3"/>
  <c r="AG15" i="3"/>
  <c r="AN35" i="3"/>
  <c r="O15" i="3"/>
  <c r="AM5" i="3"/>
  <c r="Q23" i="3"/>
  <c r="L30" i="3"/>
  <c r="AK9" i="3"/>
  <c r="S27" i="3"/>
  <c r="U28" i="3"/>
  <c r="AP11" i="3"/>
  <c r="AP31" i="3"/>
  <c r="H18" i="3"/>
  <c r="L36" i="3"/>
  <c r="X29" i="3"/>
  <c r="AE41" i="3"/>
  <c r="Y32" i="3"/>
  <c r="AC31" i="3"/>
  <c r="M27" i="3"/>
  <c r="R21" i="3"/>
  <c r="Y8" i="3"/>
  <c r="AA7" i="3"/>
  <c r="O36" i="3"/>
  <c r="H8" i="3"/>
  <c r="AH20" i="3"/>
  <c r="AB49" i="3"/>
  <c r="AK37" i="3"/>
  <c r="X14" i="3"/>
  <c r="AD32" i="3"/>
  <c r="O9" i="3"/>
  <c r="AI32" i="3"/>
  <c r="H10" i="3"/>
  <c r="AD26" i="3"/>
  <c r="AI8" i="3"/>
  <c r="O40" i="3"/>
  <c r="AO36" i="3"/>
  <c r="C18" i="3"/>
  <c r="K91" i="2"/>
  <c r="R86" i="2"/>
  <c r="S85" i="2"/>
  <c r="F94" i="2"/>
  <c r="O85" i="2"/>
  <c r="C109" i="2"/>
  <c r="N83" i="2"/>
  <c r="I55" i="2"/>
  <c r="C66" i="2"/>
  <c r="AB71" i="3"/>
  <c r="Z15" i="3"/>
  <c r="AE39" i="3"/>
  <c r="AH14" i="3"/>
  <c r="T22" i="3"/>
  <c r="T10" i="3"/>
  <c r="P19" i="3"/>
  <c r="V30" i="3"/>
  <c r="T9" i="3"/>
  <c r="AI29" i="3"/>
  <c r="M76" i="2"/>
  <c r="E104" i="2"/>
  <c r="P98" i="2"/>
  <c r="X110" i="2"/>
  <c r="S107" i="2"/>
  <c r="R80" i="2"/>
  <c r="G104" i="2"/>
  <c r="E91" i="2"/>
  <c r="F56" i="2"/>
  <c r="T109" i="2"/>
  <c r="M67" i="2"/>
  <c r="Q47" i="2"/>
  <c r="AB55" i="3"/>
  <c r="AP25" i="3"/>
  <c r="AP41" i="3"/>
  <c r="N34" i="3"/>
  <c r="AH42" i="3"/>
  <c r="AL31" i="3"/>
  <c r="X16" i="3"/>
  <c r="M9" i="3"/>
  <c r="N35" i="3"/>
  <c r="AL10" i="3"/>
  <c r="AE18" i="3"/>
  <c r="AI31" i="3"/>
  <c r="C24" i="3"/>
  <c r="I40" i="3"/>
  <c r="AP17" i="3"/>
  <c r="Y7" i="3"/>
  <c r="C39" i="3"/>
  <c r="AP39" i="3"/>
  <c r="AM7" i="3"/>
  <c r="T7" i="3"/>
  <c r="AG20" i="3"/>
  <c r="O14" i="3"/>
  <c r="N17" i="3"/>
  <c r="AQ16" i="3"/>
  <c r="AD29" i="3"/>
  <c r="X6" i="3"/>
  <c r="AE26" i="3"/>
  <c r="AI26" i="3"/>
  <c r="W48" i="2"/>
  <c r="C92" i="2"/>
  <c r="T92" i="2"/>
  <c r="O73" i="2"/>
  <c r="S57" i="2"/>
  <c r="O107" i="2"/>
  <c r="J93" i="2"/>
  <c r="V72" i="2"/>
  <c r="S60" i="2"/>
  <c r="G97" i="2"/>
  <c r="I92" i="2"/>
  <c r="U71" i="2"/>
  <c r="F106" i="2"/>
  <c r="R87" i="2"/>
  <c r="M44" i="2"/>
  <c r="O90" i="2"/>
  <c r="Q82" i="2"/>
  <c r="F86" i="2"/>
  <c r="S48" i="2"/>
  <c r="J89" i="2"/>
  <c r="K84" i="2"/>
  <c r="T47" i="2"/>
  <c r="D55" i="2"/>
  <c r="K68" i="2"/>
  <c r="F64" i="2"/>
  <c r="D104" i="2"/>
  <c r="X87" i="2"/>
  <c r="W86" i="2"/>
  <c r="G42" i="2"/>
  <c r="L29" i="3"/>
  <c r="AH36" i="3"/>
  <c r="AA31" i="3"/>
  <c r="L20" i="3"/>
  <c r="M26" i="3"/>
  <c r="C15" i="3"/>
  <c r="R28" i="3"/>
  <c r="AG30" i="3"/>
  <c r="L38" i="3"/>
  <c r="K24" i="3"/>
  <c r="AQ42" i="3"/>
  <c r="T21" i="3"/>
  <c r="AA11" i="3"/>
  <c r="R23" i="3"/>
  <c r="AE36" i="3"/>
  <c r="Z32" i="3"/>
  <c r="C31" i="3"/>
  <c r="AP24" i="3"/>
  <c r="AM6" i="3"/>
  <c r="L83" i="2"/>
  <c r="AP81" i="3"/>
  <c r="L19" i="3"/>
  <c r="AL27" i="3"/>
  <c r="C38" i="3"/>
  <c r="W40" i="3"/>
  <c r="R15" i="3"/>
  <c r="AK27" i="3"/>
  <c r="H36" i="3"/>
  <c r="Z9" i="3"/>
  <c r="P35" i="3"/>
  <c r="H32" i="3"/>
  <c r="AB33" i="3"/>
  <c r="AA10" i="3"/>
  <c r="M12" i="3"/>
  <c r="O25" i="3"/>
  <c r="AH19" i="3"/>
  <c r="AM31" i="3"/>
  <c r="AN18" i="3"/>
  <c r="AG24" i="3"/>
  <c r="G47" i="3"/>
  <c r="K22" i="3"/>
  <c r="L10" i="3"/>
  <c r="L35" i="3"/>
  <c r="K113" i="2"/>
  <c r="U104" i="2"/>
  <c r="F73" i="2"/>
  <c r="G46" i="2"/>
  <c r="P68" i="2"/>
  <c r="O89" i="2"/>
  <c r="H82" i="2"/>
  <c r="K74" i="2"/>
  <c r="W84" i="2"/>
  <c r="Q77" i="2"/>
  <c r="C42" i="2"/>
  <c r="L71" i="2"/>
  <c r="V90" i="2"/>
  <c r="V62" i="2"/>
  <c r="N73" i="2"/>
  <c r="J74" i="2"/>
  <c r="O44" i="2"/>
  <c r="P89" i="2"/>
  <c r="X61" i="2"/>
  <c r="S59" i="2"/>
  <c r="G85" i="2"/>
  <c r="T49" i="2"/>
  <c r="V45" i="2"/>
  <c r="D42" i="2"/>
  <c r="AB90" i="3"/>
  <c r="H20" i="3"/>
  <c r="I38" i="3"/>
  <c r="O28" i="3"/>
  <c r="AM22" i="3"/>
  <c r="N5" i="3"/>
  <c r="N47" i="3" s="1"/>
  <c r="AC42" i="3"/>
  <c r="AP16" i="3"/>
  <c r="AK11" i="3"/>
  <c r="C42" i="3"/>
  <c r="AI19" i="3"/>
  <c r="AB13" i="3"/>
  <c r="O27" i="3"/>
  <c r="S19" i="3"/>
  <c r="H23" i="3"/>
  <c r="AI35" i="3"/>
  <c r="N38" i="3"/>
  <c r="L40" i="3"/>
  <c r="T42" i="3"/>
  <c r="S25" i="3"/>
  <c r="AJ21" i="3"/>
  <c r="AQ28" i="3"/>
  <c r="K16" i="3"/>
  <c r="J30" i="3"/>
  <c r="AQ34" i="3"/>
  <c r="Q39" i="3"/>
  <c r="K17" i="3"/>
  <c r="AE27" i="3"/>
  <c r="U52" i="2"/>
  <c r="O48" i="2"/>
  <c r="O84" i="2"/>
  <c r="L107" i="2"/>
  <c r="W63" i="2"/>
  <c r="F99" i="2"/>
  <c r="X57" i="2"/>
  <c r="L68" i="2"/>
  <c r="X108" i="2"/>
  <c r="R110" i="2"/>
  <c r="I70" i="2"/>
  <c r="W75" i="2"/>
  <c r="G84" i="2"/>
  <c r="K47" i="2"/>
  <c r="C89" i="2"/>
  <c r="W95" i="2"/>
  <c r="J110" i="2"/>
  <c r="P99" i="2"/>
  <c r="V105" i="2"/>
  <c r="I63" i="2"/>
  <c r="K72" i="2"/>
  <c r="O96" i="2"/>
  <c r="X88" i="2"/>
  <c r="O63" i="2"/>
  <c r="C106" i="2"/>
  <c r="F91" i="2"/>
  <c r="J87" i="2"/>
  <c r="J44" i="2"/>
  <c r="J85" i="2"/>
  <c r="C93" i="2"/>
  <c r="R71" i="2"/>
  <c r="V109" i="2"/>
  <c r="J49" i="2"/>
  <c r="V77" i="2"/>
  <c r="H57" i="2"/>
  <c r="H90" i="2"/>
  <c r="T105" i="2"/>
  <c r="D113" i="2"/>
  <c r="X109" i="2"/>
  <c r="I73" i="2"/>
  <c r="U51" i="2"/>
  <c r="AB57" i="3"/>
  <c r="AP78" i="3"/>
  <c r="AB62" i="3"/>
  <c r="AP72" i="3"/>
  <c r="C21" i="3"/>
  <c r="M35" i="3"/>
  <c r="AM16" i="3"/>
  <c r="AO39" i="3"/>
  <c r="U30" i="3"/>
  <c r="AD24" i="3"/>
  <c r="G41" i="3"/>
  <c r="M29" i="3"/>
  <c r="N40" i="3"/>
  <c r="I16" i="3"/>
  <c r="Y13" i="3"/>
  <c r="AM11" i="3"/>
  <c r="AP30" i="3"/>
  <c r="AC22" i="3"/>
  <c r="AK17" i="3"/>
  <c r="AM40" i="3"/>
  <c r="AJ30" i="3"/>
  <c r="J25" i="3"/>
  <c r="M20" i="3"/>
  <c r="AH37" i="3"/>
  <c r="O8" i="3"/>
  <c r="AK24" i="3"/>
  <c r="J18" i="3"/>
  <c r="N21" i="3"/>
  <c r="R6" i="3"/>
  <c r="AB10" i="3"/>
  <c r="AC19" i="3"/>
  <c r="AI34" i="3"/>
  <c r="AB12" i="3"/>
  <c r="AC33" i="3"/>
  <c r="N32" i="3"/>
  <c r="U22" i="3"/>
  <c r="K21" i="3"/>
  <c r="AC17" i="3"/>
  <c r="O7" i="3"/>
  <c r="U33" i="3"/>
  <c r="AN19" i="3"/>
  <c r="I14" i="3"/>
  <c r="U6" i="3"/>
  <c r="I18" i="3"/>
  <c r="AP18" i="3"/>
  <c r="W41" i="3"/>
  <c r="X22" i="3"/>
  <c r="AI36" i="3"/>
  <c r="AE28" i="3"/>
  <c r="AD40" i="3"/>
  <c r="P11" i="3"/>
  <c r="G49" i="3"/>
  <c r="U25" i="3"/>
  <c r="AB35" i="3"/>
  <c r="AJ18" i="3"/>
  <c r="AO12" i="3"/>
  <c r="V6" i="3"/>
  <c r="AH26" i="3"/>
  <c r="AQ26" i="3"/>
  <c r="AK42" i="3"/>
  <c r="N7" i="3"/>
  <c r="AD27" i="3"/>
  <c r="AA29" i="3"/>
  <c r="AC30" i="3"/>
  <c r="P26" i="3"/>
  <c r="AQ10" i="3"/>
  <c r="L34" i="3"/>
  <c r="AM38" i="3"/>
  <c r="AE40" i="3"/>
  <c r="Q32" i="3"/>
  <c r="AE12" i="3"/>
  <c r="U20" i="3"/>
  <c r="H33" i="3"/>
  <c r="AA27" i="3"/>
  <c r="AA20" i="3"/>
  <c r="C10" i="3"/>
  <c r="V17" i="3"/>
  <c r="T15" i="3"/>
  <c r="J22" i="3"/>
  <c r="X23" i="3"/>
  <c r="AH8" i="3"/>
  <c r="E82" i="2"/>
  <c r="U57" i="2"/>
  <c r="F55" i="2"/>
  <c r="S80" i="2"/>
  <c r="M48" i="2"/>
  <c r="M88" i="2"/>
  <c r="P76" i="2"/>
  <c r="M93" i="2"/>
  <c r="D93" i="2"/>
  <c r="Q85" i="2"/>
  <c r="L95" i="2"/>
  <c r="G90" i="2"/>
  <c r="N45" i="2"/>
  <c r="T84" i="2"/>
  <c r="Q108" i="2"/>
  <c r="V49" i="2"/>
  <c r="N84" i="2"/>
  <c r="J41" i="2"/>
  <c r="T97" i="2"/>
  <c r="V74" i="2"/>
  <c r="P109" i="2"/>
  <c r="C46" i="2"/>
  <c r="D50" i="2"/>
  <c r="H74" i="2"/>
  <c r="M92" i="2"/>
  <c r="I83" i="2"/>
  <c r="O40" i="2"/>
  <c r="R48" i="2"/>
  <c r="I76" i="2"/>
  <c r="C84" i="2"/>
  <c r="S43" i="2"/>
  <c r="C71" i="2"/>
  <c r="O57" i="2"/>
  <c r="S53" i="2"/>
  <c r="J57" i="2"/>
  <c r="Q99" i="2"/>
  <c r="P70" i="2"/>
  <c r="H95" i="2"/>
  <c r="D81" i="2"/>
  <c r="L41" i="2"/>
  <c r="S108" i="2"/>
  <c r="N82" i="2"/>
  <c r="T94" i="2"/>
  <c r="F109" i="2"/>
  <c r="X47" i="2"/>
  <c r="K105" i="2"/>
  <c r="U55" i="2"/>
  <c r="T46" i="2"/>
  <c r="W42" i="2"/>
  <c r="F68" i="2"/>
  <c r="M60" i="2"/>
  <c r="W54" i="2"/>
  <c r="K67" i="2"/>
  <c r="F60" i="2"/>
  <c r="I86" i="2"/>
  <c r="H79" i="2"/>
  <c r="G93" i="2"/>
  <c r="H56" i="2"/>
  <c r="X89" i="2"/>
  <c r="R93" i="2"/>
  <c r="L79" i="2"/>
  <c r="U90" i="2"/>
  <c r="O51" i="2"/>
  <c r="J42" i="2"/>
  <c r="F43" i="2"/>
  <c r="J113" i="2"/>
  <c r="E93" i="2"/>
  <c r="O65" i="2"/>
  <c r="N86" i="2"/>
  <c r="M84" i="2"/>
  <c r="E56" i="2"/>
  <c r="L66" i="2"/>
  <c r="T56" i="2"/>
  <c r="C90" i="2"/>
  <c r="V70" i="2"/>
  <c r="E80" i="2"/>
  <c r="X111" i="2"/>
  <c r="C40" i="2"/>
  <c r="Q86" i="2"/>
  <c r="S56" i="2"/>
  <c r="Q50" i="2"/>
  <c r="I69" i="2"/>
  <c r="F45" i="2"/>
  <c r="F59" i="2"/>
  <c r="G86" i="2"/>
  <c r="E87" i="2"/>
  <c r="P56" i="2"/>
  <c r="P77" i="2"/>
  <c r="N55" i="2"/>
  <c r="F81" i="2"/>
  <c r="P45" i="2"/>
  <c r="U64" i="2"/>
  <c r="M42" i="2"/>
  <c r="F93" i="2"/>
  <c r="AB68" i="3"/>
  <c r="AB78" i="3"/>
  <c r="AP55" i="3"/>
  <c r="AP58" i="3"/>
  <c r="AP54" i="3"/>
  <c r="AB64" i="3"/>
  <c r="C28" i="3"/>
  <c r="T8" i="3"/>
  <c r="AH23" i="3"/>
  <c r="T17" i="3"/>
  <c r="T24" i="3"/>
  <c r="E49" i="3"/>
  <c r="Q36" i="3"/>
  <c r="X12" i="3"/>
  <c r="I37" i="3"/>
  <c r="I9" i="3"/>
  <c r="M11" i="3"/>
  <c r="M15" i="3"/>
  <c r="AM41" i="3"/>
  <c r="AB23" i="3"/>
  <c r="AP34" i="3"/>
  <c r="O41" i="3"/>
  <c r="R30" i="3"/>
  <c r="S17" i="3"/>
  <c r="AE42" i="3"/>
  <c r="C34" i="3"/>
  <c r="AH40" i="3"/>
  <c r="AK34" i="3"/>
  <c r="I21" i="3"/>
  <c r="V7" i="3"/>
  <c r="Y37" i="3"/>
  <c r="Q40" i="3"/>
  <c r="AL38" i="3"/>
  <c r="M37" i="3"/>
  <c r="I10" i="3"/>
  <c r="X32" i="3"/>
  <c r="X40" i="3"/>
  <c r="R41" i="3"/>
  <c r="J40" i="3"/>
  <c r="Z41" i="3"/>
  <c r="Q37" i="3"/>
  <c r="Z5" i="3"/>
  <c r="Z80" i="3" s="1"/>
  <c r="AB88" i="3"/>
  <c r="N19" i="3"/>
  <c r="P13" i="3"/>
  <c r="Y28" i="3"/>
  <c r="O11" i="3"/>
  <c r="AH41" i="3"/>
  <c r="AB25" i="3"/>
  <c r="Q12" i="3"/>
  <c r="R22" i="3"/>
  <c r="AN26" i="3"/>
  <c r="V20" i="3"/>
  <c r="G65" i="2"/>
  <c r="S67" i="2"/>
  <c r="O75" i="2"/>
  <c r="K90" i="2"/>
  <c r="V80" i="2"/>
  <c r="L110" i="2"/>
  <c r="L45" i="2"/>
  <c r="E54" i="2"/>
  <c r="W76" i="2"/>
  <c r="X54" i="2"/>
  <c r="H17" i="3"/>
  <c r="S35" i="3"/>
  <c r="Q29" i="3"/>
  <c r="AQ23" i="3"/>
  <c r="Q9" i="3"/>
  <c r="AB27" i="3"/>
  <c r="AN10" i="3"/>
  <c r="H30" i="3"/>
  <c r="AM15" i="3"/>
  <c r="K9" i="3"/>
  <c r="AL11" i="3"/>
  <c r="AC15" i="3"/>
  <c r="H26" i="3"/>
  <c r="K33" i="3"/>
  <c r="AJ7" i="3"/>
  <c r="AK16" i="3"/>
  <c r="J92" i="2"/>
  <c r="M65" i="2"/>
  <c r="X75" i="2"/>
  <c r="T51" i="2"/>
  <c r="H84" i="2"/>
  <c r="P112" i="2"/>
  <c r="T85" i="2"/>
  <c r="T104" i="2"/>
  <c r="V54" i="2"/>
  <c r="Q105" i="2"/>
  <c r="E98" i="2"/>
  <c r="M81" i="2"/>
  <c r="R96" i="2"/>
  <c r="C97" i="2"/>
  <c r="V44" i="2"/>
  <c r="K58" i="2"/>
  <c r="T63" i="2"/>
  <c r="AB94" i="3"/>
  <c r="AB66" i="3"/>
  <c r="W5" i="3"/>
  <c r="AD50" i="3"/>
  <c r="AK21" i="3"/>
  <c r="AH17" i="3"/>
  <c r="AG37" i="3"/>
  <c r="AH22" i="3"/>
  <c r="L5" i="3"/>
  <c r="AE11" i="3"/>
  <c r="P27" i="3"/>
  <c r="AE19" i="3"/>
  <c r="AL16" i="3"/>
  <c r="AJ20" i="3"/>
  <c r="AI23" i="3"/>
  <c r="AG6" i="3"/>
  <c r="AH29" i="3"/>
  <c r="S41" i="3"/>
  <c r="M38" i="3"/>
  <c r="AN5" i="3"/>
  <c r="H15" i="3"/>
  <c r="AO28" i="3"/>
  <c r="Z13" i="3"/>
  <c r="AN42" i="3"/>
  <c r="AJ42" i="3"/>
  <c r="I31" i="3"/>
  <c r="M21" i="3"/>
  <c r="C26" i="3"/>
  <c r="S22" i="3"/>
  <c r="AJ9" i="3"/>
  <c r="V42" i="2"/>
  <c r="P88" i="2"/>
  <c r="E46" i="2"/>
  <c r="U74" i="2"/>
  <c r="N88" i="2"/>
  <c r="F108" i="2"/>
  <c r="J46" i="2"/>
  <c r="L88" i="2"/>
  <c r="M97" i="2"/>
  <c r="O82" i="2"/>
  <c r="L48" i="2"/>
  <c r="I77" i="2"/>
  <c r="T66" i="2"/>
  <c r="P72" i="2"/>
  <c r="V92" i="2"/>
  <c r="R63" i="2"/>
  <c r="S105" i="2"/>
  <c r="C43" i="2"/>
  <c r="W66" i="2"/>
  <c r="R112" i="2"/>
  <c r="S88" i="2"/>
  <c r="N108" i="2"/>
  <c r="J70" i="2"/>
  <c r="G105" i="2"/>
  <c r="J69" i="2"/>
  <c r="D58" i="2"/>
  <c r="W110" i="2"/>
  <c r="E113" i="2"/>
  <c r="O67" i="2"/>
  <c r="W104" i="2"/>
  <c r="R59" i="2"/>
  <c r="N70" i="2"/>
  <c r="X81" i="2"/>
  <c r="F82" i="2"/>
  <c r="N47" i="2"/>
  <c r="AB48" i="3"/>
  <c r="C47" i="3"/>
  <c r="AP76" i="3"/>
  <c r="R29" i="3"/>
  <c r="AQ13" i="3"/>
  <c r="AL41" i="3"/>
  <c r="AH33" i="3"/>
  <c r="W37" i="3"/>
  <c r="I36" i="3"/>
  <c r="AG17" i="3"/>
  <c r="O5" i="3"/>
  <c r="AO21" i="3"/>
  <c r="W15" i="3"/>
  <c r="AJ16" i="3"/>
  <c r="AG27" i="3"/>
  <c r="Q26" i="3"/>
  <c r="AN23" i="3"/>
  <c r="AB30" i="3"/>
  <c r="X38" i="3"/>
  <c r="AG8" i="3"/>
  <c r="C40" i="3"/>
  <c r="T14" i="3"/>
  <c r="AM30" i="3"/>
  <c r="AE20" i="3"/>
  <c r="P23" i="3"/>
  <c r="AD33" i="3"/>
  <c r="T19" i="3"/>
  <c r="C14" i="3"/>
  <c r="AB14" i="3"/>
  <c r="R31" i="3"/>
  <c r="L24" i="3"/>
  <c r="AK77" i="3"/>
  <c r="H64" i="3"/>
  <c r="P59" i="3"/>
  <c r="H62" i="3"/>
  <c r="AE72" i="3"/>
  <c r="T49" i="3"/>
  <c r="Q96" i="3"/>
  <c r="K79" i="3"/>
  <c r="X59" i="3"/>
  <c r="K63" i="3"/>
  <c r="AQ87" i="3"/>
  <c r="AG58" i="3"/>
  <c r="V96" i="3"/>
  <c r="P68" i="3"/>
  <c r="Q72" i="3"/>
  <c r="W50" i="3"/>
  <c r="AG92" i="3"/>
  <c r="S80" i="3"/>
  <c r="AQ97" i="3"/>
  <c r="R89" i="3"/>
  <c r="AK57" i="3"/>
  <c r="AM87" i="3"/>
  <c r="AJ70" i="3"/>
  <c r="P57" i="3"/>
  <c r="L48" i="3"/>
  <c r="H80" i="3"/>
  <c r="M71" i="3"/>
  <c r="AH89" i="3"/>
  <c r="AA50" i="3"/>
  <c r="Y59" i="3"/>
  <c r="N84" i="3"/>
  <c r="AA54" i="3"/>
  <c r="AG96" i="3"/>
  <c r="R55" i="3"/>
  <c r="K83" i="3"/>
  <c r="AQ76" i="3"/>
  <c r="AL95" i="3"/>
  <c r="S67" i="3"/>
  <c r="AJ79" i="3"/>
  <c r="AA71" i="3"/>
  <c r="AA69" i="3"/>
  <c r="R92" i="3"/>
  <c r="K96" i="3"/>
  <c r="AK59" i="3"/>
  <c r="Q91" i="3"/>
  <c r="AK78" i="3"/>
  <c r="M77" i="3"/>
  <c r="H74" i="3"/>
  <c r="M68" i="3"/>
  <c r="P64" i="3"/>
  <c r="W62" i="3"/>
  <c r="AG48" i="3"/>
  <c r="S92" i="3"/>
  <c r="R60" i="3"/>
  <c r="J77" i="3"/>
  <c r="M55" i="3"/>
  <c r="AQ49" i="3"/>
  <c r="AC80" i="3"/>
  <c r="AG50" i="3"/>
  <c r="K70" i="3"/>
  <c r="AQ48" i="3"/>
  <c r="AQ71" i="3"/>
  <c r="M66" i="3"/>
  <c r="R97" i="3"/>
  <c r="AL47" i="3"/>
  <c r="T76" i="3"/>
  <c r="AK65" i="3"/>
  <c r="T78" i="3"/>
  <c r="S64" i="3"/>
  <c r="N68" i="3"/>
  <c r="T56" i="3"/>
  <c r="P55" i="3"/>
  <c r="AK60" i="3"/>
  <c r="AA89" i="3"/>
  <c r="P92" i="3"/>
  <c r="O88" i="3"/>
  <c r="M95" i="3"/>
  <c r="AC68" i="3"/>
  <c r="W59" i="3"/>
  <c r="AC55" i="3"/>
  <c r="S87" i="3"/>
  <c r="Q81" i="3"/>
  <c r="V80" i="3"/>
  <c r="S73" i="3"/>
  <c r="Y56" i="3"/>
  <c r="I80" i="3"/>
  <c r="AC95" i="3"/>
  <c r="V85" i="3"/>
  <c r="J54" i="3"/>
  <c r="R91" i="3"/>
  <c r="S69" i="3"/>
  <c r="N93" i="3"/>
  <c r="H72" i="3"/>
  <c r="Q56" i="3"/>
  <c r="AE68" i="3"/>
  <c r="J79" i="3"/>
  <c r="X89" i="3"/>
  <c r="J94" i="3"/>
  <c r="N58" i="3"/>
  <c r="T96" i="3"/>
  <c r="W60" i="3"/>
  <c r="AM88" i="3"/>
  <c r="T69" i="3"/>
  <c r="AH67" i="3"/>
  <c r="AJ59" i="3"/>
  <c r="V86" i="3"/>
  <c r="Y87" i="3"/>
  <c r="I62" i="3"/>
  <c r="P91" i="3"/>
  <c r="AC63" i="3"/>
  <c r="N48" i="3"/>
  <c r="W97" i="3"/>
  <c r="AH81" i="3"/>
  <c r="AJ89" i="3"/>
  <c r="AK75" i="3"/>
  <c r="K47" i="3"/>
  <c r="AQ90" i="3"/>
  <c r="M72" i="3"/>
  <c r="AC81" i="3"/>
  <c r="AQ69" i="3"/>
  <c r="S70" i="3"/>
  <c r="AK86" i="3"/>
  <c r="H60" i="3"/>
  <c r="V84" i="3"/>
  <c r="AJ58" i="3"/>
  <c r="AG80" i="3"/>
  <c r="M54" i="3"/>
  <c r="K92" i="3"/>
  <c r="K58" i="3"/>
  <c r="I78" i="3"/>
  <c r="J80" i="3"/>
  <c r="Q57" i="3"/>
  <c r="AC82" i="3"/>
  <c r="AJ67" i="3"/>
  <c r="S72" i="3"/>
  <c r="V87" i="3"/>
  <c r="W57" i="3"/>
  <c r="U65" i="3"/>
  <c r="AL61" i="3"/>
  <c r="AH57" i="3"/>
  <c r="AQ62" i="3"/>
  <c r="H47" i="3"/>
  <c r="AE92" i="3"/>
  <c r="Y86" i="3"/>
  <c r="AQ58" i="3"/>
  <c r="K59" i="3"/>
  <c r="AL71" i="3"/>
  <c r="K54" i="3"/>
  <c r="AQ84" i="3"/>
  <c r="O77" i="3"/>
  <c r="S58" i="3"/>
  <c r="AK81" i="3"/>
  <c r="J90" i="3"/>
  <c r="P93" i="3"/>
  <c r="V78" i="3"/>
  <c r="J60" i="3"/>
  <c r="Z60" i="3"/>
  <c r="K73" i="3"/>
  <c r="N91" i="3"/>
  <c r="AL70" i="3"/>
  <c r="K87" i="3"/>
  <c r="AH70" i="3"/>
  <c r="AQ61" i="3"/>
  <c r="M63" i="3"/>
  <c r="AJ50" i="3"/>
  <c r="AE90" i="3"/>
  <c r="AC70" i="3"/>
  <c r="AJ48" i="3"/>
  <c r="AQ77" i="3"/>
  <c r="V89" i="3"/>
  <c r="P97" i="3"/>
  <c r="N89" i="3"/>
  <c r="O79" i="3"/>
  <c r="J97" i="3"/>
  <c r="T81" i="3"/>
  <c r="K94" i="3"/>
  <c r="AL84" i="3"/>
  <c r="N70" i="3"/>
  <c r="S86" i="3"/>
  <c r="H57" i="3"/>
  <c r="J75" i="3"/>
  <c r="N63" i="3"/>
  <c r="M73" i="3"/>
  <c r="R85" i="3"/>
  <c r="AG94" i="3"/>
  <c r="AH88" i="3"/>
  <c r="AG79" i="3"/>
  <c r="P72" i="3"/>
  <c r="N75" i="3"/>
  <c r="AC62" i="3"/>
  <c r="AH58" i="3"/>
  <c r="R81" i="3"/>
  <c r="T89" i="3"/>
  <c r="AA84" i="3"/>
  <c r="W73" i="3"/>
  <c r="AK88" i="3"/>
  <c r="I83" i="3"/>
  <c r="AC49" i="3"/>
  <c r="AK68" i="3"/>
  <c r="AE75" i="3"/>
  <c r="O90" i="3"/>
  <c r="AG62" i="3"/>
  <c r="AE55" i="3"/>
  <c r="AA59" i="3"/>
  <c r="Y54" i="3"/>
  <c r="N59" i="3"/>
  <c r="AG93" i="3"/>
  <c r="AC77" i="3"/>
  <c r="AC65" i="3"/>
  <c r="S55" i="3"/>
  <c r="U64" i="3"/>
  <c r="R47" i="3"/>
  <c r="S81" i="3"/>
  <c r="X93" i="3"/>
  <c r="AQ86" i="3"/>
  <c r="AE88" i="3"/>
  <c r="AJ54" i="3"/>
  <c r="N87" i="3"/>
  <c r="U54" i="3"/>
  <c r="AH73" i="3"/>
  <c r="L90" i="3"/>
  <c r="N73" i="3"/>
  <c r="H91" i="3"/>
  <c r="J88" i="3"/>
  <c r="O48" i="3"/>
  <c r="AQ54" i="3"/>
  <c r="X78" i="3"/>
  <c r="W81" i="3"/>
  <c r="N88" i="3"/>
  <c r="J64" i="3"/>
  <c r="AG90" i="3"/>
  <c r="AG66" i="3"/>
  <c r="S75" i="3"/>
  <c r="U87" i="3"/>
  <c r="R64" i="3"/>
  <c r="AH50" i="3"/>
  <c r="AQ92" i="3"/>
  <c r="Q78" i="3"/>
  <c r="AL59" i="3"/>
  <c r="W83" i="3"/>
  <c r="T47" i="3"/>
  <c r="M85" i="3"/>
  <c r="AJ73" i="3"/>
  <c r="J96" i="3"/>
  <c r="J65" i="3"/>
  <c r="W49" i="3"/>
  <c r="U50" i="3"/>
  <c r="J58" i="3"/>
  <c r="AA81" i="3"/>
  <c r="O72" i="3"/>
  <c r="Q93" i="3"/>
  <c r="S77" i="3"/>
  <c r="AH79" i="3"/>
  <c r="W95" i="3"/>
  <c r="R50" i="3"/>
  <c r="AC92" i="3"/>
  <c r="AC64" i="3"/>
  <c r="AE76" i="3"/>
  <c r="Z63" i="3"/>
  <c r="AE60" i="3"/>
  <c r="V94" i="3"/>
  <c r="K65" i="3"/>
  <c r="AK56" i="3"/>
  <c r="O95" i="3"/>
  <c r="H97" i="3"/>
  <c r="AJ94" i="3"/>
  <c r="J48" i="3"/>
  <c r="N77" i="3"/>
  <c r="AG81" i="3"/>
  <c r="V54" i="3"/>
  <c r="AC76" i="3"/>
  <c r="S54" i="3"/>
  <c r="AH68" i="3"/>
  <c r="U66" i="3"/>
  <c r="AQ47" i="3"/>
  <c r="N95" i="3"/>
  <c r="R62" i="3"/>
  <c r="AH48" i="3"/>
  <c r="AM48" i="3"/>
  <c r="H79" i="3"/>
  <c r="N67" i="3"/>
  <c r="O74" i="3"/>
  <c r="P75" i="3"/>
  <c r="AC74" i="3"/>
  <c r="P79" i="3"/>
  <c r="X58" i="3"/>
  <c r="W74" i="3"/>
  <c r="AK71" i="3"/>
  <c r="AE91" i="3"/>
  <c r="AG47" i="3"/>
  <c r="T66" i="3"/>
  <c r="S59" i="3"/>
  <c r="Y49" i="3"/>
  <c r="R59" i="3"/>
  <c r="Y88" i="3"/>
  <c r="AC59" i="3"/>
  <c r="AQ81" i="3"/>
  <c r="M58" i="3"/>
  <c r="T60" i="3"/>
  <c r="V71" i="3"/>
  <c r="K67" i="3"/>
  <c r="M75" i="3"/>
  <c r="K66" i="3"/>
  <c r="AJ55" i="3"/>
  <c r="AE48" i="3"/>
  <c r="AE78" i="3"/>
  <c r="AA48" i="3"/>
  <c r="N81" i="3"/>
  <c r="M70" i="3"/>
  <c r="P67" i="3"/>
  <c r="AJ77" i="3"/>
  <c r="Z69" i="3"/>
  <c r="X50" i="3"/>
  <c r="S90" i="3"/>
  <c r="T85" i="3"/>
  <c r="U59" i="3"/>
  <c r="AL97" i="3"/>
  <c r="I74" i="3"/>
  <c r="W91" i="3"/>
  <c r="AL88" i="3"/>
  <c r="V76" i="3"/>
  <c r="AH90" i="3"/>
  <c r="AH95" i="3"/>
  <c r="AC66" i="3"/>
  <c r="K78" i="3"/>
  <c r="AH92" i="3"/>
  <c r="AQ91" i="3"/>
  <c r="O64" i="3"/>
  <c r="P73" i="3"/>
  <c r="X74" i="3"/>
  <c r="N61" i="3"/>
  <c r="R77" i="3"/>
  <c r="L66" i="3"/>
  <c r="AC83" i="3"/>
  <c r="X69" i="3"/>
  <c r="J85" i="3"/>
  <c r="AA97" i="3"/>
  <c r="X91" i="3"/>
  <c r="AE79" i="3"/>
  <c r="N96" i="3"/>
  <c r="W82" i="3"/>
  <c r="AM92" i="3"/>
  <c r="V79" i="3"/>
  <c r="AL93" i="3"/>
  <c r="AH74" i="3"/>
  <c r="W75" i="3"/>
  <c r="P76" i="3"/>
  <c r="V81" i="3"/>
  <c r="K62" i="3"/>
  <c r="AL77" i="3"/>
  <c r="V63" i="3"/>
  <c r="V49" i="3"/>
  <c r="P82" i="3"/>
  <c r="AK49" i="3"/>
  <c r="P96" i="3"/>
  <c r="T86" i="3"/>
  <c r="T64" i="3"/>
  <c r="AA72" i="3"/>
  <c r="K48" i="3"/>
  <c r="N56" i="3"/>
  <c r="AG84" i="3"/>
  <c r="U58" i="3"/>
  <c r="K74" i="3"/>
  <c r="AH96" i="3"/>
  <c r="AQ73" i="3"/>
  <c r="H95" i="3"/>
  <c r="AJ75" i="3"/>
  <c r="AL86" i="3"/>
  <c r="AC57" i="3"/>
  <c r="AK50" i="3"/>
  <c r="S76" i="3"/>
  <c r="Y82" i="3"/>
  <c r="AJ64" i="3"/>
  <c r="AK54" i="3"/>
  <c r="H90" i="3"/>
  <c r="AK70" i="3"/>
  <c r="M78" i="3"/>
  <c r="J62" i="3"/>
  <c r="V88" i="3"/>
  <c r="K88" i="3"/>
  <c r="I58" i="3"/>
  <c r="T93" i="3"/>
  <c r="AE97" i="3"/>
  <c r="W54" i="3"/>
  <c r="AL64" i="3"/>
  <c r="P85" i="3"/>
  <c r="S63" i="3"/>
  <c r="AJ88" i="3"/>
  <c r="AQ50" i="3"/>
  <c r="H63" i="3"/>
  <c r="AK96" i="3"/>
  <c r="AM47" i="3"/>
  <c r="O47" i="3"/>
  <c r="J72" i="3"/>
  <c r="P61" i="3"/>
  <c r="V57" i="3"/>
  <c r="J87" i="3"/>
  <c r="AA95" i="3"/>
  <c r="AH72" i="3"/>
  <c r="N83" i="3"/>
  <c r="R88" i="3"/>
  <c r="K77" i="3"/>
  <c r="U62" i="3"/>
  <c r="R54" i="3"/>
  <c r="K61" i="3"/>
  <c r="S85" i="3"/>
  <c r="AQ80" i="3"/>
  <c r="T48" i="3"/>
  <c r="Q74" i="3"/>
  <c r="W64" i="3"/>
  <c r="S71" i="3"/>
  <c r="AE50" i="3"/>
  <c r="Q62" i="3"/>
  <c r="O63" i="3"/>
  <c r="AK62" i="3"/>
  <c r="P88" i="3"/>
  <c r="Q69" i="3"/>
  <c r="P84" i="3"/>
  <c r="AE66" i="3"/>
  <c r="AC91" i="3"/>
  <c r="J71" i="3"/>
  <c r="W89" i="3"/>
  <c r="N82" i="3"/>
  <c r="Q50" i="3"/>
  <c r="AG70" i="3"/>
  <c r="T57" i="3"/>
  <c r="S65" i="3"/>
  <c r="U76" i="3"/>
  <c r="R69" i="3"/>
  <c r="S93" i="3"/>
  <c r="X84" i="3"/>
  <c r="AH65" i="3"/>
  <c r="AQ82" i="3"/>
  <c r="X96" i="3"/>
  <c r="AE56" i="3"/>
  <c r="V48" i="3"/>
  <c r="I63" i="3"/>
  <c r="N57" i="3"/>
  <c r="AA77" i="3"/>
  <c r="N54" i="3"/>
  <c r="P89" i="3"/>
  <c r="H83" i="3"/>
  <c r="AE83" i="3"/>
  <c r="J78" i="3"/>
  <c r="AA63" i="3"/>
  <c r="W58" i="3"/>
  <c r="AH75" i="3"/>
  <c r="AH94" i="3"/>
  <c r="H93" i="3"/>
  <c r="AA86" i="3"/>
  <c r="K69" i="3"/>
  <c r="R49" i="3"/>
  <c r="AE86" i="3"/>
  <c r="X64" i="3"/>
  <c r="K95" i="3"/>
  <c r="J63" i="3"/>
  <c r="S60" i="3"/>
  <c r="T71" i="3"/>
  <c r="U70" i="3"/>
  <c r="J84" i="3"/>
  <c r="R79" i="3"/>
  <c r="T72" i="3"/>
  <c r="AQ95" i="3"/>
  <c r="AH97" i="3"/>
  <c r="AG83" i="3"/>
  <c r="V73" i="3"/>
  <c r="N94" i="3"/>
  <c r="O96" i="3"/>
  <c r="P58" i="3"/>
  <c r="J68" i="3"/>
  <c r="O87" i="3"/>
  <c r="V56" i="3"/>
  <c r="O81" i="3"/>
  <c r="W55" i="3"/>
  <c r="AK85" i="3"/>
  <c r="AG76" i="3"/>
  <c r="S79" i="3"/>
  <c r="S66" i="3"/>
  <c r="Y94" i="3"/>
  <c r="I64" i="3"/>
  <c r="AQ88" i="3"/>
  <c r="T58" i="3"/>
  <c r="R61" i="3"/>
  <c r="AM68" i="3"/>
  <c r="AJ74" i="3"/>
  <c r="Y85" i="3"/>
  <c r="P78" i="3"/>
  <c r="N79" i="3"/>
  <c r="P87" i="3"/>
  <c r="H61" i="3"/>
  <c r="J89" i="3"/>
  <c r="O57" i="3"/>
  <c r="M62" i="3"/>
  <c r="M76" i="3"/>
  <c r="Q63" i="3"/>
  <c r="AC72" i="3"/>
  <c r="W68" i="3"/>
  <c r="AM90" i="3"/>
  <c r="AG64" i="3"/>
  <c r="Q79" i="3"/>
  <c r="V66" i="3"/>
  <c r="S56" i="3"/>
  <c r="R76" i="3"/>
  <c r="T61" i="3"/>
  <c r="V91" i="3"/>
  <c r="AG97" i="3"/>
  <c r="J70" i="3"/>
  <c r="AK72" i="3"/>
  <c r="V68" i="3"/>
  <c r="P47" i="3"/>
  <c r="T77" i="3"/>
  <c r="X90" i="3"/>
  <c r="AC60" i="3"/>
  <c r="AM54" i="3"/>
  <c r="Y57" i="3"/>
  <c r="V58" i="3"/>
  <c r="AA73" i="3"/>
  <c r="AG77" i="3"/>
  <c r="K57" i="3"/>
  <c r="AO94" i="3"/>
  <c r="M79" i="3"/>
  <c r="J91" i="3"/>
  <c r="AL54" i="3"/>
  <c r="O50" i="3"/>
  <c r="AK48" i="3"/>
  <c r="AG61" i="3"/>
  <c r="AO96" i="3"/>
  <c r="Y80" i="3"/>
  <c r="R93" i="3"/>
  <c r="H77" i="3"/>
  <c r="AG74" i="3"/>
  <c r="AQ67" i="3"/>
  <c r="AK80" i="3"/>
  <c r="M50" i="3"/>
  <c r="Q55" i="3"/>
  <c r="AE89" i="3"/>
  <c r="AO65" i="3"/>
  <c r="T65" i="3"/>
  <c r="AM72" i="3"/>
  <c r="S78" i="3"/>
  <c r="V64" i="3"/>
  <c r="Y76" i="3"/>
  <c r="I88" i="3"/>
  <c r="O61" i="3"/>
  <c r="AG63" i="3"/>
  <c r="Q61" i="3"/>
  <c r="H54" i="3"/>
  <c r="AK55" i="3"/>
  <c r="H65" i="3"/>
  <c r="AL82" i="3"/>
  <c r="X68" i="3"/>
  <c r="AL55" i="3"/>
  <c r="AK64" i="3"/>
  <c r="AC67" i="3"/>
  <c r="Y68" i="3"/>
  <c r="Y93" i="3"/>
  <c r="AA75" i="3"/>
  <c r="Q92" i="3"/>
  <c r="U92" i="3"/>
  <c r="X72" i="3"/>
  <c r="AJ49" i="3"/>
  <c r="I75" i="3"/>
  <c r="AQ75" i="3"/>
  <c r="V72" i="3"/>
  <c r="AG89" i="3"/>
  <c r="AE61" i="3"/>
  <c r="O66" i="3"/>
  <c r="O69" i="3"/>
  <c r="AO73" i="3"/>
  <c r="M59" i="3"/>
  <c r="N62" i="3"/>
  <c r="K86" i="3"/>
  <c r="U96" i="3"/>
  <c r="AL85" i="3"/>
  <c r="K89" i="3"/>
  <c r="J82" i="3"/>
  <c r="W85" i="3"/>
  <c r="S47" i="3"/>
  <c r="I96" i="3"/>
  <c r="AM74" i="3"/>
  <c r="O67" i="3"/>
  <c r="AE96" i="3"/>
  <c r="Y47" i="3"/>
  <c r="J50" i="3"/>
  <c r="N92" i="3"/>
  <c r="AG85" i="3"/>
  <c r="U91" i="3"/>
  <c r="K64" i="3"/>
  <c r="S89" i="3"/>
  <c r="P54" i="3"/>
  <c r="AA85" i="3"/>
  <c r="I94" i="3"/>
  <c r="AK94" i="3"/>
  <c r="AK97" i="3"/>
  <c r="P95" i="3"/>
  <c r="AA82" i="3"/>
  <c r="M57" i="3"/>
  <c r="AG72" i="3"/>
  <c r="AQ85" i="3"/>
  <c r="AM89" i="3"/>
  <c r="N60" i="3"/>
  <c r="Y83" i="3"/>
  <c r="J67" i="3"/>
  <c r="AE77" i="3"/>
  <c r="AG82" i="3"/>
  <c r="AM67" i="3"/>
  <c r="H88" i="3"/>
  <c r="Q85" i="3"/>
  <c r="AE85" i="3"/>
  <c r="P86" i="3"/>
  <c r="X47" i="3"/>
  <c r="AK89" i="3"/>
  <c r="AG88" i="3"/>
  <c r="AO83" i="3"/>
  <c r="Y84" i="3"/>
  <c r="AQ59" i="3"/>
  <c r="X70" i="3"/>
  <c r="H70" i="3"/>
  <c r="AM97" i="3"/>
  <c r="Y58" i="3"/>
  <c r="AK67" i="3"/>
  <c r="H96" i="3"/>
  <c r="AC90" i="3"/>
  <c r="AA79" i="3"/>
  <c r="AK87" i="3"/>
  <c r="AG60" i="3"/>
  <c r="AO68" i="3"/>
  <c r="Y65" i="3"/>
  <c r="AQ64" i="3"/>
  <c r="X65" i="3"/>
  <c r="AG54" i="3"/>
  <c r="Y91" i="3"/>
  <c r="J59" i="3"/>
  <c r="T82" i="3"/>
  <c r="P48" i="3"/>
  <c r="M88" i="3"/>
  <c r="AH47" i="3"/>
  <c r="M84" i="3"/>
  <c r="AH87" i="3"/>
  <c r="N55" i="3"/>
  <c r="H94" i="3"/>
  <c r="AG91" i="3"/>
  <c r="AQ68" i="3"/>
  <c r="U82" i="3"/>
  <c r="AQ63" i="3"/>
  <c r="Q49" i="3"/>
  <c r="Q77" i="3"/>
  <c r="AA92" i="3"/>
  <c r="H68" i="3"/>
  <c r="AE80" i="3"/>
  <c r="AJ95" i="3"/>
  <c r="Q82" i="3"/>
  <c r="T55" i="3"/>
  <c r="W96" i="3"/>
  <c r="AO86" i="3"/>
  <c r="AJ85" i="3"/>
  <c r="AH71" i="3"/>
  <c r="I97" i="3"/>
  <c r="V95" i="3"/>
  <c r="I57" i="3"/>
  <c r="T62" i="3"/>
  <c r="AC94" i="3"/>
  <c r="AC69" i="3"/>
  <c r="J49" i="3"/>
  <c r="H66" i="3"/>
  <c r="P62" i="3"/>
  <c r="AO64" i="3"/>
  <c r="AJ84" i="3"/>
  <c r="S95" i="3"/>
  <c r="W71" i="3"/>
  <c r="V60" i="3"/>
  <c r="AJ76" i="3"/>
  <c r="AH82" i="3"/>
  <c r="W70" i="3"/>
  <c r="AL94" i="3"/>
  <c r="I67" i="3"/>
  <c r="N72" i="3"/>
  <c r="Y69" i="3"/>
  <c r="AM65" i="3"/>
  <c r="AM82" i="3"/>
  <c r="P63" i="3"/>
  <c r="AQ83" i="3"/>
  <c r="AJ82" i="3"/>
  <c r="R65" i="3"/>
  <c r="AK63" i="3"/>
  <c r="V69" i="3"/>
  <c r="AC89" i="3"/>
  <c r="O80" i="3"/>
  <c r="AG71" i="3"/>
  <c r="W94" i="3"/>
  <c r="Q95" i="3"/>
  <c r="Q58" i="3"/>
  <c r="Q87" i="3"/>
  <c r="AE82" i="3"/>
  <c r="N85" i="3"/>
  <c r="AO97" i="3"/>
  <c r="AM61" i="3"/>
  <c r="U60" i="3"/>
  <c r="AL83" i="3"/>
  <c r="Y75" i="3"/>
  <c r="J69" i="3"/>
  <c r="T67" i="3"/>
  <c r="AO81" i="3"/>
  <c r="I92" i="3"/>
  <c r="AM93" i="3"/>
  <c r="AE47" i="3"/>
  <c r="Q47" i="3"/>
  <c r="V65" i="3"/>
  <c r="AM75" i="3"/>
  <c r="U73" i="3"/>
  <c r="AL67" i="3"/>
  <c r="Y89" i="3"/>
  <c r="AE57" i="3"/>
  <c r="T97" i="3"/>
  <c r="T90" i="3"/>
  <c r="AC61" i="3"/>
  <c r="AA74" i="3"/>
  <c r="AK91" i="3"/>
  <c r="P80" i="3"/>
  <c r="AC88" i="3"/>
  <c r="AL81" i="3"/>
  <c r="AC48" i="3"/>
  <c r="O85" i="3"/>
  <c r="W90" i="3"/>
  <c r="I84" i="3"/>
  <c r="M90" i="3"/>
  <c r="Y72" i="3"/>
  <c r="AG55" i="3"/>
  <c r="AE87" i="3"/>
  <c r="AJ71" i="3"/>
  <c r="W47" i="3"/>
  <c r="W63" i="3"/>
  <c r="P81" i="3"/>
  <c r="X83" i="3"/>
  <c r="AA68" i="3"/>
  <c r="I65" i="3"/>
  <c r="AM80" i="3"/>
  <c r="P71" i="3"/>
  <c r="AA58" i="3"/>
  <c r="AE84" i="3"/>
  <c r="AJ57" i="3"/>
  <c r="N71" i="3"/>
  <c r="AG68" i="3"/>
  <c r="AC73" i="3"/>
  <c r="Y96" i="3"/>
  <c r="Y78" i="3"/>
  <c r="I68" i="3"/>
  <c r="Q86" i="3"/>
  <c r="AK58" i="3"/>
  <c r="U79" i="3"/>
  <c r="AK93" i="3"/>
  <c r="AK74" i="3"/>
  <c r="J83" i="3"/>
  <c r="P50" i="3"/>
  <c r="M93" i="3"/>
  <c r="AK82" i="3"/>
  <c r="AG59" i="3"/>
  <c r="AO62" i="3"/>
  <c r="Y95" i="3"/>
  <c r="AQ70" i="3"/>
  <c r="X94" i="3"/>
  <c r="AE62" i="3"/>
  <c r="AL57" i="3"/>
  <c r="S48" i="3"/>
  <c r="V82" i="3"/>
  <c r="AJ86" i="3"/>
  <c r="AE54" i="3"/>
  <c r="Q94" i="3"/>
  <c r="M82" i="3"/>
  <c r="AO88" i="3"/>
  <c r="V47" i="3"/>
  <c r="X87" i="3"/>
  <c r="J76" i="3"/>
  <c r="J74" i="3"/>
  <c r="H49" i="3"/>
  <c r="H76" i="3"/>
  <c r="H89" i="3"/>
  <c r="AC97" i="3"/>
  <c r="Q75" i="3"/>
  <c r="AC84" i="3"/>
  <c r="AM76" i="3"/>
  <c r="AH56" i="3"/>
  <c r="V55" i="3"/>
  <c r="Y70" i="3"/>
  <c r="P69" i="3"/>
  <c r="T59" i="3"/>
  <c r="H86" i="3"/>
  <c r="J92" i="3"/>
  <c r="R56" i="3"/>
  <c r="H71" i="3"/>
  <c r="AC50" i="3"/>
  <c r="AE81" i="3"/>
  <c r="AC75" i="3"/>
  <c r="N76" i="3"/>
  <c r="AO72" i="3"/>
  <c r="AM91" i="3"/>
  <c r="AH85" i="3"/>
  <c r="AL78" i="3"/>
  <c r="Y64" i="3"/>
  <c r="O82" i="3"/>
  <c r="T92" i="3"/>
  <c r="Q97" i="3"/>
  <c r="U75" i="3"/>
  <c r="AK84" i="3"/>
  <c r="AA94" i="3"/>
  <c r="AA62" i="3"/>
  <c r="AO90" i="3"/>
  <c r="R83" i="3"/>
  <c r="AH63" i="3"/>
  <c r="AQ66" i="3"/>
  <c r="AJ62" i="3"/>
  <c r="R94" i="3"/>
  <c r="AO80" i="3"/>
  <c r="H56" i="3"/>
  <c r="V93" i="3"/>
  <c r="T73" i="3"/>
  <c r="AJ92" i="3"/>
  <c r="S84" i="3"/>
  <c r="AE58" i="3"/>
  <c r="AJ61" i="3"/>
  <c r="AO66" i="3"/>
  <c r="U68" i="3"/>
  <c r="N78" i="3"/>
  <c r="AL96" i="3"/>
  <c r="X67" i="3"/>
  <c r="AH83" i="3"/>
  <c r="M69" i="3"/>
  <c r="AL87" i="3"/>
  <c r="AA80" i="3"/>
  <c r="W65" i="3"/>
  <c r="K97" i="3"/>
  <c r="AQ96" i="3"/>
  <c r="AM66" i="3"/>
  <c r="T75" i="3"/>
  <c r="V70" i="3"/>
  <c r="M83" i="3"/>
  <c r="N97" i="3"/>
  <c r="K84" i="3"/>
  <c r="X55" i="3"/>
  <c r="U84" i="3"/>
  <c r="AL76" i="3"/>
  <c r="K56" i="3"/>
  <c r="AM49" i="3"/>
  <c r="AQ65" i="3"/>
  <c r="AA66" i="3"/>
  <c r="H67" i="3"/>
  <c r="AH78" i="3"/>
  <c r="AG69" i="3"/>
  <c r="AL66" i="3"/>
  <c r="P65" i="3"/>
  <c r="AC79" i="3"/>
  <c r="O92" i="3"/>
  <c r="AE63" i="3"/>
  <c r="AK76" i="3"/>
  <c r="I73" i="3"/>
  <c r="H81" i="3"/>
  <c r="H48" i="3"/>
  <c r="W86" i="3"/>
  <c r="Q76" i="3"/>
  <c r="I47" i="3"/>
  <c r="R80" i="3"/>
  <c r="AA57" i="3"/>
  <c r="AE59" i="3"/>
  <c r="Q60" i="3"/>
  <c r="W66" i="3"/>
  <c r="J57" i="3"/>
  <c r="I66" i="3"/>
  <c r="R58" i="3"/>
  <c r="AH80" i="3"/>
  <c r="P90" i="3"/>
  <c r="AM79" i="3"/>
  <c r="H50" i="3"/>
  <c r="AG78" i="3"/>
  <c r="N80" i="3"/>
  <c r="N66" i="3"/>
  <c r="Y66" i="3"/>
  <c r="AQ93" i="3"/>
  <c r="W72" i="3"/>
  <c r="N86" i="3"/>
  <c r="O54" i="3"/>
  <c r="AG86" i="3"/>
  <c r="R48" i="3"/>
  <c r="AQ72" i="3"/>
  <c r="AQ57" i="3"/>
  <c r="S88" i="3"/>
  <c r="H69" i="3"/>
  <c r="AA90" i="3"/>
  <c r="AQ94" i="3"/>
  <c r="R90" i="3"/>
  <c r="R75" i="3"/>
  <c r="AQ78" i="3"/>
  <c r="T94" i="3"/>
  <c r="P83" i="3"/>
  <c r="Q73" i="3"/>
  <c r="W84" i="3"/>
  <c r="I82" i="3"/>
  <c r="AM58" i="3"/>
  <c r="V59" i="3"/>
  <c r="Q80" i="3"/>
  <c r="AC78" i="3"/>
  <c r="W87" i="3"/>
  <c r="AG49" i="3"/>
  <c r="R70" i="3"/>
  <c r="R95" i="3"/>
  <c r="Q71" i="3"/>
  <c r="Q54" i="3"/>
  <c r="O86" i="3"/>
  <c r="W69" i="3"/>
  <c r="Q84" i="3"/>
  <c r="I54" i="3"/>
  <c r="R71" i="3"/>
  <c r="S74" i="3"/>
  <c r="P70" i="3"/>
  <c r="AK47" i="3"/>
  <c r="AM64" i="3"/>
  <c r="AL49" i="3"/>
  <c r="K76" i="3"/>
  <c r="AQ60" i="3"/>
  <c r="U90" i="3"/>
  <c r="AH93" i="3"/>
  <c r="X71" i="3"/>
  <c r="O78" i="3"/>
  <c r="AM60" i="3"/>
  <c r="AL60" i="3"/>
  <c r="O71" i="3"/>
  <c r="Q48" i="3"/>
  <c r="I76" i="3"/>
  <c r="AJ87" i="3"/>
  <c r="AA47" i="3"/>
  <c r="AM96" i="3"/>
  <c r="AL73" i="3"/>
  <c r="J55" i="3"/>
  <c r="J73" i="3"/>
  <c r="AK92" i="3"/>
  <c r="P56" i="3"/>
  <c r="V83" i="3"/>
  <c r="P77" i="3"/>
  <c r="S68" i="3"/>
  <c r="M81" i="3"/>
  <c r="T91" i="3"/>
  <c r="O97" i="3"/>
  <c r="W93" i="3"/>
  <c r="I69" i="3"/>
  <c r="U94" i="3"/>
  <c r="AK79" i="3"/>
  <c r="U93" i="3"/>
  <c r="R57" i="3"/>
  <c r="M64" i="3"/>
  <c r="AE67" i="3"/>
  <c r="AM78" i="3"/>
  <c r="AJ83" i="3"/>
  <c r="Y63" i="3"/>
  <c r="M49" i="3"/>
  <c r="AL72" i="3"/>
  <c r="J93" i="3"/>
  <c r="H55" i="3"/>
  <c r="Q66" i="3"/>
  <c r="X92" i="3"/>
  <c r="M80" i="3"/>
  <c r="AC58" i="3"/>
  <c r="AO60" i="3"/>
  <c r="AA56" i="3"/>
  <c r="V90" i="3"/>
  <c r="AE94" i="3"/>
  <c r="AH59" i="3"/>
  <c r="K75" i="3"/>
  <c r="N50" i="3"/>
  <c r="AA61" i="3"/>
  <c r="J61" i="3"/>
  <c r="X95" i="3"/>
  <c r="AE73" i="3"/>
  <c r="N49" i="3"/>
  <c r="X54" i="3"/>
  <c r="AC86" i="3"/>
  <c r="T79" i="3"/>
  <c r="T88" i="3"/>
  <c r="AQ55" i="3"/>
  <c r="Y97" i="3"/>
  <c r="AL79" i="3"/>
  <c r="S83" i="3"/>
  <c r="I86" i="3"/>
  <c r="AH66" i="3"/>
  <c r="T50" i="3"/>
  <c r="AA91" i="3"/>
  <c r="U81" i="3"/>
  <c r="R68" i="3"/>
  <c r="AJ80" i="3"/>
  <c r="W88" i="3"/>
  <c r="AO54" i="3"/>
  <c r="AL56" i="3"/>
  <c r="T84" i="3"/>
  <c r="U85" i="3"/>
  <c r="AL50" i="3"/>
  <c r="O55" i="3"/>
  <c r="T83" i="3"/>
  <c r="S94" i="3"/>
  <c r="AM81" i="3"/>
  <c r="AC96" i="3"/>
  <c r="P49" i="3"/>
  <c r="M97" i="3"/>
  <c r="T80" i="3"/>
  <c r="Q59" i="3"/>
  <c r="AH91" i="3"/>
  <c r="O70" i="3"/>
  <c r="Y60" i="3"/>
  <c r="V75" i="3"/>
  <c r="K80" i="3"/>
  <c r="AQ56" i="3"/>
  <c r="AG75" i="3"/>
  <c r="AA83" i="3"/>
  <c r="AG65" i="3"/>
  <c r="AQ79" i="3"/>
  <c r="X86" i="3"/>
  <c r="P74" i="3"/>
  <c r="AQ74" i="3"/>
  <c r="AO57" i="3"/>
  <c r="AE64" i="3"/>
  <c r="J95" i="3"/>
  <c r="W48" i="3"/>
  <c r="AJ96" i="3"/>
  <c r="W78" i="3"/>
  <c r="I81" i="3"/>
  <c r="AO77" i="3"/>
  <c r="T74" i="3"/>
  <c r="W92" i="3"/>
  <c r="N65" i="3"/>
  <c r="I95" i="3"/>
  <c r="Y79" i="3"/>
  <c r="AM85" i="3"/>
  <c r="O68" i="3"/>
  <c r="AC87" i="3"/>
  <c r="AK90" i="3"/>
  <c r="S91" i="3"/>
  <c r="AL69" i="3"/>
  <c r="AO56" i="3"/>
  <c r="W79" i="3"/>
  <c r="AC85" i="3"/>
  <c r="AH60" i="3"/>
  <c r="S62" i="3"/>
  <c r="AA55" i="3"/>
  <c r="W77" i="3"/>
  <c r="AG73" i="3"/>
  <c r="R86" i="3"/>
  <c r="R63" i="3"/>
  <c r="AG56" i="3"/>
  <c r="AE74" i="3"/>
  <c r="M86" i="3"/>
  <c r="H84" i="3"/>
  <c r="W67" i="3"/>
  <c r="S61" i="3"/>
  <c r="I49" i="3"/>
  <c r="R82" i="3"/>
  <c r="K81" i="3"/>
  <c r="AH49" i="3"/>
  <c r="N74" i="3"/>
  <c r="O58" i="3"/>
  <c r="V50" i="3"/>
  <c r="Y67" i="3"/>
  <c r="U78" i="3"/>
  <c r="J86" i="3"/>
  <c r="M87" i="3"/>
  <c r="W56" i="3"/>
  <c r="AE70" i="3"/>
  <c r="I59" i="3"/>
  <c r="I77" i="3"/>
  <c r="X49" i="3"/>
  <c r="AE95" i="3"/>
  <c r="AJ66" i="3"/>
  <c r="I90" i="3"/>
  <c r="Q89" i="3"/>
  <c r="U55" i="3"/>
  <c r="I72" i="3"/>
  <c r="Y48" i="3"/>
  <c r="AA93" i="3"/>
  <c r="K72" i="3"/>
  <c r="O75" i="3"/>
  <c r="AK61" i="3"/>
  <c r="AE69" i="3"/>
  <c r="K68" i="3"/>
  <c r="AO47" i="3"/>
  <c r="N64" i="3"/>
  <c r="S50" i="3"/>
  <c r="X75" i="3"/>
  <c r="Y77" i="3"/>
  <c r="N69" i="3"/>
  <c r="S96" i="3"/>
  <c r="T54" i="3"/>
  <c r="K60" i="3"/>
  <c r="T95" i="3"/>
  <c r="S57" i="3"/>
  <c r="W80" i="3"/>
  <c r="R73" i="3"/>
  <c r="Y55" i="3"/>
  <c r="T68" i="3"/>
  <c r="AJ78" i="3"/>
  <c r="AK69" i="3"/>
  <c r="Q70" i="3"/>
  <c r="P94" i="3"/>
  <c r="AJ60" i="3"/>
  <c r="X62" i="3"/>
  <c r="AH55" i="3"/>
  <c r="AH69" i="3"/>
  <c r="P60" i="3"/>
  <c r="AJ97" i="3"/>
  <c r="AO67" i="3"/>
  <c r="J47" i="3"/>
  <c r="AG95" i="3"/>
  <c r="V67" i="3"/>
  <c r="AE71" i="3"/>
  <c r="AA67" i="3"/>
  <c r="AJ81" i="3"/>
  <c r="M94" i="3"/>
  <c r="T63" i="3"/>
  <c r="Y62" i="3"/>
  <c r="H78" i="3"/>
  <c r="AO74" i="3"/>
  <c r="Y61" i="3"/>
  <c r="P66" i="3"/>
  <c r="U95" i="3"/>
  <c r="M61" i="3"/>
  <c r="V92" i="3"/>
  <c r="AO69" i="3"/>
  <c r="H87" i="3"/>
  <c r="AH62" i="3"/>
  <c r="I70" i="3"/>
  <c r="W61" i="3"/>
  <c r="AA70" i="3"/>
  <c r="AC93" i="3"/>
  <c r="AJ47" i="3"/>
  <c r="K91" i="3"/>
  <c r="AJ69" i="3"/>
  <c r="X48" i="3"/>
  <c r="J56" i="3"/>
  <c r="AH64" i="3"/>
  <c r="X80" i="3"/>
  <c r="AO58" i="3"/>
  <c r="V61" i="3"/>
  <c r="AM56" i="3"/>
  <c r="AQ89" i="3"/>
  <c r="AJ90" i="3"/>
  <c r="AL74" i="3"/>
  <c r="Y90" i="3"/>
  <c r="H82" i="3"/>
  <c r="U47" i="3"/>
  <c r="V97" i="3"/>
  <c r="AA60" i="3"/>
  <c r="O91" i="3"/>
  <c r="R78" i="3"/>
  <c r="V74" i="3"/>
  <c r="Y74" i="3"/>
  <c r="AK73" i="3"/>
  <c r="M96" i="3"/>
  <c r="M65" i="3"/>
  <c r="Y92" i="3"/>
  <c r="M48" i="3"/>
  <c r="AK83" i="3"/>
  <c r="K55" i="3"/>
  <c r="M74" i="3"/>
  <c r="K93" i="3"/>
  <c r="S97" i="3"/>
  <c r="M60" i="3"/>
  <c r="S49" i="3"/>
  <c r="H59" i="3"/>
  <c r="O93" i="3"/>
  <c r="M67" i="3"/>
  <c r="T70" i="3"/>
  <c r="X66" i="3"/>
  <c r="Y71" i="3"/>
  <c r="H75" i="3"/>
  <c r="AH76" i="3"/>
  <c r="AJ91" i="3"/>
  <c r="AL65" i="3"/>
  <c r="AK66" i="3"/>
  <c r="M89" i="3"/>
  <c r="R87" i="3"/>
  <c r="AK95" i="3"/>
  <c r="AE93" i="3"/>
  <c r="H73" i="3"/>
  <c r="S82" i="3"/>
  <c r="V77" i="3"/>
  <c r="U80" i="3"/>
  <c r="R66" i="3"/>
  <c r="AC56" i="3"/>
  <c r="AO79" i="3"/>
  <c r="AO93" i="3"/>
  <c r="N90" i="3"/>
  <c r="AJ56" i="3"/>
  <c r="V62" i="3"/>
  <c r="Q64" i="3"/>
  <c r="AO95" i="3" l="1"/>
  <c r="AO63" i="3"/>
  <c r="AO82" i="3"/>
  <c r="AO84" i="3"/>
  <c r="AO49" i="3"/>
  <c r="AO55" i="3"/>
  <c r="AO61" i="3"/>
  <c r="AO76" i="3"/>
  <c r="AO85" i="3"/>
  <c r="AO89" i="3"/>
  <c r="AO87" i="3"/>
  <c r="AO59" i="3"/>
  <c r="AO50" i="3"/>
  <c r="AO71" i="3"/>
  <c r="AO70" i="3"/>
  <c r="AO75" i="3"/>
  <c r="AO78" i="3"/>
  <c r="AO92" i="3"/>
  <c r="AO91" i="3"/>
  <c r="AO48" i="3"/>
  <c r="U48" i="3"/>
  <c r="K90" i="3"/>
  <c r="AE49" i="3"/>
  <c r="Z78" i="3"/>
  <c r="K50" i="3"/>
  <c r="AH61" i="3"/>
  <c r="AM55" i="3"/>
  <c r="T87" i="3"/>
  <c r="H58" i="3"/>
  <c r="AM71" i="3"/>
  <c r="I56" i="3"/>
  <c r="I48" i="3"/>
  <c r="AA96" i="3"/>
  <c r="AH86" i="3"/>
  <c r="I85" i="3"/>
  <c r="K49" i="3"/>
  <c r="K85" i="3"/>
  <c r="H92" i="3"/>
  <c r="M47" i="3"/>
  <c r="AL58" i="3"/>
  <c r="X82" i="3"/>
  <c r="K82" i="3"/>
  <c r="AM57" i="3"/>
  <c r="O56" i="3"/>
  <c r="K71" i="3"/>
  <c r="Z71" i="3"/>
  <c r="AM63" i="3"/>
  <c r="AM59" i="3"/>
  <c r="AA65" i="3"/>
  <c r="AA76" i="3"/>
  <c r="AH77" i="3"/>
  <c r="AJ93" i="3"/>
  <c r="X77" i="3"/>
  <c r="AC54" i="3"/>
  <c r="Z94" i="3"/>
  <c r="L83" i="3"/>
  <c r="AH84" i="3"/>
  <c r="Y50" i="3"/>
  <c r="AA49" i="3"/>
  <c r="R67" i="3"/>
  <c r="L67" i="3"/>
  <c r="M91" i="3"/>
  <c r="J66" i="3"/>
  <c r="R84" i="3"/>
  <c r="X81" i="3"/>
  <c r="Q67" i="3"/>
  <c r="O84" i="3"/>
  <c r="AG87" i="3"/>
  <c r="O65" i="3"/>
  <c r="M56" i="3"/>
  <c r="AG57" i="3"/>
  <c r="Y73" i="3"/>
  <c r="AE65" i="3"/>
  <c r="M92" i="3"/>
  <c r="R74" i="3"/>
  <c r="H85" i="3"/>
  <c r="J81" i="3"/>
  <c r="Q68" i="3"/>
  <c r="AL92" i="3"/>
  <c r="X60" i="3"/>
  <c r="AM95" i="3"/>
  <c r="I55" i="3"/>
  <c r="AA87" i="3"/>
  <c r="AG67" i="3"/>
  <c r="AC47" i="3"/>
  <c r="I89" i="3"/>
  <c r="Q83" i="3"/>
  <c r="AJ68" i="3"/>
  <c r="Z62" i="3"/>
  <c r="AJ72" i="3"/>
  <c r="X63" i="3"/>
  <c r="AJ65" i="3"/>
  <c r="AJ63" i="3"/>
  <c r="AC71" i="3"/>
  <c r="Z97" i="3"/>
  <c r="U97" i="3"/>
  <c r="U67" i="3"/>
  <c r="Z86" i="3"/>
  <c r="AL48" i="3"/>
  <c r="U72" i="3"/>
  <c r="AL90" i="3"/>
  <c r="AM84" i="3"/>
  <c r="AA88" i="3"/>
  <c r="AL62" i="3"/>
  <c r="I71" i="3"/>
  <c r="U57" i="3"/>
  <c r="O94" i="3"/>
  <c r="O73" i="3"/>
  <c r="Q65" i="3"/>
  <c r="I91" i="3"/>
  <c r="L80" i="3"/>
  <c r="AL89" i="3"/>
  <c r="X88" i="3"/>
  <c r="O83" i="3"/>
  <c r="O59" i="3"/>
  <c r="L87" i="3"/>
  <c r="X76" i="3"/>
  <c r="Q90" i="3"/>
  <c r="AM77" i="3"/>
  <c r="L69" i="3"/>
  <c r="AM50" i="3"/>
  <c r="L86" i="3"/>
  <c r="O62" i="3"/>
  <c r="U71" i="3"/>
  <c r="AA78" i="3"/>
  <c r="X97" i="3"/>
  <c r="U89" i="3"/>
  <c r="L77" i="3"/>
  <c r="I79" i="3"/>
  <c r="X79" i="3"/>
  <c r="X73" i="3"/>
  <c r="I60" i="3"/>
  <c r="O49" i="3"/>
  <c r="L76" i="3"/>
  <c r="U49" i="3"/>
  <c r="X61" i="3"/>
  <c r="AL75" i="3"/>
  <c r="U74" i="3"/>
  <c r="AL63" i="3"/>
  <c r="Q88" i="3"/>
  <c r="O76" i="3"/>
  <c r="AM70" i="3"/>
  <c r="AL80" i="3"/>
  <c r="O60" i="3"/>
  <c r="Z76" i="3"/>
  <c r="X57" i="3"/>
  <c r="AA64" i="3"/>
  <c r="X56" i="3"/>
  <c r="I61" i="3"/>
  <c r="X85" i="3"/>
  <c r="Z92" i="3"/>
  <c r="U61" i="3"/>
  <c r="AL91" i="3"/>
  <c r="I93" i="3"/>
  <c r="L96" i="3"/>
  <c r="AM62" i="3"/>
  <c r="L89" i="3"/>
  <c r="AM73" i="3"/>
  <c r="Z73" i="3"/>
  <c r="Z47" i="3"/>
  <c r="L78" i="3"/>
  <c r="L92" i="3"/>
  <c r="AM86" i="3"/>
  <c r="U77" i="3"/>
  <c r="U69" i="3"/>
  <c r="Z61" i="3"/>
  <c r="Z82" i="3"/>
  <c r="AM83" i="3"/>
  <c r="U56" i="3"/>
  <c r="U86" i="3"/>
  <c r="Z75" i="3"/>
  <c r="U83" i="3"/>
  <c r="AM94" i="3"/>
  <c r="U88" i="3"/>
  <c r="AM69" i="3"/>
  <c r="L95" i="3"/>
  <c r="Z88" i="3"/>
  <c r="L55" i="3"/>
  <c r="Z66" i="3"/>
  <c r="L59" i="3"/>
  <c r="L93" i="3"/>
  <c r="L70" i="3"/>
  <c r="L91" i="3"/>
  <c r="Z91" i="3"/>
  <c r="Z74" i="3"/>
  <c r="Z84" i="3"/>
  <c r="Z89" i="3"/>
  <c r="Z70" i="3"/>
  <c r="L94" i="3"/>
  <c r="Z79" i="3"/>
  <c r="L65" i="3"/>
  <c r="Z48" i="3"/>
  <c r="L85" i="3"/>
  <c r="L79" i="3"/>
  <c r="L84" i="3"/>
  <c r="L54" i="3"/>
  <c r="Z90" i="3"/>
  <c r="Z58" i="3"/>
  <c r="L62" i="3"/>
  <c r="Z59" i="3"/>
  <c r="L58" i="3"/>
  <c r="Z57" i="3"/>
  <c r="Z96" i="3"/>
  <c r="L68" i="3"/>
  <c r="L64" i="3"/>
  <c r="L73" i="3"/>
  <c r="Z68" i="3"/>
  <c r="L82" i="3"/>
  <c r="L47" i="3"/>
  <c r="Z65" i="3"/>
  <c r="Z83" i="3"/>
  <c r="L71" i="3"/>
  <c r="L50" i="3"/>
  <c r="L88" i="3"/>
  <c r="Z93" i="3"/>
  <c r="L63" i="3"/>
  <c r="Z67" i="3"/>
  <c r="L60" i="3"/>
  <c r="Z50" i="3"/>
  <c r="Z85" i="3"/>
  <c r="Z55" i="3"/>
  <c r="Z77" i="3"/>
  <c r="Z95" i="3"/>
  <c r="Z87" i="3"/>
  <c r="L74" i="3"/>
  <c r="L61" i="3"/>
  <c r="L56" i="3"/>
  <c r="L57" i="3"/>
  <c r="Z81" i="3"/>
  <c r="L49" i="3"/>
  <c r="Z49" i="3"/>
  <c r="Z56" i="3"/>
  <c r="Z54" i="3"/>
  <c r="L72" i="3"/>
  <c r="L81" i="3"/>
  <c r="L75" i="3"/>
  <c r="Z64" i="3"/>
  <c r="L97" i="3"/>
  <c r="Y81" i="3"/>
  <c r="R72" i="3"/>
  <c r="R96" i="3"/>
  <c r="Z72" i="3"/>
  <c r="I87" i="3"/>
  <c r="W76" i="3"/>
  <c r="O89" i="3"/>
  <c r="AH54" i="3"/>
  <c r="AN75" i="3"/>
  <c r="AN74" i="3"/>
  <c r="AN72" i="3"/>
  <c r="AN84" i="3"/>
  <c r="AN66" i="3"/>
  <c r="AN63" i="3"/>
  <c r="AN86" i="3"/>
  <c r="AN56" i="3"/>
  <c r="AN47" i="3"/>
  <c r="AN69" i="3"/>
  <c r="AN67" i="3"/>
  <c r="AN97" i="3"/>
  <c r="AN64" i="3"/>
  <c r="AN49" i="3"/>
  <c r="AN65" i="3"/>
  <c r="AN81" i="3"/>
  <c r="AN87" i="3"/>
  <c r="AN57" i="3"/>
  <c r="AN82" i="3"/>
  <c r="AN91" i="3"/>
  <c r="AN54" i="3"/>
  <c r="AN68" i="3"/>
  <c r="AN70" i="3"/>
  <c r="AN89" i="3"/>
  <c r="AN96" i="3"/>
  <c r="AN50" i="3"/>
  <c r="AN61" i="3"/>
  <c r="AN93" i="3"/>
  <c r="AN80" i="3"/>
  <c r="AN92" i="3"/>
  <c r="AN85" i="3"/>
  <c r="AN58" i="3"/>
  <c r="AN73" i="3"/>
  <c r="AN88" i="3"/>
  <c r="AN55" i="3"/>
  <c r="AN78" i="3"/>
  <c r="AN76" i="3"/>
  <c r="AN77" i="3"/>
  <c r="AN71" i="3"/>
  <c r="AN90" i="3"/>
  <c r="AN48" i="3"/>
  <c r="AN62" i="3"/>
  <c r="AN60" i="3"/>
  <c r="AN79" i="3"/>
  <c r="AN83" i="3"/>
  <c r="AN95" i="3"/>
  <c r="AN59" i="3"/>
  <c r="AN94" i="3"/>
  <c r="I50" i="3"/>
  <c r="AI58" i="3"/>
  <c r="AL68" i="3"/>
  <c r="AI63" i="3"/>
  <c r="AI67" i="3"/>
  <c r="AI97" i="3"/>
  <c r="AI50" i="3"/>
  <c r="AI94" i="3"/>
  <c r="AI76" i="3"/>
  <c r="AI92" i="3"/>
  <c r="AI66" i="3"/>
  <c r="AI49" i="3"/>
  <c r="AI62" i="3"/>
  <c r="AI78" i="3"/>
  <c r="AI95" i="3"/>
  <c r="AI96" i="3"/>
  <c r="AI93" i="3"/>
  <c r="AI83" i="3"/>
  <c r="AI85" i="3"/>
  <c r="AI73" i="3"/>
  <c r="AI71" i="3"/>
  <c r="AI70" i="3"/>
  <c r="AI80" i="3"/>
  <c r="AI88" i="3"/>
  <c r="AI86" i="3"/>
  <c r="AI75" i="3"/>
  <c r="AI56" i="3"/>
  <c r="AI68" i="3"/>
  <c r="AI64" i="3"/>
  <c r="AI82" i="3"/>
  <c r="AI81" i="3"/>
  <c r="AI90" i="3"/>
  <c r="AI87" i="3"/>
  <c r="AI79" i="3"/>
  <c r="AI65" i="3"/>
  <c r="AI47" i="3"/>
  <c r="AI72" i="3"/>
  <c r="AI74" i="3"/>
  <c r="AI61" i="3"/>
  <c r="AI69" i="3"/>
  <c r="AI54" i="3"/>
  <c r="AI48" i="3"/>
  <c r="AI91" i="3"/>
  <c r="AI77" i="3"/>
  <c r="AI89" i="3"/>
  <c r="AI57" i="3"/>
  <c r="AI84" i="3"/>
  <c r="AI60" i="3"/>
  <c r="AI55" i="3"/>
  <c r="AI59" i="3"/>
  <c r="BH90" i="1"/>
  <c r="AI90" i="1"/>
  <c r="AV102" i="1"/>
  <c r="BK73" i="1"/>
  <c r="AZ90" i="1"/>
  <c r="BT102" i="1"/>
  <c r="AW114" i="1"/>
  <c r="BP88" i="1"/>
  <c r="BC92" i="1"/>
  <c r="BU87" i="1"/>
  <c r="BM91" i="1"/>
  <c r="AX106" i="1"/>
  <c r="M190" i="1"/>
  <c r="N203" i="1"/>
  <c r="D141" i="1"/>
  <c r="V134" i="1"/>
  <c r="M146" i="1"/>
  <c r="Q140" i="1"/>
  <c r="B185" i="1"/>
  <c r="Q198" i="1"/>
  <c r="O208" i="1"/>
  <c r="H211" i="1"/>
  <c r="H246" i="1" s="1"/>
  <c r="K191" i="1"/>
  <c r="E146" i="1"/>
  <c r="U184" i="1"/>
  <c r="AI114" i="1"/>
  <c r="AS87" i="1"/>
  <c r="BP118" i="1"/>
  <c r="BT118" i="1"/>
  <c r="BU99" i="1"/>
  <c r="BU260" i="1" s="1"/>
  <c r="AN92" i="1"/>
  <c r="BN106" i="1"/>
  <c r="BM72" i="1"/>
  <c r="BO102" i="1"/>
  <c r="BP73" i="1"/>
  <c r="BR88" i="1"/>
  <c r="BK79" i="1"/>
  <c r="BN91" i="1"/>
  <c r="BQ87" i="1"/>
  <c r="BJ141" i="1"/>
  <c r="BH217" i="1"/>
  <c r="BI217" i="1" s="1"/>
  <c r="S198" i="1"/>
  <c r="U219" i="1"/>
  <c r="U249" i="1" s="1"/>
  <c r="S236" i="1"/>
  <c r="O140" i="1"/>
  <c r="S216" i="1"/>
  <c r="W225" i="1"/>
  <c r="BQ88" i="1"/>
  <c r="AN114" i="1"/>
  <c r="BI92" i="1"/>
  <c r="BR79" i="1"/>
  <c r="BS92" i="1"/>
  <c r="BT77" i="1"/>
  <c r="BW102" i="1"/>
  <c r="AW106" i="1"/>
  <c r="AY113" i="1"/>
  <c r="AN91" i="1"/>
  <c r="W219" i="1"/>
  <c r="V210" i="1"/>
  <c r="V245" i="1" s="1"/>
  <c r="D219" i="1"/>
  <c r="D249" i="1" s="1"/>
  <c r="K188" i="1"/>
  <c r="K134" i="1"/>
  <c r="U213" i="1"/>
  <c r="N225" i="1"/>
  <c r="R203" i="1"/>
  <c r="BB73" i="1"/>
  <c r="BT114" i="1"/>
  <c r="AW78" i="1"/>
  <c r="BH103" i="1"/>
  <c r="AU79" i="1"/>
  <c r="BE99" i="1"/>
  <c r="BE260" i="1" s="1"/>
  <c r="BH193" i="1"/>
  <c r="BI193" i="1" s="1"/>
  <c r="AO77" i="1"/>
  <c r="AO87" i="1"/>
  <c r="BQ112" i="1"/>
  <c r="AI112" i="1"/>
  <c r="BK118" i="1"/>
  <c r="AY91" i="1"/>
  <c r="BV112" i="1"/>
  <c r="BH102" i="1"/>
  <c r="AS92" i="1"/>
  <c r="AS79" i="1"/>
  <c r="BD78" i="1"/>
  <c r="AK140" i="1"/>
  <c r="AZ91" i="1"/>
  <c r="BN102" i="1"/>
  <c r="AI99" i="1"/>
  <c r="AI260" i="1" s="1"/>
  <c r="BH215" i="1"/>
  <c r="BI215" i="1" s="1"/>
  <c r="BV185" i="1"/>
  <c r="BH208" i="1"/>
  <c r="BI208" i="1" s="1"/>
  <c r="BH197" i="1"/>
  <c r="E238" i="1"/>
  <c r="L184" i="1"/>
  <c r="T199" i="1"/>
  <c r="O188" i="1"/>
  <c r="O211" i="1"/>
  <c r="O246" i="1" s="1"/>
  <c r="O193" i="1"/>
  <c r="D192" i="1"/>
  <c r="D220" i="1" s="1"/>
  <c r="F201" i="1"/>
  <c r="F197" i="1" s="1"/>
  <c r="E188" i="1"/>
  <c r="P215" i="1"/>
  <c r="R193" i="1"/>
  <c r="P201" i="1"/>
  <c r="P197" i="1" s="1"/>
  <c r="D213" i="1"/>
  <c r="S193" i="1"/>
  <c r="D193" i="1"/>
  <c r="M201" i="1"/>
  <c r="M197" i="1" s="1"/>
  <c r="D238" i="1"/>
  <c r="I141" i="1"/>
  <c r="E185" i="1"/>
  <c r="I184" i="1"/>
  <c r="N216" i="1"/>
  <c r="K212" i="1"/>
  <c r="Q238" i="1"/>
  <c r="G193" i="1"/>
  <c r="F238" i="1"/>
  <c r="G212" i="1"/>
  <c r="H201" i="1"/>
  <c r="H197" i="1" s="1"/>
  <c r="J203" i="1"/>
  <c r="V219" i="1"/>
  <c r="V249" i="1" s="1"/>
  <c r="E202" i="1"/>
  <c r="V184" i="1"/>
  <c r="W190" i="1"/>
  <c r="R146" i="1"/>
  <c r="K183" i="1"/>
  <c r="G237" i="1"/>
  <c r="I221" i="1"/>
  <c r="N221" i="1"/>
  <c r="B206" i="1"/>
  <c r="R185" i="1"/>
  <c r="H210" i="1"/>
  <c r="H245" i="1" s="1"/>
  <c r="Q191" i="1"/>
  <c r="H230" i="1"/>
  <c r="C215" i="1"/>
  <c r="I183" i="1"/>
  <c r="U229" i="1"/>
  <c r="P146" i="1"/>
  <c r="M188" i="1"/>
  <c r="K237" i="1"/>
  <c r="P236" i="1"/>
  <c r="C238" i="1"/>
  <c r="L238" i="1"/>
  <c r="O210" i="1"/>
  <c r="O245" i="1" s="1"/>
  <c r="L191" i="1"/>
  <c r="R213" i="1"/>
  <c r="T221" i="1"/>
  <c r="BD102" i="1"/>
  <c r="AZ92" i="1"/>
  <c r="BB91" i="1"/>
  <c r="AI77" i="1"/>
  <c r="BG73" i="1"/>
  <c r="BA73" i="1"/>
  <c r="BK78" i="1"/>
  <c r="AR112" i="1"/>
  <c r="BW77" i="1"/>
  <c r="AV114" i="1"/>
  <c r="BG106" i="1"/>
  <c r="BQ118" i="1"/>
  <c r="BW114" i="1"/>
  <c r="BN114" i="1"/>
  <c r="BB72" i="1"/>
  <c r="BB297" i="1" s="1"/>
  <c r="BU78" i="1"/>
  <c r="BP89" i="1"/>
  <c r="BH113" i="1"/>
  <c r="BA103" i="1"/>
  <c r="AM140" i="1"/>
  <c r="AV79" i="1"/>
  <c r="BK99" i="1"/>
  <c r="BK260" i="1" s="1"/>
  <c r="BV89" i="1"/>
  <c r="AO89" i="1"/>
  <c r="BA72" i="1"/>
  <c r="BA297" i="1" s="1"/>
  <c r="AO90" i="1"/>
  <c r="BI91" i="1"/>
  <c r="AQ87" i="1"/>
  <c r="BH78" i="1"/>
  <c r="BO112" i="1"/>
  <c r="BH77" i="1"/>
  <c r="AX72" i="1"/>
  <c r="AX297" i="1" s="1"/>
  <c r="AT87" i="1"/>
  <c r="AP89" i="1"/>
  <c r="AS73" i="1"/>
  <c r="AP103" i="1"/>
  <c r="BQ91" i="1"/>
  <c r="BS79" i="1"/>
  <c r="AO88" i="1"/>
  <c r="AS106" i="1"/>
  <c r="BS88" i="1"/>
  <c r="AS113" i="1"/>
  <c r="AI87" i="1"/>
  <c r="BV201" i="1"/>
  <c r="BW201" i="1" s="1"/>
  <c r="BH190" i="1"/>
  <c r="BI190" i="1" s="1"/>
  <c r="BV208" i="1"/>
  <c r="BW208" i="1" s="1"/>
  <c r="BH184" i="1"/>
  <c r="BI184" i="1" s="1"/>
  <c r="T216" i="1"/>
  <c r="H209" i="1"/>
  <c r="C141" i="1"/>
  <c r="G221" i="1"/>
  <c r="U211" i="1"/>
  <c r="U246" i="1" s="1"/>
  <c r="I229" i="1"/>
  <c r="Q206" i="1"/>
  <c r="B238" i="1"/>
  <c r="I236" i="1"/>
  <c r="I192" i="1"/>
  <c r="I220" i="1" s="1"/>
  <c r="B144" i="1"/>
  <c r="N198" i="1"/>
  <c r="J208" i="1"/>
  <c r="H198" i="1"/>
  <c r="I134" i="1"/>
  <c r="V237" i="1"/>
  <c r="J190" i="1"/>
  <c r="V225" i="1"/>
  <c r="Q134" i="1"/>
  <c r="W146" i="1"/>
  <c r="K202" i="1"/>
  <c r="W221" i="1"/>
  <c r="V198" i="1"/>
  <c r="K145" i="1"/>
  <c r="N191" i="1"/>
  <c r="T217" i="1"/>
  <c r="AQ91" i="1"/>
  <c r="BW112" i="1"/>
  <c r="AQ88" i="1"/>
  <c r="BW99" i="1"/>
  <c r="BW260" i="1" s="1"/>
  <c r="BP87" i="1"/>
  <c r="AY103" i="1"/>
  <c r="AZ118" i="1"/>
  <c r="BO113" i="1"/>
  <c r="AN102" i="1"/>
  <c r="AI118" i="1"/>
  <c r="BQ79" i="1"/>
  <c r="BV88" i="1"/>
  <c r="BI118" i="1"/>
  <c r="AU99" i="1"/>
  <c r="AU260" i="1" s="1"/>
  <c r="AN73" i="1"/>
  <c r="BH192" i="1"/>
  <c r="BI192" i="1" s="1"/>
  <c r="C184" i="1"/>
  <c r="U188" i="1"/>
  <c r="S229" i="1"/>
  <c r="F236" i="1"/>
  <c r="M209" i="1"/>
  <c r="K206" i="1"/>
  <c r="B184" i="1"/>
  <c r="P211" i="1"/>
  <c r="P246" i="1" s="1"/>
  <c r="O202" i="1"/>
  <c r="E209" i="1"/>
  <c r="J141" i="1"/>
  <c r="AR113" i="1"/>
  <c r="AR77" i="1"/>
  <c r="BT89" i="1"/>
  <c r="AU103" i="1"/>
  <c r="AS78" i="1"/>
  <c r="BG77" i="1"/>
  <c r="AV113" i="1"/>
  <c r="AX92" i="1"/>
  <c r="BV210" i="1"/>
  <c r="K230" i="1"/>
  <c r="BS72" i="1"/>
  <c r="BS297" i="1" s="1"/>
  <c r="AX102" i="1"/>
  <c r="BG79" i="1"/>
  <c r="AZ87" i="1"/>
  <c r="BW118" i="1"/>
  <c r="AX99" i="1"/>
  <c r="AX260" i="1" s="1"/>
  <c r="AI92" i="1"/>
  <c r="AS114" i="1"/>
  <c r="AR73" i="1"/>
  <c r="AR106" i="1"/>
  <c r="F184" i="1"/>
  <c r="V201" i="1"/>
  <c r="V197" i="1" s="1"/>
  <c r="W192" i="1"/>
  <c r="W220" i="1" s="1"/>
  <c r="C130" i="1"/>
  <c r="E199" i="1"/>
  <c r="J202" i="1"/>
  <c r="S190" i="1"/>
  <c r="R191" i="1"/>
  <c r="E201" i="1"/>
  <c r="E197" i="1" s="1"/>
  <c r="Q192" i="1"/>
  <c r="Q220" i="1" s="1"/>
  <c r="E144" i="1"/>
  <c r="T206" i="1"/>
  <c r="U208" i="1"/>
  <c r="I238" i="1"/>
  <c r="N145" i="1"/>
  <c r="R221" i="1"/>
  <c r="N209" i="1"/>
  <c r="V191" i="1"/>
  <c r="BO114" i="1"/>
  <c r="BK114" i="1"/>
  <c r="BD72" i="1"/>
  <c r="BJ106" i="1"/>
  <c r="BW88" i="1"/>
  <c r="AT91" i="1"/>
  <c r="AU90" i="1"/>
  <c r="BM73" i="1"/>
  <c r="BV91" i="1"/>
  <c r="BK89" i="1"/>
  <c r="BR77" i="1"/>
  <c r="AT113" i="1"/>
  <c r="BD88" i="1"/>
  <c r="BN118" i="1"/>
  <c r="AT112" i="1"/>
  <c r="BV103" i="1"/>
  <c r="P190" i="1"/>
  <c r="L203" i="1"/>
  <c r="E193" i="1"/>
  <c r="Q213" i="1"/>
  <c r="R145" i="1"/>
  <c r="W134" i="1"/>
  <c r="D130" i="1"/>
  <c r="L210" i="1"/>
  <c r="L245" i="1" s="1"/>
  <c r="BO106" i="1"/>
  <c r="AZ77" i="1"/>
  <c r="BN90" i="1"/>
  <c r="BF92" i="1"/>
  <c r="M230" i="1"/>
  <c r="N236" i="1"/>
  <c r="R236" i="1"/>
  <c r="Q201" i="1"/>
  <c r="Q197" i="1" s="1"/>
  <c r="AI89" i="1"/>
  <c r="BJ114" i="1"/>
  <c r="AN77" i="1"/>
  <c r="BD90" i="1"/>
  <c r="BH140" i="1"/>
  <c r="BN73" i="1"/>
  <c r="AX87" i="1"/>
  <c r="BD106" i="1"/>
  <c r="AN89" i="1"/>
  <c r="BV79" i="1"/>
  <c r="BA99" i="1"/>
  <c r="BA260" i="1" s="1"/>
  <c r="AW102" i="1"/>
  <c r="AU92" i="1"/>
  <c r="BT113" i="1"/>
  <c r="BM92" i="1"/>
  <c r="BT78" i="1"/>
  <c r="BA79" i="1"/>
  <c r="AT90" i="1"/>
  <c r="BN88" i="1"/>
  <c r="BC90" i="1"/>
  <c r="AX79" i="1"/>
  <c r="AV99" i="1"/>
  <c r="AV260" i="1" s="1"/>
  <c r="BP113" i="1"/>
  <c r="BE90" i="1"/>
  <c r="BP114" i="1"/>
  <c r="AW90" i="1"/>
  <c r="BJ103" i="1"/>
  <c r="BJ318" i="1" s="1"/>
  <c r="BE73" i="1"/>
  <c r="AT118" i="1"/>
  <c r="BR87" i="1"/>
  <c r="BD114" i="1"/>
  <c r="BD103" i="1"/>
  <c r="BE88" i="1"/>
  <c r="BI103" i="1"/>
  <c r="BB103" i="1"/>
  <c r="BC72" i="1"/>
  <c r="BC297" i="1" s="1"/>
  <c r="AX91" i="1"/>
  <c r="AI91" i="1"/>
  <c r="AQ102" i="1"/>
  <c r="BQ106" i="1"/>
  <c r="BF113" i="1"/>
  <c r="BO92" i="1"/>
  <c r="BF79" i="1"/>
  <c r="BJ73" i="1"/>
  <c r="BJ74" i="1" s="1"/>
  <c r="BD112" i="1"/>
  <c r="BK77" i="1"/>
  <c r="AS77" i="1"/>
  <c r="BH230" i="1"/>
  <c r="BI230" i="1" s="1"/>
  <c r="BH199" i="1"/>
  <c r="BV191" i="1"/>
  <c r="BW191" i="1" s="1"/>
  <c r="BV226" i="1"/>
  <c r="BH226" i="1"/>
  <c r="R199" i="1"/>
  <c r="W140" i="1"/>
  <c r="P209" i="1"/>
  <c r="H225" i="1"/>
  <c r="C193" i="1"/>
  <c r="Q145" i="1"/>
  <c r="N217" i="1"/>
  <c r="I211" i="1"/>
  <c r="I246" i="1" s="1"/>
  <c r="F219" i="1"/>
  <c r="F249" i="1" s="1"/>
  <c r="M212" i="1"/>
  <c r="S206" i="1"/>
  <c r="E212" i="1"/>
  <c r="W193" i="1"/>
  <c r="L185" i="1"/>
  <c r="H185" i="1"/>
  <c r="V183" i="1"/>
  <c r="B131" i="1"/>
  <c r="S183" i="1"/>
  <c r="N134" i="1"/>
  <c r="P212" i="1"/>
  <c r="W184" i="1"/>
  <c r="B221" i="1"/>
  <c r="C201" i="1"/>
  <c r="S212" i="1"/>
  <c r="V229" i="1"/>
  <c r="T188" i="1"/>
  <c r="T226" i="1"/>
  <c r="E229" i="1"/>
  <c r="G183" i="1"/>
  <c r="R212" i="1"/>
  <c r="G201" i="1"/>
  <c r="G197" i="1" s="1"/>
  <c r="O192" i="1"/>
  <c r="O220" i="1" s="1"/>
  <c r="D185" i="1"/>
  <c r="I213" i="1"/>
  <c r="O184" i="1"/>
  <c r="V209" i="1"/>
  <c r="J146" i="1"/>
  <c r="G140" i="1"/>
  <c r="B203" i="1"/>
  <c r="Q237" i="1"/>
  <c r="H236" i="1"/>
  <c r="N183" i="1"/>
  <c r="G134" i="1"/>
  <c r="U145" i="1"/>
  <c r="B183" i="1"/>
  <c r="U236" i="1"/>
  <c r="T219" i="1"/>
  <c r="T249" i="1" s="1"/>
  <c r="H146" i="1"/>
  <c r="O230" i="1"/>
  <c r="K219" i="1"/>
  <c r="K249" i="1" s="1"/>
  <c r="S188" i="1"/>
  <c r="N141" i="1"/>
  <c r="BW91" i="1"/>
  <c r="BA91" i="1"/>
  <c r="AX88" i="1"/>
  <c r="BV106" i="1"/>
  <c r="BS77" i="1"/>
  <c r="BD118" i="1"/>
  <c r="AZ72" i="1"/>
  <c r="AZ297" i="1" s="1"/>
  <c r="BM103" i="1"/>
  <c r="AS88" i="1"/>
  <c r="BG92" i="1"/>
  <c r="BE92" i="1"/>
  <c r="AS118" i="1"/>
  <c r="BF89" i="1"/>
  <c r="AT72" i="1"/>
  <c r="AT297" i="1" s="1"/>
  <c r="AP72" i="1"/>
  <c r="AP297" i="1" s="1"/>
  <c r="AW72" i="1"/>
  <c r="BQ113" i="1"/>
  <c r="BS102" i="1"/>
  <c r="AQ77" i="1"/>
  <c r="BP78" i="1"/>
  <c r="BR112" i="1"/>
  <c r="AS72" i="1"/>
  <c r="AS297" i="1" s="1"/>
  <c r="BT90" i="1"/>
  <c r="BV92" i="1"/>
  <c r="AP92" i="1"/>
  <c r="AN118" i="1"/>
  <c r="BN79" i="1"/>
  <c r="AV73" i="1"/>
  <c r="AS103" i="1"/>
  <c r="BV72" i="1"/>
  <c r="BV297" i="1" s="1"/>
  <c r="BV102" i="1"/>
  <c r="BN92" i="1"/>
  <c r="BW89" i="1"/>
  <c r="AQ106" i="1"/>
  <c r="AX113" i="1"/>
  <c r="BP103" i="1"/>
  <c r="AR103" i="1"/>
  <c r="BP91" i="1"/>
  <c r="BH212" i="1"/>
  <c r="BI212" i="1" s="1"/>
  <c r="AI140" i="1"/>
  <c r="BV192" i="1"/>
  <c r="BW192" i="1" s="1"/>
  <c r="BH185" i="1"/>
  <c r="L190" i="1"/>
  <c r="M221" i="1"/>
  <c r="N215" i="1"/>
  <c r="T236" i="1"/>
  <c r="C202" i="1"/>
  <c r="B134" i="1"/>
  <c r="L216" i="1"/>
  <c r="N212" i="1"/>
  <c r="M141" i="1"/>
  <c r="K213" i="1"/>
  <c r="S230" i="1"/>
  <c r="C206" i="1"/>
  <c r="K229" i="1"/>
  <c r="C192" i="1"/>
  <c r="C220" i="1" s="1"/>
  <c r="M217" i="1"/>
  <c r="K210" i="1"/>
  <c r="K245" i="1" s="1"/>
  <c r="R229" i="1"/>
  <c r="P191" i="1"/>
  <c r="T190" i="1"/>
  <c r="V230" i="1"/>
  <c r="E192" i="1"/>
  <c r="E220" i="1" s="1"/>
  <c r="B229" i="1"/>
  <c r="Q212" i="1"/>
  <c r="E183" i="1"/>
  <c r="F209" i="1"/>
  <c r="L192" i="1"/>
  <c r="L220" i="1" s="1"/>
  <c r="AQ73" i="1"/>
  <c r="BF118" i="1"/>
  <c r="BW103" i="1"/>
  <c r="AW77" i="1"/>
  <c r="BV113" i="1"/>
  <c r="BS99" i="1"/>
  <c r="BS260" i="1" s="1"/>
  <c r="AU77" i="1"/>
  <c r="AO113" i="1"/>
  <c r="BU112" i="1"/>
  <c r="BG118" i="1"/>
  <c r="BF78" i="1"/>
  <c r="BB78" i="1"/>
  <c r="AR79" i="1"/>
  <c r="AO102" i="1"/>
  <c r="BV219" i="1"/>
  <c r="W213" i="1"/>
  <c r="J221" i="1"/>
  <c r="R225" i="1"/>
  <c r="P183" i="1"/>
  <c r="D216" i="1"/>
  <c r="L141" i="1"/>
  <c r="Q193" i="1"/>
  <c r="V185" i="1"/>
  <c r="J201" i="1"/>
  <c r="J197" i="1" s="1"/>
  <c r="G216" i="1"/>
  <c r="BN78" i="1"/>
  <c r="BT92" i="1"/>
  <c r="BR102" i="1"/>
  <c r="AQ78" i="1"/>
  <c r="BO103" i="1"/>
  <c r="BN103" i="1"/>
  <c r="BE102" i="1"/>
  <c r="BF114" i="1"/>
  <c r="AV88" i="1"/>
  <c r="BM77" i="1"/>
  <c r="BC87" i="1"/>
  <c r="AN99" i="1"/>
  <c r="AN260" i="1" s="1"/>
  <c r="AX103" i="1"/>
  <c r="BH209" i="1"/>
  <c r="BI209" i="1" s="1"/>
  <c r="F230" i="1"/>
  <c r="BU113" i="1"/>
  <c r="BR103" i="1"/>
  <c r="AP102" i="1"/>
  <c r="BQ73" i="1"/>
  <c r="BH114" i="1"/>
  <c r="BM87" i="1"/>
  <c r="BS78" i="1"/>
  <c r="BC106" i="1"/>
  <c r="BE72" i="1"/>
  <c r="BE297" i="1" s="1"/>
  <c r="BJ113" i="1"/>
  <c r="BN87" i="1"/>
  <c r="BR73" i="1"/>
  <c r="BV140" i="1"/>
  <c r="BV221" i="1"/>
  <c r="BW221" i="1" s="1"/>
  <c r="BV199" i="1"/>
  <c r="D191" i="1"/>
  <c r="O191" i="1"/>
  <c r="F192" i="1"/>
  <c r="F220" i="1" s="1"/>
  <c r="L237" i="1"/>
  <c r="D230" i="1"/>
  <c r="C210" i="1"/>
  <c r="C245" i="1" s="1"/>
  <c r="D203" i="1"/>
  <c r="H145" i="1"/>
  <c r="P202" i="1"/>
  <c r="I190" i="1"/>
  <c r="B208" i="1"/>
  <c r="N219" i="1"/>
  <c r="N249" i="1" s="1"/>
  <c r="I215" i="1"/>
  <c r="L134" i="1"/>
  <c r="F206" i="1"/>
  <c r="BC91" i="1"/>
  <c r="AQ114" i="1"/>
  <c r="BH88" i="1"/>
  <c r="BJ118" i="1"/>
  <c r="BC102" i="1"/>
  <c r="BF87" i="1"/>
  <c r="AV92" i="1"/>
  <c r="BJ87" i="1"/>
  <c r="BJ93" i="1" s="1"/>
  <c r="AQ72" i="1"/>
  <c r="AQ297" i="1" s="1"/>
  <c r="AJ141" i="1"/>
  <c r="AZ88" i="1"/>
  <c r="BM114" i="1"/>
  <c r="AY112" i="1"/>
  <c r="BE112" i="1"/>
  <c r="AM118" i="1"/>
  <c r="BB88" i="1"/>
  <c r="BH218" i="1"/>
  <c r="BI218" i="1" s="1"/>
  <c r="U237" i="1"/>
  <c r="P208" i="1"/>
  <c r="F134" i="1"/>
  <c r="H193" i="1"/>
  <c r="J237" i="1"/>
  <c r="J188" i="1"/>
  <c r="J229" i="1"/>
  <c r="AZ106" i="1"/>
  <c r="K226" i="1"/>
  <c r="K221" i="1"/>
  <c r="BA87" i="1"/>
  <c r="BR90" i="1"/>
  <c r="AP113" i="1"/>
  <c r="BJ112" i="1"/>
  <c r="BW113" i="1"/>
  <c r="AR78" i="1"/>
  <c r="AY106" i="1"/>
  <c r="BE114" i="1"/>
  <c r="BS112" i="1"/>
  <c r="BS91" i="1"/>
  <c r="BV73" i="1"/>
  <c r="BF73" i="1"/>
  <c r="BK91" i="1"/>
  <c r="BO73" i="1"/>
  <c r="AV91" i="1"/>
  <c r="AX77" i="1"/>
  <c r="BB79" i="1"/>
  <c r="BO118" i="1"/>
  <c r="BU102" i="1"/>
  <c r="AK141" i="1"/>
  <c r="BR92" i="1"/>
  <c r="BW87" i="1"/>
  <c r="BH118" i="1"/>
  <c r="AX90" i="1"/>
  <c r="AU72" i="1"/>
  <c r="AU297" i="1" s="1"/>
  <c r="AQ118" i="1"/>
  <c r="BV99" i="1"/>
  <c r="BV260" i="1" s="1"/>
  <c r="BB112" i="1"/>
  <c r="AN87" i="1"/>
  <c r="BS114" i="1"/>
  <c r="BI106" i="1"/>
  <c r="BM99" i="1"/>
  <c r="AO114" i="1"/>
  <c r="BO87" i="1"/>
  <c r="AV103" i="1"/>
  <c r="BK87" i="1"/>
  <c r="BO88" i="1"/>
  <c r="AO99" i="1"/>
  <c r="AO260" i="1" s="1"/>
  <c r="BE91" i="1"/>
  <c r="BV77" i="1"/>
  <c r="AX89" i="1"/>
  <c r="BV198" i="1"/>
  <c r="BV211" i="1"/>
  <c r="BH141" i="1"/>
  <c r="B192" i="1"/>
  <c r="B220" i="1" s="1"/>
  <c r="V140" i="1"/>
  <c r="D226" i="1"/>
  <c r="K203" i="1"/>
  <c r="P216" i="1"/>
  <c r="M198" i="1"/>
  <c r="F199" i="1"/>
  <c r="J209" i="1"/>
  <c r="O221" i="1"/>
  <c r="H134" i="1"/>
  <c r="L202" i="1"/>
  <c r="W185" i="1"/>
  <c r="R230" i="1"/>
  <c r="H192" i="1"/>
  <c r="H220" i="1" s="1"/>
  <c r="C237" i="1"/>
  <c r="W145" i="1"/>
  <c r="U193" i="1"/>
  <c r="T211" i="1"/>
  <c r="T246" i="1" s="1"/>
  <c r="J191" i="1"/>
  <c r="V203" i="1"/>
  <c r="I202" i="1"/>
  <c r="W216" i="1"/>
  <c r="T209" i="1"/>
  <c r="T230" i="1"/>
  <c r="H190" i="1"/>
  <c r="F221" i="1"/>
  <c r="W141" i="1"/>
  <c r="B190" i="1"/>
  <c r="E208" i="1"/>
  <c r="O183" i="1"/>
  <c r="N144" i="1"/>
  <c r="Q221" i="1"/>
  <c r="E184" i="1"/>
  <c r="R209" i="1"/>
  <c r="I217" i="1"/>
  <c r="E206" i="1"/>
  <c r="R201" i="1"/>
  <c r="R197" i="1" s="1"/>
  <c r="O212" i="1"/>
  <c r="W215" i="1"/>
  <c r="P198" i="1"/>
  <c r="H183" i="1"/>
  <c r="J210" i="1"/>
  <c r="J245" i="1" s="1"/>
  <c r="I206" i="1"/>
  <c r="G141" i="1"/>
  <c r="W209" i="1"/>
  <c r="W144" i="1"/>
  <c r="T213" i="1"/>
  <c r="W206" i="1"/>
  <c r="X268" i="1" s="1"/>
  <c r="S210" i="1"/>
  <c r="S245" i="1" s="1"/>
  <c r="F185" i="1"/>
  <c r="I219" i="1"/>
  <c r="I249" i="1" s="1"/>
  <c r="AI79" i="1"/>
  <c r="BN89" i="1"/>
  <c r="BC73" i="1"/>
  <c r="BN72" i="1"/>
  <c r="BA88" i="1"/>
  <c r="BR113" i="1"/>
  <c r="BE118" i="1"/>
  <c r="BI78" i="1"/>
  <c r="AR91" i="1"/>
  <c r="BC118" i="1"/>
  <c r="BA90" i="1"/>
  <c r="BI114" i="1"/>
  <c r="AI72" i="1"/>
  <c r="AI245" i="1" s="1"/>
  <c r="BA102" i="1"/>
  <c r="BM112" i="1"/>
  <c r="AT99" i="1"/>
  <c r="AT260" i="1" s="1"/>
  <c r="BG102" i="1"/>
  <c r="BT106" i="1"/>
  <c r="AT106" i="1"/>
  <c r="AZ79" i="1"/>
  <c r="BC79" i="1"/>
  <c r="AX118" i="1"/>
  <c r="BU103" i="1"/>
  <c r="BN113" i="1"/>
  <c r="AR88" i="1"/>
  <c r="BG72" i="1"/>
  <c r="BG297" i="1" s="1"/>
  <c r="BB106" i="1"/>
  <c r="BU90" i="1"/>
  <c r="AI103" i="1"/>
  <c r="AM113" i="1"/>
  <c r="BG91" i="1"/>
  <c r="AS102" i="1"/>
  <c r="AZ112" i="1"/>
  <c r="BS103" i="1"/>
  <c r="BJ99" i="1"/>
  <c r="BJ319" i="1" s="1"/>
  <c r="BW106" i="1"/>
  <c r="AI102" i="1"/>
  <c r="BO72" i="1"/>
  <c r="BO297" i="1" s="1"/>
  <c r="BV188" i="1"/>
  <c r="BW188" i="1" s="1"/>
  <c r="BH183" i="1"/>
  <c r="BI183" i="1" s="1"/>
  <c r="BV209" i="1"/>
  <c r="BW209" i="1" s="1"/>
  <c r="BH201" i="1"/>
  <c r="BI201" i="1" s="1"/>
  <c r="BH216" i="1"/>
  <c r="BI216" i="1" s="1"/>
  <c r="R237" i="1"/>
  <c r="J211" i="1"/>
  <c r="J246" i="1" s="1"/>
  <c r="U202" i="1"/>
  <c r="O229" i="1"/>
  <c r="G202" i="1"/>
  <c r="G184" i="1"/>
  <c r="L212" i="1"/>
  <c r="H184" i="1"/>
  <c r="M185" i="1"/>
  <c r="P199" i="1"/>
  <c r="O146" i="1"/>
  <c r="Q225" i="1"/>
  <c r="W208" i="1"/>
  <c r="N192" i="1"/>
  <c r="N220" i="1" s="1"/>
  <c r="W212" i="1"/>
  <c r="L201" i="1"/>
  <c r="L197" i="1" s="1"/>
  <c r="M191" i="1"/>
  <c r="I225" i="1"/>
  <c r="P192" i="1"/>
  <c r="P220" i="1" s="1"/>
  <c r="C188" i="1"/>
  <c r="U192" i="1"/>
  <c r="U220" i="1" s="1"/>
  <c r="D217" i="1"/>
  <c r="F146" i="1"/>
  <c r="D144" i="1"/>
  <c r="BB99" i="1"/>
  <c r="BB260" i="1" s="1"/>
  <c r="BM88" i="1"/>
  <c r="BA89" i="1"/>
  <c r="BD73" i="1"/>
  <c r="BR78" i="1"/>
  <c r="BU106" i="1"/>
  <c r="BU77" i="1"/>
  <c r="AM141" i="1"/>
  <c r="AT73" i="1"/>
  <c r="BC78" i="1"/>
  <c r="BK90" i="1"/>
  <c r="AN90" i="1"/>
  <c r="AV112" i="1"/>
  <c r="BV230" i="1"/>
  <c r="BW230" i="1" s="1"/>
  <c r="S238" i="1"/>
  <c r="P145" i="1"/>
  <c r="O144" i="1"/>
  <c r="C221" i="1"/>
  <c r="M199" i="1"/>
  <c r="F208" i="1"/>
  <c r="V215" i="1"/>
  <c r="BM113" i="1"/>
  <c r="BI112" i="1"/>
  <c r="BU118" i="1"/>
  <c r="AZ89" i="1"/>
  <c r="AQ90" i="1"/>
  <c r="AW92" i="1"/>
  <c r="BS106" i="1"/>
  <c r="AZ78" i="1"/>
  <c r="BP92" i="1"/>
  <c r="BW72" i="1"/>
  <c r="BZ165" i="1" s="1"/>
  <c r="BZ166" i="1" s="1"/>
  <c r="BF103" i="1"/>
  <c r="BV215" i="1"/>
  <c r="BW215" i="1" s="1"/>
  <c r="BH206" i="1"/>
  <c r="BI206" i="1" s="1"/>
  <c r="BJ268" i="1" s="1"/>
  <c r="J198" i="1"/>
  <c r="G238" i="1"/>
  <c r="I188" i="1"/>
  <c r="M219" i="1"/>
  <c r="M249" i="1" s="1"/>
  <c r="M206" i="1"/>
  <c r="T185" i="1"/>
  <c r="V188" i="1"/>
  <c r="O238" i="1"/>
  <c r="O201" i="1"/>
  <c r="O197" i="1" s="1"/>
  <c r="K199" i="1"/>
  <c r="M184" i="1"/>
  <c r="B219" i="1"/>
  <c r="B249" i="1" s="1"/>
  <c r="W210" i="1"/>
  <c r="G206" i="1"/>
  <c r="Q230" i="1"/>
  <c r="D206" i="1"/>
  <c r="E191" i="1"/>
  <c r="F237" i="1"/>
  <c r="G215" i="1"/>
  <c r="D236" i="1"/>
  <c r="H208" i="1"/>
  <c r="K211" i="1"/>
  <c r="K246" i="1" s="1"/>
  <c r="C217" i="1"/>
  <c r="K185" i="1"/>
  <c r="P210" i="1"/>
  <c r="P245" i="1" s="1"/>
  <c r="R226" i="1"/>
  <c r="C198" i="1"/>
  <c r="S185" i="1"/>
  <c r="C197" i="1"/>
  <c r="G191" i="1"/>
  <c r="S141" i="1"/>
  <c r="V146" i="1"/>
  <c r="I185" i="1"/>
  <c r="O236" i="1"/>
  <c r="O237" i="1"/>
  <c r="S146" i="1"/>
  <c r="N193" i="1"/>
  <c r="J193" i="1"/>
  <c r="BV212" i="1"/>
  <c r="BW212" i="1" s="1"/>
  <c r="T141" i="1"/>
  <c r="U230" i="1"/>
  <c r="I203" i="1"/>
  <c r="F210" i="1"/>
  <c r="F245" i="1" s="1"/>
  <c r="L199" i="1"/>
  <c r="L193" i="1"/>
  <c r="I216" i="1"/>
  <c r="V199" i="1"/>
  <c r="S201" i="1"/>
  <c r="S197" i="1" s="1"/>
  <c r="J226" i="1"/>
  <c r="C209" i="1"/>
  <c r="Q209" i="1"/>
  <c r="G203" i="1"/>
  <c r="H188" i="1"/>
  <c r="M225" i="1"/>
  <c r="M144" i="1"/>
  <c r="B202" i="1"/>
  <c r="U190" i="1"/>
  <c r="D215" i="1"/>
  <c r="E140" i="1"/>
  <c r="K209" i="1"/>
  <c r="K193" i="1"/>
  <c r="R206" i="1"/>
  <c r="R210" i="1"/>
  <c r="R245" i="1" s="1"/>
  <c r="I210" i="1"/>
  <c r="I245" i="1" s="1"/>
  <c r="N188" i="1"/>
  <c r="G209" i="1"/>
  <c r="V236" i="1"/>
  <c r="S191" i="1"/>
  <c r="S225" i="1"/>
  <c r="V208" i="1"/>
  <c r="U216" i="1"/>
  <c r="C208" i="1"/>
  <c r="F191" i="1"/>
  <c r="U226" i="1"/>
  <c r="S208" i="1"/>
  <c r="D229" i="1"/>
  <c r="Q144" i="1"/>
  <c r="S203" i="1"/>
  <c r="C191" i="1"/>
  <c r="F190" i="1"/>
  <c r="I226" i="1"/>
  <c r="C236" i="1"/>
  <c r="H191" i="1"/>
  <c r="N202" i="1"/>
  <c r="G225" i="1"/>
  <c r="S199" i="1"/>
  <c r="H199" i="1"/>
  <c r="N237" i="1"/>
  <c r="M216" i="1"/>
  <c r="H221" i="1"/>
  <c r="U144" i="1"/>
  <c r="P141" i="1"/>
  <c r="BB92" i="1"/>
  <c r="AI88" i="1"/>
  <c r="BB113" i="1"/>
  <c r="BV118" i="1"/>
  <c r="BV87" i="1"/>
  <c r="BO90" i="1"/>
  <c r="AX78" i="1"/>
  <c r="AM112" i="1"/>
  <c r="BC103" i="1"/>
  <c r="AQ103" i="1"/>
  <c r="BJ140" i="1"/>
  <c r="BD89" i="1"/>
  <c r="AY73" i="1"/>
  <c r="BA118" i="1"/>
  <c r="BS89" i="1"/>
  <c r="BK88" i="1"/>
  <c r="AT79" i="1"/>
  <c r="AO79" i="1"/>
  <c r="BG89" i="1"/>
  <c r="BE113" i="1"/>
  <c r="BA106" i="1"/>
  <c r="BI87" i="1"/>
  <c r="BG88" i="1"/>
  <c r="BA113" i="1"/>
  <c r="AW99" i="1"/>
  <c r="AW260" i="1" s="1"/>
  <c r="BI90" i="1"/>
  <c r="AO112" i="1"/>
  <c r="BI88" i="1"/>
  <c r="AQ92" i="1"/>
  <c r="BH72" i="1"/>
  <c r="BH297" i="1" s="1"/>
  <c r="AO106" i="1"/>
  <c r="BM102" i="1"/>
  <c r="BA78" i="1"/>
  <c r="BT72" i="1"/>
  <c r="BT297" i="1" s="1"/>
  <c r="BH87" i="1"/>
  <c r="BH79" i="1"/>
  <c r="BH89" i="1"/>
  <c r="BE89" i="1"/>
  <c r="AN72" i="1"/>
  <c r="AN297" i="1" s="1"/>
  <c r="BO79" i="1"/>
  <c r="AU87" i="1"/>
  <c r="AY88" i="1"/>
  <c r="AT114" i="1"/>
  <c r="BH213" i="1"/>
  <c r="BI213" i="1" s="1"/>
  <c r="BV184" i="1"/>
  <c r="BW184" i="1" s="1"/>
  <c r="BV193" i="1"/>
  <c r="BW193" i="1" s="1"/>
  <c r="B198" i="1"/>
  <c r="N146" i="1"/>
  <c r="L146" i="1"/>
  <c r="B237" i="1"/>
  <c r="R219" i="1"/>
  <c r="R249" i="1" s="1"/>
  <c r="T146" i="1"/>
  <c r="B216" i="1"/>
  <c r="R184" i="1"/>
  <c r="W201" i="1"/>
  <c r="W197" i="1" s="1"/>
  <c r="D209" i="1"/>
  <c r="Q188" i="1"/>
  <c r="U146" i="1"/>
  <c r="R134" i="1"/>
  <c r="R141" i="1"/>
  <c r="I201" i="1"/>
  <c r="I197" i="1" s="1"/>
  <c r="V226" i="1"/>
  <c r="C211" i="1"/>
  <c r="C246" i="1" s="1"/>
  <c r="I199" i="1"/>
  <c r="D145" i="1"/>
  <c r="M237" i="1"/>
  <c r="O185" i="1"/>
  <c r="V144" i="1"/>
  <c r="U215" i="1"/>
  <c r="K146" i="1"/>
  <c r="W237" i="1"/>
  <c r="J134" i="1"/>
  <c r="T192" i="1"/>
  <c r="T220" i="1" s="1"/>
  <c r="U206" i="1"/>
  <c r="U191" i="1"/>
  <c r="Q216" i="1"/>
  <c r="G192" i="1"/>
  <c r="G220" i="1" s="1"/>
  <c r="O213" i="1"/>
  <c r="Q236" i="1"/>
  <c r="J192" i="1"/>
  <c r="J220" i="1" s="1"/>
  <c r="S219" i="1"/>
  <c r="S249" i="1" s="1"/>
  <c r="L188" i="1"/>
  <c r="K215" i="1"/>
  <c r="N185" i="1"/>
  <c r="P229" i="1"/>
  <c r="P206" i="1"/>
  <c r="O145" i="1"/>
  <c r="K140" i="1"/>
  <c r="K217" i="1"/>
  <c r="E198" i="1"/>
  <c r="U225" i="1"/>
  <c r="E213" i="1"/>
  <c r="H144" i="1"/>
  <c r="F211" i="1"/>
  <c r="F246" i="1" s="1"/>
  <c r="E134" i="1"/>
  <c r="Q217" i="1"/>
  <c r="H226" i="1"/>
  <c r="C226" i="1"/>
  <c r="R192" i="1"/>
  <c r="R220" i="1" s="1"/>
  <c r="K201" i="1"/>
  <c r="K197" i="1" s="1"/>
  <c r="O216" i="1"/>
  <c r="P185" i="1"/>
  <c r="U221" i="1"/>
  <c r="AW91" i="1"/>
  <c r="BD79" i="1"/>
  <c r="AY89" i="1"/>
  <c r="AW89" i="1"/>
  <c r="AR87" i="1"/>
  <c r="AY92" i="1"/>
  <c r="BB118" i="1"/>
  <c r="BM78" i="1"/>
  <c r="BB87" i="1"/>
  <c r="AW118" i="1"/>
  <c r="AQ79" i="1"/>
  <c r="BT79" i="1"/>
  <c r="BD91" i="1"/>
  <c r="BA112" i="1"/>
  <c r="AR92" i="1"/>
  <c r="BR72" i="1"/>
  <c r="BR297" i="1" s="1"/>
  <c r="AV118" i="1"/>
  <c r="BW92" i="1"/>
  <c r="BK102" i="1"/>
  <c r="BO89" i="1"/>
  <c r="AV106" i="1"/>
  <c r="AY87" i="1"/>
  <c r="BK72" i="1"/>
  <c r="BR118" i="1"/>
  <c r="BW78" i="1"/>
  <c r="BC88" i="1"/>
  <c r="BU79" i="1"/>
  <c r="AP91" i="1"/>
  <c r="AX73" i="1"/>
  <c r="AZ99" i="1"/>
  <c r="AZ260" i="1" s="1"/>
  <c r="AO92" i="1"/>
  <c r="AU89" i="1"/>
  <c r="AY79" i="1"/>
  <c r="AU113" i="1"/>
  <c r="AI78" i="1"/>
  <c r="BS87" i="1"/>
  <c r="AN79" i="1"/>
  <c r="BU73" i="1"/>
  <c r="BG112" i="1"/>
  <c r="AS112" i="1"/>
  <c r="BF72" i="1"/>
  <c r="BF297" i="1" s="1"/>
  <c r="AU102" i="1"/>
  <c r="AN112" i="1"/>
  <c r="BV213" i="1"/>
  <c r="BW213" i="1" s="1"/>
  <c r="BH225" i="1"/>
  <c r="BH188" i="1"/>
  <c r="BI188" i="1" s="1"/>
  <c r="U212" i="1"/>
  <c r="D211" i="1"/>
  <c r="D246" i="1" s="1"/>
  <c r="J199" i="1"/>
  <c r="G188" i="1"/>
  <c r="W226" i="1"/>
  <c r="O134" i="1"/>
  <c r="E211" i="1"/>
  <c r="E246" i="1" s="1"/>
  <c r="E236" i="1"/>
  <c r="C203" i="1"/>
  <c r="F213" i="1"/>
  <c r="G146" i="1"/>
  <c r="B130" i="1"/>
  <c r="M229" i="1"/>
  <c r="T238" i="1"/>
  <c r="T144" i="1"/>
  <c r="B211" i="1"/>
  <c r="B246" i="1" s="1"/>
  <c r="L208" i="1"/>
  <c r="F198" i="1"/>
  <c r="D208" i="1"/>
  <c r="D202" i="1"/>
  <c r="B201" i="1"/>
  <c r="I209" i="1"/>
  <c r="B145" i="1"/>
  <c r="E216" i="1"/>
  <c r="M213" i="1"/>
  <c r="S145" i="1"/>
  <c r="I146" i="1"/>
  <c r="U201" i="1"/>
  <c r="U197" i="1" s="1"/>
  <c r="S213" i="1"/>
  <c r="O226" i="1"/>
  <c r="R198" i="1"/>
  <c r="N184" i="1"/>
  <c r="V190" i="1"/>
  <c r="P217" i="1"/>
  <c r="K216" i="1"/>
  <c r="K208" i="1"/>
  <c r="H141" i="1"/>
  <c r="V206" i="1"/>
  <c r="T183" i="1"/>
  <c r="S215" i="1"/>
  <c r="O206" i="1"/>
  <c r="W199" i="1"/>
  <c r="C230" i="1"/>
  <c r="L221" i="1"/>
  <c r="N229" i="1"/>
  <c r="B191" i="1"/>
  <c r="O198" i="1"/>
  <c r="E226" i="1"/>
  <c r="E227" i="1" s="1"/>
  <c r="F275" i="1" s="1"/>
  <c r="I140" i="1"/>
  <c r="V238" i="1"/>
  <c r="E190" i="1"/>
  <c r="W230" i="1"/>
  <c r="T184" i="1"/>
  <c r="J145" i="1"/>
  <c r="W211" i="1"/>
  <c r="J225" i="1"/>
  <c r="F183" i="1"/>
  <c r="O215" i="1"/>
  <c r="BK103" i="1"/>
  <c r="BH73" i="1"/>
  <c r="BF77" i="1"/>
  <c r="BC114" i="1"/>
  <c r="AS91" i="1"/>
  <c r="BV78" i="1"/>
  <c r="AZ102" i="1"/>
  <c r="BH198" i="1"/>
  <c r="BV203" i="1"/>
  <c r="BW203" i="1" s="1"/>
  <c r="BV220" i="1"/>
  <c r="BW220" i="1" s="1"/>
  <c r="BH221" i="1"/>
  <c r="BI221" i="1" s="1"/>
  <c r="BV217" i="1"/>
  <c r="BW217" i="1" s="1"/>
  <c r="BH210" i="1"/>
  <c r="W188" i="1"/>
  <c r="S134" i="1"/>
  <c r="H212" i="1"/>
  <c r="V217" i="1"/>
  <c r="S221" i="1"/>
  <c r="D140" i="1"/>
  <c r="H238" i="1"/>
  <c r="C225" i="1"/>
  <c r="H216" i="1"/>
  <c r="C185" i="1"/>
  <c r="F229" i="1"/>
  <c r="F193" i="1"/>
  <c r="W191" i="1"/>
  <c r="C199" i="1"/>
  <c r="Q210" i="1"/>
  <c r="Q245" i="1" s="1"/>
  <c r="N213" i="1"/>
  <c r="C140" i="1"/>
  <c r="P140" i="1"/>
  <c r="Q190" i="1"/>
  <c r="D221" i="1"/>
  <c r="R238" i="1"/>
  <c r="T215" i="1"/>
  <c r="T203" i="1"/>
  <c r="L229" i="1"/>
  <c r="S202" i="1"/>
  <c r="J184" i="1"/>
  <c r="C212" i="1"/>
  <c r="C229" i="1"/>
  <c r="D183" i="1"/>
  <c r="Q146" i="1"/>
  <c r="N230" i="1"/>
  <c r="D190" i="1"/>
  <c r="E230" i="1"/>
  <c r="E237" i="1"/>
  <c r="B209" i="1"/>
  <c r="S184" i="1"/>
  <c r="F141" i="1"/>
  <c r="C146" i="1"/>
  <c r="Q226" i="1"/>
  <c r="E141" i="1"/>
  <c r="F145" i="1"/>
  <c r="H202" i="1"/>
  <c r="S211" i="1"/>
  <c r="S246" i="1" s="1"/>
  <c r="M202" i="1"/>
  <c r="S209" i="1"/>
  <c r="H229" i="1"/>
  <c r="Q203" i="1"/>
  <c r="G185" i="1"/>
  <c r="D237" i="1"/>
  <c r="G145" i="1"/>
  <c r="BM79" i="1"/>
  <c r="BM90" i="1"/>
  <c r="AW73" i="1"/>
  <c r="BG113" i="1"/>
  <c r="BK92" i="1"/>
  <c r="BE87" i="1"/>
  <c r="BQ89" i="1"/>
  <c r="AV78" i="1"/>
  <c r="BO91" i="1"/>
  <c r="BI113" i="1"/>
  <c r="AI106" i="1"/>
  <c r="BB102" i="1"/>
  <c r="BP106" i="1"/>
  <c r="AP90" i="1"/>
  <c r="BQ92" i="1"/>
  <c r="BW79" i="1"/>
  <c r="AW103" i="1"/>
  <c r="BU72" i="1"/>
  <c r="BU297" i="1" s="1"/>
  <c r="AY90" i="1"/>
  <c r="AU112" i="1"/>
  <c r="BH91" i="1"/>
  <c r="BQ102" i="1"/>
  <c r="BF90" i="1"/>
  <c r="BI77" i="1"/>
  <c r="BQ114" i="1"/>
  <c r="BP77" i="1"/>
  <c r="AP99" i="1"/>
  <c r="AP260" i="1" s="1"/>
  <c r="BK113" i="1"/>
  <c r="BQ72" i="1"/>
  <c r="BT88" i="1"/>
  <c r="BT87" i="1"/>
  <c r="BR114" i="1"/>
  <c r="BT99" i="1"/>
  <c r="BT260" i="1" s="1"/>
  <c r="BR106" i="1"/>
  <c r="AU114" i="1"/>
  <c r="AP106" i="1"/>
  <c r="BQ77" i="1"/>
  <c r="AP87" i="1"/>
  <c r="BH106" i="1"/>
  <c r="BN77" i="1"/>
  <c r="AR114" i="1"/>
  <c r="BT91" i="1"/>
  <c r="AX114" i="1"/>
  <c r="AO103" i="1"/>
  <c r="AU73" i="1"/>
  <c r="BP90" i="1"/>
  <c r="BF99" i="1"/>
  <c r="BF260" i="1" s="1"/>
  <c r="AZ113" i="1"/>
  <c r="BS90" i="1"/>
  <c r="BD99" i="1"/>
  <c r="BD260" i="1" s="1"/>
  <c r="BC89" i="1"/>
  <c r="BG78" i="1"/>
  <c r="BQ78" i="1"/>
  <c r="BU92" i="1"/>
  <c r="BM118" i="1"/>
  <c r="AP88" i="1"/>
  <c r="BV190" i="1"/>
  <c r="BW190" i="1" s="1"/>
  <c r="BV183" i="1"/>
  <c r="BW183" i="1" s="1"/>
  <c r="D184" i="1"/>
  <c r="W236" i="1"/>
  <c r="B146" i="1"/>
  <c r="B212" i="1"/>
  <c r="I237" i="1"/>
  <c r="F226" i="1"/>
  <c r="J183" i="1"/>
  <c r="C144" i="1"/>
  <c r="S217" i="1"/>
  <c r="J236" i="1"/>
  <c r="G144" i="1"/>
  <c r="R190" i="1"/>
  <c r="G190" i="1"/>
  <c r="B225" i="1"/>
  <c r="J206" i="1"/>
  <c r="T140" i="1"/>
  <c r="G217" i="1"/>
  <c r="E219" i="1"/>
  <c r="E249" i="1" s="1"/>
  <c r="S144" i="1"/>
  <c r="H140" i="1"/>
  <c r="D146" i="1"/>
  <c r="R215" i="1"/>
  <c r="J216" i="1"/>
  <c r="B188" i="1"/>
  <c r="H215" i="1"/>
  <c r="Q199" i="1"/>
  <c r="R202" i="1"/>
  <c r="O190" i="1"/>
  <c r="V193" i="1"/>
  <c r="E210" i="1"/>
  <c r="E245" i="1" s="1"/>
  <c r="P237" i="1"/>
  <c r="O225" i="1"/>
  <c r="R140" i="1"/>
  <c r="C134" i="1"/>
  <c r="V211" i="1"/>
  <c r="V246" i="1" s="1"/>
  <c r="Q184" i="1"/>
  <c r="T202" i="1"/>
  <c r="U185" i="1"/>
  <c r="M226" i="1"/>
  <c r="I230" i="1"/>
  <c r="B236" i="1"/>
  <c r="T210" i="1"/>
  <c r="T245" i="1" s="1"/>
  <c r="J238" i="1"/>
  <c r="U199" i="1"/>
  <c r="D198" i="1"/>
  <c r="P134" i="1"/>
  <c r="J215" i="1"/>
  <c r="Q183" i="1"/>
  <c r="E215" i="1"/>
  <c r="N211" i="1"/>
  <c r="N246" i="1" s="1"/>
  <c r="T229" i="1"/>
  <c r="M192" i="1"/>
  <c r="M220" i="1" s="1"/>
  <c r="BW73" i="1"/>
  <c r="AU78" i="1"/>
  <c r="AT103" i="1"/>
  <c r="AS89" i="1"/>
  <c r="AW79" i="1"/>
  <c r="AP77" i="1"/>
  <c r="BQ103" i="1"/>
  <c r="BQ318" i="1" s="1"/>
  <c r="AO91" i="1"/>
  <c r="BG99" i="1"/>
  <c r="BG260" i="1" s="1"/>
  <c r="BB90" i="1"/>
  <c r="BI79" i="1"/>
  <c r="BR99" i="1"/>
  <c r="AY72" i="1"/>
  <c r="BH99" i="1"/>
  <c r="BH260" i="1" s="1"/>
  <c r="BQ90" i="1"/>
  <c r="BI99" i="1"/>
  <c r="AN88" i="1"/>
  <c r="BU91" i="1"/>
  <c r="BA114" i="1"/>
  <c r="AO72" i="1"/>
  <c r="AO297" i="1" s="1"/>
  <c r="BD87" i="1"/>
  <c r="BC113" i="1"/>
  <c r="BW90" i="1"/>
  <c r="BP79" i="1"/>
  <c r="BO99" i="1"/>
  <c r="BO260" i="1" s="1"/>
  <c r="AZ114" i="1"/>
  <c r="AR102" i="1"/>
  <c r="BI72" i="1"/>
  <c r="BI297" i="1" s="1"/>
  <c r="BG87" i="1"/>
  <c r="AV72" i="1"/>
  <c r="AV297" i="1" s="1"/>
  <c r="BV90" i="1"/>
  <c r="BT103" i="1"/>
  <c r="AR72" i="1"/>
  <c r="AR297" i="1" s="1"/>
  <c r="AP118" i="1"/>
  <c r="BD92" i="1"/>
  <c r="BE103" i="1"/>
  <c r="BE79" i="1"/>
  <c r="BC112" i="1"/>
  <c r="BD113" i="1"/>
  <c r="AW113" i="1"/>
  <c r="BF112" i="1"/>
  <c r="AP78" i="1"/>
  <c r="BG103" i="1"/>
  <c r="BC99" i="1"/>
  <c r="BC260" i="1" s="1"/>
  <c r="BI89" i="1"/>
  <c r="BH203" i="1"/>
  <c r="BI203" i="1" s="1"/>
  <c r="BV206" i="1"/>
  <c r="BW206" i="1" s="1"/>
  <c r="BX268" i="1" s="1"/>
  <c r="BH211" i="1"/>
  <c r="BH229" i="1"/>
  <c r="BI229" i="1" s="1"/>
  <c r="BV197" i="1"/>
  <c r="E203" i="1"/>
  <c r="G210" i="1"/>
  <c r="G245" i="1" s="1"/>
  <c r="F212" i="1"/>
  <c r="C183" i="1"/>
  <c r="F203" i="1"/>
  <c r="T134" i="1"/>
  <c r="T201" i="1"/>
  <c r="T197" i="1" s="1"/>
  <c r="B226" i="1"/>
  <c r="L198" i="1"/>
  <c r="J140" i="1"/>
  <c r="B230" i="1"/>
  <c r="P184" i="1"/>
  <c r="L225" i="1"/>
  <c r="B217" i="1"/>
  <c r="N238" i="1"/>
  <c r="Q208" i="1"/>
  <c r="E145" i="1"/>
  <c r="U183" i="1"/>
  <c r="U198" i="1"/>
  <c r="T237" i="1"/>
  <c r="R208" i="1"/>
  <c r="L140" i="1"/>
  <c r="W203" i="1"/>
  <c r="V213" i="1"/>
  <c r="L183" i="1"/>
  <c r="G208" i="1"/>
  <c r="Q229" i="1"/>
  <c r="I212" i="1"/>
  <c r="N208" i="1"/>
  <c r="V145" i="1"/>
  <c r="Q211" i="1"/>
  <c r="Q246" i="1" s="1"/>
  <c r="U141" i="1"/>
  <c r="V202" i="1"/>
  <c r="B210" i="1"/>
  <c r="B245" i="1" s="1"/>
  <c r="U217" i="1"/>
  <c r="N206" i="1"/>
  <c r="L219" i="1"/>
  <c r="L249" i="1" s="1"/>
  <c r="M145" i="1"/>
  <c r="H217" i="1"/>
  <c r="S237" i="1"/>
  <c r="G226" i="1"/>
  <c r="M238" i="1"/>
  <c r="N210" i="1"/>
  <c r="N245" i="1" s="1"/>
  <c r="I208" i="1"/>
  <c r="S226" i="1"/>
  <c r="F144" i="1"/>
  <c r="K192" i="1"/>
  <c r="K220" i="1" s="1"/>
  <c r="I145" i="1"/>
  <c r="K198" i="1"/>
  <c r="R144" i="1"/>
  <c r="C216" i="1"/>
  <c r="P230" i="1"/>
  <c r="U203" i="1"/>
  <c r="L144" i="1"/>
  <c r="T225" i="1"/>
  <c r="V221" i="1"/>
  <c r="H219" i="1"/>
  <c r="H249" i="1" s="1"/>
  <c r="J217" i="1"/>
  <c r="R211" i="1"/>
  <c r="R246" i="1" s="1"/>
  <c r="L213" i="1"/>
  <c r="K238" i="1"/>
  <c r="I193" i="1"/>
  <c r="B215" i="1"/>
  <c r="O199" i="1"/>
  <c r="G199" i="1"/>
  <c r="D134" i="1"/>
  <c r="L236" i="1"/>
  <c r="K236" i="1"/>
  <c r="H237" i="1"/>
  <c r="G230" i="1"/>
  <c r="BP72" i="1"/>
  <c r="BP297" i="1" s="1"/>
  <c r="BM106" i="1"/>
  <c r="BJ102" i="1"/>
  <c r="BB77" i="1"/>
  <c r="AQ112" i="1"/>
  <c r="BE77" i="1"/>
  <c r="BE78" i="1"/>
  <c r="BQ99" i="1"/>
  <c r="BQ260" i="1" s="1"/>
  <c r="BH92" i="1"/>
  <c r="AP114" i="1"/>
  <c r="BF88" i="1"/>
  <c r="AT78" i="1"/>
  <c r="BB114" i="1"/>
  <c r="AX112" i="1"/>
  <c r="AP79" i="1"/>
  <c r="BU114" i="1"/>
  <c r="BS118" i="1"/>
  <c r="BG114" i="1"/>
  <c r="AY99" i="1"/>
  <c r="AY260" i="1" s="1"/>
  <c r="AN78" i="1"/>
  <c r="BF91" i="1"/>
  <c r="AN106" i="1"/>
  <c r="AQ99" i="1"/>
  <c r="AT88" i="1"/>
  <c r="AS99" i="1"/>
  <c r="BS113" i="1"/>
  <c r="BR89" i="1"/>
  <c r="AZ73" i="1"/>
  <c r="AI73" i="1"/>
  <c r="AO73" i="1"/>
  <c r="BU89" i="1"/>
  <c r="AR118" i="1"/>
  <c r="AY114" i="1"/>
  <c r="AP73" i="1"/>
  <c r="BG90" i="1"/>
  <c r="BF102" i="1"/>
  <c r="BN112" i="1"/>
  <c r="BK106" i="1"/>
  <c r="AY102" i="1"/>
  <c r="AQ89" i="1"/>
  <c r="BM89" i="1"/>
  <c r="BS73" i="1"/>
  <c r="AN103" i="1"/>
  <c r="AN113" i="1"/>
  <c r="AV87" i="1"/>
  <c r="AR99" i="1"/>
  <c r="AR260" i="1" s="1"/>
  <c r="AV89" i="1"/>
  <c r="BT112" i="1"/>
  <c r="BV114" i="1"/>
  <c r="AP112" i="1"/>
  <c r="AM114" i="1"/>
  <c r="BO77" i="1"/>
  <c r="BB89" i="1"/>
  <c r="AT77" i="1"/>
  <c r="AQ113" i="1"/>
  <c r="BH112" i="1"/>
  <c r="AW88" i="1"/>
  <c r="AV77" i="1"/>
  <c r="AT92" i="1"/>
  <c r="AZ103" i="1"/>
  <c r="BH220" i="1"/>
  <c r="BI220" i="1" s="1"/>
  <c r="BV225" i="1"/>
  <c r="BH191" i="1"/>
  <c r="BI191" i="1" s="1"/>
  <c r="BH219" i="1"/>
  <c r="M211" i="1"/>
  <c r="M246" i="1" s="1"/>
  <c r="W202" i="1"/>
  <c r="B193" i="1"/>
  <c r="F216" i="1"/>
  <c r="J144" i="1"/>
  <c r="G211" i="1"/>
  <c r="G246" i="1" s="1"/>
  <c r="V212" i="1"/>
  <c r="J230" i="1"/>
  <c r="Q202" i="1"/>
  <c r="M134" i="1"/>
  <c r="B213" i="1"/>
  <c r="G213" i="1"/>
  <c r="Q185" i="1"/>
  <c r="P213" i="1"/>
  <c r="N199" i="1"/>
  <c r="U238" i="1"/>
  <c r="R183" i="1"/>
  <c r="L145" i="1"/>
  <c r="D131" i="1"/>
  <c r="F215" i="1"/>
  <c r="S192" i="1"/>
  <c r="S220" i="1" s="1"/>
  <c r="L209" i="1"/>
  <c r="B197" i="1"/>
  <c r="R188" i="1"/>
  <c r="F217" i="1"/>
  <c r="C219" i="1"/>
  <c r="C249" i="1" s="1"/>
  <c r="L217" i="1"/>
  <c r="P238" i="1"/>
  <c r="I144" i="1"/>
  <c r="G236" i="1"/>
  <c r="F140" i="1"/>
  <c r="L211" i="1"/>
  <c r="L246" i="1" s="1"/>
  <c r="U134" i="1"/>
  <c r="K190" i="1"/>
  <c r="L226" i="1"/>
  <c r="C131" i="1"/>
  <c r="M183" i="1"/>
  <c r="D212" i="1"/>
  <c r="T193" i="1"/>
  <c r="O219" i="1"/>
  <c r="O249" i="1" s="1"/>
  <c r="U209" i="1"/>
  <c r="E217" i="1"/>
  <c r="T191" i="1"/>
  <c r="W238" i="1"/>
  <c r="P203" i="1"/>
  <c r="E221" i="1"/>
  <c r="D199" i="1"/>
  <c r="H213" i="1"/>
  <c r="J212" i="1"/>
  <c r="H206" i="1"/>
  <c r="M215" i="1"/>
  <c r="R216" i="1"/>
  <c r="M193" i="1"/>
  <c r="M236" i="1"/>
  <c r="O209" i="1"/>
  <c r="C213" i="1"/>
  <c r="D225" i="1"/>
  <c r="F225" i="1"/>
  <c r="P188" i="1"/>
  <c r="AI113" i="1"/>
  <c r="AS90" i="1"/>
  <c r="AT89" i="1"/>
  <c r="AV90" i="1"/>
  <c r="AY77" i="1"/>
  <c r="AT102" i="1"/>
  <c r="AJ140" i="1"/>
  <c r="AW87" i="1"/>
  <c r="BE106" i="1"/>
  <c r="BA77" i="1"/>
  <c r="AO78" i="1"/>
  <c r="BR91" i="1"/>
  <c r="BN99" i="1"/>
  <c r="BN100" i="1" s="1"/>
  <c r="BP99" i="1"/>
  <c r="BP260" i="1" s="1"/>
  <c r="BU88" i="1"/>
  <c r="BF106" i="1"/>
  <c r="BC77" i="1"/>
  <c r="AO118" i="1"/>
  <c r="BI102" i="1"/>
  <c r="AR89" i="1"/>
  <c r="BP112" i="1"/>
  <c r="AR90" i="1"/>
  <c r="BP102" i="1"/>
  <c r="AU88" i="1"/>
  <c r="AU118" i="1"/>
  <c r="BT73" i="1"/>
  <c r="BD77" i="1"/>
  <c r="AY118" i="1"/>
  <c r="BK112" i="1"/>
  <c r="AU91" i="1"/>
  <c r="BA92" i="1"/>
  <c r="AY78" i="1"/>
  <c r="BI73" i="1"/>
  <c r="AU106" i="1"/>
  <c r="AW112" i="1"/>
  <c r="BO78" i="1"/>
  <c r="BV141" i="1"/>
  <c r="BV218" i="1"/>
  <c r="BW218" i="1" s="1"/>
  <c r="BV216" i="1"/>
  <c r="BW216" i="1" s="1"/>
  <c r="BV229" i="1"/>
  <c r="BW229" i="1" s="1"/>
  <c r="N190" i="1"/>
  <c r="C145" i="1"/>
  <c r="Q215" i="1"/>
  <c r="T145" i="1"/>
  <c r="M203" i="1"/>
  <c r="K184" i="1"/>
  <c r="O217" i="1"/>
  <c r="K144" i="1"/>
  <c r="G198" i="1"/>
  <c r="S140" i="1"/>
  <c r="R217" i="1"/>
  <c r="I191" i="1"/>
  <c r="W217" i="1"/>
  <c r="N140" i="1"/>
  <c r="L230" i="1"/>
  <c r="U140" i="1"/>
  <c r="P225" i="1"/>
  <c r="P227" i="1" s="1"/>
  <c r="Q275" i="1" s="1"/>
  <c r="V216" i="1"/>
  <c r="Q141" i="1"/>
  <c r="F202" i="1"/>
  <c r="N201" i="1"/>
  <c r="N197" i="1" s="1"/>
  <c r="U210" i="1"/>
  <c r="U245" i="1" s="1"/>
  <c r="T198" i="1"/>
  <c r="I198" i="1"/>
  <c r="P144" i="1"/>
  <c r="B199" i="1"/>
  <c r="M210" i="1"/>
  <c r="M245" i="1" s="1"/>
  <c r="M208" i="1"/>
  <c r="V192" i="1"/>
  <c r="V220" i="1" s="1"/>
  <c r="K141" i="1"/>
  <c r="J213" i="1"/>
  <c r="N226" i="1"/>
  <c r="V141" i="1"/>
  <c r="M140" i="1"/>
  <c r="O203" i="1"/>
  <c r="F188" i="1"/>
  <c r="L215" i="1"/>
  <c r="W229" i="1"/>
  <c r="D201" i="1"/>
  <c r="H203" i="1"/>
  <c r="D210" i="1"/>
  <c r="D245" i="1" s="1"/>
  <c r="D197" i="1"/>
  <c r="T208" i="1"/>
  <c r="K225" i="1"/>
  <c r="J219" i="1"/>
  <c r="J249" i="1" s="1"/>
  <c r="T212" i="1"/>
  <c r="O141" i="1"/>
  <c r="L206" i="1"/>
  <c r="AX206" i="1"/>
  <c r="AY206" i="1" s="1"/>
  <c r="AZ219" i="1"/>
  <c r="AZ220" i="1"/>
  <c r="BA220" i="1" s="1"/>
  <c r="BP221" i="1"/>
  <c r="BQ221" i="1" s="1"/>
  <c r="BP140" i="1"/>
  <c r="BF191" i="1"/>
  <c r="BG191" i="1" s="1"/>
  <c r="AP212" i="1"/>
  <c r="AQ212" i="1" s="1"/>
  <c r="BI140" i="1"/>
  <c r="AX210" i="1"/>
  <c r="BD201" i="1"/>
  <c r="BE201" i="1" s="1"/>
  <c r="AZ183" i="1"/>
  <c r="BA183" i="1" s="1"/>
  <c r="BN230" i="1"/>
  <c r="BO230" i="1" s="1"/>
  <c r="BN185" i="1"/>
  <c r="AX184" i="1"/>
  <c r="AY184" i="1" s="1"/>
  <c r="BW141" i="1"/>
  <c r="BN192" i="1"/>
  <c r="BO192" i="1" s="1"/>
  <c r="AX217" i="1"/>
  <c r="AY217" i="1" s="1"/>
  <c r="AP191" i="1"/>
  <c r="AQ191" i="1" s="1"/>
  <c r="AT197" i="1"/>
  <c r="AZ197" i="1"/>
  <c r="BR193" i="1"/>
  <c r="BS193" i="1" s="1"/>
  <c r="AP209" i="1"/>
  <c r="AQ209" i="1" s="1"/>
  <c r="AV201" i="1"/>
  <c r="AW201" i="1" s="1"/>
  <c r="BB201" i="1"/>
  <c r="BC201" i="1" s="1"/>
  <c r="AN183" i="1"/>
  <c r="AT217" i="1"/>
  <c r="AU217" i="1" s="1"/>
  <c r="AX141" i="1"/>
  <c r="BN188" i="1"/>
  <c r="BO188" i="1" s="1"/>
  <c r="BP193" i="1"/>
  <c r="BQ193" i="1" s="1"/>
  <c r="AZ226" i="1"/>
  <c r="AW140" i="1"/>
  <c r="BP192" i="1"/>
  <c r="BQ192" i="1" s="1"/>
  <c r="BD218" i="1"/>
  <c r="BE218" i="1" s="1"/>
  <c r="AZ208" i="1"/>
  <c r="BA208" i="1" s="1"/>
  <c r="BD226" i="1"/>
  <c r="BN218" i="1"/>
  <c r="BO218" i="1" s="1"/>
  <c r="BD215" i="1"/>
  <c r="BE215" i="1" s="1"/>
  <c r="BM141" i="1"/>
  <c r="BN193" i="1"/>
  <c r="BO193" i="1" s="1"/>
  <c r="BR198" i="1"/>
  <c r="BP210" i="1"/>
  <c r="AT225" i="1"/>
  <c r="AZ201" i="1"/>
  <c r="BA201" i="1" s="1"/>
  <c r="BP190" i="1"/>
  <c r="BQ190" i="1" s="1"/>
  <c r="BP208" i="1"/>
  <c r="BQ208" i="1" s="1"/>
  <c r="AX140" i="1"/>
  <c r="AX213" i="1"/>
  <c r="AY213" i="1" s="1"/>
  <c r="AX218" i="1"/>
  <c r="AY218" i="1" s="1"/>
  <c r="BB190" i="1"/>
  <c r="AZ213" i="1"/>
  <c r="BA213" i="1" s="1"/>
  <c r="AV210" i="1"/>
  <c r="BW140" i="1"/>
  <c r="BN221" i="1"/>
  <c r="BO221" i="1" s="1"/>
  <c r="BR215" i="1"/>
  <c r="BS215" i="1" s="1"/>
  <c r="BP185" i="1"/>
  <c r="BR140" i="1"/>
  <c r="BB141" i="1"/>
  <c r="BD141" i="1"/>
  <c r="AT191" i="1"/>
  <c r="AU191" i="1" s="1"/>
  <c r="BN191" i="1"/>
  <c r="BO191" i="1" s="1"/>
  <c r="BB212" i="1"/>
  <c r="BC212" i="1" s="1"/>
  <c r="BF198" i="1"/>
  <c r="AT188" i="1"/>
  <c r="AU188" i="1" s="1"/>
  <c r="BB198" i="1"/>
  <c r="AN188" i="1"/>
  <c r="AO188" i="1" s="1"/>
  <c r="BB192" i="1"/>
  <c r="BC192" i="1" s="1"/>
  <c r="BP206" i="1"/>
  <c r="BQ206" i="1" s="1"/>
  <c r="AP206" i="1"/>
  <c r="AV206" i="1"/>
  <c r="AV216" i="1"/>
  <c r="AW216" i="1" s="1"/>
  <c r="AN184" i="1"/>
  <c r="AO184" i="1" s="1"/>
  <c r="AN141" i="1"/>
  <c r="AX188" i="1"/>
  <c r="AY188" i="1" s="1"/>
  <c r="AX226" i="1"/>
  <c r="BB185" i="1"/>
  <c r="AZ211" i="1"/>
  <c r="AP185" i="1"/>
  <c r="BR217" i="1"/>
  <c r="BS217" i="1" s="1"/>
  <c r="AT199" i="1"/>
  <c r="AX216" i="1"/>
  <c r="AY216" i="1" s="1"/>
  <c r="BN198" i="1"/>
  <c r="AY141" i="1"/>
  <c r="BR210" i="1"/>
  <c r="BB226" i="1"/>
  <c r="BD197" i="1"/>
  <c r="BA141" i="1"/>
  <c r="BR212" i="1"/>
  <c r="BS212" i="1" s="1"/>
  <c r="BB193" i="1"/>
  <c r="BC193" i="1" s="1"/>
  <c r="BP211" i="1"/>
  <c r="AT210" i="1"/>
  <c r="BC140" i="1"/>
  <c r="BD217" i="1"/>
  <c r="BE217" i="1" s="1"/>
  <c r="BR211" i="1"/>
  <c r="AV215" i="1"/>
  <c r="AW215" i="1" s="1"/>
  <c r="BN208" i="1"/>
  <c r="BO208" i="1" s="1"/>
  <c r="AZ210" i="1"/>
  <c r="AP190" i="1"/>
  <c r="AQ190" i="1" s="1"/>
  <c r="BP183" i="1"/>
  <c r="BQ183" i="1" s="1"/>
  <c r="BD192" i="1"/>
  <c r="BE192" i="1" s="1"/>
  <c r="BP198" i="1"/>
  <c r="AP216" i="1"/>
  <c r="AQ216" i="1" s="1"/>
  <c r="BD230" i="1"/>
  <c r="BE230" i="1" s="1"/>
  <c r="AV225" i="1"/>
  <c r="AV183" i="1"/>
  <c r="AW183" i="1" s="1"/>
  <c r="AZ206" i="1"/>
  <c r="BA206" i="1" s="1"/>
  <c r="AP229" i="1"/>
  <c r="AQ229" i="1" s="1"/>
  <c r="AP208" i="1"/>
  <c r="AN203" i="1"/>
  <c r="AO203" i="1" s="1"/>
  <c r="AV191" i="1"/>
  <c r="AW191" i="1" s="1"/>
  <c r="AV192" i="1"/>
  <c r="AW192" i="1" s="1"/>
  <c r="AV199" i="1"/>
  <c r="BP225" i="1"/>
  <c r="AN216" i="1"/>
  <c r="AO216" i="1" s="1"/>
  <c r="AN226" i="1"/>
  <c r="AV230" i="1"/>
  <c r="AW230" i="1" s="1"/>
  <c r="AN192" i="1"/>
  <c r="AO192" i="1" s="1"/>
  <c r="BB197" i="1"/>
  <c r="AV140" i="1"/>
  <c r="AV219" i="1"/>
  <c r="AT215" i="1"/>
  <c r="AU215" i="1" s="1"/>
  <c r="AT219" i="1"/>
  <c r="AP199" i="1"/>
  <c r="BN140" i="1"/>
  <c r="AV226" i="1"/>
  <c r="BP215" i="1"/>
  <c r="BQ215" i="1" s="1"/>
  <c r="AV217" i="1"/>
  <c r="AW217" i="1" s="1"/>
  <c r="BB211" i="1"/>
  <c r="AT184" i="1"/>
  <c r="AU184" i="1" s="1"/>
  <c r="BB206" i="1"/>
  <c r="BC206" i="1" s="1"/>
  <c r="BR201" i="1"/>
  <c r="BS201" i="1" s="1"/>
  <c r="BB219" i="1"/>
  <c r="BP219" i="1"/>
  <c r="AX221" i="1"/>
  <c r="AY221" i="1" s="1"/>
  <c r="BN225" i="1"/>
  <c r="AZ192" i="1"/>
  <c r="BA192" i="1" s="1"/>
  <c r="AX197" i="1"/>
  <c r="BN210" i="1"/>
  <c r="BR184" i="1"/>
  <c r="BS184" i="1" s="1"/>
  <c r="BS140" i="1"/>
  <c r="BQ141" i="1"/>
  <c r="AT201" i="1"/>
  <c r="AU201" i="1" s="1"/>
  <c r="AT192" i="1"/>
  <c r="AU192" i="1" s="1"/>
  <c r="AZ188" i="1"/>
  <c r="BA188" i="1" s="1"/>
  <c r="BD229" i="1"/>
  <c r="BE229" i="1" s="1"/>
  <c r="BB220" i="1"/>
  <c r="BC220" i="1" s="1"/>
  <c r="AX185" i="1"/>
  <c r="AX211" i="1"/>
  <c r="AZ199" i="1"/>
  <c r="AZ221" i="1"/>
  <c r="BA221" i="1" s="1"/>
  <c r="BD216" i="1"/>
  <c r="BE216" i="1" s="1"/>
  <c r="BN216" i="1"/>
  <c r="BO216" i="1" s="1"/>
  <c r="BR141" i="1"/>
  <c r="AZ193" i="1"/>
  <c r="BA193" i="1" s="1"/>
  <c r="BD212" i="1"/>
  <c r="BE212" i="1" s="1"/>
  <c r="BD190" i="1"/>
  <c r="BE190" i="1" s="1"/>
  <c r="BP141" i="1"/>
  <c r="AV220" i="1"/>
  <c r="AW220" i="1" s="1"/>
  <c r="BN141" i="1"/>
  <c r="BR230" i="1"/>
  <c r="BS230" i="1" s="1"/>
  <c r="AN230" i="1"/>
  <c r="AO230" i="1" s="1"/>
  <c r="AT216" i="1"/>
  <c r="AO140" i="1"/>
  <c r="AX215" i="1"/>
  <c r="AX198" i="1"/>
  <c r="BE140" i="1"/>
  <c r="BN199" i="1"/>
  <c r="BN229" i="1"/>
  <c r="BO229" i="1" s="1"/>
  <c r="BN190" i="1"/>
  <c r="BN211" i="1"/>
  <c r="BN220" i="1"/>
  <c r="BO220" i="1" s="1"/>
  <c r="AY140" i="1"/>
  <c r="BR208" i="1"/>
  <c r="BS208" i="1" s="1"/>
  <c r="BB215" i="1"/>
  <c r="BC215" i="1" s="1"/>
  <c r="BB217" i="1"/>
  <c r="BC217" i="1" s="1"/>
  <c r="AZ217" i="1"/>
  <c r="BA217" i="1" s="1"/>
  <c r="BP209" i="1"/>
  <c r="BQ209" i="1" s="1"/>
  <c r="BP217" i="1"/>
  <c r="BQ217" i="1" s="1"/>
  <c r="AP184" i="1"/>
  <c r="AQ184" i="1" s="1"/>
  <c r="AZ184" i="1"/>
  <c r="BA184" i="1" s="1"/>
  <c r="AX192" i="1"/>
  <c r="AY192" i="1" s="1"/>
  <c r="AX208" i="1"/>
  <c r="AY208" i="1" s="1"/>
  <c r="BN213" i="1"/>
  <c r="BO213" i="1" s="1"/>
  <c r="BR199" i="1"/>
  <c r="BR216" i="1"/>
  <c r="BS216" i="1" s="1"/>
  <c r="BB188" i="1"/>
  <c r="BC188" i="1" s="1"/>
  <c r="AZ198" i="1"/>
  <c r="AP215" i="1"/>
  <c r="AQ215" i="1" s="1"/>
  <c r="AW141" i="1"/>
  <c r="AS140" i="1"/>
  <c r="AT193" i="1"/>
  <c r="AU193" i="1" s="1"/>
  <c r="AT211" i="1"/>
  <c r="AT221" i="1"/>
  <c r="AU221" i="1" s="1"/>
  <c r="AT212" i="1"/>
  <c r="AU212" i="1" s="1"/>
  <c r="AT220" i="1"/>
  <c r="AU220" i="1" s="1"/>
  <c r="AT183" i="1"/>
  <c r="BB216" i="1"/>
  <c r="BC216" i="1" s="1"/>
  <c r="AZ229" i="1"/>
  <c r="BA229" i="1" s="1"/>
  <c r="AZ216" i="1"/>
  <c r="BA216" i="1" s="1"/>
  <c r="BD185" i="1"/>
  <c r="AP141" i="1"/>
  <c r="BG141" i="1"/>
  <c r="BF188" i="1"/>
  <c r="BG188" i="1" s="1"/>
  <c r="AZ230" i="1"/>
  <c r="BA230" i="1" s="1"/>
  <c r="BD208" i="1"/>
  <c r="BE208" i="1" s="1"/>
  <c r="BP188" i="1"/>
  <c r="BQ188" i="1" s="1"/>
  <c r="AP188" i="1"/>
  <c r="AQ188" i="1" s="1"/>
  <c r="AT209" i="1"/>
  <c r="AU209" i="1" s="1"/>
  <c r="AT185" i="1"/>
  <c r="BN219" i="1"/>
  <c r="BB199" i="1"/>
  <c r="BB208" i="1"/>
  <c r="BC208" i="1" s="1"/>
  <c r="AZ215" i="1"/>
  <c r="BA215" i="1" s="1"/>
  <c r="BP212" i="1"/>
  <c r="BQ212" i="1" s="1"/>
  <c r="AN212" i="1"/>
  <c r="AO212" i="1" s="1"/>
  <c r="BD219" i="1"/>
  <c r="AN225" i="1"/>
  <c r="AZ203" i="1"/>
  <c r="BA203" i="1" s="1"/>
  <c r="AP192" i="1"/>
  <c r="AQ192" i="1" s="1"/>
  <c r="AN218" i="1"/>
  <c r="AO218" i="1" s="1"/>
  <c r="AV212" i="1"/>
  <c r="AW212" i="1" s="1"/>
  <c r="BP218" i="1"/>
  <c r="BQ218" i="1" s="1"/>
  <c r="AN229" i="1"/>
  <c r="AO229" i="1" s="1"/>
  <c r="AV141" i="1"/>
  <c r="AP193" i="1"/>
  <c r="AQ193" i="1" s="1"/>
  <c r="AV184" i="1"/>
  <c r="AW184" i="1" s="1"/>
  <c r="AV229" i="1"/>
  <c r="AW229" i="1" s="1"/>
  <c r="AV190" i="1"/>
  <c r="BD140" i="1"/>
  <c r="AP219" i="1"/>
  <c r="BP199" i="1"/>
  <c r="BI141" i="1"/>
  <c r="AS141" i="1"/>
  <c r="AP226" i="1"/>
  <c r="AN220" i="1"/>
  <c r="AO220" i="1" s="1"/>
  <c r="AV193" i="1"/>
  <c r="AW193" i="1" s="1"/>
  <c r="BP220" i="1"/>
  <c r="BQ220" i="1" s="1"/>
  <c r="AN217" i="1"/>
  <c r="AO217" i="1" s="1"/>
  <c r="AN201" i="1"/>
  <c r="AO201" i="1" s="1"/>
  <c r="AV218" i="1"/>
  <c r="AW218" i="1" s="1"/>
  <c r="BQ140" i="1"/>
  <c r="AP140" i="1"/>
  <c r="AV208" i="1"/>
  <c r="AW208" i="1" s="1"/>
  <c r="AN209" i="1"/>
  <c r="AO209" i="1" s="1"/>
  <c r="AN198" i="1"/>
  <c r="AV211" i="1"/>
  <c r="AN208" i="1"/>
  <c r="AR192" i="1"/>
  <c r="AS192" i="1" s="1"/>
  <c r="AX219" i="1"/>
  <c r="BB140" i="1"/>
  <c r="AZ212" i="1"/>
  <c r="BA212" i="1" s="1"/>
  <c r="BD225" i="1"/>
  <c r="BK141" i="1"/>
  <c r="AX183" i="1"/>
  <c r="AX220" i="1"/>
  <c r="AY220" i="1" s="1"/>
  <c r="BB191" i="1"/>
  <c r="BC191" i="1" s="1"/>
  <c r="AX190" i="1"/>
  <c r="BR206" i="1"/>
  <c r="AP221" i="1"/>
  <c r="AQ221" i="1" s="1"/>
  <c r="AT230" i="1"/>
  <c r="AU230" i="1" s="1"/>
  <c r="AT218" i="1"/>
  <c r="AU218" i="1" s="1"/>
  <c r="BC141" i="1"/>
  <c r="AZ190" i="1"/>
  <c r="BA190" i="1" s="1"/>
  <c r="AT141" i="1"/>
  <c r="BB210" i="1"/>
  <c r="BB213" i="1"/>
  <c r="BC213" i="1" s="1"/>
  <c r="AN206" i="1"/>
  <c r="AN199" i="1"/>
  <c r="AP211" i="1"/>
  <c r="AV197" i="1"/>
  <c r="AX225" i="1"/>
  <c r="AX230" i="1"/>
  <c r="AY230" i="1" s="1"/>
  <c r="AX191" i="1"/>
  <c r="AY191" i="1" s="1"/>
  <c r="BB229" i="1"/>
  <c r="BC229" i="1" s="1"/>
  <c r="AZ141" i="1"/>
  <c r="BD199" i="1"/>
  <c r="BR218" i="1"/>
  <c r="BS218" i="1" s="1"/>
  <c r="BR183" i="1"/>
  <c r="BB230" i="1"/>
  <c r="BC230" i="1" s="1"/>
  <c r="AZ185" i="1"/>
  <c r="BP226" i="1"/>
  <c r="AP198" i="1"/>
  <c r="AV198" i="1"/>
  <c r="BN197" i="1"/>
  <c r="BR213" i="1"/>
  <c r="BS213" i="1" s="1"/>
  <c r="AX199" i="1"/>
  <c r="BN226" i="1"/>
  <c r="BN184" i="1"/>
  <c r="BO184" i="1" s="1"/>
  <c r="BN215" i="1"/>
  <c r="BO215" i="1" s="1"/>
  <c r="BR226" i="1"/>
  <c r="BR188" i="1"/>
  <c r="BS188" i="1" s="1"/>
  <c r="BB225" i="1"/>
  <c r="BP229" i="1"/>
  <c r="BQ229" i="1" s="1"/>
  <c r="BP213" i="1"/>
  <c r="BQ213" i="1" s="1"/>
  <c r="BM140" i="1"/>
  <c r="AX193" i="1"/>
  <c r="AY193" i="1" s="1"/>
  <c r="BN217" i="1"/>
  <c r="BO217" i="1" s="1"/>
  <c r="BN183" i="1"/>
  <c r="BO183" i="1" s="1"/>
  <c r="BR229" i="1"/>
  <c r="BS229" i="1" s="1"/>
  <c r="BB221" i="1"/>
  <c r="BC221" i="1" s="1"/>
  <c r="AZ225" i="1"/>
  <c r="BD221" i="1"/>
  <c r="BE221" i="1" s="1"/>
  <c r="AT206" i="1"/>
  <c r="AU206" i="1" s="1"/>
  <c r="AT226" i="1"/>
  <c r="AT190" i="1"/>
  <c r="AU190" i="1" s="1"/>
  <c r="AT208" i="1"/>
  <c r="BN201" i="1"/>
  <c r="BO201" i="1" s="1"/>
  <c r="BB218" i="1"/>
  <c r="BC218" i="1" s="1"/>
  <c r="AZ191" i="1"/>
  <c r="BA191" i="1" s="1"/>
  <c r="BP184" i="1"/>
  <c r="BQ184" i="1" s="1"/>
  <c r="BF225" i="1"/>
  <c r="AP218" i="1"/>
  <c r="AQ218" i="1" s="1"/>
  <c r="AT229" i="1"/>
  <c r="AU229" i="1" s="1"/>
  <c r="AT213" i="1"/>
  <c r="AU213" i="1" s="1"/>
  <c r="AU141" i="1"/>
  <c r="BB184" i="1"/>
  <c r="BC184" i="1" s="1"/>
  <c r="AZ140" i="1"/>
  <c r="AP230" i="1"/>
  <c r="AQ230" i="1" s="1"/>
  <c r="BB183" i="1"/>
  <c r="AN211" i="1"/>
  <c r="BD220" i="1"/>
  <c r="BE220" i="1" s="1"/>
  <c r="AP201" i="1"/>
  <c r="AQ201" i="1" s="1"/>
  <c r="AN190" i="1"/>
  <c r="BP230" i="1"/>
  <c r="BQ230" i="1" s="1"/>
  <c r="AP183" i="1"/>
  <c r="AQ183" i="1" s="1"/>
  <c r="AV188" i="1"/>
  <c r="AW188" i="1" s="1"/>
  <c r="AP225" i="1"/>
  <c r="AP213" i="1"/>
  <c r="AQ213" i="1" s="1"/>
  <c r="AN219" i="1"/>
  <c r="AV221" i="1"/>
  <c r="AW221" i="1" s="1"/>
  <c r="AP197" i="1"/>
  <c r="BD198" i="1"/>
  <c r="AN210" i="1"/>
  <c r="AV185" i="1"/>
  <c r="AN215" i="1"/>
  <c r="AO215" i="1" s="1"/>
  <c r="AP220" i="1"/>
  <c r="AQ220" i="1" s="1"/>
  <c r="AN193" i="1"/>
  <c r="AO193" i="1" s="1"/>
  <c r="AR217" i="1"/>
  <c r="AS217" i="1" s="1"/>
  <c r="AN197" i="1"/>
  <c r="AT198" i="1"/>
  <c r="AT140" i="1"/>
  <c r="AN140" i="1"/>
  <c r="AN191" i="1"/>
  <c r="AO191" i="1" s="1"/>
  <c r="AV213" i="1"/>
  <c r="AW213" i="1" s="1"/>
  <c r="AV203" i="1"/>
  <c r="AW203" i="1" s="1"/>
  <c r="AV209" i="1"/>
  <c r="AP203" i="1"/>
  <c r="AQ203" i="1" s="1"/>
  <c r="AT203" i="1"/>
  <c r="AU203" i="1" s="1"/>
  <c r="BP203" i="1"/>
  <c r="BQ203" i="1" s="1"/>
  <c r="BD203" i="1"/>
  <c r="BE203" i="1" s="1"/>
  <c r="BN203" i="1"/>
  <c r="BO203" i="1" s="1"/>
  <c r="BB203" i="1"/>
  <c r="BC203" i="1" s="1"/>
  <c r="BB209" i="1"/>
  <c r="AX209" i="1"/>
  <c r="AZ209" i="1"/>
  <c r="BR209" i="1"/>
  <c r="BN209" i="1"/>
  <c r="BM297" i="1"/>
  <c r="CQ200" i="1"/>
  <c r="DB144" i="1"/>
  <c r="CY132" i="1"/>
  <c r="CZ130" i="1"/>
  <c r="BU140" i="1" l="1"/>
  <c r="BU141" i="1"/>
  <c r="AX74" i="1"/>
  <c r="BF183" i="1"/>
  <c r="BG183" i="1" s="1"/>
  <c r="AR208" i="1"/>
  <c r="AS208" i="1" s="1"/>
  <c r="AR184" i="1"/>
  <c r="AS184" i="1" s="1"/>
  <c r="AR190" i="1"/>
  <c r="AR226" i="1"/>
  <c r="AN318" i="1"/>
  <c r="BR192" i="1"/>
  <c r="BS192" i="1" s="1"/>
  <c r="BR225" i="1"/>
  <c r="BF141" i="1"/>
  <c r="AZ218" i="1"/>
  <c r="BA218" i="1" s="1"/>
  <c r="BF213" i="1"/>
  <c r="BG213" i="1" s="1"/>
  <c r="BF220" i="1"/>
  <c r="BG220" i="1" s="1"/>
  <c r="BD213" i="1"/>
  <c r="BE213" i="1" s="1"/>
  <c r="AR230" i="1"/>
  <c r="AS230" i="1" s="1"/>
  <c r="AQ140" i="1"/>
  <c r="BA140" i="1"/>
  <c r="BF217" i="1"/>
  <c r="BG217" i="1" s="1"/>
  <c r="BF190" i="1"/>
  <c r="BG190" i="1" s="1"/>
  <c r="BF229" i="1"/>
  <c r="BG229" i="1" s="1"/>
  <c r="BG140" i="1"/>
  <c r="BF230" i="1"/>
  <c r="BG230" i="1" s="1"/>
  <c r="AR209" i="1"/>
  <c r="AS209" i="1" s="1"/>
  <c r="BF184" i="1"/>
  <c r="BG184" i="1" s="1"/>
  <c r="BP197" i="1"/>
  <c r="BE141" i="1"/>
  <c r="BN212" i="1"/>
  <c r="BO212" i="1" s="1"/>
  <c r="AR185" i="1"/>
  <c r="AR220" i="1"/>
  <c r="AS220" i="1" s="1"/>
  <c r="AR218" i="1"/>
  <c r="AS218" i="1" s="1"/>
  <c r="AR219" i="1"/>
  <c r="AR188" i="1"/>
  <c r="AS188" i="1" s="1"/>
  <c r="AR212" i="1"/>
  <c r="AS212" i="1" s="1"/>
  <c r="AU140" i="1"/>
  <c r="AR140" i="1"/>
  <c r="BF216" i="1"/>
  <c r="BG216" i="1" s="1"/>
  <c r="AR210" i="1"/>
  <c r="AR213" i="1"/>
  <c r="AS213" i="1" s="1"/>
  <c r="BD183" i="1"/>
  <c r="BF226" i="1"/>
  <c r="BF211" i="1"/>
  <c r="BD188" i="1"/>
  <c r="BE188" i="1" s="1"/>
  <c r="BF197" i="1"/>
  <c r="BF219" i="1"/>
  <c r="AQ141" i="1"/>
  <c r="AX203" i="1"/>
  <c r="AY203" i="1" s="1"/>
  <c r="BF208" i="1"/>
  <c r="BG208" i="1" s="1"/>
  <c r="BD211" i="1"/>
  <c r="BR221" i="1"/>
  <c r="BS221" i="1" s="1"/>
  <c r="BF185" i="1"/>
  <c r="BD206" i="1"/>
  <c r="BE206" i="1" s="1"/>
  <c r="BF206" i="1"/>
  <c r="BG206" i="1" s="1"/>
  <c r="BK140" i="1"/>
  <c r="BF192" i="1"/>
  <c r="BG192" i="1" s="1"/>
  <c r="AP210" i="1"/>
  <c r="BP191" i="1"/>
  <c r="BQ191" i="1" s="1"/>
  <c r="AR191" i="1"/>
  <c r="AS191" i="1" s="1"/>
  <c r="AR141" i="1"/>
  <c r="AR183" i="1"/>
  <c r="AN213" i="1"/>
  <c r="AO213" i="1" s="1"/>
  <c r="AR203" i="1"/>
  <c r="AS203" i="1" s="1"/>
  <c r="AR216" i="1"/>
  <c r="AS216" i="1" s="1"/>
  <c r="AR193" i="1"/>
  <c r="AS193" i="1" s="1"/>
  <c r="BS141" i="1"/>
  <c r="AR215" i="1"/>
  <c r="AS215" i="1" s="1"/>
  <c r="BR190" i="1"/>
  <c r="BS190" i="1" s="1"/>
  <c r="AR229" i="1"/>
  <c r="AS229" i="1" s="1"/>
  <c r="BR220" i="1"/>
  <c r="BS220" i="1" s="1"/>
  <c r="BF210" i="1"/>
  <c r="BF218" i="1"/>
  <c r="BG218" i="1" s="1"/>
  <c r="BD210" i="1"/>
  <c r="BP216" i="1"/>
  <c r="BQ216" i="1" s="1"/>
  <c r="BD193" i="1"/>
  <c r="BE193" i="1" s="1"/>
  <c r="BF212" i="1"/>
  <c r="BG212" i="1" s="1"/>
  <c r="BF193" i="1"/>
  <c r="BG193" i="1" s="1"/>
  <c r="BN206" i="1"/>
  <c r="BR185" i="1"/>
  <c r="BR191" i="1"/>
  <c r="BS191" i="1" s="1"/>
  <c r="BF215" i="1"/>
  <c r="BG215" i="1" s="1"/>
  <c r="BD184" i="1"/>
  <c r="BE184" i="1" s="1"/>
  <c r="AX212" i="1"/>
  <c r="AY212" i="1" s="1"/>
  <c r="BF199" i="1"/>
  <c r="BR219" i="1"/>
  <c r="AP217" i="1"/>
  <c r="AQ217" i="1" s="1"/>
  <c r="BF221" i="1"/>
  <c r="BG221" i="1" s="1"/>
  <c r="BF140" i="1"/>
  <c r="BD191" i="1"/>
  <c r="BE191" i="1" s="1"/>
  <c r="BP201" i="1"/>
  <c r="BQ201" i="1" s="1"/>
  <c r="AN185" i="1"/>
  <c r="AR201" i="1"/>
  <c r="AS201" i="1" s="1"/>
  <c r="AR206" i="1"/>
  <c r="AS206" i="1" s="1"/>
  <c r="AR199" i="1"/>
  <c r="AR198" i="1"/>
  <c r="AR197" i="1"/>
  <c r="AR225" i="1"/>
  <c r="AR211" i="1"/>
  <c r="AR221" i="1"/>
  <c r="AS221" i="1" s="1"/>
  <c r="AN221" i="1"/>
  <c r="AO221" i="1" s="1"/>
  <c r="BF203" i="1"/>
  <c r="BG203" i="1" s="1"/>
  <c r="BR203" i="1"/>
  <c r="BS203" i="1" s="1"/>
  <c r="BF209" i="1"/>
  <c r="BD209" i="1"/>
  <c r="BN74" i="1"/>
  <c r="AX229" i="1"/>
  <c r="AY229" i="1" s="1"/>
  <c r="AX201" i="1"/>
  <c r="AY201" i="1" s="1"/>
  <c r="BF201" i="1"/>
  <c r="BG201" i="1" s="1"/>
  <c r="BM318" i="1"/>
  <c r="AX52" i="1"/>
  <c r="J227" i="1"/>
  <c r="K275" i="1" s="1"/>
  <c r="BB246" i="1"/>
  <c r="BC246" i="1" s="1"/>
  <c r="BB249" i="1"/>
  <c r="BS318" i="1"/>
  <c r="F227" i="1"/>
  <c r="BT197" i="1"/>
  <c r="BT217" i="1"/>
  <c r="BU217" i="1" s="1"/>
  <c r="BT183" i="1"/>
  <c r="BU183" i="1" s="1"/>
  <c r="BT218" i="1"/>
  <c r="BU218" i="1" s="1"/>
  <c r="BT212" i="1"/>
  <c r="BU212" i="1" s="1"/>
  <c r="BT141" i="1"/>
  <c r="BT210" i="1"/>
  <c r="BT219" i="1"/>
  <c r="BT225" i="1"/>
  <c r="BT206" i="1"/>
  <c r="BT193" i="1"/>
  <c r="BU193" i="1" s="1"/>
  <c r="BT185" i="1"/>
  <c r="BT201" i="1"/>
  <c r="BU201" i="1" s="1"/>
  <c r="BT220" i="1"/>
  <c r="BU220" i="1" s="1"/>
  <c r="BT226" i="1"/>
  <c r="BT211" i="1"/>
  <c r="BT216" i="1"/>
  <c r="BU216" i="1" s="1"/>
  <c r="BT213" i="1"/>
  <c r="BU213" i="1" s="1"/>
  <c r="BT198" i="1"/>
  <c r="BT191" i="1"/>
  <c r="BU191" i="1" s="1"/>
  <c r="BT190" i="1"/>
  <c r="BT221" i="1"/>
  <c r="BU221" i="1" s="1"/>
  <c r="BT140" i="1"/>
  <c r="BT230" i="1"/>
  <c r="BU230" i="1" s="1"/>
  <c r="BT184" i="1"/>
  <c r="BU184" i="1" s="1"/>
  <c r="BT199" i="1"/>
  <c r="BT188" i="1"/>
  <c r="BU188" i="1" s="1"/>
  <c r="BT192" i="1"/>
  <c r="BU192" i="1" s="1"/>
  <c r="BT208" i="1"/>
  <c r="BU208" i="1" s="1"/>
  <c r="BT229" i="1"/>
  <c r="BU229" i="1" s="1"/>
  <c r="BT215" i="1"/>
  <c r="BU215" i="1" s="1"/>
  <c r="BT203" i="1"/>
  <c r="BU203" i="1" s="1"/>
  <c r="BT209" i="1"/>
  <c r="AS318" i="1"/>
  <c r="BR260" i="1"/>
  <c r="AT74" i="1"/>
  <c r="BO141" i="1"/>
  <c r="BO140" i="1"/>
  <c r="BR197" i="1"/>
  <c r="AO141" i="1"/>
  <c r="AU318" i="1"/>
  <c r="BE318" i="1"/>
  <c r="C268" i="1"/>
  <c r="S268" i="1"/>
  <c r="B132" i="1"/>
  <c r="B133" i="1" s="1"/>
  <c r="R200" i="1"/>
  <c r="AU74" i="1"/>
  <c r="AY318" i="1"/>
  <c r="H239" i="1"/>
  <c r="BI74" i="1"/>
  <c r="BB245" i="1"/>
  <c r="BC245" i="1" s="1"/>
  <c r="BM319" i="1"/>
  <c r="BM269" i="1"/>
  <c r="BM267" i="1" s="1"/>
  <c r="BM100" i="1"/>
  <c r="BM260" i="1"/>
  <c r="S227" i="1"/>
  <c r="T275" i="1" s="1"/>
  <c r="N268" i="1"/>
  <c r="S186" i="1"/>
  <c r="L268" i="1"/>
  <c r="K268" i="1"/>
  <c r="BS74" i="1"/>
  <c r="BS52" i="1" s="1"/>
  <c r="AX245" i="1"/>
  <c r="AY245" i="1" s="1"/>
  <c r="BK318" i="1"/>
  <c r="R227" i="1"/>
  <c r="BU318" i="1"/>
  <c r="BB318" i="1"/>
  <c r="BW297" i="1"/>
  <c r="AS319" i="1"/>
  <c r="N239" i="1"/>
  <c r="BW74" i="1"/>
  <c r="BW52" i="1" s="1"/>
  <c r="G194" i="1"/>
  <c r="AX318" i="1"/>
  <c r="T200" i="1"/>
  <c r="T100" i="1" s="1"/>
  <c r="BV200" i="1"/>
  <c r="BW100" i="1" s="1"/>
  <c r="F186" i="1"/>
  <c r="F121" i="1" s="1"/>
  <c r="V227" i="1"/>
  <c r="W275" i="1" s="1"/>
  <c r="AY297" i="1"/>
  <c r="AU52" i="1"/>
  <c r="BV74" i="1"/>
  <c r="BI52" i="1"/>
  <c r="BU74" i="1"/>
  <c r="BU52" i="1" s="1"/>
  <c r="BI319" i="1"/>
  <c r="Q186" i="1"/>
  <c r="BF74" i="1"/>
  <c r="BF52" i="1" s="1"/>
  <c r="O227" i="1"/>
  <c r="P275" i="1" s="1"/>
  <c r="AT52" i="1"/>
  <c r="BJ80" i="1"/>
  <c r="BJ81" i="1" s="1"/>
  <c r="BJ52" i="1"/>
  <c r="AX246" i="1"/>
  <c r="AY246" i="1" s="1"/>
  <c r="AT246" i="1"/>
  <c r="AU246" i="1" s="1"/>
  <c r="AT249" i="1"/>
  <c r="AU249" i="1" s="1"/>
  <c r="AY93" i="1"/>
  <c r="AY74" i="1"/>
  <c r="BI318" i="1"/>
  <c r="AP318" i="1"/>
  <c r="AS74" i="1"/>
  <c r="AS52" i="1" s="1"/>
  <c r="B200" i="1"/>
  <c r="B204" i="1" s="1"/>
  <c r="K239" i="1"/>
  <c r="V268" i="1"/>
  <c r="O186" i="1"/>
  <c r="O121" i="1" s="1"/>
  <c r="AV319" i="1"/>
  <c r="D186" i="1"/>
  <c r="D241" i="1" s="1"/>
  <c r="AU319" i="1"/>
  <c r="BP319" i="1"/>
  <c r="AO74" i="1"/>
  <c r="AO52" i="1" s="1"/>
  <c r="P268" i="1"/>
  <c r="F194" i="1"/>
  <c r="I227" i="1"/>
  <c r="J275" i="1" s="1"/>
  <c r="BB74" i="1"/>
  <c r="BB52" i="1" s="1"/>
  <c r="AI246" i="1"/>
  <c r="BO318" i="1"/>
  <c r="E186" i="1"/>
  <c r="E241" i="1" s="1"/>
  <c r="AI104" i="1"/>
  <c r="BK93" i="1"/>
  <c r="BI268" i="1"/>
  <c r="N194" i="1"/>
  <c r="N104" i="1" s="1"/>
  <c r="AN93" i="1"/>
  <c r="G186" i="1"/>
  <c r="G241" i="1" s="1"/>
  <c r="BU319" i="1"/>
  <c r="AL165" i="1"/>
  <c r="AL166" i="1" s="1"/>
  <c r="AL171" i="1" s="1"/>
  <c r="AN100" i="1"/>
  <c r="U200" i="1"/>
  <c r="U100" i="1" s="1"/>
  <c r="BG319" i="1"/>
  <c r="AX249" i="1"/>
  <c r="AY249" i="1" s="1"/>
  <c r="BP249" i="1"/>
  <c r="BQ249" i="1" s="1"/>
  <c r="BY165" i="1"/>
  <c r="BY166" i="1" s="1"/>
  <c r="BY171" i="1" s="1"/>
  <c r="BX165" i="1"/>
  <c r="BX166" i="1" s="1"/>
  <c r="BX171" i="1" s="1"/>
  <c r="AI248" i="1"/>
  <c r="AT245" i="1"/>
  <c r="AU245" i="1" s="1"/>
  <c r="D132" i="1"/>
  <c r="D133" i="1" s="1"/>
  <c r="BG318" i="1"/>
  <c r="AT318" i="1"/>
  <c r="BS319" i="1"/>
  <c r="AU165" i="1"/>
  <c r="AU166" i="1" s="1"/>
  <c r="AU170" i="1" s="1"/>
  <c r="BP246" i="1"/>
  <c r="BQ246" i="1" s="1"/>
  <c r="I194" i="1"/>
  <c r="AR93" i="1"/>
  <c r="BR165" i="1"/>
  <c r="BR166" i="1" s="1"/>
  <c r="BR169" i="1" s="1"/>
  <c r="U227" i="1"/>
  <c r="V275" i="1" s="1"/>
  <c r="H200" i="1"/>
  <c r="AS260" i="1"/>
  <c r="BI260" i="1"/>
  <c r="BO319" i="1"/>
  <c r="BF319" i="1"/>
  <c r="AI249" i="1"/>
  <c r="G239" i="1"/>
  <c r="BV227" i="1"/>
  <c r="BW275" i="1" s="1"/>
  <c r="P186" i="1"/>
  <c r="T222" i="1"/>
  <c r="T251" i="1" s="1"/>
  <c r="T250" i="1" s="1"/>
  <c r="E200" i="1"/>
  <c r="E100" i="1" s="1"/>
  <c r="U268" i="1"/>
  <c r="AQ318" i="1"/>
  <c r="AI93" i="1"/>
  <c r="G268" i="1"/>
  <c r="T268" i="1"/>
  <c r="S222" i="1"/>
  <c r="S251" i="1" s="1"/>
  <c r="S250" i="1" s="1"/>
  <c r="AI74" i="1"/>
  <c r="AI52" i="1" s="1"/>
  <c r="BK297" i="1"/>
  <c r="C132" i="1"/>
  <c r="C173" i="1" s="1"/>
  <c r="AR318" i="1"/>
  <c r="AX319" i="1"/>
  <c r="AI251" i="1"/>
  <c r="D200" i="1"/>
  <c r="D100" i="1" s="1"/>
  <c r="AQ319" i="1"/>
  <c r="N214" i="1"/>
  <c r="N248" i="1" s="1"/>
  <c r="R214" i="1"/>
  <c r="R248" i="1" s="1"/>
  <c r="R247" i="1" s="1"/>
  <c r="BW93" i="1"/>
  <c r="BH165" i="1"/>
  <c r="BH166" i="1" s="1"/>
  <c r="BH170" i="1" s="1"/>
  <c r="AI297" i="1"/>
  <c r="BN260" i="1"/>
  <c r="BW319" i="1"/>
  <c r="AR74" i="1"/>
  <c r="AR52" i="1" s="1"/>
  <c r="AO319" i="1"/>
  <c r="AU93" i="1"/>
  <c r="AW93" i="1"/>
  <c r="T194" i="1"/>
  <c r="T104" i="1" s="1"/>
  <c r="AM115" i="1"/>
  <c r="AM185" i="1" s="1"/>
  <c r="AM186" i="1" s="1"/>
  <c r="AM195" i="1" s="1"/>
  <c r="G227" i="1"/>
  <c r="L186" i="1"/>
  <c r="P222" i="1"/>
  <c r="P251" i="1" s="1"/>
  <c r="P250" i="1" s="1"/>
  <c r="C227" i="1"/>
  <c r="D275" i="1" s="1"/>
  <c r="BO74" i="1"/>
  <c r="BO52" i="1" s="1"/>
  <c r="BT93" i="1"/>
  <c r="BB165" i="1"/>
  <c r="BB166" i="1" s="1"/>
  <c r="BB171" i="1" s="1"/>
  <c r="BK165" i="1"/>
  <c r="BK166" i="1" s="1"/>
  <c r="BK171" i="1" s="1"/>
  <c r="BM165" i="1"/>
  <c r="BM166" i="1" s="1"/>
  <c r="BM171" i="1" s="1"/>
  <c r="AP74" i="1"/>
  <c r="AP52" i="1" s="1"/>
  <c r="M239" i="1"/>
  <c r="AP165" i="1"/>
  <c r="AP166" i="1" s="1"/>
  <c r="AP170" i="1" s="1"/>
  <c r="BB93" i="1"/>
  <c r="U186" i="1"/>
  <c r="U241" i="1" s="1"/>
  <c r="AO318" i="1"/>
  <c r="BK104" i="1"/>
  <c r="BW165" i="1"/>
  <c r="BW166" i="1" s="1"/>
  <c r="BW169" i="1" s="1"/>
  <c r="BI93" i="1"/>
  <c r="BF318" i="1"/>
  <c r="BA93" i="1"/>
  <c r="BV249" i="1"/>
  <c r="BW249" i="1" s="1"/>
  <c r="BW318" i="1"/>
  <c r="AX93" i="1"/>
  <c r="AX94" i="1" s="1"/>
  <c r="BD319" i="1"/>
  <c r="BV93" i="1"/>
  <c r="BP74" i="1"/>
  <c r="BP52" i="1" s="1"/>
  <c r="D268" i="1"/>
  <c r="BA165" i="1"/>
  <c r="BA166" i="1" s="1"/>
  <c r="BA171" i="1" s="1"/>
  <c r="AS165" i="1"/>
  <c r="AS166" i="1" s="1"/>
  <c r="AS169" i="1" s="1"/>
  <c r="BH74" i="1"/>
  <c r="BV165" i="1"/>
  <c r="BV166" i="1" s="1"/>
  <c r="BV170" i="1" s="1"/>
  <c r="BA318" i="1"/>
  <c r="BD297" i="1"/>
  <c r="AP319" i="1"/>
  <c r="BH318" i="1"/>
  <c r="AV249" i="1"/>
  <c r="AW249" i="1" s="1"/>
  <c r="AV245" i="1"/>
  <c r="AW245" i="1" s="1"/>
  <c r="E194" i="1"/>
  <c r="BA319" i="1"/>
  <c r="BJ165" i="1"/>
  <c r="BJ166" i="1" s="1"/>
  <c r="BJ169" i="1" s="1"/>
  <c r="BD249" i="1"/>
  <c r="BE249" i="1" s="1"/>
  <c r="BP245" i="1"/>
  <c r="BQ245" i="1" s="1"/>
  <c r="BV186" i="1"/>
  <c r="BV159" i="1" s="1"/>
  <c r="F268" i="1"/>
  <c r="L227" i="1"/>
  <c r="B214" i="1"/>
  <c r="B248" i="1" s="1"/>
  <c r="W239" i="1"/>
  <c r="BH93" i="1"/>
  <c r="C200" i="1"/>
  <c r="C100" i="1" s="1"/>
  <c r="R239" i="1"/>
  <c r="J194" i="1"/>
  <c r="BC93" i="1"/>
  <c r="AV74" i="1"/>
  <c r="AV52" i="1" s="1"/>
  <c r="BV318" i="1"/>
  <c r="BA74" i="1"/>
  <c r="BA52" i="1" s="1"/>
  <c r="S239" i="1"/>
  <c r="BU93" i="1"/>
  <c r="E222" i="1"/>
  <c r="E251" i="1" s="1"/>
  <c r="B227" i="1"/>
  <c r="C275" i="1" s="1"/>
  <c r="BL165" i="1"/>
  <c r="BL166" i="1" s="1"/>
  <c r="BL170" i="1" s="1"/>
  <c r="BT74" i="1"/>
  <c r="BT52" i="1" s="1"/>
  <c r="Q227" i="1"/>
  <c r="R275" i="1" s="1"/>
  <c r="BO93" i="1"/>
  <c r="L239" i="1"/>
  <c r="BN93" i="1"/>
  <c r="T227" i="1"/>
  <c r="U275" i="1" s="1"/>
  <c r="BG165" i="1"/>
  <c r="BG166" i="1" s="1"/>
  <c r="BG169" i="1" s="1"/>
  <c r="BV245" i="1"/>
  <c r="BW245" i="1" s="1"/>
  <c r="BG74" i="1"/>
  <c r="BG52" i="1" s="1"/>
  <c r="I186" i="1"/>
  <c r="I121" i="1" s="1"/>
  <c r="W194" i="1"/>
  <c r="W104" i="1" s="1"/>
  <c r="AS93" i="1"/>
  <c r="B186" i="1"/>
  <c r="B121" i="1" s="1"/>
  <c r="BM93" i="1"/>
  <c r="G214" i="1"/>
  <c r="G248" i="1" s="1"/>
  <c r="G247" i="1" s="1"/>
  <c r="BS93" i="1"/>
  <c r="W200" i="1"/>
  <c r="W204" i="1" s="1"/>
  <c r="AZ93" i="1"/>
  <c r="H222" i="1"/>
  <c r="H251" i="1" s="1"/>
  <c r="H250" i="1" s="1"/>
  <c r="AZ319" i="1"/>
  <c r="BJ260" i="1"/>
  <c r="BH319" i="1"/>
  <c r="BI165" i="1"/>
  <c r="BI166" i="1" s="1"/>
  <c r="BI170" i="1" s="1"/>
  <c r="BH245" i="1"/>
  <c r="BI245" i="1" s="1"/>
  <c r="AR165" i="1"/>
  <c r="AR166" i="1" s="1"/>
  <c r="AR170" i="1" s="1"/>
  <c r="AI100" i="1"/>
  <c r="BC74" i="1"/>
  <c r="BC52" i="1" s="1"/>
  <c r="BT318" i="1"/>
  <c r="AT165" i="1"/>
  <c r="AT166" i="1" s="1"/>
  <c r="AT169" i="1" s="1"/>
  <c r="BR74" i="1"/>
  <c r="BR52" i="1" s="1"/>
  <c r="AR319" i="1"/>
  <c r="AI269" i="1"/>
  <c r="AI267" i="1" s="1"/>
  <c r="BD74" i="1"/>
  <c r="BD52" i="1" s="1"/>
  <c r="AP246" i="1"/>
  <c r="AQ246" i="1" s="1"/>
  <c r="AZ245" i="1"/>
  <c r="BA245" i="1" s="1"/>
  <c r="AZ246" i="1"/>
  <c r="BA246" i="1" s="1"/>
  <c r="AZ249" i="1"/>
  <c r="BA249" i="1" s="1"/>
  <c r="M268" i="1"/>
  <c r="BG93" i="1"/>
  <c r="V239" i="1"/>
  <c r="Q214" i="1"/>
  <c r="J268" i="1"/>
  <c r="V200" i="1"/>
  <c r="V100" i="1" s="1"/>
  <c r="I268" i="1"/>
  <c r="BE319" i="1"/>
  <c r="AV165" i="1"/>
  <c r="AV166" i="1" s="1"/>
  <c r="AV169" i="1" s="1"/>
  <c r="AQ74" i="1"/>
  <c r="AQ52" i="1" s="1"/>
  <c r="AZ318" i="1"/>
  <c r="BS165" i="1"/>
  <c r="BS166" i="1" s="1"/>
  <c r="BS169" i="1" s="1"/>
  <c r="AP249" i="1"/>
  <c r="AQ249" i="1" s="1"/>
  <c r="BH249" i="1"/>
  <c r="BI249" i="1" s="1"/>
  <c r="AZ74" i="1"/>
  <c r="AZ52" i="1" s="1"/>
  <c r="BH246" i="1"/>
  <c r="BI246" i="1" s="1"/>
  <c r="R222" i="1"/>
  <c r="R251" i="1" s="1"/>
  <c r="C214" i="1"/>
  <c r="T239" i="1"/>
  <c r="AN74" i="1"/>
  <c r="AN52" i="1" s="1"/>
  <c r="BT319" i="1"/>
  <c r="AQ260" i="1"/>
  <c r="BR318" i="1"/>
  <c r="BQ319" i="1"/>
  <c r="BR319" i="1"/>
  <c r="BQ165" i="1"/>
  <c r="BQ166" i="1" s="1"/>
  <c r="BQ169" i="1" s="1"/>
  <c r="BB319" i="1"/>
  <c r="BQ74" i="1"/>
  <c r="BQ52" i="1" s="1"/>
  <c r="BC165" i="1"/>
  <c r="BC166" i="1" s="1"/>
  <c r="BC169" i="1" s="1"/>
  <c r="BR245" i="1"/>
  <c r="BS245" i="1" s="1"/>
  <c r="F214" i="1"/>
  <c r="M186" i="1"/>
  <c r="BK319" i="1"/>
  <c r="BM104" i="1"/>
  <c r="BQ297" i="1"/>
  <c r="BT165" i="1"/>
  <c r="BT166" i="1" s="1"/>
  <c r="BT171" i="1" s="1"/>
  <c r="AY319" i="1"/>
  <c r="BU165" i="1"/>
  <c r="BU166" i="1" s="1"/>
  <c r="BU171" i="1" s="1"/>
  <c r="BR246" i="1"/>
  <c r="BS246" i="1" s="1"/>
  <c r="L222" i="1"/>
  <c r="L251" i="1" s="1"/>
  <c r="L250" i="1" s="1"/>
  <c r="N200" i="1"/>
  <c r="N100" i="1" s="1"/>
  <c r="H214" i="1"/>
  <c r="H248" i="1" s="1"/>
  <c r="BH194" i="1"/>
  <c r="L214" i="1"/>
  <c r="BV246" i="1"/>
  <c r="BW246" i="1" s="1"/>
  <c r="S194" i="1"/>
  <c r="S104" i="1" s="1"/>
  <c r="T214" i="1"/>
  <c r="T248" i="1" s="1"/>
  <c r="J214" i="1"/>
  <c r="J248" i="1" s="1"/>
  <c r="J247" i="1" s="1"/>
  <c r="AT93" i="1"/>
  <c r="K194" i="1"/>
  <c r="O239" i="1"/>
  <c r="L200" i="1"/>
  <c r="L100" i="1" s="1"/>
  <c r="H186" i="1"/>
  <c r="H121" i="1" s="1"/>
  <c r="G200" i="1"/>
  <c r="G204" i="1" s="1"/>
  <c r="F222" i="1"/>
  <c r="F251" i="1" s="1"/>
  <c r="F250" i="1" s="1"/>
  <c r="BH214" i="1"/>
  <c r="BH248" i="1" s="1"/>
  <c r="BW194" i="1"/>
  <c r="BX272" i="1" s="1"/>
  <c r="BH200" i="1"/>
  <c r="BI200" i="1" s="1"/>
  <c r="G222" i="1"/>
  <c r="U222" i="1"/>
  <c r="U251" i="1" s="1"/>
  <c r="BN165" i="1"/>
  <c r="BN166" i="1" s="1"/>
  <c r="BN170" i="1" s="1"/>
  <c r="F200" i="1"/>
  <c r="F204" i="1" s="1"/>
  <c r="D227" i="1"/>
  <c r="AV318" i="1"/>
  <c r="AV93" i="1"/>
  <c r="K227" i="1"/>
  <c r="L275" i="1" s="1"/>
  <c r="J239" i="1"/>
  <c r="BF93" i="1"/>
  <c r="I222" i="1"/>
  <c r="D222" i="1"/>
  <c r="D251" i="1" s="1"/>
  <c r="P194" i="1"/>
  <c r="P104" i="1" s="1"/>
  <c r="K214" i="1"/>
  <c r="BP318" i="1"/>
  <c r="AX165" i="1"/>
  <c r="AX166" i="1" s="1"/>
  <c r="AX171" i="1" s="1"/>
  <c r="Q239" i="1"/>
  <c r="V214" i="1"/>
  <c r="O222" i="1"/>
  <c r="O251" i="1" s="1"/>
  <c r="S214" i="1"/>
  <c r="V186" i="1"/>
  <c r="E214" i="1"/>
  <c r="H227" i="1"/>
  <c r="I275" i="1" s="1"/>
  <c r="BH227" i="1"/>
  <c r="BI275" i="1" s="1"/>
  <c r="BD318" i="1"/>
  <c r="BE74" i="1"/>
  <c r="BE52" i="1" s="1"/>
  <c r="BE93" i="1"/>
  <c r="BD93" i="1"/>
  <c r="Q200" i="1"/>
  <c r="Q100" i="1" s="1"/>
  <c r="BM74" i="1"/>
  <c r="BM52" i="1" s="1"/>
  <c r="I239" i="1"/>
  <c r="Q222" i="1"/>
  <c r="BP93" i="1"/>
  <c r="AQ93" i="1"/>
  <c r="AP93" i="1"/>
  <c r="AO93" i="1"/>
  <c r="L194" i="1"/>
  <c r="Q194" i="1"/>
  <c r="F239" i="1"/>
  <c r="E239" i="1"/>
  <c r="N227" i="1"/>
  <c r="O275" i="1" s="1"/>
  <c r="BQ93" i="1"/>
  <c r="BR93" i="1"/>
  <c r="BK74" i="1"/>
  <c r="BK52" i="1" s="1"/>
  <c r="AW297" i="1"/>
  <c r="AQ165" i="1"/>
  <c r="AQ166" i="1" s="1"/>
  <c r="AQ171" i="1" s="1"/>
  <c r="BC318" i="1"/>
  <c r="AO165" i="1"/>
  <c r="AO166" i="1" s="1"/>
  <c r="AO169" i="1" s="1"/>
  <c r="BK269" i="1"/>
  <c r="BK267" i="1" s="1"/>
  <c r="BV214" i="1"/>
  <c r="BV248" i="1" s="1"/>
  <c r="AZ165" i="1"/>
  <c r="AZ166" i="1" s="1"/>
  <c r="AZ169" i="1" s="1"/>
  <c r="BJ94" i="1"/>
  <c r="BN297" i="1"/>
  <c r="BI194" i="1"/>
  <c r="BJ315" i="1" s="1"/>
  <c r="AN246" i="1"/>
  <c r="AO246" i="1" s="1"/>
  <c r="BN245" i="1"/>
  <c r="BO245" i="1" s="1"/>
  <c r="I214" i="1"/>
  <c r="I248" i="1" s="1"/>
  <c r="I247" i="1" s="1"/>
  <c r="C186" i="1"/>
  <c r="C121" i="1" s="1"/>
  <c r="Q268" i="1"/>
  <c r="C239" i="1"/>
  <c r="R268" i="1"/>
  <c r="BW268" i="1"/>
  <c r="AW318" i="1"/>
  <c r="AN319" i="1"/>
  <c r="AW165" i="1"/>
  <c r="AW166" i="1" s="1"/>
  <c r="AW169" i="1" s="1"/>
  <c r="BF165" i="1"/>
  <c r="BF166" i="1" s="1"/>
  <c r="BF170" i="1" s="1"/>
  <c r="AN165" i="1"/>
  <c r="AN166" i="1" s="1"/>
  <c r="AN169" i="1" s="1"/>
  <c r="BK100" i="1"/>
  <c r="AT319" i="1"/>
  <c r="BV194" i="1"/>
  <c r="AW319" i="1"/>
  <c r="BV319" i="1"/>
  <c r="BO165" i="1"/>
  <c r="BO166" i="1" s="1"/>
  <c r="BO169" i="1" s="1"/>
  <c r="AW74" i="1"/>
  <c r="AW52" i="1" s="1"/>
  <c r="BH186" i="1"/>
  <c r="BH159" i="1" s="1"/>
  <c r="BH163" i="1" s="1"/>
  <c r="BH222" i="1"/>
  <c r="BH251" i="1" s="1"/>
  <c r="AN249" i="1"/>
  <c r="AO249" i="1" s="1"/>
  <c r="BN249" i="1"/>
  <c r="BO249" i="1" s="1"/>
  <c r="C194" i="1"/>
  <c r="C104" i="1" s="1"/>
  <c r="BV222" i="1"/>
  <c r="BV251" i="1" s="1"/>
  <c r="BC319" i="1"/>
  <c r="BE165" i="1"/>
  <c r="BE166" i="1" s="1"/>
  <c r="BE171" i="1" s="1"/>
  <c r="AY165" i="1"/>
  <c r="AY166" i="1" s="1"/>
  <c r="AY170" i="1" s="1"/>
  <c r="BD165" i="1"/>
  <c r="BD166" i="1" s="1"/>
  <c r="BD170" i="1" s="1"/>
  <c r="BP165" i="1"/>
  <c r="BP166" i="1" s="1"/>
  <c r="BP169" i="1" s="1"/>
  <c r="BN318" i="1"/>
  <c r="AN245" i="1"/>
  <c r="AO245" i="1" s="1"/>
  <c r="BN246" i="1"/>
  <c r="BO246" i="1" s="1"/>
  <c r="M222" i="1"/>
  <c r="M251" i="1" s="1"/>
  <c r="U194" i="1"/>
  <c r="R194" i="1"/>
  <c r="R104" i="1" s="1"/>
  <c r="BN319" i="1"/>
  <c r="P239" i="1"/>
  <c r="U239" i="1"/>
  <c r="O194" i="1"/>
  <c r="D194" i="1"/>
  <c r="D104" i="1" s="1"/>
  <c r="J200" i="1"/>
  <c r="J100" i="1" s="1"/>
  <c r="N222" i="1"/>
  <c r="N251" i="1" s="1"/>
  <c r="N250" i="1" s="1"/>
  <c r="J186" i="1"/>
  <c r="V194" i="1"/>
  <c r="V104" i="1" s="1"/>
  <c r="U214" i="1"/>
  <c r="U248" i="1" s="1"/>
  <c r="U247" i="1" s="1"/>
  <c r="R186" i="1"/>
  <c r="R121" i="1" s="1"/>
  <c r="B239" i="1"/>
  <c r="M227" i="1"/>
  <c r="N275" i="1" s="1"/>
  <c r="H268" i="1"/>
  <c r="O214" i="1"/>
  <c r="O248" i="1" s="1"/>
  <c r="O247" i="1" s="1"/>
  <c r="M200" i="1"/>
  <c r="M100" i="1" s="1"/>
  <c r="J222" i="1"/>
  <c r="J251" i="1" s="1"/>
  <c r="B222" i="1"/>
  <c r="B251" i="1" s="1"/>
  <c r="B250" i="1" s="1"/>
  <c r="M194" i="1"/>
  <c r="V222" i="1"/>
  <c r="O200" i="1"/>
  <c r="O204" i="1" s="1"/>
  <c r="T186" i="1"/>
  <c r="T241" i="1" s="1"/>
  <c r="K222" i="1"/>
  <c r="K251" i="1" s="1"/>
  <c r="D214" i="1"/>
  <c r="K200" i="1"/>
  <c r="K100" i="1" s="1"/>
  <c r="N186" i="1"/>
  <c r="I200" i="1"/>
  <c r="I100" i="1" s="1"/>
  <c r="S200" i="1"/>
  <c r="S204" i="1" s="1"/>
  <c r="K186" i="1"/>
  <c r="K241" i="1" s="1"/>
  <c r="D239" i="1"/>
  <c r="W268" i="1"/>
  <c r="P200" i="1"/>
  <c r="P204" i="1" s="1"/>
  <c r="B194" i="1"/>
  <c r="B104" i="1" s="1"/>
  <c r="P214" i="1"/>
  <c r="AV246" i="1"/>
  <c r="AW246" i="1" s="1"/>
  <c r="C222" i="1"/>
  <c r="C251" i="1" s="1"/>
  <c r="O268" i="1"/>
  <c r="H194" i="1"/>
  <c r="H104" i="1" s="1"/>
  <c r="E268" i="1"/>
  <c r="M214" i="1"/>
  <c r="M248" i="1" s="1"/>
  <c r="M247" i="1" s="1"/>
  <c r="BD227" i="1"/>
  <c r="BE275" i="1" s="1"/>
  <c r="AN227" i="1"/>
  <c r="AO275" i="1" s="1"/>
  <c r="AV227" i="1"/>
  <c r="AW275" i="1" s="1"/>
  <c r="BN227" i="1"/>
  <c r="BO275" i="1" s="1"/>
  <c r="AX227" i="1"/>
  <c r="AY275" i="1" s="1"/>
  <c r="AZ200" i="1"/>
  <c r="BP227" i="1"/>
  <c r="BQ275" i="1" s="1"/>
  <c r="BB227" i="1"/>
  <c r="AZ227" i="1"/>
  <c r="BA275" i="1" s="1"/>
  <c r="AQ206" i="1"/>
  <c r="AW206" i="1"/>
  <c r="AX268" i="1" s="1"/>
  <c r="AQ208" i="1"/>
  <c r="AU183" i="1"/>
  <c r="AT186" i="1"/>
  <c r="AT159" i="1" s="1"/>
  <c r="AX186" i="1"/>
  <c r="AY183" i="1"/>
  <c r="AY190" i="1"/>
  <c r="AY194" i="1" s="1"/>
  <c r="AX194" i="1"/>
  <c r="AT200" i="1"/>
  <c r="AV200" i="1"/>
  <c r="BD200" i="1"/>
  <c r="AP200" i="1"/>
  <c r="AU208" i="1"/>
  <c r="AT214" i="1"/>
  <c r="BC183" i="1"/>
  <c r="BB186" i="1"/>
  <c r="BB159" i="1" s="1"/>
  <c r="AO190" i="1"/>
  <c r="AO194" i="1" s="1"/>
  <c r="AN194" i="1"/>
  <c r="AO183" i="1"/>
  <c r="BC190" i="1"/>
  <c r="BC194" i="1" s="1"/>
  <c r="BB194" i="1"/>
  <c r="AU216" i="1"/>
  <c r="AT222" i="1"/>
  <c r="AT251" i="1" s="1"/>
  <c r="AY215" i="1"/>
  <c r="AX222" i="1"/>
  <c r="AX251" i="1" s="1"/>
  <c r="BO190" i="1"/>
  <c r="BO194" i="1" s="1"/>
  <c r="BN194" i="1"/>
  <c r="AW190" i="1"/>
  <c r="AW194" i="1" s="1"/>
  <c r="AV194" i="1"/>
  <c r="AO208" i="1"/>
  <c r="BS206" i="1"/>
  <c r="BR268" i="1"/>
  <c r="AO206" i="1"/>
  <c r="AN268" i="1"/>
  <c r="BS183" i="1"/>
  <c r="AQ194" i="1"/>
  <c r="AN200" i="1"/>
  <c r="AP227" i="1"/>
  <c r="BN200" i="1"/>
  <c r="AX200" i="1"/>
  <c r="BB200" i="1"/>
  <c r="AT227" i="1"/>
  <c r="AU275" i="1" s="1"/>
  <c r="AZ186" i="1"/>
  <c r="BN186" i="1"/>
  <c r="BP214" i="1"/>
  <c r="BP248" i="1" s="1"/>
  <c r="AZ194" i="1"/>
  <c r="BQ268" i="1"/>
  <c r="BB222" i="1"/>
  <c r="BB251" i="1" s="1"/>
  <c r="AP194" i="1"/>
  <c r="AP186" i="1"/>
  <c r="AP159" i="1" s="1"/>
  <c r="BD222" i="1"/>
  <c r="BD251" i="1" s="1"/>
  <c r="BP186" i="1"/>
  <c r="BP159" i="1" s="1"/>
  <c r="BP161" i="1" s="1"/>
  <c r="BN222" i="1"/>
  <c r="BN251" i="1" s="1"/>
  <c r="BA194" i="1"/>
  <c r="AT194" i="1"/>
  <c r="AV222" i="1"/>
  <c r="AV251" i="1" s="1"/>
  <c r="AV186" i="1"/>
  <c r="AU194" i="1"/>
  <c r="AW209" i="1"/>
  <c r="AV214" i="1"/>
  <c r="BC209" i="1"/>
  <c r="BB214" i="1"/>
  <c r="BO209" i="1"/>
  <c r="AY209" i="1"/>
  <c r="BS209" i="1"/>
  <c r="BR214" i="1"/>
  <c r="BA209" i="1"/>
  <c r="AZ214" i="1"/>
  <c r="AU268" i="1"/>
  <c r="AV268" i="1"/>
  <c r="BB268" i="1"/>
  <c r="BA268" i="1"/>
  <c r="AY268" i="1"/>
  <c r="AZ268" i="1"/>
  <c r="BC268" i="1"/>
  <c r="BZ170" i="1"/>
  <c r="BZ169" i="1"/>
  <c r="BZ171" i="1"/>
  <c r="CQ204" i="1"/>
  <c r="CR99" i="1"/>
  <c r="AE144" i="1"/>
  <c r="AB191" i="1"/>
  <c r="AB194" i="1" s="1"/>
  <c r="AB315" i="1" s="1"/>
  <c r="AD208" i="1"/>
  <c r="CZ132" i="1"/>
  <c r="DA130" i="1"/>
  <c r="AU94" i="1" l="1"/>
  <c r="BI94" i="1"/>
  <c r="BV94" i="1"/>
  <c r="BN94" i="1"/>
  <c r="BT246" i="1"/>
  <c r="BU246" i="1" s="1"/>
  <c r="BH268" i="1"/>
  <c r="B174" i="1"/>
  <c r="B173" i="1"/>
  <c r="AT80" i="1"/>
  <c r="AT81" i="1" s="1"/>
  <c r="G275" i="1"/>
  <c r="AR249" i="1"/>
  <c r="AS249" i="1" s="1"/>
  <c r="BD246" i="1"/>
  <c r="BE246" i="1" s="1"/>
  <c r="BF249" i="1"/>
  <c r="BG249" i="1" s="1"/>
  <c r="BF246" i="1"/>
  <c r="BG246" i="1" s="1"/>
  <c r="AR200" i="1"/>
  <c r="AS200" i="1" s="1"/>
  <c r="BF245" i="1"/>
  <c r="BG245" i="1" s="1"/>
  <c r="BN52" i="1"/>
  <c r="AR245" i="1"/>
  <c r="AS245" i="1" s="1"/>
  <c r="J234" i="1"/>
  <c r="J175" i="1" s="1"/>
  <c r="BT249" i="1"/>
  <c r="BU249" i="1" s="1"/>
  <c r="BD245" i="1"/>
  <c r="BE245" i="1" s="1"/>
  <c r="AP245" i="1"/>
  <c r="AQ245" i="1" s="1"/>
  <c r="BR249" i="1"/>
  <c r="BS249" i="1" s="1"/>
  <c r="J314" i="1"/>
  <c r="S121" i="1"/>
  <c r="S275" i="1"/>
  <c r="G104" i="1"/>
  <c r="S314" i="1"/>
  <c r="S241" i="1"/>
  <c r="BS194" i="1"/>
  <c r="BP200" i="1"/>
  <c r="BE194" i="1"/>
  <c r="AR227" i="1"/>
  <c r="AS275" i="1" s="1"/>
  <c r="AP214" i="1"/>
  <c r="AP248" i="1" s="1"/>
  <c r="AS190" i="1"/>
  <c r="AS194" i="1" s="1"/>
  <c r="AR194" i="1"/>
  <c r="AS183" i="1"/>
  <c r="AR186" i="1"/>
  <c r="BO206" i="1"/>
  <c r="BN268" i="1"/>
  <c r="BF227" i="1"/>
  <c r="BG275" i="1" s="1"/>
  <c r="BF200" i="1"/>
  <c r="AR246" i="1"/>
  <c r="AS246" i="1" s="1"/>
  <c r="AR214" i="1"/>
  <c r="AR248" i="1" s="1"/>
  <c r="AN186" i="1"/>
  <c r="BE183" i="1"/>
  <c r="BD186" i="1"/>
  <c r="AN214" i="1"/>
  <c r="BR186" i="1"/>
  <c r="BR159" i="1" s="1"/>
  <c r="BF268" i="1"/>
  <c r="AT268" i="1"/>
  <c r="BR227" i="1"/>
  <c r="AR222" i="1"/>
  <c r="AS268" i="1"/>
  <c r="BP222" i="1"/>
  <c r="BP251" i="1" s="1"/>
  <c r="BF194" i="1"/>
  <c r="BE268" i="1"/>
  <c r="BR222" i="1"/>
  <c r="BR251" i="1" s="1"/>
  <c r="AN222" i="1"/>
  <c r="AN251" i="1" s="1"/>
  <c r="BP194" i="1"/>
  <c r="BG194" i="1"/>
  <c r="AP222" i="1"/>
  <c r="BF222" i="1"/>
  <c r="BF251" i="1" s="1"/>
  <c r="BF186" i="1"/>
  <c r="BQ194" i="1"/>
  <c r="BR194" i="1"/>
  <c r="BD194" i="1"/>
  <c r="AZ222" i="1"/>
  <c r="AZ251" i="1" s="1"/>
  <c r="BG209" i="1"/>
  <c r="BF214" i="1"/>
  <c r="BE209" i="1"/>
  <c r="BD214" i="1"/>
  <c r="BN214" i="1"/>
  <c r="AX214" i="1"/>
  <c r="BD268" i="1"/>
  <c r="BC249" i="1"/>
  <c r="BG268" i="1"/>
  <c r="BN75" i="1"/>
  <c r="BN80" i="1"/>
  <c r="AX80" i="1"/>
  <c r="AX75" i="1"/>
  <c r="AU76" i="1"/>
  <c r="BI80" i="1"/>
  <c r="AU80" i="1"/>
  <c r="BJ76" i="1"/>
  <c r="CB254" i="1"/>
  <c r="X125" i="1"/>
  <c r="BW80" i="1"/>
  <c r="BZ310" i="1"/>
  <c r="CA75" i="1"/>
  <c r="BZ291" i="1"/>
  <c r="BX76" i="1"/>
  <c r="BT245" i="1"/>
  <c r="BU245" i="1" s="1"/>
  <c r="BR200" i="1"/>
  <c r="BT227" i="1"/>
  <c r="BU275" i="1" s="1"/>
  <c r="BB250" i="1"/>
  <c r="BU209" i="1"/>
  <c r="BT214" i="1"/>
  <c r="AT94" i="1"/>
  <c r="BT200" i="1"/>
  <c r="BU206" i="1"/>
  <c r="BV268" i="1" s="1"/>
  <c r="BU190" i="1"/>
  <c r="BU194" i="1" s="1"/>
  <c r="BT194" i="1"/>
  <c r="BT222" i="1"/>
  <c r="BT251" i="1" s="1"/>
  <c r="BT186" i="1"/>
  <c r="BU80" i="1"/>
  <c r="G315" i="1"/>
  <c r="G317" i="1" s="1"/>
  <c r="B136" i="1"/>
  <c r="B154" i="1" s="1"/>
  <c r="B135" i="1"/>
  <c r="R204" i="1"/>
  <c r="R310" i="1" s="1"/>
  <c r="R100" i="1"/>
  <c r="BV52" i="1"/>
  <c r="BW76" i="1"/>
  <c r="BZ75" i="1"/>
  <c r="BY291" i="1"/>
  <c r="H100" i="1"/>
  <c r="H204" i="1"/>
  <c r="H312" i="1" s="1"/>
  <c r="BW94" i="1"/>
  <c r="Q195" i="1"/>
  <c r="Q122" i="1" s="1"/>
  <c r="G234" i="1"/>
  <c r="G175" i="1" s="1"/>
  <c r="T204" i="1"/>
  <c r="BV204" i="1"/>
  <c r="BV310" i="1" s="1"/>
  <c r="BV80" i="1"/>
  <c r="BS94" i="1"/>
  <c r="CA254" i="1"/>
  <c r="BS80" i="1"/>
  <c r="BS95" i="1" s="1"/>
  <c r="BW200" i="1"/>
  <c r="BW204" i="1" s="1"/>
  <c r="BW75" i="1"/>
  <c r="F314" i="1"/>
  <c r="BX310" i="1"/>
  <c r="F241" i="1"/>
  <c r="BJ95" i="1"/>
  <c r="BJ101" i="1" s="1"/>
  <c r="BJ105" i="1" s="1"/>
  <c r="BJ107" i="1" s="1"/>
  <c r="BX291" i="1"/>
  <c r="AS80" i="1"/>
  <c r="AS81" i="1" s="1"/>
  <c r="BZ254" i="1"/>
  <c r="Q241" i="1"/>
  <c r="BV76" i="1"/>
  <c r="BU94" i="1"/>
  <c r="BY75" i="1"/>
  <c r="F315" i="1"/>
  <c r="F317" i="1" s="1"/>
  <c r="Q121" i="1"/>
  <c r="Q273" i="1"/>
  <c r="BF80" i="1"/>
  <c r="BF81" i="1" s="1"/>
  <c r="BJ75" i="1"/>
  <c r="B100" i="1"/>
  <c r="BF94" i="1"/>
  <c r="BB94" i="1"/>
  <c r="AY75" i="1"/>
  <c r="AY52" i="1"/>
  <c r="BH80" i="1"/>
  <c r="BL82" i="1" s="1"/>
  <c r="BH52" i="1"/>
  <c r="K315" i="1"/>
  <c r="K317" i="1" s="1"/>
  <c r="O314" i="1"/>
  <c r="AT250" i="1"/>
  <c r="AT76" i="1"/>
  <c r="O241" i="1"/>
  <c r="AY76" i="1"/>
  <c r="AY80" i="1"/>
  <c r="AY95" i="1" s="1"/>
  <c r="AY94" i="1"/>
  <c r="U204" i="1"/>
  <c r="AY254" i="1"/>
  <c r="G272" i="1"/>
  <c r="AS94" i="1"/>
  <c r="D121" i="1"/>
  <c r="D314" i="1"/>
  <c r="F195" i="1"/>
  <c r="F122" i="1" s="1"/>
  <c r="BX170" i="1"/>
  <c r="BX169" i="1"/>
  <c r="AI80" i="1"/>
  <c r="N126" i="1" s="1"/>
  <c r="AO80" i="1"/>
  <c r="AO82" i="1" s="1"/>
  <c r="BY170" i="1"/>
  <c r="F234" i="1"/>
  <c r="F175" i="1" s="1"/>
  <c r="G273" i="1"/>
  <c r="F104" i="1"/>
  <c r="AS75" i="1"/>
  <c r="E273" i="1"/>
  <c r="AO75" i="1"/>
  <c r="AP80" i="1"/>
  <c r="S262" i="1"/>
  <c r="BB75" i="1"/>
  <c r="AI252" i="1"/>
  <c r="BN76" i="1"/>
  <c r="AO94" i="1"/>
  <c r="BB80" i="1"/>
  <c r="BB81" i="1" s="1"/>
  <c r="AL291" i="1"/>
  <c r="L241" i="1"/>
  <c r="AU291" i="1"/>
  <c r="AM133" i="1"/>
  <c r="AM136" i="1" s="1"/>
  <c r="AM152" i="1" s="1"/>
  <c r="G195" i="1"/>
  <c r="G122" i="1" s="1"/>
  <c r="U315" i="1"/>
  <c r="U317" i="1" s="1"/>
  <c r="AP169" i="1"/>
  <c r="G121" i="1"/>
  <c r="T121" i="1"/>
  <c r="AR94" i="1"/>
  <c r="BF75" i="1"/>
  <c r="BS75" i="1"/>
  <c r="I234" i="1"/>
  <c r="I175" i="1" s="1"/>
  <c r="AP171" i="1"/>
  <c r="BM170" i="1"/>
  <c r="AM259" i="1"/>
  <c r="AM261" i="1" s="1"/>
  <c r="P241" i="1"/>
  <c r="AM119" i="1"/>
  <c r="P314" i="1"/>
  <c r="I104" i="1"/>
  <c r="AI94" i="1"/>
  <c r="G314" i="1"/>
  <c r="BK169" i="1"/>
  <c r="D173" i="1"/>
  <c r="P121" i="1"/>
  <c r="D174" i="1"/>
  <c r="AI247" i="1"/>
  <c r="BM169" i="1"/>
  <c r="P273" i="1"/>
  <c r="T263" i="1"/>
  <c r="F273" i="1"/>
  <c r="BK170" i="1"/>
  <c r="C133" i="1"/>
  <c r="C135" i="1" s="1"/>
  <c r="E121" i="1"/>
  <c r="R262" i="1"/>
  <c r="AL170" i="1"/>
  <c r="AR80" i="1"/>
  <c r="AR95" i="1" s="1"/>
  <c r="AR96" i="1" s="1"/>
  <c r="AL169" i="1"/>
  <c r="BO80" i="1"/>
  <c r="BO81" i="1" s="1"/>
  <c r="AX250" i="1"/>
  <c r="BP250" i="1"/>
  <c r="AM75" i="1"/>
  <c r="AU169" i="1"/>
  <c r="D204" i="1"/>
  <c r="AI250" i="1"/>
  <c r="AJ76" i="1"/>
  <c r="AS76" i="1"/>
  <c r="AU171" i="1"/>
  <c r="M195" i="1"/>
  <c r="M122" i="1" s="1"/>
  <c r="BY169" i="1"/>
  <c r="AL310" i="1"/>
  <c r="BS170" i="1"/>
  <c r="E204" i="1"/>
  <c r="E312" i="1" s="1"/>
  <c r="L195" i="1"/>
  <c r="L122" i="1" s="1"/>
  <c r="BO76" i="1"/>
  <c r="N125" i="1"/>
  <c r="AR75" i="1"/>
  <c r="H275" i="1"/>
  <c r="C174" i="1"/>
  <c r="M272" i="1"/>
  <c r="U262" i="1"/>
  <c r="BH94" i="1"/>
  <c r="G223" i="1"/>
  <c r="G231" i="1" s="1"/>
  <c r="BH171" i="1"/>
  <c r="BR170" i="1"/>
  <c r="L121" i="1"/>
  <c r="BH169" i="1"/>
  <c r="AP76" i="1"/>
  <c r="BR171" i="1"/>
  <c r="AZ170" i="1"/>
  <c r="L314" i="1"/>
  <c r="BP76" i="1"/>
  <c r="AN80" i="1"/>
  <c r="AN95" i="1" s="1"/>
  <c r="BB169" i="1"/>
  <c r="BL169" i="1"/>
  <c r="Q262" i="1"/>
  <c r="BH250" i="1"/>
  <c r="F223" i="1"/>
  <c r="F231" i="1" s="1"/>
  <c r="AR254" i="1"/>
  <c r="AR76" i="1"/>
  <c r="AT171" i="1"/>
  <c r="BD250" i="1"/>
  <c r="N234" i="1"/>
  <c r="N175" i="1" s="1"/>
  <c r="BC94" i="1"/>
  <c r="BC254" i="1"/>
  <c r="AT291" i="1"/>
  <c r="BW171" i="1"/>
  <c r="P234" i="1"/>
  <c r="P175" i="1" s="1"/>
  <c r="Q248" i="1"/>
  <c r="Q247" i="1" s="1"/>
  <c r="T195" i="1"/>
  <c r="T122" i="1" s="1"/>
  <c r="E275" i="1"/>
  <c r="AO170" i="1"/>
  <c r="BI76" i="1"/>
  <c r="AO76" i="1"/>
  <c r="AO291" i="1"/>
  <c r="AO254" i="1"/>
  <c r="BB170" i="1"/>
  <c r="AQ75" i="1"/>
  <c r="BL171" i="1"/>
  <c r="BE170" i="1"/>
  <c r="AT170" i="1"/>
  <c r="BD80" i="1"/>
  <c r="BD81" i="1" s="1"/>
  <c r="O125" i="1"/>
  <c r="V241" i="1"/>
  <c r="P195" i="1"/>
  <c r="P122" i="1" s="1"/>
  <c r="P223" i="1"/>
  <c r="P231" i="1" s="1"/>
  <c r="V314" i="1"/>
  <c r="Q223" i="1"/>
  <c r="BD94" i="1"/>
  <c r="F312" i="1"/>
  <c r="BO94" i="1"/>
  <c r="AW170" i="1"/>
  <c r="AN254" i="1"/>
  <c r="AO171" i="1"/>
  <c r="AW171" i="1"/>
  <c r="BI169" i="1"/>
  <c r="BL75" i="1"/>
  <c r="AN291" i="1"/>
  <c r="AN75" i="1"/>
  <c r="AQ80" i="1"/>
  <c r="BM254" i="1"/>
  <c r="AN94" i="1"/>
  <c r="AZ171" i="1"/>
  <c r="BC75" i="1"/>
  <c r="BJ272" i="1"/>
  <c r="BH75" i="1"/>
  <c r="V121" i="1"/>
  <c r="N195" i="1"/>
  <c r="N122" i="1" s="1"/>
  <c r="Q204" i="1"/>
  <c r="Q312" i="1" s="1"/>
  <c r="P248" i="1"/>
  <c r="P247" i="1" s="1"/>
  <c r="F248" i="1"/>
  <c r="F247" i="1" s="1"/>
  <c r="J204" i="1"/>
  <c r="J310" i="1" s="1"/>
  <c r="N204" i="1"/>
  <c r="N312" i="1" s="1"/>
  <c r="P272" i="1"/>
  <c r="BV250" i="1"/>
  <c r="BD76" i="1"/>
  <c r="BI171" i="1"/>
  <c r="AN76" i="1"/>
  <c r="BC76" i="1"/>
  <c r="P125" i="1"/>
  <c r="BE169" i="1"/>
  <c r="AU75" i="1"/>
  <c r="AS254" i="1"/>
  <c r="BW170" i="1"/>
  <c r="BC80" i="1"/>
  <c r="AS291" i="1"/>
  <c r="L104" i="1"/>
  <c r="T223" i="1"/>
  <c r="AQ94" i="1"/>
  <c r="F262" i="1"/>
  <c r="AP254" i="1"/>
  <c r="AQ291" i="1"/>
  <c r="AT75" i="1"/>
  <c r="AP94" i="1"/>
  <c r="AU254" i="1"/>
  <c r="AQ254" i="1"/>
  <c r="AQ76" i="1"/>
  <c r="AR291" i="1"/>
  <c r="AT254" i="1"/>
  <c r="AP75" i="1"/>
  <c r="AP291" i="1"/>
  <c r="BA80" i="1"/>
  <c r="BA95" i="1" s="1"/>
  <c r="BA298" i="1" s="1"/>
  <c r="BA299" i="1" s="1"/>
  <c r="BG170" i="1"/>
  <c r="BI100" i="1"/>
  <c r="BH161" i="1"/>
  <c r="G263" i="1"/>
  <c r="F272" i="1"/>
  <c r="H263" i="1"/>
  <c r="AX169" i="1"/>
  <c r="BH204" i="1"/>
  <c r="BH312" i="1" s="1"/>
  <c r="BD291" i="1"/>
  <c r="BP171" i="1"/>
  <c r="BJ170" i="1"/>
  <c r="C263" i="1"/>
  <c r="J315" i="1"/>
  <c r="J317" i="1" s="1"/>
  <c r="J104" i="1"/>
  <c r="L262" i="1"/>
  <c r="BO254" i="1"/>
  <c r="BL291" i="1"/>
  <c r="BH314" i="1"/>
  <c r="BQ170" i="1"/>
  <c r="BF250" i="1"/>
  <c r="X272" i="1"/>
  <c r="E195" i="1"/>
  <c r="E122" i="1" s="1"/>
  <c r="BV75" i="1"/>
  <c r="Q104" i="1"/>
  <c r="E248" i="1"/>
  <c r="E247" i="1" s="1"/>
  <c r="M273" i="1"/>
  <c r="BE291" i="1"/>
  <c r="BT254" i="1"/>
  <c r="BA76" i="1"/>
  <c r="M315" i="1"/>
  <c r="M317" i="1" s="1"/>
  <c r="V273" i="1"/>
  <c r="I204" i="1"/>
  <c r="I310" i="1" s="1"/>
  <c r="BG75" i="1"/>
  <c r="BW254" i="1"/>
  <c r="BE254" i="1"/>
  <c r="BX75" i="1"/>
  <c r="BA169" i="1"/>
  <c r="W125" i="1"/>
  <c r="BD254" i="1"/>
  <c r="BG291" i="1"/>
  <c r="U314" i="1"/>
  <c r="K262" i="1"/>
  <c r="AZ80" i="1"/>
  <c r="AZ81" i="1" s="1"/>
  <c r="P310" i="1"/>
  <c r="BJ310" i="1"/>
  <c r="AZ75" i="1"/>
  <c r="BP75" i="1"/>
  <c r="BV291" i="1"/>
  <c r="BR80" i="1"/>
  <c r="BV171" i="1"/>
  <c r="U234" i="1"/>
  <c r="U175" i="1" s="1"/>
  <c r="R314" i="1"/>
  <c r="K223" i="1"/>
  <c r="I262" i="1"/>
  <c r="S234" i="1"/>
  <c r="S175" i="1" s="1"/>
  <c r="L204" i="1"/>
  <c r="L312" i="1" s="1"/>
  <c r="R273" i="1"/>
  <c r="BJ291" i="1"/>
  <c r="BW291" i="1"/>
  <c r="BH291" i="1"/>
  <c r="BP94" i="1"/>
  <c r="T125" i="1"/>
  <c r="BX254" i="1"/>
  <c r="BV169" i="1"/>
  <c r="N223" i="1"/>
  <c r="U272" i="1"/>
  <c r="O262" i="1"/>
  <c r="K248" i="1"/>
  <c r="K247" i="1" s="1"/>
  <c r="C314" i="1"/>
  <c r="B241" i="1"/>
  <c r="U121" i="1"/>
  <c r="C273" i="1"/>
  <c r="BA170" i="1"/>
  <c r="BO291" i="1"/>
  <c r="AY169" i="1"/>
  <c r="BY254" i="1"/>
  <c r="BR75" i="1"/>
  <c r="BT94" i="1"/>
  <c r="AV291" i="1"/>
  <c r="BI75" i="1"/>
  <c r="BS254" i="1"/>
  <c r="BP80" i="1"/>
  <c r="BP81" i="1" s="1"/>
  <c r="BS76" i="1"/>
  <c r="BO171" i="1"/>
  <c r="AZ76" i="1"/>
  <c r="BF169" i="1"/>
  <c r="M104" i="1"/>
  <c r="N272" i="1"/>
  <c r="H272" i="1"/>
  <c r="M241" i="1"/>
  <c r="E262" i="1"/>
  <c r="V263" i="1"/>
  <c r="BR94" i="1"/>
  <c r="BE94" i="1"/>
  <c r="AV94" i="1"/>
  <c r="BG94" i="1"/>
  <c r="BM94" i="1"/>
  <c r="Q314" i="1"/>
  <c r="Q234" i="1"/>
  <c r="Q175" i="1" s="1"/>
  <c r="AY291" i="1"/>
  <c r="T314" i="1"/>
  <c r="BA94" i="1"/>
  <c r="BB76" i="1"/>
  <c r="BG171" i="1"/>
  <c r="BV314" i="1"/>
  <c r="X315" i="1"/>
  <c r="X317" i="1" s="1"/>
  <c r="T262" i="1"/>
  <c r="G262" i="1"/>
  <c r="BH195" i="1"/>
  <c r="C262" i="1"/>
  <c r="BB291" i="1"/>
  <c r="AS171" i="1"/>
  <c r="BC291" i="1"/>
  <c r="F310" i="1"/>
  <c r="BK76" i="1"/>
  <c r="E104" i="1"/>
  <c r="H223" i="1"/>
  <c r="J272" i="1"/>
  <c r="K104" i="1"/>
  <c r="BV195" i="1"/>
  <c r="V262" i="1"/>
  <c r="J262" i="1"/>
  <c r="L234" i="1"/>
  <c r="L175" i="1" s="1"/>
  <c r="AS170" i="1"/>
  <c r="BF254" i="1"/>
  <c r="BJ171" i="1"/>
  <c r="E234" i="1"/>
  <c r="E175" i="1" s="1"/>
  <c r="Q251" i="1"/>
  <c r="H262" i="1"/>
  <c r="D263" i="1"/>
  <c r="T272" i="1"/>
  <c r="AR169" i="1"/>
  <c r="BA75" i="1"/>
  <c r="B223" i="1"/>
  <c r="B231" i="1" s="1"/>
  <c r="B310" i="1" s="1"/>
  <c r="I195" i="1"/>
  <c r="I122" i="1" s="1"/>
  <c r="AV80" i="1"/>
  <c r="AY171" i="1"/>
  <c r="BG76" i="1"/>
  <c r="AV254" i="1"/>
  <c r="BE80" i="1"/>
  <c r="BE76" i="1"/>
  <c r="BM76" i="1"/>
  <c r="BF171" i="1"/>
  <c r="AV250" i="1"/>
  <c r="BP247" i="1"/>
  <c r="V204" i="1"/>
  <c r="V312" i="1" s="1"/>
  <c r="U223" i="1"/>
  <c r="F263" i="1"/>
  <c r="L263" i="1"/>
  <c r="M275" i="1"/>
  <c r="N315" i="1"/>
  <c r="N317" i="1" s="1"/>
  <c r="Q272" i="1"/>
  <c r="U195" i="1"/>
  <c r="U122" i="1" s="1"/>
  <c r="I315" i="1"/>
  <c r="I317" i="1" s="1"/>
  <c r="W100" i="1"/>
  <c r="I272" i="1"/>
  <c r="S273" i="1"/>
  <c r="B195" i="1"/>
  <c r="B122" i="1" s="1"/>
  <c r="B314" i="1"/>
  <c r="H315" i="1"/>
  <c r="H317" i="1" s="1"/>
  <c r="V248" i="1"/>
  <c r="V247" i="1" s="1"/>
  <c r="H234" i="1"/>
  <c r="H175" i="1" s="1"/>
  <c r="I241" i="1"/>
  <c r="N273" i="1"/>
  <c r="M121" i="1"/>
  <c r="U263" i="1"/>
  <c r="C204" i="1"/>
  <c r="C269" i="1" s="1"/>
  <c r="C267" i="1" s="1"/>
  <c r="D273" i="1"/>
  <c r="E223" i="1"/>
  <c r="T234" i="1"/>
  <c r="T175" i="1" s="1"/>
  <c r="I314" i="1"/>
  <c r="BG80" i="1"/>
  <c r="AV76" i="1"/>
  <c r="BP291" i="1"/>
  <c r="BT80" i="1"/>
  <c r="AZ254" i="1"/>
  <c r="S125" i="1"/>
  <c r="BE75" i="1"/>
  <c r="BT76" i="1"/>
  <c r="BV234" i="1"/>
  <c r="BW104" i="1" s="1"/>
  <c r="BJ254" i="1"/>
  <c r="BI315" i="1"/>
  <c r="BO170" i="1"/>
  <c r="AV75" i="1"/>
  <c r="BH76" i="1"/>
  <c r="BG254" i="1"/>
  <c r="BT75" i="1"/>
  <c r="BU76" i="1"/>
  <c r="BN254" i="1"/>
  <c r="R125" i="1"/>
  <c r="BA291" i="1"/>
  <c r="Q125" i="1"/>
  <c r="BI291" i="1"/>
  <c r="BF291" i="1"/>
  <c r="BH254" i="1"/>
  <c r="BF76" i="1"/>
  <c r="BQ254" i="1"/>
  <c r="BI254" i="1"/>
  <c r="BU291" i="1"/>
  <c r="BD75" i="1"/>
  <c r="BM80" i="1"/>
  <c r="BS171" i="1"/>
  <c r="BQ80" i="1"/>
  <c r="BQ95" i="1" s="1"/>
  <c r="BQ101" i="1" s="1"/>
  <c r="BQ105" i="1" s="1"/>
  <c r="BM75" i="1"/>
  <c r="BH272" i="1"/>
  <c r="Q315" i="1"/>
  <c r="Q317" i="1" s="1"/>
  <c r="U104" i="1"/>
  <c r="M204" i="1"/>
  <c r="M312" i="1" s="1"/>
  <c r="C234" i="1"/>
  <c r="C175" i="1" s="1"/>
  <c r="C176" i="1" s="1"/>
  <c r="C179" i="1" s="1"/>
  <c r="O234" i="1"/>
  <c r="O175" i="1" s="1"/>
  <c r="D272" i="1"/>
  <c r="N241" i="1"/>
  <c r="T273" i="1"/>
  <c r="K273" i="1"/>
  <c r="J223" i="1"/>
  <c r="M314" i="1"/>
  <c r="N263" i="1"/>
  <c r="BV247" i="1"/>
  <c r="K314" i="1"/>
  <c r="M262" i="1"/>
  <c r="C223" i="1"/>
  <c r="I223" i="1"/>
  <c r="AZ94" i="1"/>
  <c r="P262" i="1"/>
  <c r="U125" i="1"/>
  <c r="BT169" i="1"/>
  <c r="BP170" i="1"/>
  <c r="BC170" i="1"/>
  <c r="V195" i="1"/>
  <c r="V122" i="1" s="1"/>
  <c r="R263" i="1"/>
  <c r="K263" i="1"/>
  <c r="L273" i="1"/>
  <c r="B234" i="1"/>
  <c r="B175" i="1" s="1"/>
  <c r="B177" i="1" s="1"/>
  <c r="B180" i="1" s="1"/>
  <c r="G100" i="1"/>
  <c r="AX170" i="1"/>
  <c r="AV171" i="1"/>
  <c r="AR171" i="1"/>
  <c r="BD169" i="1"/>
  <c r="BP254" i="1"/>
  <c r="BT170" i="1"/>
  <c r="BM291" i="1"/>
  <c r="BK80" i="1"/>
  <c r="BK81" i="1" s="1"/>
  <c r="BK94" i="1"/>
  <c r="BC171" i="1"/>
  <c r="BK75" i="1"/>
  <c r="AZ250" i="1"/>
  <c r="R223" i="1"/>
  <c r="M234" i="1"/>
  <c r="M175" i="1" s="1"/>
  <c r="G251" i="1"/>
  <c r="G250" i="1" s="1"/>
  <c r="O100" i="1"/>
  <c r="L272" i="1"/>
  <c r="Q263" i="1"/>
  <c r="V272" i="1"/>
  <c r="E263" i="1"/>
  <c r="K204" i="1"/>
  <c r="K312" i="1" s="1"/>
  <c r="D223" i="1"/>
  <c r="W272" i="1"/>
  <c r="K121" i="1"/>
  <c r="K272" i="1"/>
  <c r="C272" i="1"/>
  <c r="L223" i="1"/>
  <c r="J273" i="1"/>
  <c r="V315" i="1"/>
  <c r="V317" i="1" s="1"/>
  <c r="O272" i="1"/>
  <c r="S100" i="1"/>
  <c r="S248" i="1"/>
  <c r="S247" i="1" s="1"/>
  <c r="E272" i="1"/>
  <c r="BH252" i="1"/>
  <c r="BL255" i="1" s="1"/>
  <c r="AV170" i="1"/>
  <c r="BK291" i="1"/>
  <c r="BL310" i="1"/>
  <c r="M223" i="1"/>
  <c r="J263" i="1"/>
  <c r="L248" i="1"/>
  <c r="L252" i="1" s="1"/>
  <c r="K195" i="1"/>
  <c r="K122" i="1" s="1"/>
  <c r="T315" i="1"/>
  <c r="T317" i="1" s="1"/>
  <c r="C248" i="1"/>
  <c r="C247" i="1" s="1"/>
  <c r="S263" i="1"/>
  <c r="S223" i="1"/>
  <c r="S231" i="1" s="1"/>
  <c r="D195" i="1"/>
  <c r="D122" i="1" s="1"/>
  <c r="BH234" i="1"/>
  <c r="BI104" i="1" s="1"/>
  <c r="BN291" i="1"/>
  <c r="BQ291" i="1"/>
  <c r="BB254" i="1"/>
  <c r="BQ171" i="1"/>
  <c r="BK254" i="1"/>
  <c r="BL254" i="1"/>
  <c r="AW291" i="1"/>
  <c r="BX315" i="1"/>
  <c r="BO75" i="1"/>
  <c r="BN169" i="1"/>
  <c r="BL76" i="1"/>
  <c r="BH162" i="1"/>
  <c r="M263" i="1"/>
  <c r="V223" i="1"/>
  <c r="L315" i="1"/>
  <c r="L317" i="1" s="1"/>
  <c r="O315" i="1"/>
  <c r="O317" i="1" s="1"/>
  <c r="N262" i="1"/>
  <c r="S195" i="1"/>
  <c r="S122" i="1" s="1"/>
  <c r="W315" i="1"/>
  <c r="W317" i="1" s="1"/>
  <c r="K234" i="1"/>
  <c r="K175" i="1" s="1"/>
  <c r="D234" i="1"/>
  <c r="D175" i="1" s="1"/>
  <c r="D315" i="1"/>
  <c r="D317" i="1" s="1"/>
  <c r="V234" i="1"/>
  <c r="V175" i="1" s="1"/>
  <c r="F100" i="1"/>
  <c r="AX76" i="1"/>
  <c r="AQ169" i="1"/>
  <c r="AN171" i="1"/>
  <c r="BU169" i="1"/>
  <c r="BS291" i="1"/>
  <c r="BU170" i="1"/>
  <c r="BU75" i="1"/>
  <c r="BN171" i="1"/>
  <c r="AW94" i="1"/>
  <c r="V251" i="1"/>
  <c r="V250" i="1" s="1"/>
  <c r="P315" i="1"/>
  <c r="P317" i="1" s="1"/>
  <c r="I251" i="1"/>
  <c r="I250" i="1" s="1"/>
  <c r="R315" i="1"/>
  <c r="R317" i="1" s="1"/>
  <c r="P312" i="1"/>
  <c r="O223" i="1"/>
  <c r="O231" i="1" s="1"/>
  <c r="D248" i="1"/>
  <c r="D247" i="1" s="1"/>
  <c r="O104" i="1"/>
  <c r="J121" i="1"/>
  <c r="S272" i="1"/>
  <c r="H314" i="1"/>
  <c r="I273" i="1"/>
  <c r="P263" i="1"/>
  <c r="AW254" i="1"/>
  <c r="BA254" i="1"/>
  <c r="AZ291" i="1"/>
  <c r="AX254" i="1"/>
  <c r="AN170" i="1"/>
  <c r="AQ170" i="1"/>
  <c r="BV252" i="1"/>
  <c r="BZ255" i="1" s="1"/>
  <c r="BI272" i="1"/>
  <c r="AX291" i="1"/>
  <c r="BD171" i="1"/>
  <c r="V125" i="1"/>
  <c r="BQ94" i="1"/>
  <c r="O263" i="1"/>
  <c r="I263" i="1"/>
  <c r="D262" i="1"/>
  <c r="J195" i="1"/>
  <c r="J122" i="1" s="1"/>
  <c r="H195" i="1"/>
  <c r="H122" i="1" s="1"/>
  <c r="R195" i="1"/>
  <c r="R122" i="1" s="1"/>
  <c r="S315" i="1"/>
  <c r="S317" i="1" s="1"/>
  <c r="H241" i="1"/>
  <c r="AW80" i="1"/>
  <c r="AW81" i="1" s="1"/>
  <c r="O195" i="1"/>
  <c r="O122" i="1" s="1"/>
  <c r="R241" i="1"/>
  <c r="C241" i="1"/>
  <c r="AW76" i="1"/>
  <c r="BV223" i="1"/>
  <c r="BR254" i="1"/>
  <c r="BR76" i="1"/>
  <c r="BR291" i="1"/>
  <c r="BV254" i="1"/>
  <c r="BU254" i="1"/>
  <c r="BT291" i="1"/>
  <c r="AW75" i="1"/>
  <c r="BQ76" i="1"/>
  <c r="BQ75" i="1"/>
  <c r="R272" i="1"/>
  <c r="J241" i="1"/>
  <c r="R234" i="1"/>
  <c r="R175" i="1" s="1"/>
  <c r="H273" i="1"/>
  <c r="C195" i="1"/>
  <c r="C122" i="1" s="1"/>
  <c r="C315" i="1"/>
  <c r="C317" i="1" s="1"/>
  <c r="BH247" i="1"/>
  <c r="BW272" i="1"/>
  <c r="BW315" i="1"/>
  <c r="BH223" i="1"/>
  <c r="N121" i="1"/>
  <c r="O273" i="1"/>
  <c r="N314" i="1"/>
  <c r="U273" i="1"/>
  <c r="P100" i="1"/>
  <c r="AT95" i="1"/>
  <c r="AR204" i="1"/>
  <c r="AR312" i="1" s="1"/>
  <c r="AS100" i="1"/>
  <c r="AW268" i="1"/>
  <c r="S312" i="1"/>
  <c r="S310" i="1"/>
  <c r="AR247" i="1"/>
  <c r="BR315" i="1"/>
  <c r="X269" i="1"/>
  <c r="X267" i="1" s="1"/>
  <c r="G269" i="1"/>
  <c r="G267" i="1" s="1"/>
  <c r="G310" i="1"/>
  <c r="G312" i="1"/>
  <c r="H247" i="1"/>
  <c r="H252" i="1"/>
  <c r="D250" i="1"/>
  <c r="D136" i="1"/>
  <c r="C156" i="1" s="1"/>
  <c r="D135" i="1"/>
  <c r="B252" i="1"/>
  <c r="B247" i="1"/>
  <c r="AR268" i="1"/>
  <c r="AQ268" i="1"/>
  <c r="BB234" i="1"/>
  <c r="J250" i="1"/>
  <c r="J252" i="1"/>
  <c r="AV234" i="1"/>
  <c r="C250" i="1"/>
  <c r="AQ315" i="1"/>
  <c r="AN159" i="1"/>
  <c r="AN162" i="1" s="1"/>
  <c r="AN314" i="1"/>
  <c r="AV315" i="1"/>
  <c r="O312" i="1"/>
  <c r="P269" i="1"/>
  <c r="P267" i="1" s="1"/>
  <c r="AR272" i="1"/>
  <c r="AR315" i="1"/>
  <c r="AO200" i="1"/>
  <c r="AO100" i="1"/>
  <c r="AN204" i="1"/>
  <c r="AN312" i="1" s="1"/>
  <c r="BC100" i="1"/>
  <c r="BB204" i="1"/>
  <c r="BC200" i="1"/>
  <c r="AV272" i="1"/>
  <c r="K250" i="1"/>
  <c r="E250" i="1"/>
  <c r="U250" i="1"/>
  <c r="U252" i="1"/>
  <c r="BN234" i="1"/>
  <c r="BN195" i="1"/>
  <c r="BC272" i="1"/>
  <c r="BC315" i="1"/>
  <c r="T252" i="1"/>
  <c r="T247" i="1"/>
  <c r="O310" i="1"/>
  <c r="N252" i="1"/>
  <c r="N247" i="1"/>
  <c r="O252" i="1"/>
  <c r="O250" i="1"/>
  <c r="BB195" i="1"/>
  <c r="AT314" i="1"/>
  <c r="AS272" i="1"/>
  <c r="AS315" i="1"/>
  <c r="AR234" i="1"/>
  <c r="AS104" i="1" s="1"/>
  <c r="AR195" i="1"/>
  <c r="AX159" i="1"/>
  <c r="AX314" i="1"/>
  <c r="AW100" i="1"/>
  <c r="AV204" i="1"/>
  <c r="AW200" i="1"/>
  <c r="BE100" i="1"/>
  <c r="BE200" i="1"/>
  <c r="BD204" i="1"/>
  <c r="AQ200" i="1"/>
  <c r="AP204" i="1"/>
  <c r="AQ100" i="1"/>
  <c r="R252" i="1"/>
  <c r="R250" i="1"/>
  <c r="AT248" i="1"/>
  <c r="AT223" i="1"/>
  <c r="BB162" i="1"/>
  <c r="BB163" i="1"/>
  <c r="BB161" i="1"/>
  <c r="AO315" i="1"/>
  <c r="AO272" i="1"/>
  <c r="AN315" i="1"/>
  <c r="AN272" i="1"/>
  <c r="AN234" i="1"/>
  <c r="BN204" i="1"/>
  <c r="BO200" i="1"/>
  <c r="BO100" i="1"/>
  <c r="AY200" i="1"/>
  <c r="AX204" i="1"/>
  <c r="AY100" i="1"/>
  <c r="BN314" i="1"/>
  <c r="BN159" i="1"/>
  <c r="BA200" i="1"/>
  <c r="BA100" i="1"/>
  <c r="AZ204" i="1"/>
  <c r="BQ100" i="1"/>
  <c r="BP204" i="1"/>
  <c r="BQ200" i="1"/>
  <c r="BC275" i="1"/>
  <c r="BB314" i="1"/>
  <c r="AR314" i="1"/>
  <c r="AX272" i="1"/>
  <c r="AX234" i="1"/>
  <c r="AX195" i="1"/>
  <c r="AX315" i="1"/>
  <c r="BO268" i="1"/>
  <c r="BP268" i="1"/>
  <c r="AT204" i="1"/>
  <c r="AU100" i="1"/>
  <c r="AU200" i="1"/>
  <c r="BD159" i="1"/>
  <c r="BD314" i="1"/>
  <c r="BO272" i="1"/>
  <c r="BO315" i="1"/>
  <c r="BN315" i="1"/>
  <c r="BN272" i="1"/>
  <c r="AW315" i="1"/>
  <c r="AW272" i="1"/>
  <c r="AN248" i="1"/>
  <c r="AN223" i="1"/>
  <c r="BT268" i="1"/>
  <c r="BS268" i="1"/>
  <c r="AP268" i="1"/>
  <c r="AO268" i="1"/>
  <c r="M252" i="1"/>
  <c r="M250" i="1"/>
  <c r="AZ234" i="1"/>
  <c r="AZ315" i="1"/>
  <c r="AZ195" i="1"/>
  <c r="AZ272" i="1"/>
  <c r="AN250" i="1"/>
  <c r="AT195" i="1"/>
  <c r="AT315" i="1"/>
  <c r="AT272" i="1"/>
  <c r="AT234" i="1"/>
  <c r="BD272" i="1"/>
  <c r="BD195" i="1"/>
  <c r="BE315" i="1"/>
  <c r="BE272" i="1"/>
  <c r="BD234" i="1"/>
  <c r="BD315" i="1"/>
  <c r="AV159" i="1"/>
  <c r="AV314" i="1"/>
  <c r="AQ272" i="1"/>
  <c r="AP272" i="1"/>
  <c r="AP315" i="1"/>
  <c r="BG315" i="1"/>
  <c r="BH315" i="1"/>
  <c r="BB272" i="1"/>
  <c r="BA315" i="1"/>
  <c r="BB315" i="1"/>
  <c r="BA272" i="1"/>
  <c r="AU272" i="1"/>
  <c r="AU315" i="1"/>
  <c r="BP252" i="1"/>
  <c r="BP255" i="1" s="1"/>
  <c r="BR272" i="1"/>
  <c r="AY272" i="1"/>
  <c r="AY315" i="1"/>
  <c r="AQ275" i="1"/>
  <c r="AP314" i="1"/>
  <c r="AZ159" i="1"/>
  <c r="AZ314" i="1"/>
  <c r="BS275" i="1"/>
  <c r="BR314" i="1"/>
  <c r="BF315" i="1"/>
  <c r="BF195" i="1"/>
  <c r="AP234" i="1"/>
  <c r="AP195" i="1"/>
  <c r="AP162" i="1"/>
  <c r="AP161" i="1"/>
  <c r="AP163" i="1"/>
  <c r="AP251" i="1"/>
  <c r="AP223" i="1"/>
  <c r="BF159" i="1"/>
  <c r="BF314" i="1"/>
  <c r="BP163" i="1"/>
  <c r="AV195" i="1"/>
  <c r="BQ315" i="1"/>
  <c r="BP314" i="1"/>
  <c r="BP195" i="1"/>
  <c r="BP223" i="1"/>
  <c r="BG272" i="1"/>
  <c r="BQ272" i="1"/>
  <c r="BP162" i="1"/>
  <c r="AV248" i="1"/>
  <c r="AV252" i="1" s="1"/>
  <c r="AV223" i="1"/>
  <c r="BB248" i="1"/>
  <c r="BB223" i="1"/>
  <c r="BD248" i="1"/>
  <c r="BD223" i="1"/>
  <c r="AX248" i="1"/>
  <c r="AX223" i="1"/>
  <c r="BF248" i="1"/>
  <c r="BF223" i="1"/>
  <c r="BR248" i="1"/>
  <c r="BR252" i="1" s="1"/>
  <c r="BR223" i="1"/>
  <c r="BN248" i="1"/>
  <c r="BN223" i="1"/>
  <c r="AZ248" i="1"/>
  <c r="AZ223" i="1"/>
  <c r="BV163" i="1"/>
  <c r="BV162" i="1"/>
  <c r="BV161" i="1"/>
  <c r="AM121" i="1"/>
  <c r="AM273" i="1"/>
  <c r="AM271" i="1" s="1"/>
  <c r="AM122" i="1"/>
  <c r="AM159" i="1"/>
  <c r="AS204" i="1"/>
  <c r="AT100" i="1"/>
  <c r="BN250" i="1"/>
  <c r="AX81" i="1"/>
  <c r="AX82" i="1"/>
  <c r="AX95" i="1"/>
  <c r="AT162" i="1"/>
  <c r="AT163" i="1"/>
  <c r="AT161" i="1"/>
  <c r="BN82" i="1"/>
  <c r="BN95" i="1"/>
  <c r="BN81" i="1"/>
  <c r="BR163" i="1"/>
  <c r="BR161" i="1"/>
  <c r="BR162" i="1"/>
  <c r="BJ100" i="1"/>
  <c r="BI204" i="1"/>
  <c r="BJ269" i="1" s="1"/>
  <c r="BJ267" i="1" s="1"/>
  <c r="CR260" i="1"/>
  <c r="CR198" i="1"/>
  <c r="CQ269" i="1"/>
  <c r="CQ267" i="1" s="1"/>
  <c r="AB272" i="1"/>
  <c r="DB130" i="1"/>
  <c r="DB132" i="1" s="1"/>
  <c r="DA132" i="1"/>
  <c r="BR250" i="1" l="1"/>
  <c r="AP247" i="1"/>
  <c r="AR159" i="1"/>
  <c r="BG200" i="1"/>
  <c r="BG100" i="1"/>
  <c r="BF204" i="1"/>
  <c r="AN195" i="1"/>
  <c r="AR251" i="1"/>
  <c r="AR223" i="1"/>
  <c r="BF272" i="1"/>
  <c r="BF234" i="1"/>
  <c r="BP315" i="1"/>
  <c r="BP272" i="1"/>
  <c r="BP234" i="1"/>
  <c r="BR195" i="1"/>
  <c r="BS315" i="1"/>
  <c r="BS272" i="1"/>
  <c r="BR234" i="1"/>
  <c r="BS100" i="1"/>
  <c r="BS200" i="1"/>
  <c r="BR204" i="1"/>
  <c r="BT159" i="1"/>
  <c r="BT314" i="1"/>
  <c r="BT248" i="1"/>
  <c r="BT223" i="1"/>
  <c r="B152" i="1"/>
  <c r="B153" i="1"/>
  <c r="BU95" i="1"/>
  <c r="BY82" i="1"/>
  <c r="BU81" i="1"/>
  <c r="BI81" i="1"/>
  <c r="BI95" i="1"/>
  <c r="BJ83" i="1"/>
  <c r="AU83" i="1"/>
  <c r="AU95" i="1"/>
  <c r="AU81" i="1"/>
  <c r="BW83" i="1"/>
  <c r="BW81" i="1"/>
  <c r="X126" i="1"/>
  <c r="CA82" i="1"/>
  <c r="BX83" i="1"/>
  <c r="BW95" i="1"/>
  <c r="BM82" i="1"/>
  <c r="BT250" i="1"/>
  <c r="BU268" i="1"/>
  <c r="BT195" i="1"/>
  <c r="BU100" i="1"/>
  <c r="BT204" i="1"/>
  <c r="BU200" i="1"/>
  <c r="BV315" i="1"/>
  <c r="BU315" i="1"/>
  <c r="BU272" i="1"/>
  <c r="BV272" i="1"/>
  <c r="BT234" i="1"/>
  <c r="BT315" i="1"/>
  <c r="BT272" i="1"/>
  <c r="H231" i="1"/>
  <c r="U269" i="1"/>
  <c r="U267" i="1" s="1"/>
  <c r="BV312" i="1"/>
  <c r="S269" i="1"/>
  <c r="S267" i="1" s="1"/>
  <c r="R312" i="1"/>
  <c r="T231" i="1"/>
  <c r="T232" i="1" s="1"/>
  <c r="R231" i="1"/>
  <c r="R232" i="1" s="1"/>
  <c r="H310" i="1"/>
  <c r="H269" i="1"/>
  <c r="H267" i="1" s="1"/>
  <c r="T310" i="1"/>
  <c r="T312" i="1"/>
  <c r="T269" i="1"/>
  <c r="T267" i="1" s="1"/>
  <c r="BV95" i="1"/>
  <c r="BZ82" i="1"/>
  <c r="BV81" i="1"/>
  <c r="BV231" i="1"/>
  <c r="N310" i="1"/>
  <c r="AI95" i="1"/>
  <c r="AJ98" i="1" s="1"/>
  <c r="BV83" i="1"/>
  <c r="BJ108" i="1"/>
  <c r="BJ109" i="1" s="1"/>
  <c r="BJ311" i="1" s="1"/>
  <c r="BX100" i="1"/>
  <c r="BF95" i="1"/>
  <c r="BF96" i="1" s="1"/>
  <c r="BW82" i="1"/>
  <c r="AT83" i="1"/>
  <c r="E271" i="1"/>
  <c r="BS83" i="1"/>
  <c r="AS95" i="1"/>
  <c r="BS81" i="1"/>
  <c r="BT83" i="1"/>
  <c r="M271" i="1"/>
  <c r="P126" i="1"/>
  <c r="U310" i="1"/>
  <c r="U312" i="1"/>
  <c r="BJ82" i="1"/>
  <c r="BJ96" i="1"/>
  <c r="BJ298" i="1"/>
  <c r="BJ299" i="1" s="1"/>
  <c r="BG83" i="1"/>
  <c r="U271" i="1"/>
  <c r="C264" i="1"/>
  <c r="C265" i="1" s="1"/>
  <c r="C279" i="1" s="1"/>
  <c r="BH81" i="1"/>
  <c r="AI81" i="1"/>
  <c r="Q271" i="1"/>
  <c r="AS82" i="1"/>
  <c r="BH95" i="1"/>
  <c r="BH96" i="1" s="1"/>
  <c r="BI83" i="1"/>
  <c r="U231" i="1"/>
  <c r="U232" i="1" s="1"/>
  <c r="D231" i="1"/>
  <c r="D310" i="1" s="1"/>
  <c r="V269" i="1"/>
  <c r="V267" i="1" s="1"/>
  <c r="BF82" i="1"/>
  <c r="J231" i="1"/>
  <c r="J232" i="1" s="1"/>
  <c r="T264" i="1"/>
  <c r="T265" i="1" s="1"/>
  <c r="AP83" i="1"/>
  <c r="AY81" i="1"/>
  <c r="BC82" i="1"/>
  <c r="AY83" i="1"/>
  <c r="AY82" i="1"/>
  <c r="AO81" i="1"/>
  <c r="BB83" i="1"/>
  <c r="AM82" i="1"/>
  <c r="S264" i="1"/>
  <c r="S265" i="1" s="1"/>
  <c r="G271" i="1"/>
  <c r="F232" i="1"/>
  <c r="AO95" i="1"/>
  <c r="BB95" i="1"/>
  <c r="BB101" i="1" s="1"/>
  <c r="AJ83" i="1"/>
  <c r="F269" i="1"/>
  <c r="F267" i="1" s="1"/>
  <c r="BB82" i="1"/>
  <c r="E310" i="1"/>
  <c r="O269" i="1"/>
  <c r="O267" i="1" s="1"/>
  <c r="I269" i="1"/>
  <c r="I267" i="1" s="1"/>
  <c r="AS83" i="1"/>
  <c r="BA96" i="1"/>
  <c r="AM153" i="1"/>
  <c r="U264" i="1"/>
  <c r="U265" i="1" s="1"/>
  <c r="AP82" i="1"/>
  <c r="P271" i="1"/>
  <c r="AP81" i="1"/>
  <c r="AP95" i="1"/>
  <c r="AT82" i="1"/>
  <c r="E264" i="1"/>
  <c r="E265" i="1" s="1"/>
  <c r="F271" i="1"/>
  <c r="N231" i="1"/>
  <c r="N232" i="1" s="1"/>
  <c r="G232" i="1"/>
  <c r="AQ83" i="1"/>
  <c r="BS82" i="1"/>
  <c r="BO95" i="1"/>
  <c r="BO96" i="1" s="1"/>
  <c r="AM154" i="1"/>
  <c r="AU82" i="1"/>
  <c r="AR298" i="1"/>
  <c r="AR299" i="1" s="1"/>
  <c r="D176" i="1"/>
  <c r="D179" i="1" s="1"/>
  <c r="BC95" i="1"/>
  <c r="BC97" i="1" s="1"/>
  <c r="BD83" i="1"/>
  <c r="R264" i="1"/>
  <c r="R265" i="1" s="1"/>
  <c r="C136" i="1"/>
  <c r="D137" i="1" s="1"/>
  <c r="E269" i="1"/>
  <c r="E267" i="1" s="1"/>
  <c r="P252" i="1"/>
  <c r="P255" i="1" s="1"/>
  <c r="P256" i="1" s="1"/>
  <c r="BC81" i="1"/>
  <c r="BP82" i="1"/>
  <c r="J312" i="1"/>
  <c r="O126" i="1"/>
  <c r="BH82" i="1"/>
  <c r="AN82" i="1"/>
  <c r="L264" i="1"/>
  <c r="L265" i="1" s="1"/>
  <c r="AN81" i="1"/>
  <c r="AN83" i="1"/>
  <c r="H271" i="1"/>
  <c r="BC83" i="1"/>
  <c r="D269" i="1"/>
  <c r="D267" i="1" s="1"/>
  <c r="BD95" i="1"/>
  <c r="BD298" i="1" s="1"/>
  <c r="BD299" i="1" s="1"/>
  <c r="AR82" i="1"/>
  <c r="AO83" i="1"/>
  <c r="AR101" i="1"/>
  <c r="AR105" i="1" s="1"/>
  <c r="AR108" i="1" s="1"/>
  <c r="BO83" i="1"/>
  <c r="AR81" i="1"/>
  <c r="E231" i="1"/>
  <c r="E232" i="1" s="1"/>
  <c r="F264" i="1"/>
  <c r="F265" i="1" s="1"/>
  <c r="R269" i="1"/>
  <c r="R267" i="1" s="1"/>
  <c r="Q269" i="1"/>
  <c r="Q267" i="1" s="1"/>
  <c r="J269" i="1"/>
  <c r="J267" i="1" s="1"/>
  <c r="I231" i="1"/>
  <c r="I232" i="1" s="1"/>
  <c r="V264" i="1"/>
  <c r="V265" i="1" s="1"/>
  <c r="BD82" i="1"/>
  <c r="Q310" i="1"/>
  <c r="I312" i="1"/>
  <c r="AQ81" i="1"/>
  <c r="BA83" i="1"/>
  <c r="Q264" i="1"/>
  <c r="Q265" i="1" s="1"/>
  <c r="C231" i="1"/>
  <c r="C310" i="1" s="1"/>
  <c r="T271" i="1"/>
  <c r="BE83" i="1"/>
  <c r="Q252" i="1"/>
  <c r="Q231" i="1"/>
  <c r="Q232" i="1" s="1"/>
  <c r="AQ82" i="1"/>
  <c r="F252" i="1"/>
  <c r="D271" i="1"/>
  <c r="AR83" i="1"/>
  <c r="AQ95" i="1"/>
  <c r="E252" i="1"/>
  <c r="P232" i="1"/>
  <c r="H264" i="1"/>
  <c r="H265" i="1" s="1"/>
  <c r="BH310" i="1"/>
  <c r="BV175" i="1"/>
  <c r="BV176" i="1" s="1"/>
  <c r="C252" i="1"/>
  <c r="C255" i="1" s="1"/>
  <c r="C256" i="1" s="1"/>
  <c r="R271" i="1"/>
  <c r="I264" i="1"/>
  <c r="I265" i="1" s="1"/>
  <c r="V271" i="1"/>
  <c r="AZ95" i="1"/>
  <c r="BA98" i="1" s="1"/>
  <c r="BV255" i="1"/>
  <c r="BA101" i="1"/>
  <c r="BA105" i="1" s="1"/>
  <c r="BA108" i="1" s="1"/>
  <c r="BQ81" i="1"/>
  <c r="BA81" i="1"/>
  <c r="BH231" i="1"/>
  <c r="BH232" i="1" s="1"/>
  <c r="N271" i="1"/>
  <c r="G264" i="1"/>
  <c r="G265" i="1" s="1"/>
  <c r="BH83" i="1"/>
  <c r="BQ298" i="1"/>
  <c r="BQ299" i="1" s="1"/>
  <c r="BL83" i="1"/>
  <c r="R126" i="1"/>
  <c r="AZ83" i="1"/>
  <c r="BT81" i="1"/>
  <c r="N264" i="1"/>
  <c r="N265" i="1" s="1"/>
  <c r="Q126" i="1"/>
  <c r="BT95" i="1"/>
  <c r="BX97" i="1" s="1"/>
  <c r="BU83" i="1"/>
  <c r="AV81" i="1"/>
  <c r="BR82" i="1"/>
  <c r="BR81" i="1"/>
  <c r="BP83" i="1"/>
  <c r="BP95" i="1"/>
  <c r="BQ316" i="1" s="1"/>
  <c r="BQ317" i="1" s="1"/>
  <c r="L247" i="1"/>
  <c r="BE82" i="1"/>
  <c r="I271" i="1"/>
  <c r="BR83" i="1"/>
  <c r="BV82" i="1"/>
  <c r="BT82" i="1"/>
  <c r="BR95" i="1"/>
  <c r="BR96" i="1" s="1"/>
  <c r="BF83" i="1"/>
  <c r="O264" i="1"/>
  <c r="O265" i="1" s="1"/>
  <c r="K231" i="1"/>
  <c r="K232" i="1" s="1"/>
  <c r="M310" i="1"/>
  <c r="P264" i="1"/>
  <c r="P265" i="1" s="1"/>
  <c r="S271" i="1"/>
  <c r="M264" i="1"/>
  <c r="M265" i="1" s="1"/>
  <c r="L271" i="1"/>
  <c r="BM81" i="1"/>
  <c r="BN83" i="1"/>
  <c r="BM83" i="1"/>
  <c r="M269" i="1"/>
  <c r="M267" i="1" s="1"/>
  <c r="L310" i="1"/>
  <c r="K264" i="1"/>
  <c r="K265" i="1" s="1"/>
  <c r="BM95" i="1"/>
  <c r="BM298" i="1" s="1"/>
  <c r="BM299" i="1" s="1"/>
  <c r="K252" i="1"/>
  <c r="L255" i="1" s="1"/>
  <c r="L256" i="1" s="1"/>
  <c r="N269" i="1"/>
  <c r="N267" i="1" s="1"/>
  <c r="L231" i="1"/>
  <c r="L232" i="1" s="1"/>
  <c r="BQ82" i="1"/>
  <c r="K310" i="1"/>
  <c r="C271" i="1"/>
  <c r="AW83" i="1"/>
  <c r="AZ82" i="1"/>
  <c r="AV95" i="1"/>
  <c r="U126" i="1"/>
  <c r="BO82" i="1"/>
  <c r="BE81" i="1"/>
  <c r="AW82" i="1"/>
  <c r="BH175" i="1"/>
  <c r="BH176" i="1" s="1"/>
  <c r="S126" i="1"/>
  <c r="AV83" i="1"/>
  <c r="BE95" i="1"/>
  <c r="BI82" i="1"/>
  <c r="V252" i="1"/>
  <c r="V255" i="1" s="1"/>
  <c r="V256" i="1" s="1"/>
  <c r="Q250" i="1"/>
  <c r="AV82" i="1"/>
  <c r="BK83" i="1"/>
  <c r="D264" i="1"/>
  <c r="D265" i="1" s="1"/>
  <c r="C177" i="1"/>
  <c r="C180" i="1" s="1"/>
  <c r="J264" i="1"/>
  <c r="J265" i="1" s="1"/>
  <c r="J271" i="1"/>
  <c r="B176" i="1"/>
  <c r="B179" i="1" s="1"/>
  <c r="S252" i="1"/>
  <c r="S255" i="1" s="1"/>
  <c r="S256" i="1" s="1"/>
  <c r="V231" i="1"/>
  <c r="V232" i="1" s="1"/>
  <c r="M231" i="1"/>
  <c r="M232" i="1" s="1"/>
  <c r="BQ96" i="1"/>
  <c r="BX82" i="1"/>
  <c r="BG95" i="1"/>
  <c r="BG82" i="1"/>
  <c r="V126" i="1"/>
  <c r="V310" i="1"/>
  <c r="W269" i="1"/>
  <c r="W267" i="1" s="1"/>
  <c r="K271" i="1"/>
  <c r="BG81" i="1"/>
  <c r="G252" i="1"/>
  <c r="H255" i="1" s="1"/>
  <c r="H256" i="1" s="1"/>
  <c r="T126" i="1"/>
  <c r="BQ83" i="1"/>
  <c r="BU82" i="1"/>
  <c r="O271" i="1"/>
  <c r="O232" i="1"/>
  <c r="S232" i="1"/>
  <c r="D177" i="1"/>
  <c r="D180" i="1" s="1"/>
  <c r="K269" i="1"/>
  <c r="K267" i="1" s="1"/>
  <c r="AX83" i="1"/>
  <c r="BK95" i="1"/>
  <c r="L269" i="1"/>
  <c r="L267" i="1" s="1"/>
  <c r="BA82" i="1"/>
  <c r="AW95" i="1"/>
  <c r="AW96" i="1" s="1"/>
  <c r="BK82" i="1"/>
  <c r="I252" i="1"/>
  <c r="J255" i="1" s="1"/>
  <c r="J256" i="1" s="1"/>
  <c r="D252" i="1"/>
  <c r="AT96" i="1"/>
  <c r="AT101" i="1"/>
  <c r="AT105" i="1" s="1"/>
  <c r="AT298" i="1"/>
  <c r="AT299" i="1" s="1"/>
  <c r="AR310" i="1"/>
  <c r="AR231" i="1"/>
  <c r="AR232" i="1" s="1"/>
  <c r="B232" i="1"/>
  <c r="AW104" i="1"/>
  <c r="AV175" i="1"/>
  <c r="AP100" i="1"/>
  <c r="AO204" i="1"/>
  <c r="AN161" i="1"/>
  <c r="AN163" i="1"/>
  <c r="BB175" i="1"/>
  <c r="BC104" i="1"/>
  <c r="D152" i="1"/>
  <c r="D153" i="1"/>
  <c r="D154" i="1"/>
  <c r="AN231" i="1"/>
  <c r="BP231" i="1"/>
  <c r="BP232" i="1" s="1"/>
  <c r="BN175" i="1"/>
  <c r="BO104" i="1"/>
  <c r="AZ100" i="1"/>
  <c r="AY204" i="1"/>
  <c r="BN269" i="1"/>
  <c r="BN267" i="1" s="1"/>
  <c r="BN312" i="1"/>
  <c r="BN310" i="1"/>
  <c r="BN163" i="1"/>
  <c r="BN162" i="1"/>
  <c r="BN161" i="1"/>
  <c r="BB231" i="1"/>
  <c r="BB232" i="1" s="1"/>
  <c r="AP312" i="1"/>
  <c r="AP310" i="1"/>
  <c r="BD100" i="1"/>
  <c r="BC204" i="1"/>
  <c r="BN231" i="1"/>
  <c r="BN232" i="1" s="1"/>
  <c r="AZ231" i="1"/>
  <c r="AZ232" i="1" s="1"/>
  <c r="AN310" i="1"/>
  <c r="AN269" i="1"/>
  <c r="AN267" i="1" s="1"/>
  <c r="AW204" i="1"/>
  <c r="AX100" i="1"/>
  <c r="BA204" i="1"/>
  <c r="BB100" i="1"/>
  <c r="AZ310" i="1"/>
  <c r="AZ312" i="1"/>
  <c r="BR100" i="1"/>
  <c r="BQ204" i="1"/>
  <c r="AN247" i="1"/>
  <c r="AN252" i="1"/>
  <c r="BB312" i="1"/>
  <c r="BB310" i="1"/>
  <c r="AV310" i="1"/>
  <c r="AV312" i="1"/>
  <c r="BE204" i="1"/>
  <c r="BF100" i="1"/>
  <c r="BD310" i="1"/>
  <c r="BD312" i="1"/>
  <c r="AX312" i="1"/>
  <c r="AX310" i="1"/>
  <c r="AU104" i="1"/>
  <c r="AT175" i="1"/>
  <c r="AP231" i="1"/>
  <c r="AP232" i="1" s="1"/>
  <c r="BD231" i="1"/>
  <c r="BD232" i="1" s="1"/>
  <c r="AX163" i="1"/>
  <c r="AX162" i="1"/>
  <c r="AX161" i="1"/>
  <c r="AQ204" i="1"/>
  <c r="AR100" i="1"/>
  <c r="AT252" i="1"/>
  <c r="AT247" i="1"/>
  <c r="AO104" i="1"/>
  <c r="AN175" i="1"/>
  <c r="AV100" i="1"/>
  <c r="AU204" i="1"/>
  <c r="BD162" i="1"/>
  <c r="BD161" i="1"/>
  <c r="BD163" i="1"/>
  <c r="BE104" i="1"/>
  <c r="BD175" i="1"/>
  <c r="AV163" i="1"/>
  <c r="AV161" i="1"/>
  <c r="AV162" i="1"/>
  <c r="U255" i="1"/>
  <c r="U256" i="1" s="1"/>
  <c r="O255" i="1"/>
  <c r="O256" i="1" s="1"/>
  <c r="AV231" i="1"/>
  <c r="AV232" i="1" s="1"/>
  <c r="AX231" i="1"/>
  <c r="AX232" i="1" s="1"/>
  <c r="BP100" i="1"/>
  <c r="BO204" i="1"/>
  <c r="BP312" i="1"/>
  <c r="BP310" i="1"/>
  <c r="AY104" i="1"/>
  <c r="AX175" i="1"/>
  <c r="AT231" i="1"/>
  <c r="AT232" i="1" s="1"/>
  <c r="AT312" i="1"/>
  <c r="AT310" i="1"/>
  <c r="AP175" i="1"/>
  <c r="AQ104" i="1"/>
  <c r="AZ175" i="1"/>
  <c r="BA104" i="1"/>
  <c r="M255" i="1"/>
  <c r="M256" i="1" s="1"/>
  <c r="N255" i="1"/>
  <c r="N256" i="1" s="1"/>
  <c r="AZ162" i="1"/>
  <c r="AZ163" i="1"/>
  <c r="AZ161" i="1"/>
  <c r="AP252" i="1"/>
  <c r="AP255" i="1" s="1"/>
  <c r="AP250" i="1"/>
  <c r="AX247" i="1"/>
  <c r="AX252" i="1"/>
  <c r="BF247" i="1"/>
  <c r="BF252" i="1"/>
  <c r="BJ255" i="1" s="1"/>
  <c r="BF162" i="1"/>
  <c r="BF163" i="1"/>
  <c r="BF161" i="1"/>
  <c r="AV247" i="1"/>
  <c r="BR247" i="1"/>
  <c r="BN247" i="1"/>
  <c r="BN252" i="1"/>
  <c r="BB252" i="1"/>
  <c r="BB247" i="1"/>
  <c r="BD247" i="1"/>
  <c r="BD252" i="1"/>
  <c r="BX269" i="1"/>
  <c r="BX267" i="1" s="1"/>
  <c r="BW269" i="1"/>
  <c r="BW267" i="1" s="1"/>
  <c r="AZ252" i="1"/>
  <c r="AZ255" i="1" s="1"/>
  <c r="AZ247" i="1"/>
  <c r="AM161" i="1"/>
  <c r="AM162" i="1"/>
  <c r="AM163" i="1"/>
  <c r="AY96" i="1"/>
  <c r="AY298" i="1"/>
  <c r="AY299" i="1" s="1"/>
  <c r="AY101" i="1"/>
  <c r="AY105" i="1" s="1"/>
  <c r="AS269" i="1"/>
  <c r="AS267" i="1" s="1"/>
  <c r="AT269" i="1"/>
  <c r="AT267" i="1" s="1"/>
  <c r="BS101" i="1"/>
  <c r="BS105" i="1" s="1"/>
  <c r="BS96" i="1"/>
  <c r="BS298" i="1"/>
  <c r="BS299" i="1" s="1"/>
  <c r="AY98" i="1"/>
  <c r="AY316" i="1"/>
  <c r="AY317" i="1" s="1"/>
  <c r="BI269" i="1"/>
  <c r="BI267" i="1" s="1"/>
  <c r="AN316" i="1"/>
  <c r="AN317" i="1" s="1"/>
  <c r="AN101" i="1"/>
  <c r="AN98" i="1"/>
  <c r="AN96" i="1"/>
  <c r="AN298" i="1"/>
  <c r="AN299" i="1" s="1"/>
  <c r="AN292" i="1"/>
  <c r="AR97" i="1"/>
  <c r="AN178" i="1"/>
  <c r="AN97" i="1"/>
  <c r="BN101" i="1"/>
  <c r="BN96" i="1"/>
  <c r="BN298" i="1"/>
  <c r="BN299" i="1" s="1"/>
  <c r="BN97" i="1"/>
  <c r="AX298" i="1"/>
  <c r="AX299" i="1" s="1"/>
  <c r="AX97" i="1"/>
  <c r="AX101" i="1"/>
  <c r="AX96" i="1"/>
  <c r="BQ107" i="1"/>
  <c r="BQ108" i="1"/>
  <c r="CR200" i="1"/>
  <c r="AE208" i="1"/>
  <c r="AC190" i="1"/>
  <c r="BS204" i="1" l="1"/>
  <c r="BT100" i="1"/>
  <c r="BR312" i="1"/>
  <c r="BR310" i="1"/>
  <c r="AN232" i="1"/>
  <c r="BP175" i="1"/>
  <c r="BQ104" i="1"/>
  <c r="BF231" i="1"/>
  <c r="BF232" i="1" s="1"/>
  <c r="BF312" i="1"/>
  <c r="BF310" i="1"/>
  <c r="BG104" i="1"/>
  <c r="BF175" i="1"/>
  <c r="BS104" i="1"/>
  <c r="BR175" i="1"/>
  <c r="BG204" i="1"/>
  <c r="BH100" i="1"/>
  <c r="AR161" i="1"/>
  <c r="AR163" i="1"/>
  <c r="AR162" i="1"/>
  <c r="AR252" i="1"/>
  <c r="AR250" i="1"/>
  <c r="BR231" i="1"/>
  <c r="BR232" i="1" s="1"/>
  <c r="BV232" i="1"/>
  <c r="BT163" i="1"/>
  <c r="BT162" i="1"/>
  <c r="BT161" i="1"/>
  <c r="BT252" i="1"/>
  <c r="BT247" i="1"/>
  <c r="BU97" i="1"/>
  <c r="BU96" i="1"/>
  <c r="BU298" i="1"/>
  <c r="BU299" i="1" s="1"/>
  <c r="BY97" i="1"/>
  <c r="BU101" i="1"/>
  <c r="BU105" i="1" s="1"/>
  <c r="BI298" i="1"/>
  <c r="BI299" i="1" s="1"/>
  <c r="BI101" i="1"/>
  <c r="BI96" i="1"/>
  <c r="BJ98" i="1"/>
  <c r="BJ316" i="1"/>
  <c r="BJ317" i="1" s="1"/>
  <c r="AU98" i="1"/>
  <c r="AU316" i="1"/>
  <c r="AU317" i="1" s="1"/>
  <c r="AU298" i="1"/>
  <c r="AU299" i="1" s="1"/>
  <c r="AU96" i="1"/>
  <c r="AU101" i="1"/>
  <c r="AU105" i="1" s="1"/>
  <c r="AY97" i="1"/>
  <c r="BW97" i="1"/>
  <c r="BW298" i="1"/>
  <c r="BW299" i="1" s="1"/>
  <c r="BX98" i="1"/>
  <c r="X127" i="1"/>
  <c r="BW96" i="1"/>
  <c r="BZ178" i="1"/>
  <c r="BZ292" i="1"/>
  <c r="BW101" i="1"/>
  <c r="CA97" i="1"/>
  <c r="BX316" i="1"/>
  <c r="BX317" i="1" s="1"/>
  <c r="U279" i="1"/>
  <c r="H232" i="1"/>
  <c r="BT231" i="1"/>
  <c r="BT232" i="1" s="1"/>
  <c r="BT312" i="1"/>
  <c r="BT310" i="1"/>
  <c r="BV100" i="1"/>
  <c r="BU204" i="1"/>
  <c r="BU104" i="1"/>
  <c r="BT175" i="1"/>
  <c r="BX178" i="1"/>
  <c r="BW98" i="1"/>
  <c r="BW316" i="1"/>
  <c r="BW317" i="1" s="1"/>
  <c r="AI298" i="1"/>
  <c r="AI299" i="1" s="1"/>
  <c r="BY178" i="1"/>
  <c r="BY292" i="1"/>
  <c r="BV316" i="1"/>
  <c r="BV317" i="1" s="1"/>
  <c r="BV98" i="1"/>
  <c r="T279" i="1"/>
  <c r="BJ115" i="1"/>
  <c r="BJ300" i="1"/>
  <c r="S279" i="1"/>
  <c r="BF298" i="1"/>
  <c r="BF299" i="1" s="1"/>
  <c r="AM97" i="1"/>
  <c r="BF316" i="1"/>
  <c r="BF317" i="1" s="1"/>
  <c r="AL292" i="1"/>
  <c r="AI96" i="1"/>
  <c r="BF101" i="1"/>
  <c r="BF105" i="1" s="1"/>
  <c r="BF107" i="1" s="1"/>
  <c r="N127" i="1"/>
  <c r="AL178" i="1"/>
  <c r="AL180" i="1" s="1"/>
  <c r="AI101" i="1"/>
  <c r="H279" i="1"/>
  <c r="BV298" i="1"/>
  <c r="BV299" i="1" s="1"/>
  <c r="BV96" i="1"/>
  <c r="BZ97" i="1"/>
  <c r="BV101" i="1"/>
  <c r="BV105" i="1" s="1"/>
  <c r="BX292" i="1"/>
  <c r="AS96" i="1"/>
  <c r="AS316" i="1"/>
  <c r="AS317" i="1" s="1"/>
  <c r="C276" i="1"/>
  <c r="C277" i="1" s="1"/>
  <c r="BJ97" i="1"/>
  <c r="AT98" i="1"/>
  <c r="AT178" i="1"/>
  <c r="AS101" i="1"/>
  <c r="AS105" i="1" s="1"/>
  <c r="AS108" i="1" s="1"/>
  <c r="AS111" i="1" s="1"/>
  <c r="AU292" i="1"/>
  <c r="AS97" i="1"/>
  <c r="AS298" i="1"/>
  <c r="AS299" i="1" s="1"/>
  <c r="AU178" i="1"/>
  <c r="AS98" i="1"/>
  <c r="AT316" i="1"/>
  <c r="AT317" i="1" s="1"/>
  <c r="AV292" i="1"/>
  <c r="D232" i="1"/>
  <c r="G276" i="1"/>
  <c r="G277" i="1" s="1"/>
  <c r="BL97" i="1"/>
  <c r="BI98" i="1"/>
  <c r="BI316" i="1"/>
  <c r="BI317" i="1" s="1"/>
  <c r="BH298" i="1"/>
  <c r="BH299" i="1" s="1"/>
  <c r="BH101" i="1"/>
  <c r="BH105" i="1" s="1"/>
  <c r="BH107" i="1" s="1"/>
  <c r="V279" i="1"/>
  <c r="S276" i="1"/>
  <c r="S277" i="1" s="1"/>
  <c r="T276" i="1"/>
  <c r="T277" i="1" s="1"/>
  <c r="AP316" i="1"/>
  <c r="AP317" i="1" s="1"/>
  <c r="AU97" i="1"/>
  <c r="BB97" i="1"/>
  <c r="AT292" i="1"/>
  <c r="BS97" i="1"/>
  <c r="AP292" i="1"/>
  <c r="BO298" i="1"/>
  <c r="BO299" i="1" s="1"/>
  <c r="BO316" i="1"/>
  <c r="BO317" i="1" s="1"/>
  <c r="BO101" i="1"/>
  <c r="BO105" i="1" s="1"/>
  <c r="BO108" i="1" s="1"/>
  <c r="AR316" i="1"/>
  <c r="AR317" i="1" s="1"/>
  <c r="AQ298" i="1"/>
  <c r="AQ299" i="1" s="1"/>
  <c r="AP178" i="1"/>
  <c r="AO96" i="1"/>
  <c r="BB98" i="1"/>
  <c r="BB316" i="1"/>
  <c r="BB317" i="1" s="1"/>
  <c r="AQ178" i="1"/>
  <c r="AO98" i="1"/>
  <c r="AP298" i="1"/>
  <c r="AP299" i="1" s="1"/>
  <c r="AR178" i="1"/>
  <c r="BF97" i="1"/>
  <c r="AO178" i="1"/>
  <c r="O127" i="1"/>
  <c r="AP97" i="1"/>
  <c r="AO101" i="1"/>
  <c r="AO105" i="1" s="1"/>
  <c r="BB96" i="1"/>
  <c r="AO316" i="1"/>
  <c r="AO317" i="1" s="1"/>
  <c r="AO97" i="1"/>
  <c r="AO292" i="1"/>
  <c r="AS292" i="1"/>
  <c r="AP101" i="1"/>
  <c r="AP105" i="1" s="1"/>
  <c r="AP108" i="1" s="1"/>
  <c r="AP110" i="1" s="1"/>
  <c r="AQ96" i="1"/>
  <c r="BB298" i="1"/>
  <c r="BB299" i="1" s="1"/>
  <c r="AP98" i="1"/>
  <c r="AP96" i="1"/>
  <c r="AT97" i="1"/>
  <c r="AO298" i="1"/>
  <c r="AO299" i="1" s="1"/>
  <c r="AQ316" i="1"/>
  <c r="AQ317" i="1" s="1"/>
  <c r="U276" i="1"/>
  <c r="U277" i="1" s="1"/>
  <c r="BH97" i="1"/>
  <c r="F279" i="1"/>
  <c r="P276" i="1"/>
  <c r="P277" i="1" s="1"/>
  <c r="BD96" i="1"/>
  <c r="O279" i="1"/>
  <c r="BD101" i="1"/>
  <c r="BD105" i="1" s="1"/>
  <c r="BD107" i="1" s="1"/>
  <c r="E276" i="1"/>
  <c r="E277" i="1" s="1"/>
  <c r="I279" i="1"/>
  <c r="Q279" i="1"/>
  <c r="AQ292" i="1"/>
  <c r="R279" i="1"/>
  <c r="AR107" i="1"/>
  <c r="BO98" i="1"/>
  <c r="BR298" i="1"/>
  <c r="BR299" i="1" s="1"/>
  <c r="C154" i="1"/>
  <c r="P127" i="1"/>
  <c r="AS178" i="1"/>
  <c r="Q255" i="1"/>
  <c r="Q256" i="1" s="1"/>
  <c r="C152" i="1"/>
  <c r="BO97" i="1"/>
  <c r="BA316" i="1"/>
  <c r="BA317" i="1" s="1"/>
  <c r="BC96" i="1"/>
  <c r="BC98" i="1"/>
  <c r="BQ97" i="1"/>
  <c r="E279" i="1"/>
  <c r="BC316" i="1"/>
  <c r="BC317" i="1" s="1"/>
  <c r="Q276" i="1"/>
  <c r="Q277" i="1" s="1"/>
  <c r="BC298" i="1"/>
  <c r="BC299" i="1" s="1"/>
  <c r="AR98" i="1"/>
  <c r="AR292" i="1"/>
  <c r="AQ101" i="1"/>
  <c r="BC178" i="1"/>
  <c r="BT98" i="1"/>
  <c r="BC101" i="1"/>
  <c r="BC105" i="1" s="1"/>
  <c r="B156" i="1"/>
  <c r="BD292" i="1"/>
  <c r="BD98" i="1"/>
  <c r="AQ98" i="1"/>
  <c r="G279" i="1"/>
  <c r="C153" i="1"/>
  <c r="C137" i="1"/>
  <c r="BG97" i="1"/>
  <c r="H276" i="1"/>
  <c r="H277" i="1" s="1"/>
  <c r="BU178" i="1"/>
  <c r="BR292" i="1"/>
  <c r="BW178" i="1"/>
  <c r="BN98" i="1"/>
  <c r="BV178" i="1"/>
  <c r="BV179" i="1" s="1"/>
  <c r="BA292" i="1"/>
  <c r="AZ96" i="1"/>
  <c r="BU98" i="1"/>
  <c r="AQ97" i="1"/>
  <c r="BO178" i="1"/>
  <c r="BT316" i="1"/>
  <c r="BT317" i="1" s="1"/>
  <c r="BQ98" i="1"/>
  <c r="BM101" i="1"/>
  <c r="BM105" i="1" s="1"/>
  <c r="BM107" i="1" s="1"/>
  <c r="BT298" i="1"/>
  <c r="BT299" i="1" s="1"/>
  <c r="BP96" i="1"/>
  <c r="BQ178" i="1"/>
  <c r="R127" i="1"/>
  <c r="BT292" i="1"/>
  <c r="BS316" i="1"/>
  <c r="BS317" i="1" s="1"/>
  <c r="BP316" i="1"/>
  <c r="BP317" i="1" s="1"/>
  <c r="I276" i="1"/>
  <c r="I277" i="1" s="1"/>
  <c r="BB178" i="1"/>
  <c r="BS98" i="1"/>
  <c r="BT96" i="1"/>
  <c r="BQ292" i="1"/>
  <c r="BU316" i="1"/>
  <c r="BU317" i="1" s="1"/>
  <c r="BP178" i="1"/>
  <c r="BR97" i="1"/>
  <c r="BB292" i="1"/>
  <c r="BA178" i="1"/>
  <c r="BS178" i="1"/>
  <c r="BP98" i="1"/>
  <c r="BM97" i="1"/>
  <c r="AZ298" i="1"/>
  <c r="AZ299" i="1" s="1"/>
  <c r="BT178" i="1"/>
  <c r="BM96" i="1"/>
  <c r="V127" i="1"/>
  <c r="BT101" i="1"/>
  <c r="BT105" i="1" s="1"/>
  <c r="BW292" i="1"/>
  <c r="BC292" i="1"/>
  <c r="BR178" i="1"/>
  <c r="BV97" i="1"/>
  <c r="BM98" i="1"/>
  <c r="AZ316" i="1"/>
  <c r="AZ317" i="1" s="1"/>
  <c r="BS292" i="1"/>
  <c r="J279" i="1"/>
  <c r="F255" i="1"/>
  <c r="F256" i="1" s="1"/>
  <c r="F276" i="1"/>
  <c r="F277" i="1" s="1"/>
  <c r="R255" i="1"/>
  <c r="R256" i="1" s="1"/>
  <c r="L279" i="1"/>
  <c r="BT97" i="1"/>
  <c r="BE292" i="1"/>
  <c r="BN316" i="1"/>
  <c r="BN317" i="1" s="1"/>
  <c r="BO292" i="1"/>
  <c r="BR98" i="1"/>
  <c r="BD316" i="1"/>
  <c r="BD317" i="1" s="1"/>
  <c r="BP101" i="1"/>
  <c r="BP105" i="1" s="1"/>
  <c r="BP107" i="1" s="1"/>
  <c r="D279" i="1"/>
  <c r="BP292" i="1"/>
  <c r="BR316" i="1"/>
  <c r="BR317" i="1" s="1"/>
  <c r="BE316" i="1"/>
  <c r="BE317" i="1" s="1"/>
  <c r="BM316" i="1"/>
  <c r="BM317" i="1" s="1"/>
  <c r="BP298" i="1"/>
  <c r="BP299" i="1" s="1"/>
  <c r="BE98" i="1"/>
  <c r="BD178" i="1"/>
  <c r="BR101" i="1"/>
  <c r="BR105" i="1" s="1"/>
  <c r="BV292" i="1"/>
  <c r="BP97" i="1"/>
  <c r="BA107" i="1"/>
  <c r="O276" i="1"/>
  <c r="O277" i="1" s="1"/>
  <c r="V276" i="1"/>
  <c r="V277" i="1" s="1"/>
  <c r="AV298" i="1"/>
  <c r="AV299" i="1" s="1"/>
  <c r="AZ98" i="1"/>
  <c r="R276" i="1"/>
  <c r="R277" i="1" s="1"/>
  <c r="C232" i="1"/>
  <c r="AZ101" i="1"/>
  <c r="AZ105" i="1" s="1"/>
  <c r="AZ108" i="1" s="1"/>
  <c r="AZ300" i="1" s="1"/>
  <c r="BV177" i="1"/>
  <c r="P279" i="1"/>
  <c r="E255" i="1"/>
  <c r="E256" i="1" s="1"/>
  <c r="N279" i="1"/>
  <c r="M279" i="1"/>
  <c r="BD97" i="1"/>
  <c r="I255" i="1"/>
  <c r="I256" i="1" s="1"/>
  <c r="N276" i="1"/>
  <c r="N277" i="1" s="1"/>
  <c r="AV96" i="1"/>
  <c r="AV316" i="1"/>
  <c r="AV317" i="1" s="1"/>
  <c r="BH177" i="1"/>
  <c r="BE101" i="1"/>
  <c r="BE105" i="1" s="1"/>
  <c r="BE107" i="1" s="1"/>
  <c r="S127" i="1"/>
  <c r="AV101" i="1"/>
  <c r="AV98" i="1"/>
  <c r="BE96" i="1"/>
  <c r="BE97" i="1"/>
  <c r="AV97" i="1"/>
  <c r="BE178" i="1"/>
  <c r="AV178" i="1"/>
  <c r="BE298" i="1"/>
  <c r="BE299" i="1" s="1"/>
  <c r="J276" i="1"/>
  <c r="J277" i="1" s="1"/>
  <c r="M276" i="1"/>
  <c r="M277" i="1" s="1"/>
  <c r="AZ97" i="1"/>
  <c r="BF292" i="1"/>
  <c r="BF178" i="1"/>
  <c r="BF98" i="1"/>
  <c r="BI97" i="1"/>
  <c r="K279" i="1"/>
  <c r="K255" i="1"/>
  <c r="K256" i="1" s="1"/>
  <c r="BJ178" i="1"/>
  <c r="BJ179" i="1" s="1"/>
  <c r="AZ292" i="1"/>
  <c r="AX316" i="1"/>
  <c r="AX317" i="1" s="1"/>
  <c r="BG96" i="1"/>
  <c r="BH98" i="1"/>
  <c r="G255" i="1"/>
  <c r="G256" i="1" s="1"/>
  <c r="D276" i="1"/>
  <c r="D277" i="1" s="1"/>
  <c r="BI178" i="1"/>
  <c r="AX292" i="1"/>
  <c r="L276" i="1"/>
  <c r="L277" i="1" s="1"/>
  <c r="K276" i="1"/>
  <c r="K277" i="1" s="1"/>
  <c r="T255" i="1"/>
  <c r="T256" i="1" s="1"/>
  <c r="BJ292" i="1"/>
  <c r="BG101" i="1"/>
  <c r="BG178" i="1"/>
  <c r="BA97" i="1"/>
  <c r="AX98" i="1"/>
  <c r="BG98" i="1"/>
  <c r="BH178" i="1"/>
  <c r="BH179" i="1" s="1"/>
  <c r="BI292" i="1"/>
  <c r="T127" i="1"/>
  <c r="AW316" i="1"/>
  <c r="AW317" i="1" s="1"/>
  <c r="AZ178" i="1"/>
  <c r="AY178" i="1"/>
  <c r="BK98" i="1"/>
  <c r="D255" i="1"/>
  <c r="D256" i="1" s="1"/>
  <c r="AW298" i="1"/>
  <c r="AW299" i="1" s="1"/>
  <c r="BH316" i="1"/>
  <c r="BH317" i="1" s="1"/>
  <c r="AW98" i="1"/>
  <c r="AY292" i="1"/>
  <c r="AW292" i="1"/>
  <c r="AW97" i="1"/>
  <c r="BG292" i="1"/>
  <c r="BG298" i="1"/>
  <c r="BG299" i="1" s="1"/>
  <c r="BG316" i="1"/>
  <c r="BG317" i="1" s="1"/>
  <c r="BH292" i="1"/>
  <c r="Q127" i="1"/>
  <c r="AX178" i="1"/>
  <c r="AW178" i="1"/>
  <c r="AW101" i="1"/>
  <c r="AW105" i="1" s="1"/>
  <c r="AW107" i="1" s="1"/>
  <c r="BL178" i="1"/>
  <c r="BL179" i="1" s="1"/>
  <c r="BK101" i="1"/>
  <c r="BK105" i="1" s="1"/>
  <c r="BK108" i="1" s="1"/>
  <c r="BK298" i="1"/>
  <c r="BK299" i="1" s="1"/>
  <c r="U127" i="1"/>
  <c r="BM292" i="1"/>
  <c r="BL316" i="1"/>
  <c r="BL317" i="1" s="1"/>
  <c r="BL98" i="1"/>
  <c r="BK97" i="1"/>
  <c r="BL292" i="1"/>
  <c r="BK292" i="1"/>
  <c r="BN292" i="1"/>
  <c r="BN178" i="1"/>
  <c r="BK178" i="1"/>
  <c r="BM178" i="1"/>
  <c r="BK316" i="1"/>
  <c r="BK317" i="1" s="1"/>
  <c r="BK96" i="1"/>
  <c r="AT107" i="1"/>
  <c r="AT108" i="1"/>
  <c r="AT109" i="1" s="1"/>
  <c r="AT311" i="1" s="1"/>
  <c r="AV176" i="1"/>
  <c r="AV177" i="1"/>
  <c r="BT269" i="1"/>
  <c r="BT267" i="1" s="1"/>
  <c r="BS269" i="1"/>
  <c r="BS267" i="1" s="1"/>
  <c r="AP269" i="1"/>
  <c r="AP267" i="1" s="1"/>
  <c r="AO269" i="1"/>
  <c r="AO267" i="1" s="1"/>
  <c r="BB177" i="1"/>
  <c r="BB176" i="1"/>
  <c r="BN177" i="1"/>
  <c r="BN176" i="1"/>
  <c r="BP176" i="1"/>
  <c r="BP177" i="1"/>
  <c r="AY269" i="1"/>
  <c r="AY267" i="1" s="1"/>
  <c r="AZ269" i="1"/>
  <c r="AZ267" i="1" s="1"/>
  <c r="BF177" i="1"/>
  <c r="BF176" i="1"/>
  <c r="BC269" i="1"/>
  <c r="BC267" i="1" s="1"/>
  <c r="BD269" i="1"/>
  <c r="BD267" i="1" s="1"/>
  <c r="AX269" i="1"/>
  <c r="AX267" i="1" s="1"/>
  <c r="AW269" i="1"/>
  <c r="AW267" i="1" s="1"/>
  <c r="BB269" i="1"/>
  <c r="BB267" i="1" s="1"/>
  <c r="BA269" i="1"/>
  <c r="BA267" i="1" s="1"/>
  <c r="BR269" i="1"/>
  <c r="BR267" i="1" s="1"/>
  <c r="BQ269" i="1"/>
  <c r="BQ267" i="1" s="1"/>
  <c r="BH269" i="1"/>
  <c r="BH267" i="1" s="1"/>
  <c r="BG269" i="1"/>
  <c r="BG267" i="1" s="1"/>
  <c r="AR269" i="1"/>
  <c r="AR267" i="1" s="1"/>
  <c r="AQ269" i="1"/>
  <c r="AQ267" i="1" s="1"/>
  <c r="AR255" i="1"/>
  <c r="AV255" i="1"/>
  <c r="BR176" i="1"/>
  <c r="BR177" i="1"/>
  <c r="BE269" i="1"/>
  <c r="BE267" i="1" s="1"/>
  <c r="BF269" i="1"/>
  <c r="BF267" i="1" s="1"/>
  <c r="AT177" i="1"/>
  <c r="AT176" i="1"/>
  <c r="AN177" i="1"/>
  <c r="AN180" i="1" s="1"/>
  <c r="AN176" i="1"/>
  <c r="AN179" i="1" s="1"/>
  <c r="AT255" i="1"/>
  <c r="AX255" i="1"/>
  <c r="AV269" i="1"/>
  <c r="AV267" i="1" s="1"/>
  <c r="AU269" i="1"/>
  <c r="AU267" i="1" s="1"/>
  <c r="BD177" i="1"/>
  <c r="BD176" i="1"/>
  <c r="BO269" i="1"/>
  <c r="BO267" i="1" s="1"/>
  <c r="BP269" i="1"/>
  <c r="BP267" i="1" s="1"/>
  <c r="AX176" i="1"/>
  <c r="AX177" i="1"/>
  <c r="AP176" i="1"/>
  <c r="AP177" i="1"/>
  <c r="AZ176" i="1"/>
  <c r="AZ177" i="1"/>
  <c r="BH255" i="1"/>
  <c r="BD255" i="1"/>
  <c r="BN255" i="1"/>
  <c r="BR255" i="1"/>
  <c r="BB255" i="1"/>
  <c r="BF255" i="1"/>
  <c r="AY107" i="1"/>
  <c r="AY108" i="1"/>
  <c r="AR109" i="1"/>
  <c r="AR311" i="1" s="1"/>
  <c r="AR115" i="1"/>
  <c r="AR300" i="1"/>
  <c r="AX105" i="1"/>
  <c r="BN105" i="1"/>
  <c r="BB105" i="1"/>
  <c r="AN122" i="1"/>
  <c r="AN105" i="1"/>
  <c r="BS107" i="1"/>
  <c r="BS108" i="1"/>
  <c r="BQ109" i="1"/>
  <c r="BQ311" i="1" s="1"/>
  <c r="BQ115" i="1"/>
  <c r="BQ300" i="1"/>
  <c r="BA300" i="1"/>
  <c r="BA109" i="1"/>
  <c r="BA311" i="1" s="1"/>
  <c r="BA115" i="1"/>
  <c r="CR204" i="1"/>
  <c r="CS99" i="1"/>
  <c r="BT255" i="1" l="1"/>
  <c r="BX255" i="1"/>
  <c r="BU108" i="1"/>
  <c r="BY110" i="1" s="1"/>
  <c r="BU107" i="1"/>
  <c r="BI105" i="1"/>
  <c r="AU108" i="1"/>
  <c r="AU107" i="1"/>
  <c r="BX179" i="1"/>
  <c r="BX180" i="1"/>
  <c r="BZ122" i="1"/>
  <c r="BW105" i="1"/>
  <c r="BZ179" i="1"/>
  <c r="BZ180" i="1"/>
  <c r="BJ119" i="1"/>
  <c r="BJ259" i="1"/>
  <c r="BJ261" i="1" s="1"/>
  <c r="BJ133" i="1"/>
  <c r="BF108" i="1"/>
  <c r="BJ110" i="1" s="1"/>
  <c r="AI105" i="1"/>
  <c r="BY122" i="1"/>
  <c r="AL122" i="1"/>
  <c r="BX122" i="1"/>
  <c r="BV269" i="1"/>
  <c r="BV267" i="1" s="1"/>
  <c r="BU269" i="1"/>
  <c r="BU267" i="1" s="1"/>
  <c r="BT177" i="1"/>
  <c r="BT176" i="1"/>
  <c r="AL179" i="1"/>
  <c r="AX179" i="1"/>
  <c r="BV107" i="1"/>
  <c r="BV108" i="1"/>
  <c r="BZ110" i="1" s="1"/>
  <c r="BB180" i="1"/>
  <c r="BP180" i="1"/>
  <c r="AO108" i="1"/>
  <c r="AO115" i="1" s="1"/>
  <c r="AO107" i="1"/>
  <c r="BH108" i="1"/>
  <c r="AS107" i="1"/>
  <c r="AT179" i="1"/>
  <c r="AT180" i="1"/>
  <c r="AV122" i="1"/>
  <c r="BV180" i="1"/>
  <c r="BJ122" i="1"/>
  <c r="BB179" i="1"/>
  <c r="BO107" i="1"/>
  <c r="AP180" i="1"/>
  <c r="AP179" i="1"/>
  <c r="AP107" i="1"/>
  <c r="AR122" i="1"/>
  <c r="AP122" i="1"/>
  <c r="BD108" i="1"/>
  <c r="BD300" i="1" s="1"/>
  <c r="AT122" i="1"/>
  <c r="BV122" i="1"/>
  <c r="AQ105" i="1"/>
  <c r="AQ108" i="1" s="1"/>
  <c r="BA111" i="1"/>
  <c r="BP108" i="1"/>
  <c r="BQ111" i="1" s="1"/>
  <c r="AV105" i="1"/>
  <c r="AV107" i="1" s="1"/>
  <c r="BD122" i="1"/>
  <c r="BM108" i="1"/>
  <c r="BM111" i="1" s="1"/>
  <c r="BP179" i="1"/>
  <c r="BP122" i="1"/>
  <c r="BD179" i="1"/>
  <c r="BD180" i="1"/>
  <c r="BR180" i="1"/>
  <c r="BR179" i="1"/>
  <c r="BT122" i="1"/>
  <c r="BR122" i="1"/>
  <c r="BG105" i="1"/>
  <c r="BG108" i="1" s="1"/>
  <c r="AZ115" i="1"/>
  <c r="AZ259" i="1" s="1"/>
  <c r="AZ261" i="1" s="1"/>
  <c r="AZ180" i="1"/>
  <c r="AZ107" i="1"/>
  <c r="AZ109" i="1"/>
  <c r="AZ311" i="1" s="1"/>
  <c r="BB122" i="1"/>
  <c r="BE108" i="1"/>
  <c r="BF179" i="1"/>
  <c r="AZ179" i="1"/>
  <c r="BF180" i="1"/>
  <c r="BL122" i="1"/>
  <c r="BK107" i="1"/>
  <c r="AV180" i="1"/>
  <c r="BN122" i="1"/>
  <c r="AT300" i="1"/>
  <c r="BF122" i="1"/>
  <c r="AV179" i="1"/>
  <c r="BH122" i="1"/>
  <c r="AX180" i="1"/>
  <c r="BL180" i="1"/>
  <c r="BJ180" i="1"/>
  <c r="AW108" i="1"/>
  <c r="AW110" i="1" s="1"/>
  <c r="BH180" i="1"/>
  <c r="AZ122" i="1"/>
  <c r="AX122" i="1"/>
  <c r="BN179" i="1"/>
  <c r="BN180" i="1"/>
  <c r="AT115" i="1"/>
  <c r="AT119" i="1" s="1"/>
  <c r="BL111" i="1"/>
  <c r="BK115" i="1"/>
  <c r="BK109" i="1"/>
  <c r="BK311" i="1" s="1"/>
  <c r="AY300" i="1"/>
  <c r="AY109" i="1"/>
  <c r="AY311" i="1" s="1"/>
  <c r="AT110" i="1"/>
  <c r="AP300" i="1"/>
  <c r="AP115" i="1"/>
  <c r="AP109" i="1"/>
  <c r="AP311" i="1" s="1"/>
  <c r="AZ111" i="1"/>
  <c r="AY115" i="1"/>
  <c r="BK111" i="1"/>
  <c r="BK300" i="1"/>
  <c r="AS115" i="1"/>
  <c r="AS109" i="1"/>
  <c r="AS311" i="1" s="1"/>
  <c r="AS300" i="1"/>
  <c r="AT111" i="1"/>
  <c r="BC108" i="1"/>
  <c r="BC107" i="1"/>
  <c r="BS110" i="1"/>
  <c r="BO300" i="1"/>
  <c r="BO109" i="1"/>
  <c r="BO311" i="1" s="1"/>
  <c r="BO115" i="1"/>
  <c r="BO110" i="1"/>
  <c r="BR108" i="1"/>
  <c r="BR107" i="1"/>
  <c r="BN108" i="1"/>
  <c r="BN107" i="1"/>
  <c r="AR119" i="1"/>
  <c r="AR259" i="1"/>
  <c r="AR261" i="1" s="1"/>
  <c r="AR133" i="1"/>
  <c r="BT108" i="1"/>
  <c r="BT107" i="1"/>
  <c r="AN108" i="1"/>
  <c r="AN107" i="1"/>
  <c r="AX108" i="1"/>
  <c r="AX107" i="1"/>
  <c r="BB108" i="1"/>
  <c r="BB107" i="1"/>
  <c r="BS300" i="1"/>
  <c r="BS109" i="1"/>
  <c r="BS311" i="1" s="1"/>
  <c r="BS115" i="1"/>
  <c r="BQ259" i="1"/>
  <c r="BQ261" i="1" s="1"/>
  <c r="BQ185" i="1"/>
  <c r="BQ186" i="1" s="1"/>
  <c r="BQ133" i="1"/>
  <c r="BQ119" i="1"/>
  <c r="BA119" i="1"/>
  <c r="BA259" i="1"/>
  <c r="BA261" i="1" s="1"/>
  <c r="BA133" i="1"/>
  <c r="BA185" i="1"/>
  <c r="BA186" i="1" s="1"/>
  <c r="CS260" i="1"/>
  <c r="CS198" i="1"/>
  <c r="CR269" i="1"/>
  <c r="CR267" i="1" s="1"/>
  <c r="AC191" i="1"/>
  <c r="AC194" i="1" s="1"/>
  <c r="AC315" i="1" s="1"/>
  <c r="BU109" i="1" l="1"/>
  <c r="BU311" i="1" s="1"/>
  <c r="BU300" i="1"/>
  <c r="BU115" i="1"/>
  <c r="BU110" i="1"/>
  <c r="BI108" i="1"/>
  <c r="BI107" i="1"/>
  <c r="AU109" i="1"/>
  <c r="AU311" i="1" s="1"/>
  <c r="AU300" i="1"/>
  <c r="AY110" i="1"/>
  <c r="AU115" i="1"/>
  <c r="AU293" i="1"/>
  <c r="AU111" i="1"/>
  <c r="BW108" i="1"/>
  <c r="BW110" i="1" s="1"/>
  <c r="BW107" i="1"/>
  <c r="BF109" i="1"/>
  <c r="BF311" i="1" s="1"/>
  <c r="BF300" i="1"/>
  <c r="AI108" i="1"/>
  <c r="AI107" i="1"/>
  <c r="AO110" i="1"/>
  <c r="AO109" i="1"/>
  <c r="AO311" i="1" s="1"/>
  <c r="AP111" i="1"/>
  <c r="BT180" i="1"/>
  <c r="BT179" i="1"/>
  <c r="BF115" i="1"/>
  <c r="BF133" i="1" s="1"/>
  <c r="BV115" i="1"/>
  <c r="BV259" i="1" s="1"/>
  <c r="BV261" i="1" s="1"/>
  <c r="AS110" i="1"/>
  <c r="AO300" i="1"/>
  <c r="BV300" i="1"/>
  <c r="BI111" i="1"/>
  <c r="BV111" i="1"/>
  <c r="BV109" i="1"/>
  <c r="BV311" i="1" s="1"/>
  <c r="BH115" i="1"/>
  <c r="BL110" i="1"/>
  <c r="BH300" i="1"/>
  <c r="BH109" i="1"/>
  <c r="BH311" i="1" s="1"/>
  <c r="BD115" i="1"/>
  <c r="BD119" i="1" s="1"/>
  <c r="BH110" i="1"/>
  <c r="BD110" i="1"/>
  <c r="BD109" i="1"/>
  <c r="BD311" i="1" s="1"/>
  <c r="BE111" i="1"/>
  <c r="AZ133" i="1"/>
  <c r="BP115" i="1"/>
  <c r="AQ107" i="1"/>
  <c r="BG107" i="1"/>
  <c r="AV108" i="1"/>
  <c r="AZ110" i="1" s="1"/>
  <c r="BP111" i="1"/>
  <c r="BQ110" i="1"/>
  <c r="BM293" i="1"/>
  <c r="BP109" i="1"/>
  <c r="BP311" i="1" s="1"/>
  <c r="AZ119" i="1"/>
  <c r="BP110" i="1"/>
  <c r="BM115" i="1"/>
  <c r="BM185" i="1" s="1"/>
  <c r="BM186" i="1" s="1"/>
  <c r="BM300" i="1"/>
  <c r="BM109" i="1"/>
  <c r="BM311" i="1" s="1"/>
  <c r="BP300" i="1"/>
  <c r="BF111" i="1"/>
  <c r="BE300" i="1"/>
  <c r="BE115" i="1"/>
  <c r="BE119" i="1" s="1"/>
  <c r="AT259" i="1"/>
  <c r="AT261" i="1" s="1"/>
  <c r="BE109" i="1"/>
  <c r="BE311" i="1" s="1"/>
  <c r="BE110" i="1"/>
  <c r="AT133" i="1"/>
  <c r="BA110" i="1"/>
  <c r="AW115" i="1"/>
  <c r="AW300" i="1"/>
  <c r="AW109" i="1"/>
  <c r="AW311" i="1" s="1"/>
  <c r="BK119" i="1"/>
  <c r="BK259" i="1"/>
  <c r="BK261" i="1" s="1"/>
  <c r="BK185" i="1"/>
  <c r="BK186" i="1" s="1"/>
  <c r="BK133" i="1"/>
  <c r="AP259" i="1"/>
  <c r="AP261" i="1" s="1"/>
  <c r="AP133" i="1"/>
  <c r="AP119" i="1"/>
  <c r="BU185" i="1"/>
  <c r="BU186" i="1" s="1"/>
  <c r="BU119" i="1"/>
  <c r="BU259" i="1"/>
  <c r="BU261" i="1" s="1"/>
  <c r="BU133" i="1"/>
  <c r="BS111" i="1"/>
  <c r="BS293" i="1"/>
  <c r="AY259" i="1"/>
  <c r="AY261" i="1" s="1"/>
  <c r="AY133" i="1"/>
  <c r="AY185" i="1"/>
  <c r="AY186" i="1" s="1"/>
  <c r="AY119" i="1"/>
  <c r="AS119" i="1"/>
  <c r="AS185" i="1"/>
  <c r="AS186" i="1" s="1"/>
  <c r="AS259" i="1"/>
  <c r="AS261" i="1" s="1"/>
  <c r="AS133" i="1"/>
  <c r="BI110" i="1"/>
  <c r="BK293" i="1"/>
  <c r="BM110" i="1"/>
  <c r="BL293" i="1"/>
  <c r="BI115" i="1"/>
  <c r="BI300" i="1"/>
  <c r="BJ111" i="1"/>
  <c r="BI109" i="1"/>
  <c r="BI311" i="1" s="1"/>
  <c r="BF293" i="1"/>
  <c r="BD111" i="1"/>
  <c r="BC110" i="1"/>
  <c r="BC115" i="1"/>
  <c r="BC300" i="1"/>
  <c r="BC109" i="1"/>
  <c r="BC311" i="1" s="1"/>
  <c r="BO119" i="1"/>
  <c r="BO133" i="1"/>
  <c r="BO259" i="1"/>
  <c r="BO261" i="1" s="1"/>
  <c r="BO185" i="1"/>
  <c r="BO186" i="1" s="1"/>
  <c r="AO259" i="1"/>
  <c r="AO261" i="1" s="1"/>
  <c r="AO133" i="1"/>
  <c r="AO185" i="1"/>
  <c r="AO186" i="1" s="1"/>
  <c r="AO119" i="1"/>
  <c r="BR109" i="1"/>
  <c r="BR311" i="1" s="1"/>
  <c r="BR300" i="1"/>
  <c r="BR115" i="1"/>
  <c r="BR273" i="1" s="1"/>
  <c r="BR271" i="1" s="1"/>
  <c r="BV110" i="1"/>
  <c r="BR111" i="1"/>
  <c r="BR293" i="1"/>
  <c r="AN109" i="1"/>
  <c r="AN311" i="1" s="1"/>
  <c r="AQ293" i="1"/>
  <c r="AO111" i="1"/>
  <c r="AN293" i="1"/>
  <c r="AN110" i="1"/>
  <c r="AP293" i="1"/>
  <c r="AR110" i="1"/>
  <c r="AO293" i="1"/>
  <c r="AN115" i="1"/>
  <c r="AN111" i="1"/>
  <c r="AN300" i="1"/>
  <c r="BX110" i="1"/>
  <c r="BT109" i="1"/>
  <c r="BT311" i="1" s="1"/>
  <c r="BT300" i="1"/>
  <c r="BT115" i="1"/>
  <c r="BU111" i="1"/>
  <c r="BT110" i="1"/>
  <c r="BV293" i="1"/>
  <c r="AR111" i="1"/>
  <c r="AQ110" i="1"/>
  <c r="AQ300" i="1"/>
  <c r="AQ115" i="1"/>
  <c r="AQ109" i="1"/>
  <c r="AQ311" i="1" s="1"/>
  <c r="AQ111" i="1"/>
  <c r="AU110" i="1"/>
  <c r="AT293" i="1"/>
  <c r="AS293" i="1"/>
  <c r="AR293" i="1"/>
  <c r="BN300" i="1"/>
  <c r="BR110" i="1"/>
  <c r="BN115" i="1"/>
  <c r="BN110" i="1"/>
  <c r="BN109" i="1"/>
  <c r="BN311" i="1" s="1"/>
  <c r="BO111" i="1"/>
  <c r="BN293" i="1"/>
  <c r="BQ293" i="1"/>
  <c r="BN111" i="1"/>
  <c r="BO293" i="1"/>
  <c r="BP293" i="1"/>
  <c r="BB109" i="1"/>
  <c r="BB311" i="1" s="1"/>
  <c r="BF110" i="1"/>
  <c r="BB300" i="1"/>
  <c r="BB115" i="1"/>
  <c r="BB273" i="1" s="1"/>
  <c r="BB271" i="1" s="1"/>
  <c r="BC111" i="1"/>
  <c r="BD293" i="1"/>
  <c r="BB293" i="1"/>
  <c r="BB111" i="1"/>
  <c r="BC293" i="1"/>
  <c r="BE293" i="1"/>
  <c r="BB110" i="1"/>
  <c r="AX115" i="1"/>
  <c r="AX300" i="1"/>
  <c r="AX109" i="1"/>
  <c r="AX311" i="1" s="1"/>
  <c r="AZ293" i="1"/>
  <c r="AX111" i="1"/>
  <c r="AY111" i="1"/>
  <c r="AX110" i="1"/>
  <c r="BA293" i="1"/>
  <c r="BT293" i="1"/>
  <c r="BT111" i="1"/>
  <c r="BK110" i="1"/>
  <c r="BG115" i="1"/>
  <c r="BH293" i="1"/>
  <c r="BG110" i="1"/>
  <c r="BG109" i="1"/>
  <c r="BG311" i="1" s="1"/>
  <c r="BH111" i="1"/>
  <c r="BG293" i="1"/>
  <c r="BG300" i="1"/>
  <c r="BG111" i="1"/>
  <c r="BS259" i="1"/>
  <c r="BS261" i="1" s="1"/>
  <c r="BS119" i="1"/>
  <c r="BS185" i="1"/>
  <c r="BS186" i="1" s="1"/>
  <c r="BS133" i="1"/>
  <c r="BQ273" i="1"/>
  <c r="BQ271" i="1" s="1"/>
  <c r="BQ195" i="1"/>
  <c r="BQ122" i="1" s="1"/>
  <c r="BQ159" i="1"/>
  <c r="BA273" i="1"/>
  <c r="BA271" i="1" s="1"/>
  <c r="BA159" i="1"/>
  <c r="BA195" i="1"/>
  <c r="BA122" i="1" s="1"/>
  <c r="CS200" i="1"/>
  <c r="AC272" i="1"/>
  <c r="CA292" i="1"/>
  <c r="CB292" i="1"/>
  <c r="BU292" i="1"/>
  <c r="BF259" i="1" l="1"/>
  <c r="BF261" i="1" s="1"/>
  <c r="BF119" i="1"/>
  <c r="BV119" i="1"/>
  <c r="AU119" i="1"/>
  <c r="AU133" i="1"/>
  <c r="AU259" i="1"/>
  <c r="AU261" i="1" s="1"/>
  <c r="AU185" i="1"/>
  <c r="AU186" i="1" s="1"/>
  <c r="BW293" i="1"/>
  <c r="BJ293" i="1"/>
  <c r="BI293" i="1"/>
  <c r="BW300" i="1"/>
  <c r="BW111" i="1"/>
  <c r="BX111" i="1"/>
  <c r="BW115" i="1"/>
  <c r="X128" i="1"/>
  <c r="BW109" i="1"/>
  <c r="BW311" i="1" s="1"/>
  <c r="BZ293" i="1"/>
  <c r="BX293" i="1"/>
  <c r="BY293" i="1"/>
  <c r="CA110" i="1"/>
  <c r="AI109" i="1"/>
  <c r="AI300" i="1"/>
  <c r="AJ111" i="1"/>
  <c r="AM110" i="1"/>
  <c r="AI115" i="1"/>
  <c r="AL293" i="1"/>
  <c r="BV133" i="1"/>
  <c r="BH119" i="1"/>
  <c r="BH133" i="1"/>
  <c r="BH259" i="1"/>
  <c r="BH261" i="1" s="1"/>
  <c r="BP133" i="1"/>
  <c r="BP259" i="1"/>
  <c r="BP261" i="1" s="1"/>
  <c r="BP119" i="1"/>
  <c r="AV293" i="1"/>
  <c r="BQ121" i="1"/>
  <c r="BD133" i="1"/>
  <c r="BD259" i="1"/>
  <c r="BD261" i="1" s="1"/>
  <c r="BM119" i="1"/>
  <c r="AV110" i="1"/>
  <c r="AW111" i="1"/>
  <c r="AW293" i="1"/>
  <c r="AY293" i="1"/>
  <c r="AV115" i="1"/>
  <c r="AV300" i="1"/>
  <c r="AX293" i="1"/>
  <c r="AV109" i="1"/>
  <c r="AV311" i="1" s="1"/>
  <c r="AV111" i="1"/>
  <c r="BM259" i="1"/>
  <c r="BM261" i="1" s="1"/>
  <c r="BM133" i="1"/>
  <c r="BM136" i="1" s="1"/>
  <c r="BI156" i="1" s="1"/>
  <c r="BE133" i="1"/>
  <c r="BE185" i="1"/>
  <c r="BE186" i="1" s="1"/>
  <c r="BE159" i="1" s="1"/>
  <c r="BE259" i="1"/>
  <c r="BE261" i="1" s="1"/>
  <c r="AW119" i="1"/>
  <c r="AW259" i="1"/>
  <c r="AW261" i="1" s="1"/>
  <c r="AW133" i="1"/>
  <c r="AW185" i="1"/>
  <c r="AW186" i="1" s="1"/>
  <c r="BK121" i="1"/>
  <c r="BK159" i="1"/>
  <c r="BL273" i="1"/>
  <c r="BL271" i="1" s="1"/>
  <c r="BK273" i="1"/>
  <c r="BK271" i="1" s="1"/>
  <c r="BK195" i="1"/>
  <c r="BK122" i="1" s="1"/>
  <c r="BV273" i="1"/>
  <c r="BV271" i="1" s="1"/>
  <c r="BU273" i="1"/>
  <c r="BU271" i="1" s="1"/>
  <c r="BU159" i="1"/>
  <c r="BU195" i="1"/>
  <c r="BU122" i="1" s="1"/>
  <c r="AY159" i="1"/>
  <c r="AY273" i="1"/>
  <c r="AY271" i="1" s="1"/>
  <c r="AY195" i="1"/>
  <c r="AY122" i="1" s="1"/>
  <c r="AZ273" i="1"/>
  <c r="AZ271" i="1" s="1"/>
  <c r="AS273" i="1"/>
  <c r="AS271" i="1" s="1"/>
  <c r="AS159" i="1"/>
  <c r="AS195" i="1"/>
  <c r="AS122" i="1" s="1"/>
  <c r="AT273" i="1"/>
  <c r="AT271" i="1" s="1"/>
  <c r="AO121" i="1"/>
  <c r="BL121" i="1"/>
  <c r="BI119" i="1"/>
  <c r="BI259" i="1"/>
  <c r="BI261" i="1" s="1"/>
  <c r="BI133" i="1"/>
  <c r="BI185" i="1"/>
  <c r="BI186" i="1" s="1"/>
  <c r="BM121" i="1"/>
  <c r="BM273" i="1"/>
  <c r="BM271" i="1" s="1"/>
  <c r="BM195" i="1"/>
  <c r="BM122" i="1" s="1"/>
  <c r="BM159" i="1"/>
  <c r="BA121" i="1"/>
  <c r="S128" i="1"/>
  <c r="BF121" i="1"/>
  <c r="BC133" i="1"/>
  <c r="BC185" i="1"/>
  <c r="BC186" i="1" s="1"/>
  <c r="BC259" i="1"/>
  <c r="BC261" i="1" s="1"/>
  <c r="BC119" i="1"/>
  <c r="BO273" i="1"/>
  <c r="BO271" i="1" s="1"/>
  <c r="BO195" i="1"/>
  <c r="BO122" i="1" s="1"/>
  <c r="BP273" i="1"/>
  <c r="BP271" i="1" s="1"/>
  <c r="BO159" i="1"/>
  <c r="AP273" i="1"/>
  <c r="AP271" i="1" s="1"/>
  <c r="AO159" i="1"/>
  <c r="AO195" i="1"/>
  <c r="AO122" i="1" s="1"/>
  <c r="AO273" i="1"/>
  <c r="AO271" i="1" s="1"/>
  <c r="BT121" i="1"/>
  <c r="BR119" i="1"/>
  <c r="BR259" i="1"/>
  <c r="BR261" i="1" s="1"/>
  <c r="BR133" i="1"/>
  <c r="BR121" i="1"/>
  <c r="V128" i="1"/>
  <c r="BV121" i="1"/>
  <c r="BO121" i="1"/>
  <c r="BN273" i="1"/>
  <c r="BN271" i="1" s="1"/>
  <c r="BU121" i="1"/>
  <c r="BN119" i="1"/>
  <c r="BN133" i="1"/>
  <c r="BN259" i="1"/>
  <c r="BN261" i="1" s="1"/>
  <c r="BN121" i="1"/>
  <c r="U128" i="1"/>
  <c r="BP121" i="1"/>
  <c r="BT259" i="1"/>
  <c r="BT261" i="1" s="1"/>
  <c r="BT119" i="1"/>
  <c r="BT133" i="1"/>
  <c r="AX119" i="1"/>
  <c r="AX133" i="1"/>
  <c r="AX259" i="1"/>
  <c r="AX261" i="1" s="1"/>
  <c r="AZ121" i="1"/>
  <c r="BB133" i="1"/>
  <c r="BB119" i="1"/>
  <c r="BB259" i="1"/>
  <c r="BB261" i="1" s="1"/>
  <c r="BB121" i="1"/>
  <c r="R128" i="1"/>
  <c r="BD121" i="1"/>
  <c r="AQ185" i="1"/>
  <c r="AQ186" i="1" s="1"/>
  <c r="AQ259" i="1"/>
  <c r="AQ261" i="1" s="1"/>
  <c r="AQ119" i="1"/>
  <c r="AQ133" i="1"/>
  <c r="AS121" i="1"/>
  <c r="AR121" i="1"/>
  <c r="AT121" i="1"/>
  <c r="P128" i="1"/>
  <c r="BG119" i="1"/>
  <c r="BG133" i="1"/>
  <c r="BG185" i="1"/>
  <c r="BG186" i="1" s="1"/>
  <c r="BJ121" i="1"/>
  <c r="BH121" i="1"/>
  <c r="BG259" i="1"/>
  <c r="BG261" i="1" s="1"/>
  <c r="T128" i="1"/>
  <c r="AN119" i="1"/>
  <c r="AP121" i="1"/>
  <c r="AN133" i="1"/>
  <c r="AN259" i="1"/>
  <c r="AN261" i="1" s="1"/>
  <c r="AN121" i="1"/>
  <c r="O128" i="1"/>
  <c r="AN273" i="1"/>
  <c r="AN271" i="1" s="1"/>
  <c r="BT273" i="1"/>
  <c r="BT271" i="1" s="1"/>
  <c r="BS159" i="1"/>
  <c r="BS195" i="1"/>
  <c r="BS122" i="1" s="1"/>
  <c r="BS273" i="1"/>
  <c r="BS271" i="1" s="1"/>
  <c r="BS121" i="1"/>
  <c r="BQ161" i="1"/>
  <c r="BQ162" i="1"/>
  <c r="BQ163" i="1"/>
  <c r="BA162" i="1"/>
  <c r="BA161" i="1"/>
  <c r="BA163" i="1"/>
  <c r="CS204" i="1"/>
  <c r="CT99" i="1"/>
  <c r="AD190" i="1"/>
  <c r="W126" i="1"/>
  <c r="AU136" i="1" l="1"/>
  <c r="AQ156" i="1" s="1"/>
  <c r="AU159" i="1"/>
  <c r="AU273" i="1"/>
  <c r="AU271" i="1" s="1"/>
  <c r="AU195" i="1"/>
  <c r="AU122" i="1" s="1"/>
  <c r="AU121" i="1"/>
  <c r="AI133" i="1"/>
  <c r="AL136" i="1" s="1"/>
  <c r="AL121" i="1"/>
  <c r="N128" i="1"/>
  <c r="AI273" i="1"/>
  <c r="AI271" i="1" s="1"/>
  <c r="AI259" i="1"/>
  <c r="AI261" i="1" s="1"/>
  <c r="AI265" i="1" s="1"/>
  <c r="AI279" i="1" s="1"/>
  <c r="BX121" i="1"/>
  <c r="BW185" i="1"/>
  <c r="BW186" i="1" s="1"/>
  <c r="BY121" i="1"/>
  <c r="BW259" i="1"/>
  <c r="BW261" i="1" s="1"/>
  <c r="BW119" i="1"/>
  <c r="BZ121" i="1"/>
  <c r="BW133" i="1"/>
  <c r="AV273" i="1"/>
  <c r="AV271" i="1" s="1"/>
  <c r="BV136" i="1"/>
  <c r="BR156" i="1" s="1"/>
  <c r="AI119" i="1"/>
  <c r="AX121" i="1"/>
  <c r="Q128" i="1"/>
  <c r="BE121" i="1"/>
  <c r="AV121" i="1"/>
  <c r="BF273" i="1"/>
  <c r="BF271" i="1" s="1"/>
  <c r="AV133" i="1"/>
  <c r="AY136" i="1" s="1"/>
  <c r="AW121" i="1"/>
  <c r="AV119" i="1"/>
  <c r="AV259" i="1"/>
  <c r="AV261" i="1" s="1"/>
  <c r="AY121" i="1"/>
  <c r="BF136" i="1"/>
  <c r="BB156" i="1" s="1"/>
  <c r="BE273" i="1"/>
  <c r="BE271" i="1" s="1"/>
  <c r="BE195" i="1"/>
  <c r="BE122" i="1" s="1"/>
  <c r="AW195" i="1"/>
  <c r="AW122" i="1" s="1"/>
  <c r="AW273" i="1"/>
  <c r="AW271" i="1" s="1"/>
  <c r="AW159" i="1"/>
  <c r="AX273" i="1"/>
  <c r="AX271" i="1" s="1"/>
  <c r="BM152" i="1"/>
  <c r="BM154" i="1"/>
  <c r="BM153" i="1"/>
  <c r="BK163" i="1"/>
  <c r="BK161" i="1"/>
  <c r="BK162" i="1"/>
  <c r="BU161" i="1"/>
  <c r="BU163" i="1"/>
  <c r="BU162" i="1"/>
  <c r="AU154" i="1"/>
  <c r="AU153" i="1"/>
  <c r="AU152" i="1"/>
  <c r="AY161" i="1"/>
  <c r="AY162" i="1"/>
  <c r="AY163" i="1"/>
  <c r="BL136" i="1"/>
  <c r="BH156" i="1" s="1"/>
  <c r="BK136" i="1"/>
  <c r="BG156" i="1" s="1"/>
  <c r="BR136" i="1"/>
  <c r="BT136" i="1"/>
  <c r="BP156" i="1" s="1"/>
  <c r="BS136" i="1"/>
  <c r="BO156" i="1" s="1"/>
  <c r="AS162" i="1"/>
  <c r="AS163" i="1"/>
  <c r="AS161" i="1"/>
  <c r="BI159" i="1"/>
  <c r="BI195" i="1"/>
  <c r="BI122" i="1" s="1"/>
  <c r="BI273" i="1"/>
  <c r="BI271" i="1" s="1"/>
  <c r="BI121" i="1"/>
  <c r="BJ273" i="1"/>
  <c r="BJ271" i="1" s="1"/>
  <c r="BM162" i="1"/>
  <c r="BM163" i="1"/>
  <c r="BM161" i="1"/>
  <c r="BU136" i="1"/>
  <c r="BE161" i="1"/>
  <c r="BE163" i="1"/>
  <c r="BE162" i="1"/>
  <c r="BC273" i="1"/>
  <c r="BC271" i="1" s="1"/>
  <c r="BC195" i="1"/>
  <c r="BC122" i="1" s="1"/>
  <c r="BC159" i="1"/>
  <c r="BC121" i="1"/>
  <c r="BD273" i="1"/>
  <c r="BD271" i="1" s="1"/>
  <c r="BO161" i="1"/>
  <c r="BO162" i="1"/>
  <c r="BO163" i="1"/>
  <c r="AU162" i="1"/>
  <c r="AU163" i="1"/>
  <c r="AU161" i="1"/>
  <c r="AO163" i="1"/>
  <c r="AO161" i="1"/>
  <c r="AO162" i="1"/>
  <c r="BA136" i="1"/>
  <c r="AW156" i="1" s="1"/>
  <c r="AZ136" i="1"/>
  <c r="AV156" i="1" s="1"/>
  <c r="AT136" i="1"/>
  <c r="AP156" i="1" s="1"/>
  <c r="AR136" i="1"/>
  <c r="AN156" i="1" s="1"/>
  <c r="AS136" i="1"/>
  <c r="AO156" i="1" s="1"/>
  <c r="BQ136" i="1"/>
  <c r="BM156" i="1" s="1"/>
  <c r="BO136" i="1"/>
  <c r="BK156" i="1" s="1"/>
  <c r="BN136" i="1"/>
  <c r="BJ156" i="1" s="1"/>
  <c r="BP136" i="1"/>
  <c r="BL156" i="1" s="1"/>
  <c r="AQ136" i="1"/>
  <c r="AM156" i="1" s="1"/>
  <c r="AN136" i="1"/>
  <c r="AP136" i="1"/>
  <c r="AL156" i="1" s="1"/>
  <c r="AO136" i="1"/>
  <c r="BJ136" i="1"/>
  <c r="BF156" i="1" s="1"/>
  <c r="BG136" i="1"/>
  <c r="BC156" i="1" s="1"/>
  <c r="BH136" i="1"/>
  <c r="BD156" i="1" s="1"/>
  <c r="BI136" i="1"/>
  <c r="BE156" i="1" s="1"/>
  <c r="BE136" i="1"/>
  <c r="BD136" i="1"/>
  <c r="AZ156" i="1" s="1"/>
  <c r="BB136" i="1"/>
  <c r="AX156" i="1" s="1"/>
  <c r="BC136" i="1"/>
  <c r="AY156" i="1" s="1"/>
  <c r="BG273" i="1"/>
  <c r="BG271" i="1" s="1"/>
  <c r="BG195" i="1"/>
  <c r="BG122" i="1" s="1"/>
  <c r="BG159" i="1"/>
  <c r="BG121" i="1"/>
  <c r="BH273" i="1"/>
  <c r="BH271" i="1" s="1"/>
  <c r="AQ195" i="1"/>
  <c r="AQ122" i="1" s="1"/>
  <c r="AQ273" i="1"/>
  <c r="AQ271" i="1" s="1"/>
  <c r="AQ159" i="1"/>
  <c r="AR273" i="1"/>
  <c r="AR271" i="1" s="1"/>
  <c r="AQ121" i="1"/>
  <c r="BS161" i="1"/>
  <c r="BS162" i="1"/>
  <c r="BS163" i="1"/>
  <c r="AC99" i="1"/>
  <c r="CT260" i="1"/>
  <c r="CT198" i="1"/>
  <c r="CS269" i="1"/>
  <c r="CS267" i="1" s="1"/>
  <c r="W127" i="1"/>
  <c r="AI276" i="1" l="1"/>
  <c r="AI277" i="1" s="1"/>
  <c r="AL152" i="1"/>
  <c r="AL153" i="1"/>
  <c r="AL154" i="1"/>
  <c r="BZ136" i="1"/>
  <c r="BV156" i="1" s="1"/>
  <c r="BX136" i="1"/>
  <c r="BT156" i="1" s="1"/>
  <c r="BY136" i="1"/>
  <c r="BU156" i="1" s="1"/>
  <c r="BW136" i="1"/>
  <c r="BS156" i="1" s="1"/>
  <c r="BW273" i="1"/>
  <c r="BW271" i="1" s="1"/>
  <c r="BX273" i="1"/>
  <c r="BX271" i="1" s="1"/>
  <c r="BW195" i="1"/>
  <c r="BW122" i="1" s="1"/>
  <c r="BW121" i="1"/>
  <c r="BW159" i="1"/>
  <c r="BV154" i="1"/>
  <c r="BV153" i="1"/>
  <c r="BV152" i="1"/>
  <c r="BF153" i="1"/>
  <c r="BF154" i="1"/>
  <c r="BF152" i="1"/>
  <c r="AV136" i="1"/>
  <c r="AR156" i="1" s="1"/>
  <c r="AW136" i="1"/>
  <c r="AX136" i="1"/>
  <c r="AT156" i="1" s="1"/>
  <c r="AW163" i="1"/>
  <c r="AW162" i="1"/>
  <c r="AW161" i="1"/>
  <c r="AY153" i="1"/>
  <c r="AU156" i="1"/>
  <c r="BE153" i="1"/>
  <c r="BA156" i="1"/>
  <c r="BR153" i="1"/>
  <c r="BN156" i="1"/>
  <c r="BU152" i="1"/>
  <c r="BQ156" i="1"/>
  <c r="BL152" i="1"/>
  <c r="BL153" i="1"/>
  <c r="BR152" i="1"/>
  <c r="BR154" i="1"/>
  <c r="BV137" i="1"/>
  <c r="BT154" i="1"/>
  <c r="BT152" i="1"/>
  <c r="BT153" i="1"/>
  <c r="BS154" i="1"/>
  <c r="BS153" i="1"/>
  <c r="BS152" i="1"/>
  <c r="BL154" i="1"/>
  <c r="BK152" i="1"/>
  <c r="BK153" i="1"/>
  <c r="BK154" i="1"/>
  <c r="BT137" i="1"/>
  <c r="BZ137" i="1"/>
  <c r="BY137" i="1"/>
  <c r="BI162" i="1"/>
  <c r="BI163" i="1"/>
  <c r="BI161" i="1"/>
  <c r="BU154" i="1"/>
  <c r="BU153" i="1"/>
  <c r="BC162" i="1"/>
  <c r="BC161" i="1"/>
  <c r="BC163" i="1"/>
  <c r="BE137" i="1"/>
  <c r="BQ153" i="1"/>
  <c r="AQ153" i="1"/>
  <c r="AQ152" i="1"/>
  <c r="BU137" i="1"/>
  <c r="BA154" i="1"/>
  <c r="AN154" i="1"/>
  <c r="AR137" i="1"/>
  <c r="AN153" i="1"/>
  <c r="AN152" i="1"/>
  <c r="BO152" i="1"/>
  <c r="BO153" i="1"/>
  <c r="BO137" i="1"/>
  <c r="BO154" i="1"/>
  <c r="BE154" i="1"/>
  <c r="BI137" i="1"/>
  <c r="BE152" i="1"/>
  <c r="BJ153" i="1"/>
  <c r="BJ137" i="1"/>
  <c r="BJ152" i="1"/>
  <c r="AU137" i="1"/>
  <c r="AQ137" i="1"/>
  <c r="AQ154" i="1"/>
  <c r="BQ152" i="1"/>
  <c r="BQ137" i="1"/>
  <c r="BQ154" i="1"/>
  <c r="AZ154" i="1"/>
  <c r="AZ153" i="1"/>
  <c r="BD137" i="1"/>
  <c r="AZ152" i="1"/>
  <c r="BD152" i="1"/>
  <c r="BH137" i="1"/>
  <c r="BD154" i="1"/>
  <c r="BD153" i="1"/>
  <c r="AY154" i="1"/>
  <c r="BC137" i="1"/>
  <c r="AY137" i="1"/>
  <c r="AT153" i="1"/>
  <c r="BJ154" i="1"/>
  <c r="BS137" i="1"/>
  <c r="BC154" i="1"/>
  <c r="BG137" i="1"/>
  <c r="BC153" i="1"/>
  <c r="BC152" i="1"/>
  <c r="BM137" i="1"/>
  <c r="BI154" i="1"/>
  <c r="BI152" i="1"/>
  <c r="BI153" i="1"/>
  <c r="AO154" i="1"/>
  <c r="AO152" i="1"/>
  <c r="AS137" i="1"/>
  <c r="AO153" i="1"/>
  <c r="BP137" i="1"/>
  <c r="BP153" i="1"/>
  <c r="BP154" i="1"/>
  <c r="BP152" i="1"/>
  <c r="AS153" i="1"/>
  <c r="AS154" i="1"/>
  <c r="AS152" i="1"/>
  <c r="BA152" i="1"/>
  <c r="BA153" i="1"/>
  <c r="BG152" i="1"/>
  <c r="BG153" i="1"/>
  <c r="BG154" i="1"/>
  <c r="BK137" i="1"/>
  <c r="AT154" i="1"/>
  <c r="AT152" i="1"/>
  <c r="AY152" i="1"/>
  <c r="BN137" i="1"/>
  <c r="BF137" i="1"/>
  <c r="BB154" i="1"/>
  <c r="BB153" i="1"/>
  <c r="BB152" i="1"/>
  <c r="BH154" i="1"/>
  <c r="BH152" i="1"/>
  <c r="BL137" i="1"/>
  <c r="BH153" i="1"/>
  <c r="AT137" i="1"/>
  <c r="AP154" i="1"/>
  <c r="AP137" i="1"/>
  <c r="AP153" i="1"/>
  <c r="AP152" i="1"/>
  <c r="BR137" i="1"/>
  <c r="BN154" i="1"/>
  <c r="BN152" i="1"/>
  <c r="BN153" i="1"/>
  <c r="AR154" i="1"/>
  <c r="AR153" i="1"/>
  <c r="AR152" i="1"/>
  <c r="BG161" i="1"/>
  <c r="BG163" i="1"/>
  <c r="BG162" i="1"/>
  <c r="AQ162" i="1"/>
  <c r="AQ163" i="1"/>
  <c r="AQ161" i="1"/>
  <c r="AC260" i="1"/>
  <c r="AC198" i="1"/>
  <c r="AC200" i="1" s="1"/>
  <c r="AC100" i="1" s="1"/>
  <c r="CT200" i="1"/>
  <c r="AD191" i="1"/>
  <c r="AD194" i="1" s="1"/>
  <c r="AD315" i="1" s="1"/>
  <c r="AR175" i="1"/>
  <c r="W128" i="1"/>
  <c r="BW152" i="1" l="1"/>
  <c r="BW137" i="1"/>
  <c r="CD137" i="1"/>
  <c r="BZ154" i="1"/>
  <c r="BX153" i="1"/>
  <c r="BX154" i="1"/>
  <c r="CB137" i="1"/>
  <c r="BX152" i="1"/>
  <c r="CA137" i="1"/>
  <c r="BW154" i="1"/>
  <c r="BW153" i="1"/>
  <c r="BZ153" i="1"/>
  <c r="CC157" i="1" s="1"/>
  <c r="BZ152" i="1"/>
  <c r="CC137" i="1"/>
  <c r="BY154" i="1"/>
  <c r="BY153" i="1"/>
  <c r="BY152" i="1"/>
  <c r="BX137" i="1"/>
  <c r="BW163" i="1"/>
  <c r="BW162" i="1"/>
  <c r="BW161" i="1"/>
  <c r="AV137" i="1"/>
  <c r="AV152" i="1"/>
  <c r="AS156" i="1"/>
  <c r="AW152" i="1"/>
  <c r="AV153" i="1"/>
  <c r="AX153" i="1"/>
  <c r="BA157" i="1" s="1"/>
  <c r="AW137" i="1"/>
  <c r="AX152" i="1"/>
  <c r="AV154" i="1"/>
  <c r="BA137" i="1"/>
  <c r="BB137" i="1"/>
  <c r="AZ137" i="1"/>
  <c r="AW153" i="1"/>
  <c r="AW154" i="1"/>
  <c r="AX154" i="1"/>
  <c r="AX137" i="1"/>
  <c r="CB157" i="1"/>
  <c r="BT157" i="1"/>
  <c r="BH157" i="1"/>
  <c r="BM157" i="1"/>
  <c r="BG157" i="1"/>
  <c r="BN157" i="1"/>
  <c r="BB157" i="1"/>
  <c r="BI157" i="1"/>
  <c r="BL157" i="1"/>
  <c r="BY157" i="1"/>
  <c r="AR157" i="1"/>
  <c r="AV157" i="1"/>
  <c r="BJ157" i="1"/>
  <c r="BE157" i="1"/>
  <c r="AS157" i="1"/>
  <c r="AU157" i="1"/>
  <c r="AT157" i="1"/>
  <c r="AQ157" i="1"/>
  <c r="AP157" i="1"/>
  <c r="AO157" i="1"/>
  <c r="BP157" i="1"/>
  <c r="BO157" i="1"/>
  <c r="CA157" i="1"/>
  <c r="BR157" i="1"/>
  <c r="BC157" i="1"/>
  <c r="BZ157" i="1"/>
  <c r="BF157" i="1"/>
  <c r="BS157" i="1"/>
  <c r="BD157" i="1"/>
  <c r="BK157" i="1"/>
  <c r="BQ157" i="1"/>
  <c r="BX157" i="1"/>
  <c r="BW157" i="1"/>
  <c r="BV157" i="1"/>
  <c r="BU157" i="1"/>
  <c r="CU99" i="1"/>
  <c r="CT204" i="1"/>
  <c r="AD272" i="1"/>
  <c r="AB204" i="1"/>
  <c r="AR176" i="1"/>
  <c r="AR179" i="1" s="1"/>
  <c r="AR177" i="1"/>
  <c r="AR180" i="1" s="1"/>
  <c r="CA293" i="1"/>
  <c r="CB293" i="1"/>
  <c r="W259" i="1"/>
  <c r="W261" i="1" s="1"/>
  <c r="BU293" i="1"/>
  <c r="AW157" i="1" l="1"/>
  <c r="AZ157" i="1"/>
  <c r="AX157" i="1"/>
  <c r="AY157" i="1"/>
  <c r="CT269" i="1"/>
  <c r="CT267" i="1" s="1"/>
  <c r="CU260" i="1"/>
  <c r="CU198" i="1"/>
  <c r="AB269" i="1"/>
  <c r="AB267" i="1" s="1"/>
  <c r="AE190" i="1"/>
  <c r="CU200" i="1" l="1"/>
  <c r="CU204" i="1" l="1"/>
  <c r="CV99" i="1"/>
  <c r="AE191" i="1"/>
  <c r="AE194" i="1" s="1"/>
  <c r="AE315" i="1" s="1"/>
  <c r="CV260" i="1" l="1"/>
  <c r="CV198" i="1"/>
  <c r="CU269" i="1"/>
  <c r="CU267" i="1" s="1"/>
  <c r="AE272" i="1"/>
  <c r="AC204" i="1"/>
  <c r="W186" i="1"/>
  <c r="CV200" i="1" l="1"/>
  <c r="W121" i="1"/>
  <c r="AC269" i="1"/>
  <c r="AC267" i="1" s="1"/>
  <c r="X273" i="1"/>
  <c r="X271" i="1" s="1"/>
  <c r="W273" i="1"/>
  <c r="W271" i="1" s="1"/>
  <c r="W195" i="1"/>
  <c r="W122" i="1" s="1"/>
  <c r="W241" i="1"/>
  <c r="CW99" i="1" l="1"/>
  <c r="CV204" i="1"/>
  <c r="CV269" i="1" l="1"/>
  <c r="CV267" i="1" s="1"/>
  <c r="CW260" i="1"/>
  <c r="CW198" i="1"/>
  <c r="CW200" i="1" l="1"/>
  <c r="CW204" i="1" l="1"/>
  <c r="CX99" i="1"/>
  <c r="AD99" i="1" l="1"/>
  <c r="CX260" i="1"/>
  <c r="CX198" i="1"/>
  <c r="CW269" i="1"/>
  <c r="CW267" i="1" s="1"/>
  <c r="AD260" i="1" l="1"/>
  <c r="AD198" i="1"/>
  <c r="AD200" i="1" s="1"/>
  <c r="CX200" i="1"/>
  <c r="AD204" i="1" l="1"/>
  <c r="AD269" i="1" s="1"/>
  <c r="AD267" i="1" s="1"/>
  <c r="AD100" i="1"/>
  <c r="CX204" i="1"/>
  <c r="CY99" i="1"/>
  <c r="CY260" i="1" l="1"/>
  <c r="CY198" i="1"/>
  <c r="CX269" i="1"/>
  <c r="CX267" i="1" s="1"/>
  <c r="CY200" i="1" l="1"/>
  <c r="W246" i="1"/>
  <c r="CY204" i="1" l="1"/>
  <c r="CZ99" i="1"/>
  <c r="W249" i="1"/>
  <c r="W222" i="1"/>
  <c r="X263" i="1" s="1"/>
  <c r="CZ260" i="1" l="1"/>
  <c r="CZ198" i="1"/>
  <c r="CY269" i="1"/>
  <c r="CY267" i="1" s="1"/>
  <c r="W251" i="1"/>
  <c r="W250" i="1" s="1"/>
  <c r="W263" i="1"/>
  <c r="W214" i="1"/>
  <c r="X262" i="1" s="1"/>
  <c r="X264" i="1" s="1"/>
  <c r="X265" i="1" s="1"/>
  <c r="X279" i="1" s="1"/>
  <c r="W245" i="1"/>
  <c r="CZ200" i="1" l="1"/>
  <c r="W248" i="1"/>
  <c r="W223" i="1"/>
  <c r="W262" i="1"/>
  <c r="W264" i="1" s="1"/>
  <c r="W265" i="1" s="1"/>
  <c r="CZ204" i="1" l="1"/>
  <c r="CZ269" i="1" s="1"/>
  <c r="CZ267" i="1" s="1"/>
  <c r="DA99" i="1"/>
  <c r="W247" i="1"/>
  <c r="W252" i="1"/>
  <c r="W276" i="1"/>
  <c r="W279" i="1"/>
  <c r="DA260" i="1" l="1"/>
  <c r="DA198" i="1"/>
  <c r="W255" i="1"/>
  <c r="W256" i="1" s="1"/>
  <c r="X255" i="1"/>
  <c r="X256" i="1" s="1"/>
  <c r="DA200" i="1" l="1"/>
  <c r="W227" i="1"/>
  <c r="X275" i="1" l="1"/>
  <c r="X276" i="1" s="1"/>
  <c r="X277" i="1" s="1"/>
  <c r="W312" i="1"/>
  <c r="W314" i="1"/>
  <c r="W310" i="1"/>
  <c r="DA204" i="1"/>
  <c r="DA269" i="1" s="1"/>
  <c r="DA267" i="1" s="1"/>
  <c r="DB99" i="1"/>
  <c r="W234" i="1"/>
  <c r="W175" i="1" s="1"/>
  <c r="W231" i="1"/>
  <c r="W277" i="1"/>
  <c r="AE99" i="1" l="1"/>
  <c r="AE260" i="1" s="1"/>
  <c r="DB260" i="1"/>
  <c r="DB198" i="1"/>
  <c r="W232" i="1"/>
  <c r="DB200" i="1" l="1"/>
  <c r="DB204" i="1" s="1"/>
  <c r="DB269" i="1" s="1"/>
  <c r="DB267" i="1" s="1"/>
  <c r="AE198" i="1"/>
  <c r="AE200" i="1" s="1"/>
  <c r="C112" i="2"/>
  <c r="C111" i="2"/>
  <c r="C113" i="2"/>
  <c r="AE204" i="1" l="1"/>
  <c r="AE269" i="1" s="1"/>
  <c r="AE267" i="1" s="1"/>
  <c r="AE100" i="1"/>
  <c r="B140" i="1"/>
  <c r="B141" i="1"/>
  <c r="AK245" i="1" l="1"/>
  <c r="AK210" i="1" s="1"/>
  <c r="AM210" i="1" l="1"/>
  <c r="AO210" i="1" l="1"/>
  <c r="AQ210" i="1" l="1"/>
  <c r="AS210" i="1" l="1"/>
  <c r="AU210" i="1" l="1"/>
  <c r="AW210" i="1" l="1"/>
  <c r="AY210" i="1" l="1"/>
  <c r="BA210" i="1" l="1"/>
  <c r="BC210" i="1" l="1"/>
  <c r="BE210" i="1" l="1"/>
  <c r="BG210" i="1" l="1"/>
  <c r="BI210" i="1" l="1"/>
  <c r="BK210" i="1" l="1"/>
  <c r="BM210" i="1" l="1"/>
  <c r="BO210" i="1" l="1"/>
  <c r="BQ210" i="1" l="1"/>
  <c r="BS210" i="1" l="1"/>
  <c r="BU210" i="1" l="1"/>
  <c r="BW210" i="1" l="1"/>
  <c r="BY210" i="1" l="1"/>
  <c r="AK211" i="1" l="1"/>
  <c r="AK214" i="1" s="1"/>
  <c r="AL262" i="1" l="1"/>
  <c r="AK262" i="1"/>
  <c r="AK248" i="1"/>
  <c r="AM211" i="1"/>
  <c r="AM214" i="1" s="1"/>
  <c r="AM248" i="1" l="1"/>
  <c r="AM247" i="1" s="1"/>
  <c r="AN262" i="1"/>
  <c r="AM262" i="1"/>
  <c r="AJ247" i="1"/>
  <c r="AK247" i="1"/>
  <c r="AO211" i="1" l="1"/>
  <c r="AO214" i="1" s="1"/>
  <c r="AP262" i="1" l="1"/>
  <c r="AO248" i="1"/>
  <c r="AO247" i="1" s="1"/>
  <c r="AO262" i="1"/>
  <c r="AQ211" i="1" l="1"/>
  <c r="AQ214" i="1" s="1"/>
  <c r="AQ248" i="1" l="1"/>
  <c r="AQ247" i="1" s="1"/>
  <c r="AR262" i="1"/>
  <c r="AQ262" i="1"/>
  <c r="AS211" i="1" l="1"/>
  <c r="AS214" i="1" s="1"/>
  <c r="AT262" i="1" l="1"/>
  <c r="AS248" i="1"/>
  <c r="AS247" i="1" s="1"/>
  <c r="AS262" i="1"/>
  <c r="AU211" i="1" l="1"/>
  <c r="AU214" i="1" s="1"/>
  <c r="AU248" i="1" l="1"/>
  <c r="AU247" i="1" s="1"/>
  <c r="AV262" i="1"/>
  <c r="AU262" i="1"/>
  <c r="AW211" i="1" l="1"/>
  <c r="AW214" i="1" s="1"/>
  <c r="AW248" i="1" l="1"/>
  <c r="AW247" i="1" s="1"/>
  <c r="AX262" i="1"/>
  <c r="AW262" i="1"/>
  <c r="AY211" i="1" l="1"/>
  <c r="AY214" i="1" s="1"/>
  <c r="AY248" i="1" l="1"/>
  <c r="AY247" i="1" s="1"/>
  <c r="AZ262" i="1"/>
  <c r="AY262" i="1"/>
  <c r="BA211" i="1" l="1"/>
  <c r="BA214" i="1" s="1"/>
  <c r="BB262" i="1" l="1"/>
  <c r="BA248" i="1"/>
  <c r="BA247" i="1" s="1"/>
  <c r="BA262" i="1"/>
  <c r="BC211" i="1" l="1"/>
  <c r="BC214" i="1" s="1"/>
  <c r="BD262" i="1" l="1"/>
  <c r="BC248" i="1"/>
  <c r="BC247" i="1" s="1"/>
  <c r="BC262" i="1"/>
  <c r="BE211" i="1" l="1"/>
  <c r="BE214" i="1" s="1"/>
  <c r="BF262" i="1" l="1"/>
  <c r="BE248" i="1"/>
  <c r="BE247" i="1" s="1"/>
  <c r="BE262" i="1"/>
  <c r="BG211" i="1" l="1"/>
  <c r="BG214" i="1" s="1"/>
  <c r="BG248" i="1" l="1"/>
  <c r="BG247" i="1" s="1"/>
  <c r="BH262" i="1"/>
  <c r="BG262" i="1"/>
  <c r="BI211" i="1" l="1"/>
  <c r="BI214" i="1" s="1"/>
  <c r="BJ262" i="1" l="1"/>
  <c r="BI248" i="1"/>
  <c r="BI247" i="1" s="1"/>
  <c r="BI262" i="1"/>
  <c r="BK211" i="1" l="1"/>
  <c r="BK214" i="1" s="1"/>
  <c r="BL262" i="1" l="1"/>
  <c r="BK248" i="1"/>
  <c r="BK247" i="1" s="1"/>
  <c r="BK262" i="1"/>
  <c r="BM211" i="1" l="1"/>
  <c r="BM214" i="1" s="1"/>
  <c r="BM248" i="1" l="1"/>
  <c r="BM247" i="1" s="1"/>
  <c r="BN262" i="1"/>
  <c r="BM262" i="1"/>
  <c r="BO211" i="1" l="1"/>
  <c r="BO214" i="1" s="1"/>
  <c r="BO248" i="1" l="1"/>
  <c r="BO247" i="1" s="1"/>
  <c r="BP262" i="1"/>
  <c r="BO262" i="1"/>
  <c r="BQ211" i="1" l="1"/>
  <c r="BQ214" i="1" s="1"/>
  <c r="BR262" i="1" l="1"/>
  <c r="BQ248" i="1"/>
  <c r="BQ247" i="1" s="1"/>
  <c r="BQ262" i="1"/>
  <c r="BS211" i="1" l="1"/>
  <c r="BS214" i="1" s="1"/>
  <c r="BT262" i="1" l="1"/>
  <c r="BS248" i="1"/>
  <c r="BS247" i="1" s="1"/>
  <c r="BS262" i="1"/>
  <c r="BU211" i="1" l="1"/>
  <c r="BU214" i="1" s="1"/>
  <c r="BU248" i="1" l="1"/>
  <c r="BU247" i="1" s="1"/>
  <c r="BV262" i="1"/>
  <c r="BU262" i="1"/>
  <c r="BW211" i="1" l="1"/>
  <c r="BW214" i="1" s="1"/>
  <c r="BW248" i="1" l="1"/>
  <c r="BW247" i="1" s="1"/>
  <c r="BX262" i="1"/>
  <c r="BW262" i="1"/>
  <c r="BY211" i="1" l="1"/>
  <c r="BY214" i="1" s="1"/>
  <c r="BZ262" i="1" l="1"/>
  <c r="BY248" i="1"/>
  <c r="BY247" i="1" s="1"/>
  <c r="BY262" i="1"/>
  <c r="AK249" i="1" l="1"/>
  <c r="AK219" i="1" s="1"/>
  <c r="AK222" i="1" s="1"/>
  <c r="AK223" i="1" l="1"/>
  <c r="AK251" i="1"/>
  <c r="AL263" i="1"/>
  <c r="AL264" i="1" s="1"/>
  <c r="AL265" i="1" s="1"/>
  <c r="AL279" i="1" s="1"/>
  <c r="AK263" i="1"/>
  <c r="AK264" i="1" s="1"/>
  <c r="AK265" i="1" s="1"/>
  <c r="AM219" i="1"/>
  <c r="AM222" i="1" s="1"/>
  <c r="AK279" i="1" l="1"/>
  <c r="AK276" i="1"/>
  <c r="AK226" i="1" s="1"/>
  <c r="AK227" i="1" s="1"/>
  <c r="AK231" i="1" s="1"/>
  <c r="AK232" i="1" s="1"/>
  <c r="AN263" i="1"/>
  <c r="AN264" i="1" s="1"/>
  <c r="AN265" i="1" s="1"/>
  <c r="AN279" i="1" s="1"/>
  <c r="AM251" i="1"/>
  <c r="AM250" i="1" s="1"/>
  <c r="AM263" i="1"/>
  <c r="AM264" i="1" s="1"/>
  <c r="AM265" i="1" s="1"/>
  <c r="AM223" i="1"/>
  <c r="AJ250" i="1"/>
  <c r="AJ252" i="1"/>
  <c r="AN255" i="1" s="1"/>
  <c r="AK250" i="1"/>
  <c r="AK252" i="1"/>
  <c r="AO219" i="1"/>
  <c r="AO222" i="1" s="1"/>
  <c r="AM252" i="1" l="1"/>
  <c r="AO251" i="1"/>
  <c r="AO250" i="1" s="1"/>
  <c r="AP263" i="1"/>
  <c r="AP264" i="1" s="1"/>
  <c r="AP265" i="1" s="1"/>
  <c r="AP279" i="1" s="1"/>
  <c r="AO263" i="1"/>
  <c r="AO264" i="1" s="1"/>
  <c r="AO265" i="1" s="1"/>
  <c r="AM279" i="1"/>
  <c r="AM276" i="1"/>
  <c r="AO223" i="1"/>
  <c r="AL275" i="1" l="1"/>
  <c r="AL276" i="1" s="1"/>
  <c r="AL277" i="1" s="1"/>
  <c r="AK277" i="1"/>
  <c r="AO252" i="1"/>
  <c r="AO255" i="1" s="1"/>
  <c r="AO279" i="1"/>
  <c r="AO276" i="1"/>
  <c r="AQ219" i="1"/>
  <c r="AQ222" i="1" s="1"/>
  <c r="AK234" i="1"/>
  <c r="AL104" i="1" s="1"/>
  <c r="AM226" i="1"/>
  <c r="AM227" i="1" s="1"/>
  <c r="AM231" i="1" s="1"/>
  <c r="AN275" i="1" l="1"/>
  <c r="AN276" i="1" s="1"/>
  <c r="AN277" i="1" s="1"/>
  <c r="AM314" i="1"/>
  <c r="AM312" i="1"/>
  <c r="AM310" i="1"/>
  <c r="AQ251" i="1"/>
  <c r="AQ250" i="1" s="1"/>
  <c r="AR263" i="1"/>
  <c r="AR264" i="1" s="1"/>
  <c r="AR265" i="1" s="1"/>
  <c r="AR279" i="1" s="1"/>
  <c r="AQ263" i="1"/>
  <c r="AQ264" i="1" s="1"/>
  <c r="AQ265" i="1" s="1"/>
  <c r="AM277" i="1"/>
  <c r="AQ223" i="1"/>
  <c r="AO226" i="1"/>
  <c r="AO227" i="1" s="1"/>
  <c r="AM234" i="1"/>
  <c r="AO312" i="1" l="1"/>
  <c r="AO314" i="1"/>
  <c r="AO310" i="1"/>
  <c r="AM175" i="1"/>
  <c r="AM176" i="1" s="1"/>
  <c r="AM179" i="1" s="1"/>
  <c r="AN104" i="1"/>
  <c r="AQ252" i="1"/>
  <c r="AQ255" i="1" s="1"/>
  <c r="AQ279" i="1"/>
  <c r="AQ276" i="1"/>
  <c r="AP275" i="1"/>
  <c r="AP276" i="1" s="1"/>
  <c r="AP277" i="1" s="1"/>
  <c r="AO277" i="1"/>
  <c r="AS219" i="1"/>
  <c r="AS222" i="1" s="1"/>
  <c r="AO234" i="1"/>
  <c r="AO231" i="1"/>
  <c r="AM232" i="1"/>
  <c r="AM177" i="1" l="1"/>
  <c r="AM180" i="1" s="1"/>
  <c r="AO175" i="1"/>
  <c r="AO177" i="1" s="1"/>
  <c r="AO180" i="1" s="1"/>
  <c r="AP104" i="1"/>
  <c r="AS251" i="1"/>
  <c r="AS250" i="1" s="1"/>
  <c r="AT263" i="1"/>
  <c r="AT264" i="1" s="1"/>
  <c r="AT265" i="1" s="1"/>
  <c r="AT279" i="1" s="1"/>
  <c r="AS263" i="1"/>
  <c r="AS264" i="1" s="1"/>
  <c r="AS265" i="1" s="1"/>
  <c r="AO232" i="1"/>
  <c r="AS223" i="1"/>
  <c r="AQ226" i="1"/>
  <c r="AQ227" i="1" s="1"/>
  <c r="AQ312" i="1" l="1"/>
  <c r="AQ314" i="1"/>
  <c r="AQ310" i="1"/>
  <c r="AO176" i="1"/>
  <c r="AO179" i="1" s="1"/>
  <c r="AS252" i="1"/>
  <c r="AS255" i="1" s="1"/>
  <c r="AS279" i="1"/>
  <c r="AS276" i="1"/>
  <c r="AR275" i="1"/>
  <c r="AR276" i="1" s="1"/>
  <c r="AR277" i="1" s="1"/>
  <c r="AQ277" i="1"/>
  <c r="AQ231" i="1"/>
  <c r="AQ234" i="1"/>
  <c r="AU219" i="1"/>
  <c r="AU222" i="1" s="1"/>
  <c r="AQ175" i="1" l="1"/>
  <c r="AQ176" i="1" s="1"/>
  <c r="AQ179" i="1" s="1"/>
  <c r="AR104" i="1"/>
  <c r="AU251" i="1"/>
  <c r="AU250" i="1" s="1"/>
  <c r="AV263" i="1"/>
  <c r="AV264" i="1" s="1"/>
  <c r="AV265" i="1" s="1"/>
  <c r="AV279" i="1" s="1"/>
  <c r="AU263" i="1"/>
  <c r="AU264" i="1" s="1"/>
  <c r="AU265" i="1" s="1"/>
  <c r="AU223" i="1"/>
  <c r="AS226" i="1"/>
  <c r="AS227" i="1" s="1"/>
  <c r="AQ232" i="1"/>
  <c r="AS314" i="1" l="1"/>
  <c r="AS312" i="1"/>
  <c r="AS310" i="1"/>
  <c r="AQ177" i="1"/>
  <c r="AQ180" i="1" s="1"/>
  <c r="AU252" i="1"/>
  <c r="AU255" i="1" s="1"/>
  <c r="AU279" i="1"/>
  <c r="AU276" i="1"/>
  <c r="AT275" i="1"/>
  <c r="AT276" i="1" s="1"/>
  <c r="AT277" i="1" s="1"/>
  <c r="AS277" i="1"/>
  <c r="AS234" i="1"/>
  <c r="AS231" i="1"/>
  <c r="AW219" i="1"/>
  <c r="AW222" i="1" s="1"/>
  <c r="AS175" i="1" l="1"/>
  <c r="AS176" i="1" s="1"/>
  <c r="AS179" i="1" s="1"/>
  <c r="AT104" i="1"/>
  <c r="AW251" i="1"/>
  <c r="AW252" i="1" s="1"/>
  <c r="AW255" i="1" s="1"/>
  <c r="AX263" i="1"/>
  <c r="AX264" i="1" s="1"/>
  <c r="AX265" i="1" s="1"/>
  <c r="AX279" i="1" s="1"/>
  <c r="AW263" i="1"/>
  <c r="AW264" i="1" s="1"/>
  <c r="AW265" i="1" s="1"/>
  <c r="AU226" i="1"/>
  <c r="AU227" i="1" s="1"/>
  <c r="AS232" i="1"/>
  <c r="AW223" i="1"/>
  <c r="AU314" i="1" l="1"/>
  <c r="AU312" i="1"/>
  <c r="AU310" i="1"/>
  <c r="AS177" i="1"/>
  <c r="AS180" i="1" s="1"/>
  <c r="AW250" i="1"/>
  <c r="AW279" i="1"/>
  <c r="AW276" i="1"/>
  <c r="AV275" i="1"/>
  <c r="AV276" i="1" s="1"/>
  <c r="AV277" i="1" s="1"/>
  <c r="AU277" i="1"/>
  <c r="AU234" i="1"/>
  <c r="AU231" i="1"/>
  <c r="AY219" i="1"/>
  <c r="AY222" i="1" s="1"/>
  <c r="AU175" i="1" l="1"/>
  <c r="AU177" i="1" s="1"/>
  <c r="AU180" i="1" s="1"/>
  <c r="AV104" i="1"/>
  <c r="AY251" i="1"/>
  <c r="AY250" i="1" s="1"/>
  <c r="AZ263" i="1"/>
  <c r="AZ264" i="1" s="1"/>
  <c r="AZ265" i="1" s="1"/>
  <c r="AZ279" i="1" s="1"/>
  <c r="AY263" i="1"/>
  <c r="AY264" i="1" s="1"/>
  <c r="AY265" i="1" s="1"/>
  <c r="AW226" i="1"/>
  <c r="AW227" i="1" s="1"/>
  <c r="AY223" i="1"/>
  <c r="AU232" i="1"/>
  <c r="AW312" i="1" l="1"/>
  <c r="AW314" i="1"/>
  <c r="AW310" i="1"/>
  <c r="AU176" i="1"/>
  <c r="AU179" i="1" s="1"/>
  <c r="AY252" i="1"/>
  <c r="AY255" i="1" s="1"/>
  <c r="AY279" i="1"/>
  <c r="AY276" i="1"/>
  <c r="AX275" i="1"/>
  <c r="AX276" i="1" s="1"/>
  <c r="AX277" i="1" s="1"/>
  <c r="AW277" i="1"/>
  <c r="BA219" i="1"/>
  <c r="BA222" i="1" s="1"/>
  <c r="AW231" i="1"/>
  <c r="AW234" i="1"/>
  <c r="AW175" i="1" l="1"/>
  <c r="AW177" i="1" s="1"/>
  <c r="AW180" i="1" s="1"/>
  <c r="AX104" i="1"/>
  <c r="BB263" i="1"/>
  <c r="BB264" i="1" s="1"/>
  <c r="BB265" i="1" s="1"/>
  <c r="BB279" i="1" s="1"/>
  <c r="BA251" i="1"/>
  <c r="BA250" i="1" s="1"/>
  <c r="BA263" i="1"/>
  <c r="BA264" i="1" s="1"/>
  <c r="BA265" i="1" s="1"/>
  <c r="AW232" i="1"/>
  <c r="BA223" i="1"/>
  <c r="AY226" i="1"/>
  <c r="AY227" i="1" s="1"/>
  <c r="AY312" i="1" l="1"/>
  <c r="AY314" i="1"/>
  <c r="AY310" i="1"/>
  <c r="AW176" i="1"/>
  <c r="AW179" i="1" s="1"/>
  <c r="BA252" i="1"/>
  <c r="BA255" i="1" s="1"/>
  <c r="BA279" i="1"/>
  <c r="BA276" i="1"/>
  <c r="AZ275" i="1"/>
  <c r="AZ276" i="1" s="1"/>
  <c r="AZ277" i="1" s="1"/>
  <c r="AY277" i="1"/>
  <c r="AY231" i="1"/>
  <c r="AY234" i="1"/>
  <c r="BC219" i="1"/>
  <c r="BC222" i="1" s="1"/>
  <c r="AY175" i="1" l="1"/>
  <c r="AY177" i="1" s="1"/>
  <c r="AY180" i="1" s="1"/>
  <c r="AZ104" i="1"/>
  <c r="BC251" i="1"/>
  <c r="BC250" i="1" s="1"/>
  <c r="BD263" i="1"/>
  <c r="BD264" i="1" s="1"/>
  <c r="BD265" i="1" s="1"/>
  <c r="BD279" i="1" s="1"/>
  <c r="BC263" i="1"/>
  <c r="BC264" i="1" s="1"/>
  <c r="BC265" i="1" s="1"/>
  <c r="AY232" i="1"/>
  <c r="BC223" i="1"/>
  <c r="BA226" i="1"/>
  <c r="BA227" i="1" s="1"/>
  <c r="BA314" i="1" l="1"/>
  <c r="BA312" i="1"/>
  <c r="BA310" i="1"/>
  <c r="AY176" i="1"/>
  <c r="AY179" i="1" s="1"/>
  <c r="BC252" i="1"/>
  <c r="BC255" i="1" s="1"/>
  <c r="BC279" i="1"/>
  <c r="BC276" i="1"/>
  <c r="BB275" i="1"/>
  <c r="BB276" i="1" s="1"/>
  <c r="BB277" i="1" s="1"/>
  <c r="BA277" i="1"/>
  <c r="BE219" i="1"/>
  <c r="BE222" i="1" s="1"/>
  <c r="BA234" i="1"/>
  <c r="BA231" i="1"/>
  <c r="BA175" i="1" l="1"/>
  <c r="BA176" i="1" s="1"/>
  <c r="BA179" i="1" s="1"/>
  <c r="BB104" i="1"/>
  <c r="BE251" i="1"/>
  <c r="BE250" i="1" s="1"/>
  <c r="BF263" i="1"/>
  <c r="BF264" i="1" s="1"/>
  <c r="BF265" i="1" s="1"/>
  <c r="BF279" i="1" s="1"/>
  <c r="BE263" i="1"/>
  <c r="BE264" i="1" s="1"/>
  <c r="BE265" i="1" s="1"/>
  <c r="BC226" i="1"/>
  <c r="BC227" i="1" s="1"/>
  <c r="BA232" i="1"/>
  <c r="BE223" i="1"/>
  <c r="BC314" i="1" l="1"/>
  <c r="BC312" i="1"/>
  <c r="BC310" i="1"/>
  <c r="BA177" i="1"/>
  <c r="BA180" i="1" s="1"/>
  <c r="BE252" i="1"/>
  <c r="BE255" i="1" s="1"/>
  <c r="BE279" i="1"/>
  <c r="BE276" i="1"/>
  <c r="BD275" i="1"/>
  <c r="BD276" i="1" s="1"/>
  <c r="BD277" i="1" s="1"/>
  <c r="BC277" i="1"/>
  <c r="BG219" i="1"/>
  <c r="BG222" i="1" s="1"/>
  <c r="BC231" i="1"/>
  <c r="BC234" i="1"/>
  <c r="BC175" i="1" l="1"/>
  <c r="BC176" i="1" s="1"/>
  <c r="BC179" i="1" s="1"/>
  <c r="BD104" i="1"/>
  <c r="BG251" i="1"/>
  <c r="BG252" i="1" s="1"/>
  <c r="BG255" i="1" s="1"/>
  <c r="BH263" i="1"/>
  <c r="BH264" i="1" s="1"/>
  <c r="BH265" i="1" s="1"/>
  <c r="BH279" i="1" s="1"/>
  <c r="BG263" i="1"/>
  <c r="BG264" i="1" s="1"/>
  <c r="BG265" i="1" s="1"/>
  <c r="BC232" i="1"/>
  <c r="BE226" i="1"/>
  <c r="BE227" i="1" s="1"/>
  <c r="BG223" i="1"/>
  <c r="BE312" i="1" l="1"/>
  <c r="BE314" i="1"/>
  <c r="BE310" i="1"/>
  <c r="BC177" i="1"/>
  <c r="BC180" i="1" s="1"/>
  <c r="BG250" i="1"/>
  <c r="BG279" i="1"/>
  <c r="BG276" i="1"/>
  <c r="BF275" i="1"/>
  <c r="BF276" i="1" s="1"/>
  <c r="BF277" i="1" s="1"/>
  <c r="BE277" i="1"/>
  <c r="BE234" i="1"/>
  <c r="BE231" i="1"/>
  <c r="BI219" i="1"/>
  <c r="BI222" i="1" s="1"/>
  <c r="BE175" i="1" l="1"/>
  <c r="BE176" i="1" s="1"/>
  <c r="BE179" i="1" s="1"/>
  <c r="BF104" i="1"/>
  <c r="BI251" i="1"/>
  <c r="BI250" i="1" s="1"/>
  <c r="BJ263" i="1"/>
  <c r="BJ264" i="1" s="1"/>
  <c r="BJ265" i="1" s="1"/>
  <c r="BJ279" i="1" s="1"/>
  <c r="BI263" i="1"/>
  <c r="BI264" i="1" s="1"/>
  <c r="BI265" i="1" s="1"/>
  <c r="BE232" i="1"/>
  <c r="BG226" i="1"/>
  <c r="BG227" i="1" s="1"/>
  <c r="BI223" i="1"/>
  <c r="BG312" i="1" l="1"/>
  <c r="BG314" i="1"/>
  <c r="BG310" i="1"/>
  <c r="BE177" i="1"/>
  <c r="BE180" i="1" s="1"/>
  <c r="BI252" i="1"/>
  <c r="BI255" i="1" s="1"/>
  <c r="BI279" i="1"/>
  <c r="BI276" i="1"/>
  <c r="BH275" i="1"/>
  <c r="BH276" i="1" s="1"/>
  <c r="BH277" i="1" s="1"/>
  <c r="BG277" i="1"/>
  <c r="BG231" i="1"/>
  <c r="BG234" i="1"/>
  <c r="BK219" i="1"/>
  <c r="BK222" i="1" s="1"/>
  <c r="BG175" i="1" l="1"/>
  <c r="BG176" i="1" s="1"/>
  <c r="BG179" i="1" s="1"/>
  <c r="BH104" i="1"/>
  <c r="BL263" i="1"/>
  <c r="BL264" i="1" s="1"/>
  <c r="BL265" i="1" s="1"/>
  <c r="BL279" i="1" s="1"/>
  <c r="BK251" i="1"/>
  <c r="BK250" i="1" s="1"/>
  <c r="BK263" i="1"/>
  <c r="BK264" i="1" s="1"/>
  <c r="BK265" i="1" s="1"/>
  <c r="BK223" i="1"/>
  <c r="BG232" i="1"/>
  <c r="BI226" i="1"/>
  <c r="BI227" i="1" s="1"/>
  <c r="BI314" i="1" l="1"/>
  <c r="BI312" i="1"/>
  <c r="BI310" i="1"/>
  <c r="BG177" i="1"/>
  <c r="BG180" i="1" s="1"/>
  <c r="BK252" i="1"/>
  <c r="BK255" i="1" s="1"/>
  <c r="BK279" i="1"/>
  <c r="BK276" i="1"/>
  <c r="BJ275" i="1"/>
  <c r="BJ276" i="1" s="1"/>
  <c r="BJ277" i="1" s="1"/>
  <c r="BI277" i="1"/>
  <c r="BI234" i="1"/>
  <c r="BI231" i="1"/>
  <c r="BM219" i="1"/>
  <c r="BM222" i="1" s="1"/>
  <c r="BI175" i="1" l="1"/>
  <c r="BI177" i="1" s="1"/>
  <c r="BI180" i="1" s="1"/>
  <c r="BJ104" i="1"/>
  <c r="BM251" i="1"/>
  <c r="BM250" i="1" s="1"/>
  <c r="BN263" i="1"/>
  <c r="BN264" i="1" s="1"/>
  <c r="BN265" i="1" s="1"/>
  <c r="BN279" i="1" s="1"/>
  <c r="BM263" i="1"/>
  <c r="BM264" i="1" s="1"/>
  <c r="BM265" i="1" s="1"/>
  <c r="BM223" i="1"/>
  <c r="BI232" i="1"/>
  <c r="BK226" i="1"/>
  <c r="BK227" i="1" s="1"/>
  <c r="BK314" i="1" l="1"/>
  <c r="BK312" i="1"/>
  <c r="BK310" i="1"/>
  <c r="BI176" i="1"/>
  <c r="BI179" i="1" s="1"/>
  <c r="BM252" i="1"/>
  <c r="BM255" i="1" s="1"/>
  <c r="BM279" i="1"/>
  <c r="BM276" i="1"/>
  <c r="BL275" i="1"/>
  <c r="BL276" i="1" s="1"/>
  <c r="BL277" i="1" s="1"/>
  <c r="BK277" i="1"/>
  <c r="BK234" i="1"/>
  <c r="BK231" i="1"/>
  <c r="BO219" i="1"/>
  <c r="BO222" i="1" s="1"/>
  <c r="BK175" i="1" l="1"/>
  <c r="BK177" i="1" s="1"/>
  <c r="BK180" i="1" s="1"/>
  <c r="BL104" i="1"/>
  <c r="BO251" i="1"/>
  <c r="BO250" i="1" s="1"/>
  <c r="BP263" i="1"/>
  <c r="BP264" i="1" s="1"/>
  <c r="BP265" i="1" s="1"/>
  <c r="BP279" i="1" s="1"/>
  <c r="BO263" i="1"/>
  <c r="BO264" i="1" s="1"/>
  <c r="BO265" i="1" s="1"/>
  <c r="BM226" i="1"/>
  <c r="BM227" i="1" s="1"/>
  <c r="BK232" i="1"/>
  <c r="BO223" i="1"/>
  <c r="BM312" i="1" l="1"/>
  <c r="BM314" i="1"/>
  <c r="BM310" i="1"/>
  <c r="BK176" i="1"/>
  <c r="BK179" i="1" s="1"/>
  <c r="BO252" i="1"/>
  <c r="BO255" i="1" s="1"/>
  <c r="BO279" i="1"/>
  <c r="BO276" i="1"/>
  <c r="BN275" i="1"/>
  <c r="BN276" i="1" s="1"/>
  <c r="BN277" i="1" s="1"/>
  <c r="BM277" i="1"/>
  <c r="BM231" i="1"/>
  <c r="BM234" i="1"/>
  <c r="BQ219" i="1"/>
  <c r="BQ222" i="1" s="1"/>
  <c r="BM175" i="1" l="1"/>
  <c r="BM176" i="1" s="1"/>
  <c r="BM179" i="1" s="1"/>
  <c r="BN104" i="1"/>
  <c r="BQ251" i="1"/>
  <c r="BQ250" i="1" s="1"/>
  <c r="BR263" i="1"/>
  <c r="BR264" i="1" s="1"/>
  <c r="BR265" i="1" s="1"/>
  <c r="BR279" i="1" s="1"/>
  <c r="BQ263" i="1"/>
  <c r="BQ264" i="1" s="1"/>
  <c r="BQ265" i="1" s="1"/>
  <c r="BO226" i="1"/>
  <c r="BO227" i="1" s="1"/>
  <c r="BQ223" i="1"/>
  <c r="BM232" i="1"/>
  <c r="BO312" i="1" l="1"/>
  <c r="BO314" i="1"/>
  <c r="BO310" i="1"/>
  <c r="BM177" i="1"/>
  <c r="BM180" i="1" s="1"/>
  <c r="BQ252" i="1"/>
  <c r="BQ255" i="1" s="1"/>
  <c r="BQ279" i="1"/>
  <c r="BQ276" i="1"/>
  <c r="BP275" i="1"/>
  <c r="BP276" i="1" s="1"/>
  <c r="BP277" i="1" s="1"/>
  <c r="BO277" i="1"/>
  <c r="BS219" i="1"/>
  <c r="BS222" i="1" s="1"/>
  <c r="BO231" i="1"/>
  <c r="BO234" i="1"/>
  <c r="BO175" i="1" l="1"/>
  <c r="BO176" i="1" s="1"/>
  <c r="BO179" i="1" s="1"/>
  <c r="BP104" i="1"/>
  <c r="BS251" i="1"/>
  <c r="BS250" i="1" s="1"/>
  <c r="BT263" i="1"/>
  <c r="BT264" i="1" s="1"/>
  <c r="BT265" i="1" s="1"/>
  <c r="BT279" i="1" s="1"/>
  <c r="BS263" i="1"/>
  <c r="BS264" i="1" s="1"/>
  <c r="BS265" i="1" s="1"/>
  <c r="BO232" i="1"/>
  <c r="BS223" i="1"/>
  <c r="BQ226" i="1"/>
  <c r="BQ227" i="1" s="1"/>
  <c r="BQ314" i="1" l="1"/>
  <c r="BQ312" i="1"/>
  <c r="BQ310" i="1"/>
  <c r="BO177" i="1"/>
  <c r="BO180" i="1" s="1"/>
  <c r="BS252" i="1"/>
  <c r="BS255" i="1" s="1"/>
  <c r="BS279" i="1"/>
  <c r="BS276" i="1"/>
  <c r="BR275" i="1"/>
  <c r="BR276" i="1" s="1"/>
  <c r="BR277" i="1" s="1"/>
  <c r="BQ277" i="1"/>
  <c r="BQ231" i="1"/>
  <c r="BQ234" i="1"/>
  <c r="BU219" i="1"/>
  <c r="BU222" i="1" s="1"/>
  <c r="BQ175" i="1" l="1"/>
  <c r="BQ176" i="1" s="1"/>
  <c r="BQ179" i="1" s="1"/>
  <c r="BR104" i="1"/>
  <c r="BU251" i="1"/>
  <c r="BU250" i="1" s="1"/>
  <c r="BV263" i="1"/>
  <c r="BV264" i="1" s="1"/>
  <c r="BV265" i="1" s="1"/>
  <c r="BV279" i="1" s="1"/>
  <c r="BU263" i="1"/>
  <c r="BU264" i="1" s="1"/>
  <c r="BU265" i="1" s="1"/>
  <c r="BS226" i="1"/>
  <c r="BS227" i="1" s="1"/>
  <c r="BQ232" i="1"/>
  <c r="BU223" i="1"/>
  <c r="BS314" i="1" l="1"/>
  <c r="BS312" i="1"/>
  <c r="BS310" i="1"/>
  <c r="BQ177" i="1"/>
  <c r="BQ180" i="1" s="1"/>
  <c r="BU252" i="1"/>
  <c r="BU255" i="1" s="1"/>
  <c r="BU279" i="1"/>
  <c r="BU276" i="1"/>
  <c r="BT275" i="1"/>
  <c r="BT276" i="1" s="1"/>
  <c r="BT277" i="1" s="1"/>
  <c r="BS277" i="1"/>
  <c r="BS231" i="1"/>
  <c r="BS234" i="1"/>
  <c r="BW219" i="1"/>
  <c r="BW222" i="1" s="1"/>
  <c r="BS175" i="1" l="1"/>
  <c r="BS177" i="1" s="1"/>
  <c r="BS180" i="1" s="1"/>
  <c r="BT104" i="1"/>
  <c r="BW251" i="1"/>
  <c r="BW250" i="1" s="1"/>
  <c r="BX263" i="1"/>
  <c r="BX264" i="1" s="1"/>
  <c r="BX265" i="1" s="1"/>
  <c r="BX279" i="1" s="1"/>
  <c r="BW263" i="1"/>
  <c r="BW264" i="1" s="1"/>
  <c r="BW265" i="1" s="1"/>
  <c r="BW223" i="1"/>
  <c r="BS232" i="1"/>
  <c r="BU226" i="1"/>
  <c r="BU227" i="1" s="1"/>
  <c r="BU312" i="1" l="1"/>
  <c r="BU314" i="1"/>
  <c r="BU310" i="1"/>
  <c r="BS176" i="1"/>
  <c r="BS179" i="1" s="1"/>
  <c r="BW252" i="1"/>
  <c r="BW255" i="1" s="1"/>
  <c r="BW279" i="1"/>
  <c r="BW276" i="1"/>
  <c r="BV275" i="1"/>
  <c r="BV276" i="1" s="1"/>
  <c r="BV277" i="1" s="1"/>
  <c r="BU277" i="1"/>
  <c r="BU231" i="1"/>
  <c r="BU234" i="1"/>
  <c r="BY219" i="1"/>
  <c r="BY222" i="1" s="1"/>
  <c r="BU175" i="1" l="1"/>
  <c r="BU177" i="1" s="1"/>
  <c r="BU180" i="1" s="1"/>
  <c r="BV104" i="1"/>
  <c r="BZ263" i="1"/>
  <c r="BZ264" i="1" s="1"/>
  <c r="BZ265" i="1" s="1"/>
  <c r="BZ279" i="1" s="1"/>
  <c r="BY251" i="1"/>
  <c r="BY250" i="1" s="1"/>
  <c r="BY263" i="1"/>
  <c r="BY264" i="1" s="1"/>
  <c r="BY265" i="1" s="1"/>
  <c r="BW226" i="1"/>
  <c r="BW227" i="1" s="1"/>
  <c r="BY223" i="1"/>
  <c r="BU232" i="1"/>
  <c r="BW312" i="1" l="1"/>
  <c r="BW314" i="1"/>
  <c r="BW310" i="1"/>
  <c r="BU176" i="1"/>
  <c r="BU179" i="1" s="1"/>
  <c r="BY252" i="1"/>
  <c r="BY255" i="1" s="1"/>
  <c r="BY279" i="1"/>
  <c r="BY276" i="1"/>
  <c r="BX275" i="1"/>
  <c r="BX276" i="1" s="1"/>
  <c r="BX277" i="1" s="1"/>
  <c r="BW277" i="1"/>
  <c r="BW231" i="1"/>
  <c r="BW234" i="1"/>
  <c r="BW175" i="1" l="1"/>
  <c r="BW177" i="1" s="1"/>
  <c r="BW180" i="1" s="1"/>
  <c r="BX104" i="1"/>
  <c r="BW232" i="1"/>
  <c r="BY226" i="1"/>
  <c r="BY227" i="1" s="1"/>
  <c r="BY314" i="1" l="1"/>
  <c r="BY312" i="1"/>
  <c r="BY310" i="1"/>
  <c r="BW176" i="1"/>
  <c r="BW179" i="1" s="1"/>
  <c r="BZ275" i="1"/>
  <c r="BZ276" i="1" s="1"/>
  <c r="BZ277" i="1" s="1"/>
  <c r="BY277" i="1"/>
  <c r="BY234" i="1"/>
  <c r="BY231" i="1"/>
  <c r="BY175" i="1" l="1"/>
  <c r="BY176" i="1" s="1"/>
  <c r="BY179" i="1" s="1"/>
  <c r="BZ104" i="1"/>
  <c r="BY232" i="1"/>
  <c r="CC211" i="1"/>
  <c r="CC210" i="1"/>
  <c r="CA210" i="1"/>
  <c r="CA219" i="1"/>
  <c r="CA222" i="1" s="1"/>
  <c r="CA211" i="1"/>
  <c r="BY177" i="1" l="1"/>
  <c r="BY180" i="1" s="1"/>
  <c r="CA214" i="1"/>
  <c r="CA248" i="1" s="1"/>
  <c r="CA247" i="1" s="1"/>
  <c r="CB263" i="1"/>
  <c r="CA251" i="1"/>
  <c r="CA250" i="1" s="1"/>
  <c r="CA263" i="1"/>
  <c r="CC219" i="1"/>
  <c r="CC222" i="1" s="1"/>
  <c r="CC214" i="1"/>
  <c r="CA223" i="1" l="1"/>
  <c r="CA262" i="1"/>
  <c r="CA264" i="1" s="1"/>
  <c r="CA265" i="1" s="1"/>
  <c r="CA279" i="1" s="1"/>
  <c r="CB262" i="1"/>
  <c r="CB264" i="1" s="1"/>
  <c r="CB265" i="1" s="1"/>
  <c r="CB279" i="1" s="1"/>
  <c r="CA252" i="1"/>
  <c r="CD262" i="1"/>
  <c r="CC248" i="1"/>
  <c r="CC247" i="1" s="1"/>
  <c r="CC262" i="1"/>
  <c r="CC251" i="1"/>
  <c r="CC250" i="1" s="1"/>
  <c r="CD263" i="1"/>
  <c r="CC263" i="1"/>
  <c r="CC223" i="1"/>
  <c r="CA255" i="1" l="1"/>
  <c r="CE255" i="1"/>
  <c r="CC264" i="1"/>
  <c r="CC265" i="1" s="1"/>
  <c r="CC279" i="1" s="1"/>
  <c r="CD264" i="1"/>
  <c r="CD265" i="1" s="1"/>
  <c r="CD279" i="1" s="1"/>
  <c r="CA276" i="1"/>
  <c r="CA226" i="1" s="1"/>
  <c r="CA227" i="1" s="1"/>
  <c r="CC252" i="1"/>
  <c r="CA314" i="1" l="1"/>
  <c r="CA312" i="1"/>
  <c r="CA310" i="1"/>
  <c r="CC255" i="1"/>
  <c r="CG255" i="1"/>
  <c r="CC276" i="1"/>
  <c r="CC226" i="1" s="1"/>
  <c r="CC227" i="1" s="1"/>
  <c r="CB275" i="1"/>
  <c r="CB276" i="1" s="1"/>
  <c r="CB277" i="1" s="1"/>
  <c r="CA277" i="1"/>
  <c r="CA234" i="1"/>
  <c r="CA231" i="1"/>
  <c r="CC312" i="1" l="1"/>
  <c r="CC314" i="1"/>
  <c r="CC310" i="1"/>
  <c r="CA175" i="1"/>
  <c r="CA176" i="1" s="1"/>
  <c r="CA179" i="1" s="1"/>
  <c r="CB104" i="1"/>
  <c r="CD275" i="1"/>
  <c r="CD276" i="1" s="1"/>
  <c r="CD277" i="1" s="1"/>
  <c r="CC277" i="1"/>
  <c r="CC231" i="1"/>
  <c r="CC234" i="1"/>
  <c r="CA232" i="1"/>
  <c r="CA177" i="1" l="1"/>
  <c r="CA180" i="1" s="1"/>
  <c r="CC175" i="1"/>
  <c r="CC176" i="1" s="1"/>
  <c r="CC179" i="1" s="1"/>
  <c r="CD104" i="1"/>
  <c r="CC232" i="1"/>
  <c r="CC177" i="1" l="1"/>
  <c r="CC180" i="1" s="1"/>
  <c r="CI211" i="1" l="1"/>
  <c r="CI219" i="1"/>
  <c r="CI222" i="1" s="1"/>
  <c r="CI210" i="1"/>
  <c r="CJ263" i="1" l="1"/>
  <c r="CI214" i="1"/>
  <c r="CI263" i="1"/>
  <c r="CJ262" i="1" l="1"/>
  <c r="CJ264" i="1" s="1"/>
  <c r="CJ265" i="1" s="1"/>
  <c r="CJ279" i="1" s="1"/>
  <c r="CI223" i="1"/>
  <c r="CI262" i="1"/>
  <c r="CI264" i="1" s="1"/>
  <c r="CI265" i="1" s="1"/>
  <c r="CI279" i="1" s="1"/>
  <c r="CI252" i="1" l="1"/>
  <c r="CI255" i="1" s="1"/>
  <c r="CI276" i="1"/>
  <c r="CI226" i="1" s="1"/>
  <c r="CI227" i="1" s="1"/>
  <c r="CI314" i="1" l="1"/>
  <c r="CI312" i="1"/>
  <c r="CI310" i="1"/>
  <c r="CI277" i="1"/>
  <c r="CJ275" i="1"/>
  <c r="CJ276" i="1" s="1"/>
  <c r="CI234" i="1"/>
  <c r="CI231" i="1"/>
  <c r="CI175" i="1" l="1"/>
  <c r="CI177" i="1" s="1"/>
  <c r="CI180" i="1" s="1"/>
  <c r="CJ104" i="1"/>
  <c r="CJ277" i="1"/>
  <c r="CI232" i="1"/>
  <c r="CI176" i="1" l="1"/>
  <c r="CI179" i="1" s="1"/>
  <c r="CJ234" i="1"/>
  <c r="CK104" i="1" s="1"/>
  <c r="CJ175" i="1" l="1"/>
  <c r="CJ176" i="1" l="1"/>
  <c r="CJ179" i="1" s="1"/>
  <c r="CJ177" i="1"/>
  <c r="CJ180" i="1" s="1"/>
  <c r="CK297" i="1"/>
  <c r="CK319" i="1"/>
  <c r="CK318" i="1"/>
  <c r="CQ319" i="1" l="1"/>
  <c r="CR319" i="1"/>
  <c r="CK291" i="1"/>
  <c r="CR52" i="1" l="1"/>
  <c r="CR297" i="1"/>
  <c r="CQ52" i="1"/>
  <c r="CQ297" i="1"/>
  <c r="CR80" i="1" l="1"/>
  <c r="CR90" i="1" s="1"/>
  <c r="CQ80" i="1"/>
  <c r="CQ90" i="1" s="1"/>
  <c r="CK316" i="1"/>
  <c r="CK317" i="1" s="1"/>
  <c r="CS319" i="1"/>
  <c r="CK298" i="1"/>
  <c r="CK299" i="1" s="1"/>
  <c r="CK292" i="1"/>
  <c r="CS52" i="1"/>
  <c r="CS297" i="1"/>
  <c r="CT319" i="1"/>
  <c r="CU319" i="1" l="1"/>
  <c r="CU52" i="1"/>
  <c r="CU297" i="1"/>
  <c r="CW319" i="1"/>
  <c r="CR83" i="1"/>
  <c r="CR79" i="1"/>
  <c r="CV319" i="1"/>
  <c r="CV297" i="1"/>
  <c r="CV52" i="1"/>
  <c r="CQ79" i="1"/>
  <c r="AC72" i="1"/>
  <c r="CV165" i="1"/>
  <c r="CV166" i="1" s="1"/>
  <c r="CV169" i="1" s="1"/>
  <c r="CS80" i="1"/>
  <c r="CT165" i="1"/>
  <c r="CT166" i="1" s="1"/>
  <c r="CT169" i="1" s="1"/>
  <c r="CT297" i="1"/>
  <c r="CT52" i="1"/>
  <c r="CU165" i="1"/>
  <c r="CU166" i="1" s="1"/>
  <c r="CU169" i="1" s="1"/>
  <c r="CS79" i="1" l="1"/>
  <c r="CS90" i="1"/>
  <c r="AC319" i="1"/>
  <c r="CU80" i="1"/>
  <c r="CY319" i="1"/>
  <c r="CV80" i="1"/>
  <c r="CV291" i="1"/>
  <c r="CT291" i="1"/>
  <c r="CU291" i="1"/>
  <c r="CS83" i="1"/>
  <c r="AC74" i="1"/>
  <c r="AC52" i="1" s="1"/>
  <c r="CW297" i="1"/>
  <c r="CW52" i="1"/>
  <c r="CW165" i="1"/>
  <c r="CW166" i="1" s="1"/>
  <c r="CW169" i="1" s="1"/>
  <c r="CT80" i="1"/>
  <c r="CT79" i="1" l="1"/>
  <c r="AC79" i="1" s="1"/>
  <c r="AC80" i="1" s="1"/>
  <c r="CT90" i="1"/>
  <c r="CV82" i="1"/>
  <c r="CV90" i="1"/>
  <c r="CU79" i="1"/>
  <c r="CU90" i="1"/>
  <c r="CU82" i="1"/>
  <c r="CY52" i="1"/>
  <c r="CY297" i="1"/>
  <c r="CW291" i="1"/>
  <c r="DA319" i="1"/>
  <c r="CV79" i="1"/>
  <c r="CV83" i="1"/>
  <c r="CZ319" i="1"/>
  <c r="CZ297" i="1"/>
  <c r="CZ52" i="1"/>
  <c r="CX165" i="1"/>
  <c r="CX166" i="1" s="1"/>
  <c r="CX169" i="1" s="1"/>
  <c r="CX319" i="1"/>
  <c r="AC165" i="1"/>
  <c r="CY165" i="1"/>
  <c r="CY166" i="1" s="1"/>
  <c r="CY169" i="1" s="1"/>
  <c r="CW80" i="1"/>
  <c r="CK311" i="1"/>
  <c r="CK293" i="1"/>
  <c r="CK300" i="1"/>
  <c r="CT83" i="1"/>
  <c r="AC125" i="1"/>
  <c r="CX297" i="1"/>
  <c r="CX52" i="1"/>
  <c r="CZ165" i="1"/>
  <c r="CZ166" i="1" s="1"/>
  <c r="CZ169" i="1" s="1"/>
  <c r="CY80" i="1"/>
  <c r="CU83" i="1"/>
  <c r="AD72" i="1"/>
  <c r="CY79" i="1" l="1"/>
  <c r="CY90" i="1"/>
  <c r="CW79" i="1"/>
  <c r="CW90" i="1"/>
  <c r="AD319" i="1"/>
  <c r="CZ291" i="1"/>
  <c r="CZ80" i="1"/>
  <c r="CZ90" i="1" s="1"/>
  <c r="CX291" i="1"/>
  <c r="CY291" i="1"/>
  <c r="CK259" i="1"/>
  <c r="CK261" i="1" s="1"/>
  <c r="CK185" i="1"/>
  <c r="AC126" i="1"/>
  <c r="AC81" i="1"/>
  <c r="DA297" i="1"/>
  <c r="DA52" i="1"/>
  <c r="CX80" i="1"/>
  <c r="CW83" i="1"/>
  <c r="CW82" i="1"/>
  <c r="CY82" i="1"/>
  <c r="AD74" i="1"/>
  <c r="AD52" i="1" s="1"/>
  <c r="DA165" i="1"/>
  <c r="DA166" i="1" s="1"/>
  <c r="DA169" i="1" s="1"/>
  <c r="CY83" i="1" l="1"/>
  <c r="CX90" i="1"/>
  <c r="DA291" i="1"/>
  <c r="CZ79" i="1"/>
  <c r="CZ82" i="1"/>
  <c r="CZ83" i="1"/>
  <c r="DB165" i="1"/>
  <c r="DB166" i="1" s="1"/>
  <c r="DB169" i="1" s="1"/>
  <c r="DB319" i="1"/>
  <c r="AD165" i="1"/>
  <c r="AD254" i="1"/>
  <c r="DA80" i="1"/>
  <c r="DA90" i="1" s="1"/>
  <c r="CK186" i="1"/>
  <c r="CL273" i="1" s="1"/>
  <c r="CL271" i="1" s="1"/>
  <c r="CX83" i="1"/>
  <c r="CX82" i="1"/>
  <c r="CG156" i="1"/>
  <c r="DB52" i="1"/>
  <c r="DB297" i="1"/>
  <c r="AD125" i="1"/>
  <c r="AD75" i="1"/>
  <c r="CX79" i="1"/>
  <c r="AD79" i="1" s="1"/>
  <c r="AD80" i="1" s="1"/>
  <c r="AE72" i="1"/>
  <c r="CK159" i="1" l="1"/>
  <c r="CK121" i="1"/>
  <c r="AE319" i="1"/>
  <c r="DB291" i="1"/>
  <c r="AD82" i="1"/>
  <c r="AD81" i="1"/>
  <c r="AD126" i="1"/>
  <c r="DA83" i="1"/>
  <c r="DA82" i="1"/>
  <c r="CK273" i="1"/>
  <c r="CK271" i="1" s="1"/>
  <c r="CK195" i="1"/>
  <c r="CK122" i="1" s="1"/>
  <c r="DA79" i="1"/>
  <c r="DB80" i="1"/>
  <c r="AE74" i="1"/>
  <c r="AE52" i="1" s="1"/>
  <c r="DB79" i="1" l="1"/>
  <c r="AE79" i="1" s="1"/>
  <c r="AE80" i="1" s="1"/>
  <c r="AE82" i="1" s="1"/>
  <c r="DB90" i="1"/>
  <c r="CK162" i="1"/>
  <c r="CK161" i="1"/>
  <c r="CK163" i="1"/>
  <c r="AE165" i="1"/>
  <c r="AE254" i="1"/>
  <c r="DB83" i="1"/>
  <c r="DB82" i="1"/>
  <c r="AE75" i="1"/>
  <c r="AE125" i="1"/>
  <c r="AE81" i="1" l="1"/>
  <c r="AE126" i="1"/>
  <c r="CM250" i="1" l="1"/>
  <c r="CM245" i="1"/>
  <c r="CN245" i="1" s="1"/>
  <c r="CK219" i="1"/>
  <c r="CK211" i="1"/>
  <c r="CM246" i="1"/>
  <c r="CN246" i="1" s="1"/>
  <c r="CO246" i="1" s="1"/>
  <c r="CP246" i="1" s="1"/>
  <c r="CQ246" i="1" s="1"/>
  <c r="CR246" i="1" s="1"/>
  <c r="CS246" i="1" s="1"/>
  <c r="CT246" i="1" s="1"/>
  <c r="CU246" i="1" s="1"/>
  <c r="CV246" i="1" s="1"/>
  <c r="CW246" i="1" s="1"/>
  <c r="CX246" i="1" s="1"/>
  <c r="CY246" i="1" s="1"/>
  <c r="CZ246" i="1" s="1"/>
  <c r="DA246" i="1" s="1"/>
  <c r="DB246" i="1" s="1"/>
  <c r="CK212" i="1"/>
  <c r="CK218" i="1"/>
  <c r="CK210" i="1"/>
  <c r="CK222" i="1" l="1"/>
  <c r="CK214" i="1"/>
  <c r="CO245" i="1"/>
  <c r="CN248" i="1"/>
  <c r="CN250" i="1"/>
  <c r="CO250" i="1" s="1"/>
  <c r="CM248" i="1"/>
  <c r="CM249" i="1"/>
  <c r="CN249" i="1" s="1"/>
  <c r="CK263" i="1" l="1"/>
  <c r="CL263" i="1"/>
  <c r="CK262" i="1"/>
  <c r="CL262" i="1"/>
  <c r="CL264" i="1" s="1"/>
  <c r="CL265" i="1" s="1"/>
  <c r="CL279" i="1" s="1"/>
  <c r="CK223" i="1"/>
  <c r="CO249" i="1"/>
  <c r="CP249" i="1" s="1"/>
  <c r="CN251" i="1"/>
  <c r="CN252" i="1" s="1"/>
  <c r="CP250" i="1"/>
  <c r="CQ250" i="1" s="1"/>
  <c r="CR250" i="1" s="1"/>
  <c r="CS250" i="1" s="1"/>
  <c r="CT250" i="1" s="1"/>
  <c r="CU250" i="1" s="1"/>
  <c r="CV250" i="1" s="1"/>
  <c r="CW250" i="1" s="1"/>
  <c r="CX250" i="1" s="1"/>
  <c r="CY250" i="1" s="1"/>
  <c r="CZ250" i="1" s="1"/>
  <c r="DA250" i="1" s="1"/>
  <c r="DB250" i="1" s="1"/>
  <c r="CP245" i="1"/>
  <c r="CO248" i="1"/>
  <c r="CM251" i="1"/>
  <c r="CM252" i="1" s="1"/>
  <c r="CK264" i="1" l="1"/>
  <c r="CK265" i="1" s="1"/>
  <c r="CK279" i="1" s="1"/>
  <c r="CO251" i="1"/>
  <c r="CO252" i="1" s="1"/>
  <c r="CQ245" i="1"/>
  <c r="CP248" i="1"/>
  <c r="CP251" i="1"/>
  <c r="CQ249" i="1"/>
  <c r="CK276" i="1" l="1"/>
  <c r="CK226" i="1" s="1"/>
  <c r="CK227" i="1" s="1"/>
  <c r="CP252" i="1"/>
  <c r="CQ248" i="1"/>
  <c r="CR245" i="1"/>
  <c r="CR249" i="1"/>
  <c r="CQ251" i="1"/>
  <c r="CK234" i="1" l="1"/>
  <c r="CL104" i="1" s="1"/>
  <c r="CN104" i="1" s="1"/>
  <c r="CO104" i="1" s="1"/>
  <c r="CP104" i="1" s="1"/>
  <c r="CR104" i="1" s="1"/>
  <c r="CS104" i="1" s="1"/>
  <c r="CT104" i="1" s="1"/>
  <c r="CU104" i="1" s="1"/>
  <c r="CV104" i="1" s="1"/>
  <c r="CW104" i="1" s="1"/>
  <c r="CX104" i="1" s="1"/>
  <c r="CY104" i="1" s="1"/>
  <c r="CZ104" i="1" s="1"/>
  <c r="DA104" i="1" s="1"/>
  <c r="DB104" i="1" s="1"/>
  <c r="CK312" i="1"/>
  <c r="CK314" i="1"/>
  <c r="CK310" i="1"/>
  <c r="CK231" i="1"/>
  <c r="CK232" i="1" s="1"/>
  <c r="CL275" i="1"/>
  <c r="CL276" i="1" s="1"/>
  <c r="CL277" i="1" s="1"/>
  <c r="CK277" i="1"/>
  <c r="CQ252" i="1"/>
  <c r="CS249" i="1"/>
  <c r="CR251" i="1"/>
  <c r="CS245" i="1"/>
  <c r="CR248" i="1"/>
  <c r="CQ212" i="1"/>
  <c r="CQ211" i="1"/>
  <c r="CQ218" i="1"/>
  <c r="CQ210" i="1"/>
  <c r="CK175" i="1" l="1"/>
  <c r="CR252" i="1"/>
  <c r="CT245" i="1"/>
  <c r="CS248" i="1"/>
  <c r="CS251" i="1"/>
  <c r="CT249" i="1"/>
  <c r="CR210" i="1"/>
  <c r="CR218" i="1"/>
  <c r="CQ219" i="1"/>
  <c r="CQ222" i="1" s="1"/>
  <c r="CK176" i="1"/>
  <c r="CK179" i="1" s="1"/>
  <c r="CR212" i="1"/>
  <c r="CQ214" i="1"/>
  <c r="CR211" i="1"/>
  <c r="CK177" i="1" l="1"/>
  <c r="CK180" i="1" s="1"/>
  <c r="CT251" i="1"/>
  <c r="CU249" i="1"/>
  <c r="CS252" i="1"/>
  <c r="CU245" i="1"/>
  <c r="CT248" i="1"/>
  <c r="CS211" i="1"/>
  <c r="CS210" i="1"/>
  <c r="CQ223" i="1"/>
  <c r="CS218" i="1"/>
  <c r="CR214" i="1"/>
  <c r="CR219" i="1"/>
  <c r="CR222" i="1" s="1"/>
  <c r="CS212" i="1"/>
  <c r="CT252" i="1" l="1"/>
  <c r="CU248" i="1"/>
  <c r="CV245" i="1"/>
  <c r="CU251" i="1"/>
  <c r="CV249" i="1"/>
  <c r="CS214" i="1"/>
  <c r="CS262" i="1" s="1"/>
  <c r="CS219" i="1"/>
  <c r="CS222" i="1" s="1"/>
  <c r="CS263" i="1" s="1"/>
  <c r="CT212" i="1"/>
  <c r="AC212" i="1" s="1"/>
  <c r="CT218" i="1"/>
  <c r="CT210" i="1"/>
  <c r="CR223" i="1"/>
  <c r="CR262" i="1"/>
  <c r="CT211" i="1"/>
  <c r="AC211" i="1" s="1"/>
  <c r="AC246" i="1" s="1"/>
  <c r="CR263" i="1"/>
  <c r="CW245" i="1" l="1"/>
  <c r="CV248" i="1"/>
  <c r="CW249" i="1"/>
  <c r="CV251" i="1"/>
  <c r="CU252" i="1"/>
  <c r="CU211" i="1"/>
  <c r="CU210" i="1"/>
  <c r="CS264" i="1"/>
  <c r="CU218" i="1"/>
  <c r="CT219" i="1"/>
  <c r="AC219" i="1" s="1"/>
  <c r="AC249" i="1" s="1"/>
  <c r="AC210" i="1"/>
  <c r="CT214" i="1"/>
  <c r="CR264" i="1"/>
  <c r="AC218" i="1"/>
  <c r="CU212" i="1"/>
  <c r="CS223" i="1"/>
  <c r="CW251" i="1" l="1"/>
  <c r="CX249" i="1"/>
  <c r="CV252" i="1"/>
  <c r="CW248" i="1"/>
  <c r="CX245" i="1"/>
  <c r="CT222" i="1"/>
  <c r="CT263" i="1" s="1"/>
  <c r="AC222" i="1"/>
  <c r="AC251" i="1" s="1"/>
  <c r="AC250" i="1" s="1"/>
  <c r="CU219" i="1"/>
  <c r="CU222" i="1" s="1"/>
  <c r="AC214" i="1"/>
  <c r="AC245" i="1"/>
  <c r="CV212" i="1"/>
  <c r="CV218" i="1"/>
  <c r="CV211" i="1"/>
  <c r="CV210" i="1"/>
  <c r="CT262" i="1"/>
  <c r="CU214" i="1"/>
  <c r="CW252" i="1" l="1"/>
  <c r="CT264" i="1"/>
  <c r="CT223" i="1"/>
  <c r="CX251" i="1"/>
  <c r="CY249" i="1"/>
  <c r="CY245" i="1"/>
  <c r="CX248" i="1"/>
  <c r="CU263" i="1"/>
  <c r="CW218" i="1"/>
  <c r="AC248" i="1"/>
  <c r="AC223" i="1"/>
  <c r="CU223" i="1"/>
  <c r="CW211" i="1"/>
  <c r="CW210" i="1"/>
  <c r="CW212" i="1"/>
  <c r="CV219" i="1"/>
  <c r="CV222" i="1" s="1"/>
  <c r="CU262" i="1"/>
  <c r="CV214" i="1"/>
  <c r="CU264" i="1" l="1"/>
  <c r="CX252" i="1"/>
  <c r="CZ245" i="1"/>
  <c r="CY248" i="1"/>
  <c r="CZ249" i="1"/>
  <c r="CY251" i="1"/>
  <c r="CW214" i="1"/>
  <c r="CW262" i="1" s="1"/>
  <c r="CX211" i="1"/>
  <c r="AD211" i="1" s="1"/>
  <c r="AD246" i="1" s="1"/>
  <c r="CW219" i="1"/>
  <c r="CW222" i="1" s="1"/>
  <c r="CX210" i="1"/>
  <c r="AC247" i="1"/>
  <c r="AC252" i="1"/>
  <c r="CX218" i="1"/>
  <c r="CV223" i="1"/>
  <c r="CX212" i="1"/>
  <c r="AD212" i="1" s="1"/>
  <c r="CV262" i="1"/>
  <c r="CV263" i="1"/>
  <c r="DA249" i="1" l="1"/>
  <c r="CZ251" i="1"/>
  <c r="CY252" i="1"/>
  <c r="DA245" i="1"/>
  <c r="CZ248" i="1"/>
  <c r="CV264" i="1"/>
  <c r="CW223" i="1"/>
  <c r="CW263" i="1"/>
  <c r="CW264" i="1" s="1"/>
  <c r="CY212" i="1"/>
  <c r="AD210" i="1"/>
  <c r="CX214" i="1"/>
  <c r="CY210" i="1"/>
  <c r="CX219" i="1"/>
  <c r="AD219" i="1" s="1"/>
  <c r="AD249" i="1" s="1"/>
  <c r="CY218" i="1"/>
  <c r="CY211" i="1"/>
  <c r="AD218" i="1"/>
  <c r="CZ252" i="1" l="1"/>
  <c r="DA248" i="1"/>
  <c r="DB245" i="1"/>
  <c r="DB248" i="1" s="1"/>
  <c r="DA251" i="1"/>
  <c r="DB249" i="1"/>
  <c r="DB251" i="1" s="1"/>
  <c r="CY214" i="1"/>
  <c r="CY262" i="1" s="1"/>
  <c r="AD222" i="1"/>
  <c r="AD251" i="1" s="1"/>
  <c r="AD250" i="1" s="1"/>
  <c r="CZ211" i="1"/>
  <c r="CY219" i="1"/>
  <c r="CY222" i="1" s="1"/>
  <c r="CZ212" i="1"/>
  <c r="CZ218" i="1"/>
  <c r="AD214" i="1"/>
  <c r="AD245" i="1"/>
  <c r="CX222" i="1"/>
  <c r="CX223" i="1" s="1"/>
  <c r="CZ210" i="1"/>
  <c r="CX262" i="1"/>
  <c r="DB252" i="1" l="1"/>
  <c r="DA252" i="1"/>
  <c r="AD263" i="1"/>
  <c r="AD223" i="1"/>
  <c r="AD248" i="1"/>
  <c r="AD262" i="1"/>
  <c r="CZ219" i="1"/>
  <c r="CZ222" i="1" s="1"/>
  <c r="CZ263" i="1" s="1"/>
  <c r="CY263" i="1"/>
  <c r="CY264" i="1" s="1"/>
  <c r="CX263" i="1"/>
  <c r="CX264" i="1" s="1"/>
  <c r="CY223" i="1"/>
  <c r="DB211" i="1"/>
  <c r="AE211" i="1" s="1"/>
  <c r="AE246" i="1" s="1"/>
  <c r="DA211" i="1"/>
  <c r="DA212" i="1"/>
  <c r="DB212" i="1"/>
  <c r="AE212" i="1" s="1"/>
  <c r="DA210" i="1"/>
  <c r="CZ214" i="1"/>
  <c r="DA218" i="1"/>
  <c r="DB218" i="1"/>
  <c r="AD264" i="1" l="1"/>
  <c r="DA214" i="1"/>
  <c r="DA262" i="1" s="1"/>
  <c r="DA219" i="1"/>
  <c r="DA222" i="1" s="1"/>
  <c r="AD252" i="1"/>
  <c r="AD255" i="1" s="1"/>
  <c r="AD256" i="1" s="1"/>
  <c r="AD247" i="1"/>
  <c r="AE218" i="1"/>
  <c r="CZ223" i="1"/>
  <c r="CZ262" i="1"/>
  <c r="CZ264" i="1" s="1"/>
  <c r="DB210" i="1"/>
  <c r="DA263" i="1" l="1"/>
  <c r="DA264" i="1" s="1"/>
  <c r="DB214" i="1"/>
  <c r="AE210" i="1"/>
  <c r="DB219" i="1"/>
  <c r="DA223" i="1"/>
  <c r="DB262" i="1" l="1"/>
  <c r="AE219" i="1"/>
  <c r="DB222" i="1"/>
  <c r="DB263" i="1" s="1"/>
  <c r="AE214" i="1"/>
  <c r="AE245" i="1"/>
  <c r="AE248" i="1" l="1"/>
  <c r="AE262" i="1"/>
  <c r="DB264" i="1"/>
  <c r="AE249" i="1"/>
  <c r="AE222" i="1"/>
  <c r="DB223" i="1"/>
  <c r="AE251" i="1" l="1"/>
  <c r="AE250" i="1" s="1"/>
  <c r="AE263" i="1"/>
  <c r="AE264" i="1" s="1"/>
  <c r="AE247" i="1"/>
  <c r="AE223" i="1"/>
  <c r="AE252" i="1" l="1"/>
  <c r="AE255" i="1" s="1"/>
  <c r="AE256" i="1" s="1"/>
  <c r="CL51" i="1" l="1"/>
  <c r="CL52" i="1" l="1"/>
  <c r="AA50" i="1"/>
  <c r="AA51" i="1" s="1"/>
  <c r="CM51" i="1" l="1"/>
  <c r="AA52" i="1"/>
  <c r="CM171" i="1"/>
  <c r="CN171" i="1" s="1"/>
  <c r="CO171" i="1" s="1"/>
  <c r="CP171" i="1" s="1"/>
  <c r="CQ171" i="1" s="1"/>
  <c r="CR171" i="1" s="1"/>
  <c r="CS171" i="1" s="1"/>
  <c r="CT171" i="1" s="1"/>
  <c r="CU171" i="1" s="1"/>
  <c r="CV171" i="1" s="1"/>
  <c r="CW171" i="1" s="1"/>
  <c r="CX171" i="1" s="1"/>
  <c r="CY171" i="1" s="1"/>
  <c r="CZ171" i="1" s="1"/>
  <c r="DA171" i="1" s="1"/>
  <c r="DB171" i="1" s="1"/>
  <c r="CM170" i="1"/>
  <c r="CN170" i="1" s="1"/>
  <c r="CO170" i="1" s="1"/>
  <c r="CP170" i="1" s="1"/>
  <c r="CQ170" i="1" s="1"/>
  <c r="CR170" i="1" s="1"/>
  <c r="CS170" i="1" s="1"/>
  <c r="CT170" i="1" s="1"/>
  <c r="CU170" i="1" s="1"/>
  <c r="CV170" i="1" s="1"/>
  <c r="CW170" i="1" s="1"/>
  <c r="CX170" i="1" s="1"/>
  <c r="CY170" i="1" s="1"/>
  <c r="CZ170" i="1" s="1"/>
  <c r="DA170" i="1" s="1"/>
  <c r="DB170" i="1" s="1"/>
  <c r="CN51" i="1" l="1"/>
  <c r="CM72" i="1"/>
  <c r="CL68" i="1" l="1"/>
  <c r="AA68" i="1"/>
  <c r="CM297" i="1"/>
  <c r="CM319" i="1"/>
  <c r="CM74" i="1"/>
  <c r="CM165" i="1"/>
  <c r="CM166" i="1" s="1"/>
  <c r="CM169" i="1" s="1"/>
  <c r="CN72" i="1"/>
  <c r="CO51" i="1"/>
  <c r="CO72" i="1" l="1"/>
  <c r="CP51" i="1"/>
  <c r="AB50" i="1"/>
  <c r="AB51" i="1" s="1"/>
  <c r="CM211" i="1"/>
  <c r="CM219" i="1"/>
  <c r="CM212" i="1"/>
  <c r="CM75" i="1"/>
  <c r="CM218" i="1"/>
  <c r="CM80" i="1"/>
  <c r="CM210" i="1"/>
  <c r="CQ75" i="1"/>
  <c r="CM291" i="1"/>
  <c r="CM76" i="1"/>
  <c r="CM52" i="1"/>
  <c r="CN297" i="1"/>
  <c r="CN319" i="1"/>
  <c r="CN74" i="1"/>
  <c r="CN76" i="1" s="1"/>
  <c r="CN165" i="1"/>
  <c r="CN166" i="1" s="1"/>
  <c r="CN169" i="1" s="1"/>
  <c r="CM79" i="1" l="1"/>
  <c r="CM90" i="1"/>
  <c r="CO297" i="1"/>
  <c r="CO319" i="1"/>
  <c r="CO74" i="1"/>
  <c r="CO291" i="1" s="1"/>
  <c r="CO165" i="1"/>
  <c r="CO166" i="1" s="1"/>
  <c r="CO169" i="1" s="1"/>
  <c r="CM82" i="1"/>
  <c r="CM83" i="1"/>
  <c r="CQ82" i="1"/>
  <c r="CM214" i="1"/>
  <c r="CN210" i="1"/>
  <c r="CN211" i="1"/>
  <c r="CN219" i="1"/>
  <c r="CN212" i="1"/>
  <c r="CN218" i="1"/>
  <c r="CN75" i="1"/>
  <c r="CR75" i="1"/>
  <c r="CN80" i="1"/>
  <c r="CN52" i="1"/>
  <c r="CM222" i="1"/>
  <c r="CN291" i="1"/>
  <c r="CP72" i="1"/>
  <c r="CR165" i="1" s="1"/>
  <c r="CR166" i="1" s="1"/>
  <c r="CR169" i="1" s="1"/>
  <c r="CN222" i="1" l="1"/>
  <c r="CN263" i="1" s="1"/>
  <c r="CO76" i="1"/>
  <c r="CN79" i="1"/>
  <c r="CN90" i="1"/>
  <c r="CN214" i="1"/>
  <c r="CN262" i="1" s="1"/>
  <c r="CQ165" i="1"/>
  <c r="CQ166" i="1" s="1"/>
  <c r="CQ169" i="1" s="1"/>
  <c r="CP165" i="1"/>
  <c r="CP166" i="1" s="1"/>
  <c r="CP169" i="1" s="1"/>
  <c r="AB72" i="1"/>
  <c r="AB319" i="1" s="1"/>
  <c r="CR82" i="1"/>
  <c r="CN82" i="1"/>
  <c r="CN83" i="1"/>
  <c r="CO212" i="1"/>
  <c r="CO75" i="1"/>
  <c r="CO211" i="1"/>
  <c r="CO218" i="1"/>
  <c r="CO219" i="1"/>
  <c r="CO80" i="1"/>
  <c r="CS75" i="1"/>
  <c r="CO210" i="1"/>
  <c r="CO52" i="1"/>
  <c r="CM223" i="1"/>
  <c r="CM262" i="1"/>
  <c r="CS165" i="1"/>
  <c r="CS166" i="1" s="1"/>
  <c r="CS169" i="1" s="1"/>
  <c r="CP319" i="1"/>
  <c r="CP74" i="1"/>
  <c r="CP297" i="1"/>
  <c r="CM263" i="1"/>
  <c r="CP291" i="1" l="1"/>
  <c r="CR291" i="1"/>
  <c r="CM264" i="1"/>
  <c r="CN223" i="1"/>
  <c r="CO79" i="1"/>
  <c r="CO90" i="1"/>
  <c r="CO214" i="1"/>
  <c r="AB74" i="1"/>
  <c r="AC75" i="1" s="1"/>
  <c r="CP76" i="1"/>
  <c r="CO222" i="1"/>
  <c r="CO263" i="1" s="1"/>
  <c r="CN264" i="1"/>
  <c r="CO83" i="1"/>
  <c r="CS82" i="1"/>
  <c r="CO82" i="1"/>
  <c r="CP218" i="1"/>
  <c r="CP211" i="1"/>
  <c r="AB211" i="1" s="1"/>
  <c r="AB246" i="1" s="1"/>
  <c r="CQ76" i="1"/>
  <c r="CP219" i="1"/>
  <c r="AB219" i="1" s="1"/>
  <c r="AB249" i="1" s="1"/>
  <c r="CT75" i="1"/>
  <c r="CP80" i="1"/>
  <c r="CP90" i="1" s="1"/>
  <c r="CS291" i="1"/>
  <c r="CP212" i="1"/>
  <c r="AB212" i="1" s="1"/>
  <c r="CP210" i="1"/>
  <c r="CP75" i="1"/>
  <c r="CP52" i="1"/>
  <c r="CQ291" i="1"/>
  <c r="CO223" i="1" l="1"/>
  <c r="AC254" i="1"/>
  <c r="AB254" i="1"/>
  <c r="CO262" i="1"/>
  <c r="CO264" i="1" s="1"/>
  <c r="AB165" i="1"/>
  <c r="AB52" i="1"/>
  <c r="AB75" i="1"/>
  <c r="AB125" i="1"/>
  <c r="AB210" i="1"/>
  <c r="CP214" i="1"/>
  <c r="CP82" i="1"/>
  <c r="CT82" i="1"/>
  <c r="CQ83" i="1"/>
  <c r="CP83" i="1"/>
  <c r="CP222" i="1"/>
  <c r="AB218" i="1"/>
  <c r="AB222" i="1" s="1"/>
  <c r="CP79" i="1"/>
  <c r="AB79" i="1" s="1"/>
  <c r="AB80" i="1" s="1"/>
  <c r="CQ262" i="1" l="1"/>
  <c r="CP223" i="1"/>
  <c r="CP262" i="1"/>
  <c r="AC82" i="1"/>
  <c r="AB126" i="1"/>
  <c r="AB81" i="1"/>
  <c r="AB82" i="1"/>
  <c r="CM153" i="1"/>
  <c r="CN153" i="1" s="1"/>
  <c r="CO153" i="1" s="1"/>
  <c r="CP153" i="1" s="1"/>
  <c r="CQ153" i="1" s="1"/>
  <c r="CR153" i="1" s="1"/>
  <c r="CS153" i="1" s="1"/>
  <c r="CT153" i="1" s="1"/>
  <c r="CU153" i="1" s="1"/>
  <c r="CV153" i="1" s="1"/>
  <c r="CW153" i="1" s="1"/>
  <c r="CX153" i="1" s="1"/>
  <c r="CY153" i="1" s="1"/>
  <c r="CZ153" i="1" s="1"/>
  <c r="DA153" i="1" s="1"/>
  <c r="DB153" i="1" s="1"/>
  <c r="CM154" i="1"/>
  <c r="CN154" i="1" s="1"/>
  <c r="CO154" i="1" s="1"/>
  <c r="CP154" i="1" s="1"/>
  <c r="CQ154" i="1" s="1"/>
  <c r="CR154" i="1" s="1"/>
  <c r="CS154" i="1" s="1"/>
  <c r="CT154" i="1" s="1"/>
  <c r="CU154" i="1" s="1"/>
  <c r="CV154" i="1" s="1"/>
  <c r="CW154" i="1" s="1"/>
  <c r="CX154" i="1" s="1"/>
  <c r="CY154" i="1" s="1"/>
  <c r="CZ154" i="1" s="1"/>
  <c r="DA154" i="1" s="1"/>
  <c r="DB154" i="1" s="1"/>
  <c r="CH156" i="1"/>
  <c r="AB245" i="1"/>
  <c r="AB214" i="1"/>
  <c r="AB251" i="1"/>
  <c r="AB250" i="1" s="1"/>
  <c r="AC263" i="1"/>
  <c r="AB263" i="1"/>
  <c r="CQ263" i="1"/>
  <c r="CP263" i="1"/>
  <c r="CQ264" i="1" l="1"/>
  <c r="CP264" i="1"/>
  <c r="AC262" i="1"/>
  <c r="AC264" i="1" s="1"/>
  <c r="AB223" i="1"/>
  <c r="AB248" i="1"/>
  <c r="AB262" i="1"/>
  <c r="AB264" i="1" s="1"/>
  <c r="CM162" i="1"/>
  <c r="CN162" i="1" s="1"/>
  <c r="CO162" i="1" s="1"/>
  <c r="CP162" i="1" s="1"/>
  <c r="CQ162" i="1" s="1"/>
  <c r="CR162" i="1" s="1"/>
  <c r="CS162" i="1" s="1"/>
  <c r="CT162" i="1" s="1"/>
  <c r="CU162" i="1" s="1"/>
  <c r="CV162" i="1" s="1"/>
  <c r="CW162" i="1" s="1"/>
  <c r="CX162" i="1" s="1"/>
  <c r="CY162" i="1" s="1"/>
  <c r="CZ162" i="1" s="1"/>
  <c r="DA162" i="1" s="1"/>
  <c r="DB162" i="1" s="1"/>
  <c r="CM163" i="1"/>
  <c r="CN163" i="1" s="1"/>
  <c r="CO163" i="1" s="1"/>
  <c r="CP163" i="1" s="1"/>
  <c r="CQ163" i="1" s="1"/>
  <c r="CR163" i="1" s="1"/>
  <c r="CS163" i="1" s="1"/>
  <c r="CT163" i="1" s="1"/>
  <c r="CU163" i="1" s="1"/>
  <c r="CV163" i="1" s="1"/>
  <c r="CW163" i="1" s="1"/>
  <c r="CX163" i="1" s="1"/>
  <c r="CY163" i="1" s="1"/>
  <c r="CZ163" i="1" s="1"/>
  <c r="DA163" i="1" s="1"/>
  <c r="DB163" i="1" s="1"/>
  <c r="AB247" i="1" l="1"/>
  <c r="AB252" i="1"/>
  <c r="AB255" i="1" l="1"/>
  <c r="AB256" i="1" s="1"/>
  <c r="AC255" i="1"/>
  <c r="AC256" i="1" s="1"/>
  <c r="CM275" i="1"/>
  <c r="AB275" i="1"/>
  <c r="CM103" i="1" l="1"/>
  <c r="CM180" i="1" l="1"/>
  <c r="CM318" i="1"/>
  <c r="CN179" i="1" l="1"/>
  <c r="CN180" i="1"/>
  <c r="CO180" i="1" l="1"/>
  <c r="CO179" i="1"/>
  <c r="CP179" i="1" l="1"/>
  <c r="CP180" i="1"/>
  <c r="CQ180" i="1" l="1"/>
  <c r="CQ179" i="1"/>
  <c r="CR180" i="1" l="1"/>
  <c r="CR179" i="1"/>
  <c r="CS180" i="1" l="1"/>
  <c r="CS179" i="1"/>
  <c r="CT179" i="1" l="1"/>
  <c r="CT180" i="1"/>
  <c r="CU180" i="1" l="1"/>
  <c r="CU179" i="1"/>
  <c r="CV179" i="1" l="1"/>
  <c r="CV180" i="1"/>
  <c r="CW180" i="1" l="1"/>
  <c r="CW179" i="1"/>
  <c r="CX179" i="1" l="1"/>
  <c r="CX180" i="1"/>
  <c r="CY180" i="1" l="1"/>
  <c r="CY179" i="1"/>
  <c r="CZ179" i="1" l="1"/>
  <c r="CZ180" i="1"/>
  <c r="DA179" i="1" l="1"/>
  <c r="DA180" i="1"/>
  <c r="DB180" i="1" l="1"/>
  <c r="DB179" i="1"/>
  <c r="AB90" i="1"/>
  <c r="AB93" i="1" s="1"/>
  <c r="AB95" i="1" s="1"/>
  <c r="AB68" i="1" s="1"/>
  <c r="AE90" i="1"/>
  <c r="AE93" i="1" s="1"/>
  <c r="AD90" i="1"/>
  <c r="AD93" i="1" s="1"/>
  <c r="AD94" i="1" s="1"/>
  <c r="AC90" i="1"/>
  <c r="AC93" i="1" s="1"/>
  <c r="CT93" i="1"/>
  <c r="CT95" i="1" s="1"/>
  <c r="CT96" i="1" s="1"/>
  <c r="CY93" i="1"/>
  <c r="CU93" i="1"/>
  <c r="CU94" i="1" s="1"/>
  <c r="DB93" i="1"/>
  <c r="DB94" i="1" s="1"/>
  <c r="CR93" i="1"/>
  <c r="CZ93" i="1"/>
  <c r="CZ95" i="1" s="1"/>
  <c r="CP93" i="1"/>
  <c r="CX93" i="1"/>
  <c r="CX95" i="1" s="1"/>
  <c r="CO93" i="1"/>
  <c r="CO95" i="1" s="1"/>
  <c r="CW93" i="1"/>
  <c r="CW95" i="1" s="1"/>
  <c r="CN93" i="1"/>
  <c r="CN95" i="1" s="1"/>
  <c r="CV93" i="1"/>
  <c r="CV94" i="1" s="1"/>
  <c r="CM93" i="1"/>
  <c r="CQ93" i="1"/>
  <c r="CQ94" i="1" s="1"/>
  <c r="CS93" i="1"/>
  <c r="CS94" i="1" s="1"/>
  <c r="DA93" i="1"/>
  <c r="DA94" i="1" s="1"/>
  <c r="CM94" i="1" l="1"/>
  <c r="CM95" i="1"/>
  <c r="CN316" i="1" s="1"/>
  <c r="CN317" i="1" s="1"/>
  <c r="AB94" i="1"/>
  <c r="DA95" i="1"/>
  <c r="CV95" i="1"/>
  <c r="CW98" i="1" s="1"/>
  <c r="CW94" i="1"/>
  <c r="CQ95" i="1"/>
  <c r="CQ101" i="1" s="1"/>
  <c r="CU95" i="1"/>
  <c r="DB95" i="1"/>
  <c r="DB101" i="1" s="1"/>
  <c r="CX94" i="1"/>
  <c r="CS95" i="1"/>
  <c r="CS298" i="1" s="1"/>
  <c r="CS299" i="1" s="1"/>
  <c r="CW96" i="1"/>
  <c r="CW68" i="1"/>
  <c r="CN101" i="1"/>
  <c r="CN96" i="1"/>
  <c r="CN298" i="1"/>
  <c r="CN299" i="1" s="1"/>
  <c r="CN68" i="1"/>
  <c r="CN97" i="1"/>
  <c r="CN94" i="1"/>
  <c r="CT94" i="1"/>
  <c r="CO94" i="1"/>
  <c r="CO97" i="1"/>
  <c r="CO68" i="1"/>
  <c r="CO298" i="1"/>
  <c r="CO299" i="1" s="1"/>
  <c r="CO96" i="1"/>
  <c r="CT101" i="1"/>
  <c r="CT298" i="1"/>
  <c r="CT299" i="1" s="1"/>
  <c r="CT68" i="1"/>
  <c r="CX97" i="1"/>
  <c r="CX101" i="1"/>
  <c r="CX96" i="1"/>
  <c r="CX298" i="1"/>
  <c r="CX299" i="1" s="1"/>
  <c r="CX316" i="1"/>
  <c r="CX317" i="1" s="1"/>
  <c r="CX68" i="1"/>
  <c r="CO101" i="1"/>
  <c r="CP94" i="1"/>
  <c r="CP95" i="1"/>
  <c r="CR95" i="1"/>
  <c r="CR94" i="1"/>
  <c r="CO316" i="1"/>
  <c r="CO317" i="1" s="1"/>
  <c r="AE94" i="1"/>
  <c r="AE95" i="1"/>
  <c r="AE68" i="1" s="1"/>
  <c r="CZ101" i="1"/>
  <c r="CZ68" i="1"/>
  <c r="CZ298" i="1"/>
  <c r="CZ299" i="1" s="1"/>
  <c r="AB178" i="1"/>
  <c r="AB316" i="1"/>
  <c r="AB317" i="1" s="1"/>
  <c r="AB101" i="1"/>
  <c r="AB97" i="1"/>
  <c r="AB96" i="1"/>
  <c r="CZ96" i="1"/>
  <c r="CY95" i="1"/>
  <c r="CZ316" i="1" s="1"/>
  <c r="CZ317" i="1" s="1"/>
  <c r="CY94" i="1"/>
  <c r="AC95" i="1"/>
  <c r="AC68" i="1" s="1"/>
  <c r="AC94" i="1"/>
  <c r="AD95" i="1"/>
  <c r="AD68" i="1" s="1"/>
  <c r="CO98" i="1"/>
  <c r="CW298" i="1"/>
  <c r="CW299" i="1" s="1"/>
  <c r="CZ94" i="1"/>
  <c r="CW101" i="1"/>
  <c r="CX98" i="1"/>
  <c r="CV98" i="1" l="1"/>
  <c r="DA96" i="1"/>
  <c r="DA101" i="1"/>
  <c r="CZ97" i="1"/>
  <c r="CV298" i="1"/>
  <c r="CV299" i="1" s="1"/>
  <c r="DA97" i="1"/>
  <c r="DA98" i="1"/>
  <c r="DA316" i="1"/>
  <c r="DA317" i="1" s="1"/>
  <c r="CV96" i="1"/>
  <c r="CS97" i="1"/>
  <c r="CQ298" i="1"/>
  <c r="CQ299" i="1" s="1"/>
  <c r="DA298" i="1"/>
  <c r="DA299" i="1" s="1"/>
  <c r="DA68" i="1"/>
  <c r="CW178" i="1"/>
  <c r="CW177" i="1" s="1"/>
  <c r="CU68" i="1"/>
  <c r="CQ96" i="1"/>
  <c r="CV101" i="1"/>
  <c r="CW292" i="1"/>
  <c r="CU298" i="1"/>
  <c r="CU299" i="1" s="1"/>
  <c r="CQ68" i="1"/>
  <c r="CU96" i="1"/>
  <c r="CU98" i="1"/>
  <c r="CU316" i="1"/>
  <c r="CU317" i="1" s="1"/>
  <c r="CU97" i="1"/>
  <c r="CV68" i="1"/>
  <c r="CU101" i="1"/>
  <c r="CV316" i="1"/>
  <c r="CV317" i="1" s="1"/>
  <c r="DB98" i="1"/>
  <c r="CX178" i="1"/>
  <c r="CX176" i="1" s="1"/>
  <c r="CW316" i="1"/>
  <c r="CW317" i="1" s="1"/>
  <c r="CQ178" i="1"/>
  <c r="CQ176" i="1" s="1"/>
  <c r="DB68" i="1"/>
  <c r="DB97" i="1"/>
  <c r="CX292" i="1"/>
  <c r="DB96" i="1"/>
  <c r="CS96" i="1"/>
  <c r="CS101" i="1"/>
  <c r="DB316" i="1"/>
  <c r="DB317" i="1" s="1"/>
  <c r="CZ292" i="1"/>
  <c r="CT178" i="1"/>
  <c r="CT177" i="1" s="1"/>
  <c r="DB298" i="1"/>
  <c r="DB299" i="1" s="1"/>
  <c r="CV292" i="1"/>
  <c r="CW97" i="1"/>
  <c r="CS68" i="1"/>
  <c r="CV178" i="1"/>
  <c r="CV177" i="1" s="1"/>
  <c r="CT316" i="1"/>
  <c r="CT317" i="1" s="1"/>
  <c r="CT98" i="1"/>
  <c r="CY97" i="1"/>
  <c r="CP101" i="1"/>
  <c r="CP316" i="1"/>
  <c r="CP317" i="1" s="1"/>
  <c r="CP97" i="1"/>
  <c r="CP68" i="1"/>
  <c r="CS178" i="1"/>
  <c r="CQ98" i="1"/>
  <c r="CT97" i="1"/>
  <c r="CP298" i="1"/>
  <c r="CP299" i="1" s="1"/>
  <c r="CS292" i="1"/>
  <c r="CP96" i="1"/>
  <c r="CQ316" i="1"/>
  <c r="CQ317" i="1" s="1"/>
  <c r="CT292" i="1"/>
  <c r="AD101" i="1"/>
  <c r="AD127" i="1"/>
  <c r="AD96" i="1"/>
  <c r="AD178" i="1"/>
  <c r="AE97" i="1"/>
  <c r="AD316" i="1"/>
  <c r="AD317" i="1" s="1"/>
  <c r="DB178" i="1"/>
  <c r="CY101" i="1"/>
  <c r="DB292" i="1"/>
  <c r="CZ98" i="1"/>
  <c r="CY316" i="1"/>
  <c r="CY317" i="1" s="1"/>
  <c r="CY298" i="1"/>
  <c r="CY299" i="1" s="1"/>
  <c r="CY96" i="1"/>
  <c r="CY68" i="1"/>
  <c r="CY98" i="1"/>
  <c r="CY292" i="1"/>
  <c r="AC101" i="1"/>
  <c r="AC96" i="1"/>
  <c r="AC316" i="1"/>
  <c r="AC317" i="1" s="1"/>
  <c r="AD97" i="1"/>
  <c r="AC178" i="1"/>
  <c r="AC127" i="1"/>
  <c r="CP98" i="1"/>
  <c r="CR101" i="1"/>
  <c r="CU178" i="1"/>
  <c r="CR298" i="1"/>
  <c r="CR299" i="1" s="1"/>
  <c r="CV97" i="1"/>
  <c r="CR316" i="1"/>
  <c r="CR317" i="1" s="1"/>
  <c r="CR96" i="1"/>
  <c r="CR68" i="1"/>
  <c r="CS98" i="1"/>
  <c r="CU292" i="1"/>
  <c r="DA292" i="1"/>
  <c r="CY178" i="1"/>
  <c r="CZ178" i="1"/>
  <c r="AE101" i="1"/>
  <c r="AE316" i="1"/>
  <c r="AE317" i="1" s="1"/>
  <c r="AE96" i="1"/>
  <c r="AE178" i="1"/>
  <c r="AE127" i="1"/>
  <c r="CR97" i="1"/>
  <c r="CQ292" i="1"/>
  <c r="AB127" i="1"/>
  <c r="CS316" i="1"/>
  <c r="CS317" i="1" s="1"/>
  <c r="DA178" i="1"/>
  <c r="CR292" i="1"/>
  <c r="AC97" i="1"/>
  <c r="CR98" i="1"/>
  <c r="CM178" i="1"/>
  <c r="CQ97" i="1"/>
  <c r="CM298" i="1"/>
  <c r="CM299" i="1" s="1"/>
  <c r="CM96" i="1"/>
  <c r="CM101" i="1"/>
  <c r="CP178" i="1"/>
  <c r="CO178" i="1"/>
  <c r="CM316" i="1"/>
  <c r="CM317" i="1" s="1"/>
  <c r="CN178" i="1"/>
  <c r="CM292" i="1"/>
  <c r="CM97" i="1"/>
  <c r="CP292" i="1"/>
  <c r="CM98" i="1"/>
  <c r="CO292" i="1"/>
  <c r="CN292" i="1"/>
  <c r="CN98" i="1"/>
  <c r="CM68" i="1"/>
  <c r="CR178" i="1"/>
  <c r="CW176" i="1" l="1"/>
  <c r="CX177" i="1"/>
  <c r="CT176" i="1"/>
  <c r="CQ177" i="1"/>
  <c r="CV176" i="1"/>
  <c r="CM105" i="1"/>
  <c r="CP177" i="1"/>
  <c r="CP176" i="1"/>
  <c r="CR177" i="1"/>
  <c r="CR176" i="1"/>
  <c r="CM176" i="1"/>
  <c r="CM177" i="1"/>
  <c r="CY176" i="1"/>
  <c r="CY177" i="1"/>
  <c r="CN176" i="1"/>
  <c r="CN177" i="1"/>
  <c r="DA177" i="1"/>
  <c r="DA176" i="1"/>
  <c r="CS177" i="1"/>
  <c r="CS176" i="1"/>
  <c r="CZ176" i="1"/>
  <c r="CZ177" i="1"/>
  <c r="CO176" i="1"/>
  <c r="CO177" i="1"/>
  <c r="CU176" i="1"/>
  <c r="CU177" i="1"/>
  <c r="DB177" i="1"/>
  <c r="DB176" i="1"/>
  <c r="CM106" i="1" l="1"/>
  <c r="CM108" i="1" s="1"/>
  <c r="CM109" i="1" l="1"/>
  <c r="CM311" i="1" s="1"/>
  <c r="CM115" i="1"/>
  <c r="CM111" i="1"/>
  <c r="CM293" i="1"/>
  <c r="CM110" i="1"/>
  <c r="CM300" i="1"/>
  <c r="CM185" i="1" l="1"/>
  <c r="CM259" i="1"/>
  <c r="CM261" i="1" s="1"/>
  <c r="CM265" i="1" s="1"/>
  <c r="CM279" i="1" s="1"/>
  <c r="CM133" i="1"/>
  <c r="CM136" i="1" l="1"/>
  <c r="CM186" i="1"/>
  <c r="CM273" i="1" l="1"/>
  <c r="CM271" i="1" s="1"/>
  <c r="CM276" i="1" s="1"/>
  <c r="CM159" i="1"/>
  <c r="CM161" i="1" s="1"/>
  <c r="CM195" i="1"/>
  <c r="CM122" i="1" s="1"/>
  <c r="CM121" i="1"/>
  <c r="CM137" i="1"/>
  <c r="CM152" i="1"/>
  <c r="CI156" i="1"/>
  <c r="CM226" i="1" l="1"/>
  <c r="CM227" i="1" s="1"/>
  <c r="CM312" i="1" l="1"/>
  <c r="CM231" i="1"/>
  <c r="CM232" i="1" s="1"/>
  <c r="CM234" i="1"/>
  <c r="CN275" i="1"/>
  <c r="CM314" i="1"/>
  <c r="CM310" i="1"/>
  <c r="CM277" i="1"/>
  <c r="CM175" i="1" l="1"/>
  <c r="CN103" i="1"/>
  <c r="CN318" i="1" l="1"/>
  <c r="CN105" i="1"/>
  <c r="CM174" i="1"/>
  <c r="CM146" i="1" s="1"/>
  <c r="CM173" i="1"/>
  <c r="CM145" i="1" s="1"/>
  <c r="CM148" i="1" l="1"/>
  <c r="CM149" i="1"/>
  <c r="CN106" i="1"/>
  <c r="CN108" i="1" l="1"/>
  <c r="CN300" i="1" l="1"/>
  <c r="CN115" i="1"/>
  <c r="CN109" i="1"/>
  <c r="CN311" i="1" s="1"/>
  <c r="CN111" i="1"/>
  <c r="CN110" i="1"/>
  <c r="CN293" i="1"/>
  <c r="CN133" i="1" l="1"/>
  <c r="CN259" i="1"/>
  <c r="CN261" i="1" s="1"/>
  <c r="CN265" i="1" s="1"/>
  <c r="CN279" i="1" s="1"/>
  <c r="CN185" i="1"/>
  <c r="CN186" i="1" l="1"/>
  <c r="CN136" i="1"/>
  <c r="CN152" i="1" l="1"/>
  <c r="CJ156" i="1"/>
  <c r="CN137" i="1"/>
  <c r="CN159" i="1"/>
  <c r="CN161" i="1" s="1"/>
  <c r="CN195" i="1"/>
  <c r="CN122" i="1" s="1"/>
  <c r="CN273" i="1"/>
  <c r="CN271" i="1" s="1"/>
  <c r="CN276" i="1" s="1"/>
  <c r="CN121" i="1"/>
  <c r="CN226" i="1" l="1"/>
  <c r="CN227" i="1" s="1"/>
  <c r="CN277" i="1" s="1"/>
  <c r="CN231" i="1" l="1"/>
  <c r="CN232" i="1" s="1"/>
  <c r="CN234" i="1"/>
  <c r="CN310" i="1"/>
  <c r="CO275" i="1"/>
  <c r="CN314" i="1"/>
  <c r="CN312" i="1"/>
  <c r="CO103" i="1" l="1"/>
  <c r="CN175" i="1"/>
  <c r="CN174" i="1" l="1"/>
  <c r="CN146" i="1" s="1"/>
  <c r="CN173" i="1"/>
  <c r="CN145" i="1" s="1"/>
  <c r="CO318" i="1"/>
  <c r="CO105" i="1"/>
  <c r="CO106" i="1" l="1"/>
  <c r="CO108" i="1" s="1"/>
  <c r="CN148" i="1"/>
  <c r="CN149" i="1"/>
  <c r="CO111" i="1" l="1"/>
  <c r="CO109" i="1"/>
  <c r="CO311" i="1" s="1"/>
  <c r="CO300" i="1"/>
  <c r="CO115" i="1"/>
  <c r="CO110" i="1"/>
  <c r="CO293" i="1"/>
  <c r="CO133" i="1" l="1"/>
  <c r="CO259" i="1"/>
  <c r="CO261" i="1" s="1"/>
  <c r="CO265" i="1" s="1"/>
  <c r="CO279" i="1" s="1"/>
  <c r="CO185" i="1"/>
  <c r="CO186" i="1" l="1"/>
  <c r="CO136" i="1"/>
  <c r="CK156" i="1" l="1"/>
  <c r="CO137" i="1"/>
  <c r="CO152" i="1"/>
  <c r="CO159" i="1"/>
  <c r="CO161" i="1" s="1"/>
  <c r="CO273" i="1"/>
  <c r="CO271" i="1" s="1"/>
  <c r="CO276" i="1" s="1"/>
  <c r="CO195" i="1"/>
  <c r="CO122" i="1" s="1"/>
  <c r="CO121" i="1"/>
  <c r="CO226" i="1" l="1"/>
  <c r="CO227" i="1" s="1"/>
  <c r="CO312" i="1" l="1"/>
  <c r="CO310" i="1"/>
  <c r="CP275" i="1"/>
  <c r="CO231" i="1"/>
  <c r="CO232" i="1" s="1"/>
  <c r="CO314" i="1"/>
  <c r="CO234" i="1"/>
  <c r="CO277" i="1"/>
  <c r="CP103" i="1" l="1"/>
  <c r="CO175" i="1"/>
  <c r="CO174" i="1" l="1"/>
  <c r="CO146" i="1" s="1"/>
  <c r="CO173" i="1"/>
  <c r="CO145" i="1" s="1"/>
  <c r="CP318" i="1"/>
  <c r="CP105" i="1"/>
  <c r="AB103" i="1"/>
  <c r="AB318" i="1" l="1"/>
  <c r="AB104" i="1"/>
  <c r="AB105" i="1"/>
  <c r="CP106" i="1"/>
  <c r="AB106" i="1" s="1"/>
  <c r="CO148" i="1"/>
  <c r="CO149" i="1"/>
  <c r="AB107" i="1" l="1"/>
  <c r="CP108" i="1"/>
  <c r="AB108" i="1"/>
  <c r="AB115" i="1" l="1"/>
  <c r="AB110" i="1"/>
  <c r="AB109" i="1"/>
  <c r="AB311" i="1" s="1"/>
  <c r="AB128" i="1"/>
  <c r="CP109" i="1"/>
  <c r="CP311" i="1" s="1"/>
  <c r="CP111" i="1"/>
  <c r="CP110" i="1"/>
  <c r="CP115" i="1"/>
  <c r="CP300" i="1"/>
  <c r="CP293" i="1"/>
  <c r="CP133" i="1" l="1"/>
  <c r="CP259" i="1"/>
  <c r="CP261" i="1" s="1"/>
  <c r="CP265" i="1" s="1"/>
  <c r="CP279" i="1" s="1"/>
  <c r="CP185" i="1"/>
  <c r="AB118" i="1"/>
  <c r="AB119" i="1" s="1"/>
  <c r="AB259" i="1"/>
  <c r="AB261" i="1" s="1"/>
  <c r="AB265" i="1" s="1"/>
  <c r="AB279" i="1" s="1"/>
  <c r="CP186" i="1" l="1"/>
  <c r="AB185" i="1"/>
  <c r="AB186" i="1" s="1"/>
  <c r="CP136" i="1"/>
  <c r="CL156" i="1" s="1"/>
  <c r="AB241" i="1" l="1"/>
  <c r="AB273" i="1"/>
  <c r="AB271" i="1" s="1"/>
  <c r="AB276" i="1" s="1"/>
  <c r="AB195" i="1"/>
  <c r="AB122" i="1" s="1"/>
  <c r="AB121" i="1"/>
  <c r="CP152" i="1"/>
  <c r="CP137" i="1"/>
  <c r="CP139" i="1"/>
  <c r="CP273" i="1"/>
  <c r="CP271" i="1" s="1"/>
  <c r="CP276" i="1" s="1"/>
  <c r="CP195" i="1"/>
  <c r="CP122" i="1" s="1"/>
  <c r="CP159" i="1"/>
  <c r="CP161" i="1" s="1"/>
  <c r="CP121" i="1"/>
  <c r="CP226" i="1" l="1"/>
  <c r="CP227" i="1" l="1"/>
  <c r="AB226" i="1"/>
  <c r="AB227" i="1" s="1"/>
  <c r="AB234" i="1" l="1"/>
  <c r="AB175" i="1" s="1"/>
  <c r="AC275" i="1"/>
  <c r="AB310" i="1"/>
  <c r="AB312" i="1"/>
  <c r="AB231" i="1"/>
  <c r="AB232" i="1" s="1"/>
  <c r="AB314" i="1"/>
  <c r="AB277" i="1"/>
  <c r="CP234" i="1"/>
  <c r="CP310" i="1"/>
  <c r="CQ275" i="1"/>
  <c r="CP231" i="1"/>
  <c r="CP232" i="1" s="1"/>
  <c r="CP312" i="1"/>
  <c r="CP314" i="1"/>
  <c r="CP277" i="1"/>
  <c r="CQ103" i="1" l="1"/>
  <c r="CP175" i="1"/>
  <c r="CP173" i="1" l="1"/>
  <c r="CP145" i="1" s="1"/>
  <c r="CP174" i="1"/>
  <c r="CP146" i="1" s="1"/>
  <c r="CQ318" i="1"/>
  <c r="CQ105" i="1"/>
  <c r="CQ106" i="1" l="1"/>
  <c r="CP149" i="1"/>
  <c r="AB146" i="1"/>
  <c r="CP148" i="1"/>
  <c r="AB145" i="1"/>
  <c r="AB148" i="1" l="1"/>
  <c r="AB149" i="1"/>
  <c r="CQ108" i="1"/>
  <c r="CQ115" i="1" l="1"/>
  <c r="CQ109" i="1"/>
  <c r="CQ311" i="1" s="1"/>
  <c r="CQ111" i="1"/>
  <c r="CQ300" i="1"/>
  <c r="CQ110" i="1"/>
  <c r="CQ293" i="1"/>
  <c r="CQ259" i="1" l="1"/>
  <c r="CQ261" i="1" s="1"/>
  <c r="CQ265" i="1" s="1"/>
  <c r="CQ279" i="1" s="1"/>
  <c r="CQ133" i="1"/>
  <c r="CQ185" i="1"/>
  <c r="CQ186" i="1" l="1"/>
  <c r="CQ136" i="1"/>
  <c r="CQ152" i="1" l="1"/>
  <c r="CQ137" i="1"/>
  <c r="CQ159" i="1"/>
  <c r="CQ161" i="1" s="1"/>
  <c r="CQ273" i="1"/>
  <c r="CQ271" i="1" s="1"/>
  <c r="CQ276" i="1" s="1"/>
  <c r="CQ195" i="1"/>
  <c r="CQ122" i="1" s="1"/>
  <c r="CQ121" i="1"/>
  <c r="CQ226" i="1" l="1"/>
  <c r="CQ227" i="1" s="1"/>
  <c r="CQ310" i="1" l="1"/>
  <c r="CQ234" i="1"/>
  <c r="CQ231" i="1"/>
  <c r="CQ232" i="1" s="1"/>
  <c r="CR275" i="1"/>
  <c r="CQ312" i="1"/>
  <c r="CQ314" i="1"/>
  <c r="CQ277" i="1"/>
  <c r="CR103" i="1" l="1"/>
  <c r="CQ175" i="1"/>
  <c r="CQ174" i="1" l="1"/>
  <c r="CQ146" i="1" s="1"/>
  <c r="CQ173" i="1"/>
  <c r="CQ145" i="1" s="1"/>
  <c r="CR318" i="1"/>
  <c r="CR105" i="1"/>
  <c r="CR106" i="1" l="1"/>
  <c r="CQ148" i="1"/>
  <c r="CQ149" i="1"/>
  <c r="CR108" i="1" l="1"/>
  <c r="CR300" i="1" l="1"/>
  <c r="CR110" i="1"/>
  <c r="CR111" i="1"/>
  <c r="CR115" i="1"/>
  <c r="CR109" i="1"/>
  <c r="CR311" i="1" s="1"/>
  <c r="CR293" i="1"/>
  <c r="CR133" i="1" l="1"/>
  <c r="CR259" i="1"/>
  <c r="CR261" i="1" s="1"/>
  <c r="CR265" i="1" s="1"/>
  <c r="CR279" i="1" s="1"/>
  <c r="CR185" i="1"/>
  <c r="CR186" i="1" l="1"/>
  <c r="CR136" i="1"/>
  <c r="CR152" i="1" l="1"/>
  <c r="CR137" i="1"/>
  <c r="CR195" i="1"/>
  <c r="CR122" i="1" s="1"/>
  <c r="CR159" i="1"/>
  <c r="CR161" i="1" s="1"/>
  <c r="CR273" i="1"/>
  <c r="CR271" i="1" s="1"/>
  <c r="CR276" i="1" s="1"/>
  <c r="CR121" i="1"/>
  <c r="CR226" i="1" l="1"/>
  <c r="CR227" i="1" s="1"/>
  <c r="CR312" i="1" l="1"/>
  <c r="CR310" i="1"/>
  <c r="CS275" i="1"/>
  <c r="CR314" i="1"/>
  <c r="CR234" i="1"/>
  <c r="CR231" i="1"/>
  <c r="CR232" i="1" s="1"/>
  <c r="CR277" i="1"/>
  <c r="CS103" i="1" l="1"/>
  <c r="CR175" i="1"/>
  <c r="CR173" i="1" l="1"/>
  <c r="CR145" i="1" s="1"/>
  <c r="CR174" i="1"/>
  <c r="CR146" i="1" s="1"/>
  <c r="CS318" i="1"/>
  <c r="CS105" i="1"/>
  <c r="CS106" i="1" l="1"/>
  <c r="CR149" i="1"/>
  <c r="CR148" i="1"/>
  <c r="CS108" i="1" l="1"/>
  <c r="CS300" i="1" l="1"/>
  <c r="CS115" i="1"/>
  <c r="CS110" i="1"/>
  <c r="CS111" i="1"/>
  <c r="CS109" i="1"/>
  <c r="CS311" i="1" s="1"/>
  <c r="CS293" i="1"/>
  <c r="CS133" i="1" l="1"/>
  <c r="CS259" i="1"/>
  <c r="CS261" i="1" s="1"/>
  <c r="CS265" i="1" s="1"/>
  <c r="CS279" i="1" s="1"/>
  <c r="CS185" i="1"/>
  <c r="CS186" i="1" l="1"/>
  <c r="CS136" i="1"/>
  <c r="CS152" i="1" l="1"/>
  <c r="CS137" i="1"/>
  <c r="CS195" i="1"/>
  <c r="CS122" i="1" s="1"/>
  <c r="CS273" i="1"/>
  <c r="CS271" i="1" s="1"/>
  <c r="CS276" i="1" s="1"/>
  <c r="CS159" i="1"/>
  <c r="CS161" i="1" s="1"/>
  <c r="CS121" i="1"/>
  <c r="CS226" i="1" l="1"/>
  <c r="CS227" i="1" s="1"/>
  <c r="CS277" i="1" s="1"/>
  <c r="CT275" i="1" l="1"/>
  <c r="CS234" i="1"/>
  <c r="CS231" i="1"/>
  <c r="CS232" i="1" s="1"/>
  <c r="CS310" i="1"/>
  <c r="CS312" i="1"/>
  <c r="CS314" i="1"/>
  <c r="CT103" i="1" l="1"/>
  <c r="CS175" i="1"/>
  <c r="CS174" i="1" l="1"/>
  <c r="CS146" i="1" s="1"/>
  <c r="CS173" i="1"/>
  <c r="CS145" i="1" s="1"/>
  <c r="CT318" i="1"/>
  <c r="CT105" i="1"/>
  <c r="AC103" i="1"/>
  <c r="AC318" i="1" l="1"/>
  <c r="AC104" i="1"/>
  <c r="AC105" i="1"/>
  <c r="CT106" i="1"/>
  <c r="AC106" i="1" s="1"/>
  <c r="CS148" i="1"/>
  <c r="CS149" i="1"/>
  <c r="AC107" i="1" l="1"/>
  <c r="CT108" i="1"/>
  <c r="CT293" i="1" s="1"/>
  <c r="AC108" i="1"/>
  <c r="CT110" i="1" l="1"/>
  <c r="CT111" i="1"/>
  <c r="CT300" i="1"/>
  <c r="CT109" i="1"/>
  <c r="CT311" i="1" s="1"/>
  <c r="CT115" i="1"/>
  <c r="CT185" i="1" s="1"/>
  <c r="AC109" i="1"/>
  <c r="AC311" i="1" s="1"/>
  <c r="AC128" i="1"/>
  <c r="AC115" i="1"/>
  <c r="AC110" i="1"/>
  <c r="CT133" i="1" l="1"/>
  <c r="CT136" i="1" s="1"/>
  <c r="CT259" i="1"/>
  <c r="CT261" i="1" s="1"/>
  <c r="CT265" i="1" s="1"/>
  <c r="CT279" i="1" s="1"/>
  <c r="CT186" i="1"/>
  <c r="AC185" i="1"/>
  <c r="AC186" i="1" s="1"/>
  <c r="AC118" i="1"/>
  <c r="AC119" i="1" s="1"/>
  <c r="AC259" i="1"/>
  <c r="AC261" i="1" s="1"/>
  <c r="AC265" i="1" s="1"/>
  <c r="AC279" i="1" s="1"/>
  <c r="AC241" i="1" l="1"/>
  <c r="AC195" i="1"/>
  <c r="AC122" i="1" s="1"/>
  <c r="AC273" i="1"/>
  <c r="AC271" i="1" s="1"/>
  <c r="AC276" i="1" s="1"/>
  <c r="CT159" i="1"/>
  <c r="CT161" i="1" s="1"/>
  <c r="CT273" i="1"/>
  <c r="CT271" i="1" s="1"/>
  <c r="CT276" i="1" s="1"/>
  <c r="CT195" i="1"/>
  <c r="CT122" i="1" s="1"/>
  <c r="CT121" i="1"/>
  <c r="CT139" i="1"/>
  <c r="CT152" i="1"/>
  <c r="CT137" i="1"/>
  <c r="AC121" i="1"/>
  <c r="CT226" i="1" l="1"/>
  <c r="CT227" i="1" l="1"/>
  <c r="AC226" i="1"/>
  <c r="AC227" i="1" s="1"/>
  <c r="AD275" i="1" l="1"/>
  <c r="AC312" i="1"/>
  <c r="AC314" i="1"/>
  <c r="AC234" i="1"/>
  <c r="AC175" i="1" s="1"/>
  <c r="AC310" i="1"/>
  <c r="AC231" i="1"/>
  <c r="AC232" i="1" s="1"/>
  <c r="AC277" i="1"/>
  <c r="CT234" i="1"/>
  <c r="CT312" i="1"/>
  <c r="CU275" i="1"/>
  <c r="CT231" i="1"/>
  <c r="CT232" i="1" s="1"/>
  <c r="CT314" i="1"/>
  <c r="CT310" i="1"/>
  <c r="CT277" i="1"/>
  <c r="CU103" i="1" l="1"/>
  <c r="CT175" i="1"/>
  <c r="CT174" i="1" l="1"/>
  <c r="CT146" i="1" s="1"/>
  <c r="CT173" i="1"/>
  <c r="CT145" i="1" s="1"/>
  <c r="CU318" i="1"/>
  <c r="CU105" i="1"/>
  <c r="CU106" i="1" l="1"/>
  <c r="CU108" i="1" s="1"/>
  <c r="CT148" i="1"/>
  <c r="AC145" i="1"/>
  <c r="CT149" i="1"/>
  <c r="AC146" i="1"/>
  <c r="AC149" i="1" l="1"/>
  <c r="AC148" i="1"/>
  <c r="CU110" i="1"/>
  <c r="CU111" i="1"/>
  <c r="CU300" i="1"/>
  <c r="CU115" i="1"/>
  <c r="CU109" i="1"/>
  <c r="CU311" i="1" s="1"/>
  <c r="CU293" i="1"/>
  <c r="CU259" i="1" l="1"/>
  <c r="CU261" i="1" s="1"/>
  <c r="CU265" i="1" s="1"/>
  <c r="CU279" i="1" s="1"/>
  <c r="CU133" i="1"/>
  <c r="CU185" i="1"/>
  <c r="CU186" i="1" l="1"/>
  <c r="CU136" i="1"/>
  <c r="CU152" i="1" l="1"/>
  <c r="CU137" i="1"/>
  <c r="CU195" i="1"/>
  <c r="CU122" i="1" s="1"/>
  <c r="CU273" i="1"/>
  <c r="CU271" i="1" s="1"/>
  <c r="CU276" i="1" s="1"/>
  <c r="CU159" i="1"/>
  <c r="CU161" i="1" s="1"/>
  <c r="CU121" i="1"/>
  <c r="CU226" i="1" l="1"/>
  <c r="CU227" i="1" s="1"/>
  <c r="CU312" i="1" l="1"/>
  <c r="CU234" i="1"/>
  <c r="CV275" i="1"/>
  <c r="CU314" i="1"/>
  <c r="CU310" i="1"/>
  <c r="CU231" i="1"/>
  <c r="CU232" i="1" s="1"/>
  <c r="CU277" i="1"/>
  <c r="CV103" i="1" l="1"/>
  <c r="CU175" i="1"/>
  <c r="CU173" i="1" l="1"/>
  <c r="CU145" i="1" s="1"/>
  <c r="CU174" i="1"/>
  <c r="CU146" i="1" s="1"/>
  <c r="CV318" i="1"/>
  <c r="CV105" i="1"/>
  <c r="CV106" i="1" l="1"/>
  <c r="CV108" i="1" s="1"/>
  <c r="CU149" i="1"/>
  <c r="CU148" i="1"/>
  <c r="CV109" i="1" l="1"/>
  <c r="CV311" i="1" s="1"/>
  <c r="CV110" i="1"/>
  <c r="CV111" i="1"/>
  <c r="CV115" i="1"/>
  <c r="CV300" i="1"/>
  <c r="CV293" i="1"/>
  <c r="CV133" i="1" l="1"/>
  <c r="CV259" i="1"/>
  <c r="CV261" i="1" s="1"/>
  <c r="CV265" i="1" s="1"/>
  <c r="CV279" i="1" s="1"/>
  <c r="CV185" i="1"/>
  <c r="CV186" i="1" l="1"/>
  <c r="CV136" i="1"/>
  <c r="CV152" i="1" l="1"/>
  <c r="CV137" i="1"/>
  <c r="CV159" i="1"/>
  <c r="CV161" i="1" s="1"/>
  <c r="CV273" i="1"/>
  <c r="CV271" i="1" s="1"/>
  <c r="CV276" i="1" s="1"/>
  <c r="CV195" i="1"/>
  <c r="CV122" i="1" s="1"/>
  <c r="CV121" i="1"/>
  <c r="CV226" i="1" l="1"/>
  <c r="CV227" i="1" s="1"/>
  <c r="CV314" i="1" l="1"/>
  <c r="CW275" i="1"/>
  <c r="CV312" i="1"/>
  <c r="CV234" i="1"/>
  <c r="CV231" i="1"/>
  <c r="CV232" i="1" s="1"/>
  <c r="CV310" i="1"/>
  <c r="CV277" i="1"/>
  <c r="CW103" i="1" l="1"/>
  <c r="CV175" i="1"/>
  <c r="CV173" i="1" l="1"/>
  <c r="CV145" i="1" s="1"/>
  <c r="CV174" i="1"/>
  <c r="CV146" i="1" s="1"/>
  <c r="CW318" i="1"/>
  <c r="CW105" i="1"/>
  <c r="CW106" i="1" l="1"/>
  <c r="CW108" i="1" s="1"/>
  <c r="CV149" i="1"/>
  <c r="CV148" i="1"/>
  <c r="CW111" i="1" l="1"/>
  <c r="CW109" i="1"/>
  <c r="CW311" i="1" s="1"/>
  <c r="CW110" i="1"/>
  <c r="CW300" i="1"/>
  <c r="CW115" i="1"/>
  <c r="CW293" i="1"/>
  <c r="CW133" i="1" l="1"/>
  <c r="CW259" i="1"/>
  <c r="CW261" i="1" s="1"/>
  <c r="CW265" i="1" s="1"/>
  <c r="CW279" i="1" s="1"/>
  <c r="CW185" i="1"/>
  <c r="CW186" i="1" l="1"/>
  <c r="CW136" i="1"/>
  <c r="CW152" i="1" l="1"/>
  <c r="CW137" i="1"/>
  <c r="CW195" i="1"/>
  <c r="CW122" i="1" s="1"/>
  <c r="CW273" i="1"/>
  <c r="CW271" i="1" s="1"/>
  <c r="CW276" i="1" s="1"/>
  <c r="CW159" i="1"/>
  <c r="CW161" i="1" s="1"/>
  <c r="CW121" i="1"/>
  <c r="CW226" i="1" l="1"/>
  <c r="CW227" i="1" s="1"/>
  <c r="CW234" i="1" l="1"/>
  <c r="CW231" i="1"/>
  <c r="CW232" i="1" s="1"/>
  <c r="CX275" i="1"/>
  <c r="CW312" i="1"/>
  <c r="CW310" i="1"/>
  <c r="CW314" i="1"/>
  <c r="CW277" i="1"/>
  <c r="CW175" i="1" l="1"/>
  <c r="CX103" i="1"/>
  <c r="CX318" i="1" l="1"/>
  <c r="CX105" i="1"/>
  <c r="AD103" i="1"/>
  <c r="CW173" i="1"/>
  <c r="CW145" i="1" s="1"/>
  <c r="CW174" i="1"/>
  <c r="CW146" i="1" s="1"/>
  <c r="CW149" i="1" l="1"/>
  <c r="CW148" i="1"/>
  <c r="AD318" i="1"/>
  <c r="AD104" i="1"/>
  <c r="AD105" i="1"/>
  <c r="CX106" i="1"/>
  <c r="AD106" i="1" s="1"/>
  <c r="AD107" i="1" l="1"/>
  <c r="AD108" i="1"/>
  <c r="CX108" i="1"/>
  <c r="CX115" i="1" l="1"/>
  <c r="CX300" i="1"/>
  <c r="CX110" i="1"/>
  <c r="CX111" i="1"/>
  <c r="CX109" i="1"/>
  <c r="CX311" i="1" s="1"/>
  <c r="CX293" i="1"/>
  <c r="AD115" i="1"/>
  <c r="AD128" i="1"/>
  <c r="AD109" i="1"/>
  <c r="AD311" i="1" s="1"/>
  <c r="AD110" i="1"/>
  <c r="AD259" i="1" l="1"/>
  <c r="AD261" i="1" s="1"/>
  <c r="AD265" i="1" s="1"/>
  <c r="AD279" i="1" s="1"/>
  <c r="AD118" i="1"/>
  <c r="AD119" i="1" s="1"/>
  <c r="CX133" i="1"/>
  <c r="CX259" i="1"/>
  <c r="CX261" i="1" s="1"/>
  <c r="CX265" i="1" s="1"/>
  <c r="CX279" i="1" s="1"/>
  <c r="CX185" i="1"/>
  <c r="CX136" i="1" l="1"/>
  <c r="AD185" i="1"/>
  <c r="AD186" i="1" s="1"/>
  <c r="CX186" i="1"/>
  <c r="CX195" i="1" l="1"/>
  <c r="CX122" i="1" s="1"/>
  <c r="CX159" i="1"/>
  <c r="CX161" i="1" s="1"/>
  <c r="CX273" i="1"/>
  <c r="CX271" i="1" s="1"/>
  <c r="CX276" i="1" s="1"/>
  <c r="CX121" i="1"/>
  <c r="AD195" i="1"/>
  <c r="AD122" i="1" s="1"/>
  <c r="AD241" i="1"/>
  <c r="AD273" i="1"/>
  <c r="AD271" i="1" s="1"/>
  <c r="AD276" i="1" s="1"/>
  <c r="AD121" i="1"/>
  <c r="CX152" i="1"/>
  <c r="CX137" i="1"/>
  <c r="CX226" i="1" l="1"/>
  <c r="CX227" i="1" l="1"/>
  <c r="AD226" i="1"/>
  <c r="AD227" i="1" s="1"/>
  <c r="AD234" i="1" l="1"/>
  <c r="AD175" i="1" s="1"/>
  <c r="AD231" i="1"/>
  <c r="AD232" i="1" s="1"/>
  <c r="AD314" i="1"/>
  <c r="AD310" i="1"/>
  <c r="AD312" i="1"/>
  <c r="AE275" i="1"/>
  <c r="AD277" i="1"/>
  <c r="CX231" i="1"/>
  <c r="CX232" i="1" s="1"/>
  <c r="CX312" i="1"/>
  <c r="CY275" i="1"/>
  <c r="CX234" i="1"/>
  <c r="CX314" i="1"/>
  <c r="CX310" i="1"/>
  <c r="CX277" i="1"/>
  <c r="CY103" i="1" l="1"/>
  <c r="CX175" i="1"/>
  <c r="CX173" i="1" l="1"/>
  <c r="CX145" i="1" s="1"/>
  <c r="CX174" i="1"/>
  <c r="CX146" i="1" s="1"/>
  <c r="CY318" i="1"/>
  <c r="CY105" i="1"/>
  <c r="CY106" i="1" l="1"/>
  <c r="CX149" i="1"/>
  <c r="AD146" i="1"/>
  <c r="CX148" i="1"/>
  <c r="AD145" i="1"/>
  <c r="AD148" i="1" l="1"/>
  <c r="AD149" i="1"/>
  <c r="CY108" i="1"/>
  <c r="CY109" i="1" l="1"/>
  <c r="CY311" i="1" s="1"/>
  <c r="CY300" i="1"/>
  <c r="CY110" i="1"/>
  <c r="CY115" i="1"/>
  <c r="CY111" i="1"/>
  <c r="CY293" i="1"/>
  <c r="CY259" i="1" l="1"/>
  <c r="CY261" i="1" s="1"/>
  <c r="CY265" i="1" s="1"/>
  <c r="CY279" i="1" s="1"/>
  <c r="CY133" i="1"/>
  <c r="CY185" i="1"/>
  <c r="CY186" i="1" l="1"/>
  <c r="CY136" i="1"/>
  <c r="CY152" i="1" l="1"/>
  <c r="CY137" i="1"/>
  <c r="CY159" i="1"/>
  <c r="CY161" i="1" s="1"/>
  <c r="CY195" i="1"/>
  <c r="CY122" i="1" s="1"/>
  <c r="CY273" i="1"/>
  <c r="CY271" i="1" s="1"/>
  <c r="CY276" i="1" s="1"/>
  <c r="CY121" i="1"/>
  <c r="CY226" i="1" l="1"/>
  <c r="CY227" i="1" s="1"/>
  <c r="CY277" i="1" s="1"/>
  <c r="CY310" i="1" l="1"/>
  <c r="CZ275" i="1"/>
  <c r="CY234" i="1"/>
  <c r="CY231" i="1"/>
  <c r="CY232" i="1" s="1"/>
  <c r="CY312" i="1"/>
  <c r="CY314" i="1"/>
  <c r="CZ103" i="1" l="1"/>
  <c r="CY175" i="1"/>
  <c r="CY174" i="1" l="1"/>
  <c r="CY146" i="1" s="1"/>
  <c r="CY173" i="1"/>
  <c r="CY145" i="1" s="1"/>
  <c r="CZ318" i="1"/>
  <c r="CZ105" i="1"/>
  <c r="CZ106" i="1" l="1"/>
  <c r="CY148" i="1"/>
  <c r="CY149" i="1"/>
  <c r="CZ108" i="1" l="1"/>
  <c r="CZ300" i="1" l="1"/>
  <c r="CZ111" i="1"/>
  <c r="CZ110" i="1"/>
  <c r="CZ115" i="1"/>
  <c r="CZ109" i="1"/>
  <c r="CZ311" i="1" s="1"/>
  <c r="CZ293" i="1"/>
  <c r="CZ133" i="1" l="1"/>
  <c r="CZ259" i="1"/>
  <c r="CZ261" i="1" s="1"/>
  <c r="CZ265" i="1" s="1"/>
  <c r="CZ279" i="1" s="1"/>
  <c r="CZ185" i="1"/>
  <c r="CZ186" i="1" l="1"/>
  <c r="CZ136" i="1"/>
  <c r="CZ152" i="1" l="1"/>
  <c r="CZ137" i="1"/>
  <c r="CZ195" i="1"/>
  <c r="CZ122" i="1" s="1"/>
  <c r="CZ273" i="1"/>
  <c r="CZ271" i="1" s="1"/>
  <c r="CZ276" i="1" s="1"/>
  <c r="CZ159" i="1"/>
  <c r="CZ161" i="1" s="1"/>
  <c r="CZ121" i="1"/>
  <c r="CZ226" i="1" l="1"/>
  <c r="CZ227" i="1" s="1"/>
  <c r="CZ277" i="1" s="1"/>
  <c r="DA275" i="1" l="1"/>
  <c r="CZ234" i="1"/>
  <c r="CZ231" i="1"/>
  <c r="CZ232" i="1" s="1"/>
  <c r="CZ314" i="1"/>
  <c r="CZ310" i="1"/>
  <c r="CZ312" i="1"/>
  <c r="DA103" i="1" l="1"/>
  <c r="CZ175" i="1"/>
  <c r="CZ173" i="1" l="1"/>
  <c r="CZ145" i="1" s="1"/>
  <c r="CZ174" i="1"/>
  <c r="CZ146" i="1" s="1"/>
  <c r="DA318" i="1"/>
  <c r="DA105" i="1"/>
  <c r="DA106" i="1" l="1"/>
  <c r="DA108" i="1" s="1"/>
  <c r="CZ149" i="1"/>
  <c r="CZ148" i="1"/>
  <c r="DA300" i="1" l="1"/>
  <c r="DA111" i="1"/>
  <c r="DA110" i="1"/>
  <c r="DA115" i="1"/>
  <c r="DA109" i="1"/>
  <c r="DA311" i="1" s="1"/>
  <c r="DA293" i="1"/>
  <c r="DA133" i="1" l="1"/>
  <c r="DA259" i="1"/>
  <c r="DA261" i="1" s="1"/>
  <c r="DA265" i="1" s="1"/>
  <c r="DA279" i="1" s="1"/>
  <c r="DA185" i="1"/>
  <c r="DA186" i="1" l="1"/>
  <c r="DA136" i="1"/>
  <c r="DA152" i="1" l="1"/>
  <c r="DA137" i="1"/>
  <c r="DA159" i="1"/>
  <c r="DA161" i="1" s="1"/>
  <c r="DA195" i="1"/>
  <c r="DA122" i="1" s="1"/>
  <c r="DA273" i="1"/>
  <c r="DA271" i="1" s="1"/>
  <c r="DA276" i="1" s="1"/>
  <c r="DA121" i="1"/>
  <c r="DA226" i="1" l="1"/>
  <c r="DA227" i="1" s="1"/>
  <c r="DA312" i="1" l="1"/>
  <c r="DA234" i="1"/>
  <c r="DA310" i="1"/>
  <c r="DA314" i="1"/>
  <c r="DB275" i="1"/>
  <c r="DA231" i="1"/>
  <c r="DA232" i="1" s="1"/>
  <c r="DA277" i="1"/>
  <c r="DA175" i="1" l="1"/>
  <c r="DB103" i="1"/>
  <c r="DB318" i="1" l="1"/>
  <c r="DB105" i="1"/>
  <c r="AE103" i="1"/>
  <c r="DA173" i="1"/>
  <c r="DA145" i="1" s="1"/>
  <c r="DA174" i="1"/>
  <c r="DA146" i="1" s="1"/>
  <c r="DA149" i="1" l="1"/>
  <c r="DA148" i="1"/>
  <c r="AE104" i="1"/>
  <c r="AE318" i="1"/>
  <c r="AE105" i="1"/>
  <c r="DB106" i="1"/>
  <c r="AE106" i="1" s="1"/>
  <c r="AE108" i="1" l="1"/>
  <c r="AE110" i="1" s="1"/>
  <c r="DB108" i="1"/>
  <c r="DB109" i="1" s="1"/>
  <c r="DB311" i="1" s="1"/>
  <c r="AE107" i="1"/>
  <c r="AE109" i="1" l="1"/>
  <c r="AE311" i="1" s="1"/>
  <c r="AE115" i="1"/>
  <c r="AE259" i="1" s="1"/>
  <c r="AE261" i="1" s="1"/>
  <c r="AE265" i="1" s="1"/>
  <c r="AE279" i="1" s="1"/>
  <c r="DB293" i="1"/>
  <c r="DB111" i="1"/>
  <c r="DB115" i="1"/>
  <c r="DB259" i="1" s="1"/>
  <c r="DB261" i="1" s="1"/>
  <c r="DB265" i="1" s="1"/>
  <c r="DB279" i="1" s="1"/>
  <c r="DB110" i="1"/>
  <c r="DB300" i="1"/>
  <c r="AE128" i="1"/>
  <c r="AE118" i="1" l="1"/>
  <c r="AE119" i="1" s="1"/>
  <c r="DB185" i="1"/>
  <c r="AE185" i="1" s="1"/>
  <c r="AE186" i="1" s="1"/>
  <c r="DB133" i="1"/>
  <c r="DB136" i="1" s="1"/>
  <c r="DB152" i="1" s="1"/>
  <c r="DB137" i="1" l="1"/>
  <c r="DB186" i="1"/>
  <c r="DB159" i="1" s="1"/>
  <c r="DB161" i="1" s="1"/>
  <c r="AE273" i="1"/>
  <c r="AE271" i="1" s="1"/>
  <c r="AE276" i="1" s="1"/>
  <c r="AE241" i="1"/>
  <c r="AE195" i="1"/>
  <c r="AE122" i="1" s="1"/>
  <c r="AE121" i="1"/>
  <c r="DB273" i="1" l="1"/>
  <c r="DB271" i="1" s="1"/>
  <c r="DB276" i="1" s="1"/>
  <c r="DB226" i="1" s="1"/>
  <c r="DB195" i="1"/>
  <c r="DB122" i="1" s="1"/>
  <c r="DB121" i="1"/>
  <c r="AE226" i="1" l="1"/>
  <c r="AE227" i="1" s="1"/>
  <c r="DB227" i="1"/>
  <c r="DB314" i="1" l="1"/>
  <c r="DB234" i="1"/>
  <c r="DB175" i="1" s="1"/>
  <c r="DB312" i="1"/>
  <c r="DB231" i="1"/>
  <c r="DB232" i="1" s="1"/>
  <c r="DB310" i="1"/>
  <c r="DB277" i="1"/>
  <c r="AE231" i="1"/>
  <c r="AE232" i="1" s="1"/>
  <c r="AE314" i="1"/>
  <c r="AE310" i="1"/>
  <c r="AE234" i="1"/>
  <c r="AE175" i="1" s="1"/>
  <c r="AE312" i="1"/>
  <c r="AE277" i="1"/>
  <c r="DB173" i="1" l="1"/>
  <c r="DB145" i="1" s="1"/>
  <c r="DB174" i="1"/>
  <c r="DB146" i="1" s="1"/>
  <c r="DB149" i="1" l="1"/>
  <c r="AE146" i="1"/>
  <c r="DB148" i="1"/>
  <c r="AE145" i="1"/>
  <c r="AE148" i="1" l="1"/>
  <c r="AE149" i="1"/>
  <c r="AA130" i="1" l="1"/>
  <c r="AB130" i="1"/>
  <c r="AA132" i="1"/>
  <c r="AA133" i="1"/>
  <c r="AA136" i="1"/>
  <c r="AA137" i="1"/>
  <c r="AA153" i="1"/>
  <c r="AA174" i="1"/>
  <c r="AA177" i="1"/>
  <c r="Z130" i="1"/>
  <c r="Y130" i="1"/>
  <c r="X130" i="1"/>
  <c r="X132" i="1"/>
  <c r="X133" i="1"/>
  <c r="X136" i="1"/>
  <c r="X152" i="1"/>
  <c r="W130" i="1"/>
  <c r="V130" i="1"/>
  <c r="V132" i="1"/>
  <c r="V166" i="1"/>
  <c r="V171" i="1"/>
  <c r="U130" i="1"/>
  <c r="T130" i="1"/>
  <c r="S130" i="1"/>
  <c r="R130" i="1"/>
  <c r="Q130" i="1"/>
  <c r="Q132" i="1"/>
  <c r="Q166" i="1"/>
  <c r="Q170" i="1"/>
  <c r="W156" i="1"/>
  <c r="AC130" i="1"/>
  <c r="AC132" i="1"/>
  <c r="AC166" i="1"/>
  <c r="P130" i="1"/>
  <c r="O130" i="1"/>
  <c r="N130" i="1"/>
  <c r="M130" i="1"/>
  <c r="L130" i="1"/>
  <c r="K130" i="1"/>
  <c r="J130" i="1"/>
  <c r="I130" i="1"/>
  <c r="H130" i="1"/>
  <c r="H132" i="1"/>
  <c r="H174" i="1"/>
  <c r="AC133" i="1"/>
  <c r="AA131" i="1"/>
  <c r="AB131" i="1"/>
  <c r="Z131" i="1"/>
  <c r="Y131" i="1"/>
  <c r="X131" i="1"/>
  <c r="W131" i="1"/>
  <c r="V131" i="1"/>
  <c r="U131" i="1"/>
  <c r="T131" i="1"/>
  <c r="S131" i="1"/>
  <c r="R131" i="1"/>
  <c r="Q131" i="1"/>
  <c r="P131" i="1"/>
  <c r="U132" i="1"/>
  <c r="U133" i="1"/>
  <c r="U136" i="1"/>
  <c r="U153" i="1"/>
  <c r="AD130" i="1"/>
  <c r="AD132" i="1"/>
  <c r="AD133" i="1"/>
  <c r="AD136" i="1"/>
  <c r="AD154" i="1"/>
  <c r="M132" i="1"/>
  <c r="M133" i="1"/>
  <c r="M136" i="1"/>
  <c r="L156" i="1"/>
  <c r="I132" i="1"/>
  <c r="I133" i="1"/>
  <c r="I135" i="1"/>
  <c r="P132" i="1"/>
  <c r="P166" i="1"/>
  <c r="P170" i="1"/>
  <c r="R132" i="1"/>
  <c r="R159" i="1"/>
  <c r="R163" i="1"/>
  <c r="O132" i="1"/>
  <c r="O174" i="1"/>
  <c r="O177" i="1"/>
  <c r="O180" i="1"/>
  <c r="V174" i="1"/>
  <c r="V177" i="1"/>
  <c r="V180" i="1"/>
  <c r="W132" i="1"/>
  <c r="W133" i="1"/>
  <c r="W136" i="1"/>
  <c r="W152" i="1"/>
  <c r="W153" i="1"/>
  <c r="X137" i="1"/>
  <c r="L132" i="1"/>
  <c r="L133" i="1"/>
  <c r="L136" i="1"/>
  <c r="R162" i="1"/>
  <c r="Q174" i="1"/>
  <c r="Q177" i="1"/>
  <c r="Q180" i="1"/>
  <c r="AC169" i="1"/>
  <c r="V133" i="1"/>
  <c r="V136" i="1"/>
  <c r="V137" i="1"/>
  <c r="O173" i="1"/>
  <c r="O176" i="1"/>
  <c r="O179" i="1"/>
  <c r="K132" i="1"/>
  <c r="K159" i="1"/>
  <c r="K161" i="1"/>
  <c r="K166" i="1"/>
  <c r="K169" i="1"/>
  <c r="V156" i="1"/>
  <c r="AD173" i="1"/>
  <c r="AD176" i="1"/>
  <c r="AD179" i="1"/>
  <c r="L166" i="1"/>
  <c r="R174" i="1"/>
  <c r="G130" i="1"/>
  <c r="G132" i="1"/>
  <c r="G173" i="1"/>
  <c r="G176" i="1"/>
  <c r="G179" i="1"/>
  <c r="AA154" i="1"/>
  <c r="W166" i="1"/>
  <c r="W135" i="1"/>
  <c r="U152" i="1"/>
  <c r="M154" i="1"/>
  <c r="Z132" i="1"/>
  <c r="Z173" i="1"/>
  <c r="Z176" i="1"/>
  <c r="AC174" i="1"/>
  <c r="M135" i="1"/>
  <c r="M166" i="1"/>
  <c r="M170" i="1"/>
  <c r="AD174" i="1"/>
  <c r="AB132" i="1"/>
  <c r="O133" i="1"/>
  <c r="W154" i="1"/>
  <c r="X154" i="1"/>
  <c r="AA180" i="1"/>
  <c r="I174" i="1"/>
  <c r="N132" i="1"/>
  <c r="N133" i="1"/>
  <c r="N136" i="1"/>
  <c r="N154" i="1"/>
  <c r="K174" i="1"/>
  <c r="U174" i="1"/>
  <c r="AA166" i="1"/>
  <c r="X166" i="1"/>
  <c r="X169" i="1"/>
  <c r="V173" i="1"/>
  <c r="P173" i="1"/>
  <c r="G133" i="1"/>
  <c r="G136" i="1"/>
  <c r="G153" i="1"/>
  <c r="Z133" i="1"/>
  <c r="Z136" i="1"/>
  <c r="Z137" i="1"/>
  <c r="T156" i="1"/>
  <c r="K171" i="1"/>
  <c r="W174" i="1"/>
  <c r="V169" i="1"/>
  <c r="Q173" i="1"/>
  <c r="AA152" i="1"/>
  <c r="X173" i="1"/>
  <c r="M137" i="1"/>
  <c r="T132" i="1"/>
  <c r="T133" i="1"/>
  <c r="R173" i="1"/>
  <c r="L153" i="1"/>
  <c r="R161" i="1"/>
  <c r="V159" i="1"/>
  <c r="AC173" i="1"/>
  <c r="AC176" i="1"/>
  <c r="V153" i="1"/>
  <c r="S132" i="1"/>
  <c r="S133" i="1"/>
  <c r="S136" i="1"/>
  <c r="S152" i="1"/>
  <c r="AC171" i="1"/>
  <c r="I173" i="1"/>
  <c r="I176" i="1"/>
  <c r="I179" i="1"/>
  <c r="W137" i="1"/>
  <c r="AD153" i="1"/>
  <c r="L174" i="1"/>
  <c r="L177" i="1"/>
  <c r="P171" i="1"/>
  <c r="M153" i="1"/>
  <c r="Z159" i="1"/>
  <c r="Z161" i="1"/>
  <c r="P133" i="1"/>
  <c r="P136" i="1"/>
  <c r="Q133" i="1"/>
  <c r="Q136" i="1"/>
  <c r="U173" i="1"/>
  <c r="U176" i="1"/>
  <c r="N166" i="1"/>
  <c r="N171" i="1"/>
  <c r="Q159" i="1"/>
  <c r="Q163" i="1"/>
  <c r="AD159" i="1"/>
  <c r="AD162" i="1"/>
  <c r="J132" i="1"/>
  <c r="J166" i="1"/>
  <c r="P154" i="1"/>
  <c r="O156" i="1"/>
  <c r="L152" i="1"/>
  <c r="S154" i="1"/>
  <c r="L180" i="1"/>
  <c r="S153" i="1"/>
  <c r="Q154" i="1"/>
  <c r="Y132" i="1"/>
  <c r="Y159" i="1"/>
  <c r="Y161" i="1"/>
  <c r="AC135" i="1"/>
  <c r="M173" i="1"/>
  <c r="J171" i="1"/>
  <c r="O131" i="1"/>
  <c r="N131" i="1"/>
  <c r="M131" i="1"/>
  <c r="L131" i="1"/>
  <c r="K131" i="1"/>
  <c r="K170" i="1"/>
  <c r="J159" i="1"/>
  <c r="J161" i="1"/>
  <c r="Z163" i="1"/>
  <c r="F130" i="1"/>
  <c r="E130" i="1"/>
  <c r="E132" i="1"/>
  <c r="E159" i="1"/>
  <c r="E163" i="1"/>
  <c r="AC136" i="1"/>
  <c r="AB156" i="1"/>
  <c r="I136" i="1"/>
  <c r="P169" i="1"/>
  <c r="G159" i="1"/>
  <c r="V154" i="1"/>
  <c r="M159" i="1"/>
  <c r="E166" i="1"/>
  <c r="E169" i="1"/>
  <c r="N152" i="1"/>
  <c r="V152" i="1"/>
  <c r="H173" i="1"/>
  <c r="N153" i="1"/>
  <c r="AB173" i="1"/>
  <c r="L173" i="1"/>
  <c r="J163" i="1"/>
  <c r="U166" i="1"/>
  <c r="S166" i="1"/>
  <c r="Z156" i="1"/>
  <c r="AD152" i="1"/>
  <c r="L135" i="1"/>
  <c r="U159" i="1"/>
  <c r="V170" i="1"/>
  <c r="N170" i="1"/>
  <c r="U161" i="1"/>
  <c r="T166" i="1"/>
  <c r="T170" i="1"/>
  <c r="Z179" i="1"/>
  <c r="AC177" i="1"/>
  <c r="AE130" i="1"/>
  <c r="AE132" i="1"/>
  <c r="AE174" i="1"/>
  <c r="AE177" i="1"/>
  <c r="E133" i="1"/>
  <c r="E136" i="1"/>
  <c r="E137" i="1"/>
  <c r="J174" i="1"/>
  <c r="W169" i="1"/>
  <c r="X135" i="1"/>
  <c r="F132" i="1"/>
  <c r="F133" i="1"/>
  <c r="F136" i="1"/>
  <c r="F152" i="1"/>
  <c r="N159" i="1"/>
  <c r="N163" i="1"/>
  <c r="H159" i="1"/>
  <c r="V176" i="1"/>
  <c r="S137" i="1"/>
  <c r="Y173" i="1"/>
  <c r="Y176" i="1"/>
  <c r="Y179" i="1"/>
  <c r="G154" i="1"/>
  <c r="G166" i="1"/>
  <c r="G171" i="1"/>
  <c r="AD177" i="1"/>
  <c r="AC159" i="1"/>
  <c r="N173" i="1"/>
  <c r="O135" i="1"/>
  <c r="X174" i="1"/>
  <c r="N135" i="1"/>
  <c r="T136" i="1"/>
  <c r="AD137" i="1"/>
  <c r="X177" i="1"/>
  <c r="H166" i="1"/>
  <c r="K133" i="1"/>
  <c r="Z166" i="1"/>
  <c r="K163" i="1"/>
  <c r="J169" i="1"/>
  <c r="Z162" i="1"/>
  <c r="K136" i="1"/>
  <c r="K154" i="1"/>
  <c r="AB166" i="1"/>
  <c r="H133" i="1"/>
  <c r="H136" i="1"/>
  <c r="H137" i="1"/>
  <c r="T174" i="1"/>
  <c r="T177" i="1"/>
  <c r="T180" i="1"/>
  <c r="I159" i="1"/>
  <c r="W177" i="1"/>
  <c r="AC154" i="1"/>
  <c r="F173" i="1"/>
  <c r="F174" i="1"/>
  <c r="F177" i="1"/>
  <c r="F180" i="1"/>
  <c r="P176" i="1"/>
  <c r="E161" i="1"/>
  <c r="G169" i="1"/>
  <c r="G174" i="1"/>
  <c r="G177" i="1"/>
  <c r="Y174" i="1"/>
  <c r="M174" i="1"/>
  <c r="Q171" i="1"/>
  <c r="Z135" i="1"/>
  <c r="AA159" i="1"/>
  <c r="Y133" i="1"/>
  <c r="X159" i="1"/>
  <c r="X153" i="1"/>
  <c r="AB159" i="1"/>
  <c r="AB162" i="1"/>
  <c r="Z174" i="1"/>
  <c r="Z177" i="1"/>
  <c r="Z180" i="1"/>
  <c r="T135" i="1"/>
  <c r="R176" i="1"/>
  <c r="S174" i="1"/>
  <c r="J131" i="1"/>
  <c r="I131" i="1"/>
  <c r="H131" i="1"/>
  <c r="G131" i="1"/>
  <c r="F131" i="1"/>
  <c r="N137" i="1"/>
  <c r="E173" i="1"/>
  <c r="G162" i="1"/>
  <c r="W159" i="1"/>
  <c r="AE166" i="1"/>
  <c r="AE171" i="1"/>
  <c r="V161" i="1"/>
  <c r="AC179" i="1"/>
  <c r="U135" i="1"/>
  <c r="AC131" i="1"/>
  <c r="AD131" i="1"/>
  <c r="AE131" i="1"/>
  <c r="AB161" i="1"/>
  <c r="U156" i="1"/>
  <c r="P159" i="1"/>
  <c r="P161" i="1"/>
  <c r="J162" i="1"/>
  <c r="R133" i="1"/>
  <c r="R135" i="1"/>
  <c r="L154" i="1"/>
  <c r="U154" i="1"/>
  <c r="Q135" i="1"/>
  <c r="AC162" i="1"/>
  <c r="L137" i="1"/>
  <c r="AC163" i="1"/>
  <c r="K156" i="1"/>
  <c r="P174" i="1"/>
  <c r="P177" i="1"/>
  <c r="P180" i="1"/>
  <c r="R156" i="1"/>
  <c r="V135" i="1"/>
  <c r="I154" i="1"/>
  <c r="Z154" i="1"/>
  <c r="T173" i="1"/>
  <c r="T176" i="1"/>
  <c r="T179" i="1"/>
  <c r="AC137" i="1"/>
  <c r="P163" i="1"/>
  <c r="Y162" i="1"/>
  <c r="Y156" i="1"/>
  <c r="E162" i="1"/>
  <c r="J173" i="1"/>
  <c r="J176" i="1"/>
  <c r="J179" i="1"/>
  <c r="J133" i="1"/>
  <c r="AC156" i="1"/>
  <c r="R166" i="1"/>
  <c r="F176" i="1"/>
  <c r="I163" i="1"/>
  <c r="Y136" i="1"/>
  <c r="Q161" i="1"/>
  <c r="AD163" i="1"/>
  <c r="AE173" i="1"/>
  <c r="AB171" i="1"/>
  <c r="AC152" i="1"/>
  <c r="AC170" i="1"/>
  <c r="K177" i="1"/>
  <c r="AE159" i="1"/>
  <c r="AA135" i="1"/>
  <c r="G137" i="1"/>
  <c r="Z152" i="1"/>
  <c r="R179" i="1"/>
  <c r="AB133" i="1"/>
  <c r="P153" i="1"/>
  <c r="T159" i="1"/>
  <c r="O136" i="1"/>
  <c r="O154" i="1"/>
  <c r="N174" i="1"/>
  <c r="K162" i="1"/>
  <c r="AD135" i="1"/>
  <c r="AC180" i="1"/>
  <c r="S173" i="1"/>
  <c r="T163" i="1"/>
  <c r="P152" i="1"/>
  <c r="E170" i="1"/>
  <c r="I153" i="1"/>
  <c r="S169" i="1"/>
  <c r="Y153" i="1"/>
  <c r="Q162" i="1"/>
  <c r="AB176" i="1"/>
  <c r="AB179" i="1"/>
  <c r="K173" i="1"/>
  <c r="T171" i="1"/>
  <c r="Y166" i="1"/>
  <c r="V162" i="1"/>
  <c r="Y171" i="1"/>
  <c r="N156" i="1"/>
  <c r="Z153" i="1"/>
  <c r="U179" i="1"/>
  <c r="Q153" i="1"/>
  <c r="T162" i="1"/>
  <c r="E156" i="1"/>
  <c r="AB136" i="1"/>
  <c r="AB152" i="1"/>
  <c r="AB153" i="1"/>
  <c r="K176" i="1"/>
  <c r="K179" i="1"/>
  <c r="I177" i="1"/>
  <c r="I180" i="1"/>
  <c r="K180" i="1"/>
  <c r="W162" i="1"/>
  <c r="W163" i="1"/>
  <c r="E154" i="1"/>
  <c r="U162" i="1"/>
  <c r="Y169" i="1"/>
  <c r="AB137" i="1"/>
  <c r="F166" i="1"/>
  <c r="F171" i="1"/>
  <c r="AB135" i="1"/>
  <c r="V179" i="1"/>
  <c r="H163" i="1"/>
  <c r="H162" i="1"/>
  <c r="H161" i="1"/>
  <c r="M171" i="1"/>
  <c r="M169" i="1"/>
  <c r="H135" i="1"/>
  <c r="H156" i="1"/>
  <c r="Z170" i="1"/>
  <c r="G161" i="1"/>
  <c r="K137" i="1"/>
  <c r="AB163" i="1"/>
  <c r="E153" i="1"/>
  <c r="AB154" i="1"/>
  <c r="S159" i="1"/>
  <c r="G170" i="1"/>
  <c r="I152" i="1"/>
  <c r="P162" i="1"/>
  <c r="F153" i="1"/>
  <c r="T161" i="1"/>
  <c r="F159" i="1"/>
  <c r="F161" i="1"/>
  <c r="T153" i="1"/>
  <c r="T154" i="1"/>
  <c r="K152" i="1"/>
  <c r="U177" i="1"/>
  <c r="X176" i="1"/>
  <c r="Q169" i="1"/>
  <c r="Y135" i="1"/>
  <c r="H176" i="1"/>
  <c r="AA170" i="1"/>
  <c r="Y137" i="1"/>
  <c r="Z171" i="1"/>
  <c r="AD180" i="1"/>
  <c r="P135" i="1"/>
  <c r="H154" i="1"/>
  <c r="S176" i="1"/>
  <c r="S179" i="1"/>
  <c r="AE169" i="1"/>
  <c r="F137" i="1"/>
  <c r="E171" i="1"/>
  <c r="AA156" i="1"/>
  <c r="R169" i="1"/>
  <c r="T137" i="1"/>
  <c r="T152" i="1"/>
  <c r="S156" i="1"/>
  <c r="S177" i="1"/>
  <c r="S180" i="1"/>
  <c r="G180" i="1"/>
  <c r="AA161" i="1"/>
  <c r="G156" i="1"/>
  <c r="G163" i="1"/>
  <c r="AB170" i="1"/>
  <c r="X156" i="1"/>
  <c r="X161" i="1"/>
  <c r="L176" i="1"/>
  <c r="L179" i="1"/>
  <c r="L170" i="1"/>
  <c r="L169" i="1"/>
  <c r="H152" i="1"/>
  <c r="E131" i="1"/>
  <c r="R171" i="1"/>
  <c r="I162" i="1"/>
  <c r="N161" i="1"/>
  <c r="U170" i="1"/>
  <c r="N162" i="1"/>
  <c r="S161" i="1"/>
  <c r="AE162" i="1"/>
  <c r="R177" i="1"/>
  <c r="R180" i="1"/>
  <c r="M161" i="1"/>
  <c r="E152" i="1"/>
  <c r="F135" i="1"/>
  <c r="AE161" i="1"/>
  <c r="H179" i="1"/>
  <c r="S170" i="1"/>
  <c r="S163" i="1"/>
  <c r="X179" i="1"/>
  <c r="S162" i="1"/>
  <c r="U180" i="1"/>
  <c r="F179" i="1"/>
  <c r="R136" i="1"/>
  <c r="W180" i="1"/>
  <c r="H177" i="1"/>
  <c r="AA163" i="1"/>
  <c r="L159" i="1"/>
  <c r="AE176" i="1"/>
  <c r="M162" i="1"/>
  <c r="Y163" i="1"/>
  <c r="G152" i="1"/>
  <c r="M152" i="1"/>
  <c r="Y177" i="1"/>
  <c r="AA173" i="1"/>
  <c r="W171" i="1"/>
  <c r="Z169" i="1"/>
  <c r="F162" i="1"/>
  <c r="U137" i="1"/>
  <c r="U163" i="1"/>
  <c r="I166" i="1"/>
  <c r="U169" i="1"/>
  <c r="AE133" i="1"/>
  <c r="AE136" i="1"/>
  <c r="N169" i="1"/>
  <c r="M176" i="1"/>
  <c r="O159" i="1"/>
  <c r="AD166" i="1"/>
  <c r="N177" i="1"/>
  <c r="N180" i="1"/>
  <c r="W173" i="1"/>
  <c r="O166" i="1"/>
  <c r="R152" i="1"/>
  <c r="J177" i="1"/>
  <c r="E176" i="1"/>
  <c r="AE135" i="1"/>
  <c r="S171" i="1"/>
  <c r="AA169" i="1"/>
  <c r="AD170" i="1"/>
  <c r="H171" i="1"/>
  <c r="Q152" i="1"/>
  <c r="P137" i="1"/>
  <c r="N176" i="1"/>
  <c r="N179" i="1"/>
  <c r="AC153" i="1"/>
  <c r="T169" i="1"/>
  <c r="AB174" i="1"/>
  <c r="E174" i="1"/>
  <c r="E177" i="1"/>
  <c r="W161" i="1"/>
  <c r="J136" i="1"/>
  <c r="AE170" i="1"/>
  <c r="Q176" i="1"/>
  <c r="L171" i="1"/>
  <c r="L161" i="1"/>
  <c r="AE163" i="1"/>
  <c r="O153" i="1"/>
  <c r="W170" i="1"/>
  <c r="M177" i="1"/>
  <c r="J170" i="1"/>
  <c r="P156" i="1"/>
  <c r="AB169" i="1"/>
  <c r="M163" i="1"/>
  <c r="X163" i="1"/>
  <c r="X171" i="1"/>
  <c r="Q137" i="1"/>
  <c r="F163" i="1"/>
  <c r="U171" i="1"/>
  <c r="F156" i="1"/>
  <c r="F154" i="1"/>
  <c r="F169" i="1"/>
  <c r="AE180" i="1"/>
  <c r="W176" i="1"/>
  <c r="W179" i="1"/>
  <c r="S135" i="1"/>
  <c r="D156" i="1"/>
  <c r="O137" i="1"/>
  <c r="I161" i="1"/>
  <c r="G135" i="1"/>
  <c r="X180" i="1"/>
  <c r="AA176" i="1"/>
  <c r="AA179" i="1"/>
  <c r="X170" i="1"/>
  <c r="AA171" i="1"/>
  <c r="H169" i="1"/>
  <c r="AD161" i="1"/>
  <c r="H153" i="1"/>
  <c r="I137" i="1"/>
  <c r="M156" i="1"/>
  <c r="V163" i="1"/>
  <c r="F170" i="1"/>
  <c r="J135" i="1"/>
  <c r="Y152" i="1"/>
  <c r="R170" i="1"/>
  <c r="X162" i="1"/>
  <c r="P179" i="1"/>
  <c r="Y180" i="1"/>
  <c r="K135" i="1"/>
  <c r="AC161" i="1"/>
  <c r="AE154" i="1"/>
  <c r="O152" i="1"/>
  <c r="O161" i="1"/>
  <c r="O171" i="1"/>
  <c r="I170" i="1"/>
  <c r="L163" i="1"/>
  <c r="Y154" i="1"/>
  <c r="H170" i="1"/>
  <c r="K153" i="1"/>
  <c r="L162" i="1"/>
  <c r="AA162" i="1"/>
  <c r="Y170" i="1"/>
  <c r="AB177" i="1"/>
  <c r="AB180" i="1"/>
  <c r="J156" i="1"/>
  <c r="Q179" i="1"/>
  <c r="M180" i="1"/>
  <c r="M179" i="1"/>
  <c r="I171" i="1"/>
  <c r="H180" i="1"/>
  <c r="E180" i="1"/>
  <c r="O163" i="1"/>
  <c r="O170" i="1"/>
  <c r="AD156" i="1"/>
  <c r="I156" i="1"/>
  <c r="AE152" i="1"/>
  <c r="AE179" i="1"/>
  <c r="AD171" i="1"/>
  <c r="Q156" i="1"/>
  <c r="AE137" i="1"/>
  <c r="J153" i="1"/>
  <c r="J154" i="1"/>
  <c r="J152" i="1"/>
  <c r="J137" i="1"/>
  <c r="R153" i="1"/>
  <c r="AE153" i="1"/>
  <c r="R137" i="1"/>
  <c r="O169" i="1"/>
  <c r="O162" i="1"/>
  <c r="R154" i="1"/>
  <c r="E179" i="1"/>
  <c r="I169" i="1"/>
  <c r="E135" i="1"/>
  <c r="J180" i="1"/>
  <c r="AD16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Saqib Khan</author>
    <author>Dinesh kumar</author>
  </authors>
  <commentList>
    <comment ref="CK1" authorId="0" shapeId="0" xr:uid="{765661DB-C6BD-415B-956A-8BCEE00E5B5B}">
      <text>
        <r>
          <rPr>
            <b/>
            <sz val="9"/>
            <color indexed="81"/>
            <rFont val="Tahoma"/>
            <family val="2"/>
          </rPr>
          <t>For the MDO operations-</t>
        </r>
        <r>
          <rPr>
            <sz val="9"/>
            <color indexed="81"/>
            <rFont val="Tahoma"/>
            <family val="2"/>
          </rPr>
          <t xml:space="preserve">the company had only guided for the numbers taken in estimates &amp; the margins expansion till 32% would be happen &amp;FY28 will be peak &amp; thenit migh pleateu --&gt; the co has visibilty of this as the MDO contracts would be multi year
</t>
        </r>
        <r>
          <rPr>
            <b/>
            <sz val="9"/>
            <color indexed="81"/>
            <rFont val="Tahoma"/>
            <family val="2"/>
          </rPr>
          <t>Copper</t>
        </r>
        <r>
          <rPr>
            <sz val="9"/>
            <color indexed="81"/>
            <rFont val="Tahoma"/>
            <family val="2"/>
          </rPr>
          <t xml:space="preserve">--&gt; the co has copper business but it is very small currently(till FY30)
</t>
        </r>
        <r>
          <rPr>
            <b/>
            <sz val="9"/>
            <color indexed="81"/>
            <rFont val="Tahoma"/>
            <family val="2"/>
          </rPr>
          <t>Iron--&gt;</t>
        </r>
        <r>
          <rPr>
            <sz val="9"/>
            <color indexed="81"/>
            <rFont val="Tahoma"/>
            <family val="2"/>
          </rPr>
          <t xml:space="preserve">They have removed BHQ along with iron ore this time so it is there in costing but not able to sell it 
</t>
        </r>
        <r>
          <rPr>
            <b/>
            <sz val="9"/>
            <color indexed="81"/>
            <rFont val="Tahoma"/>
            <family val="2"/>
          </rPr>
          <t>Pellet</t>
        </r>
        <r>
          <rPr>
            <sz val="9"/>
            <color indexed="81"/>
            <rFont val="Tahoma"/>
            <family val="2"/>
          </rPr>
          <t xml:space="preserve">--&gt;Iron ore used for making1 tonne pellets is 1.2x
</t>
        </r>
        <r>
          <rPr>
            <b/>
            <sz val="9"/>
            <color indexed="81"/>
            <rFont val="Tahoma"/>
            <family val="2"/>
          </rPr>
          <t>DRI</t>
        </r>
        <r>
          <rPr>
            <sz val="9"/>
            <color indexed="81"/>
            <rFont val="Tahoma"/>
            <family val="2"/>
          </rPr>
          <t xml:space="preserve">--&gt;Pellet used for making 1 tonne of pellet is 1.35x(by28 whatever DRI they produce would be used for making their own steel)
They also have a JV with Tata Steel which will give them approc 175 crpa 
The capex that they are doing they wil fund it through internal accruals
The debt increase in September qtr is due to acquistion of Thriveni(it is thriveni's debt)
</t>
        </r>
        <r>
          <rPr>
            <b/>
            <sz val="9"/>
            <color indexed="81"/>
            <rFont val="Tahoma"/>
            <family val="2"/>
          </rPr>
          <t>Steel</t>
        </r>
        <r>
          <rPr>
            <sz val="9"/>
            <color indexed="81"/>
            <rFont val="Tahoma"/>
            <family val="2"/>
          </rPr>
          <t xml:space="preserve">-Wire Rod will start in 2027; </t>
        </r>
      </text>
    </comment>
    <comment ref="A5" authorId="0" shapeId="0" xr:uid="{3DE9FC02-223F-4A16-817A-31EB53DE4A91}">
      <text>
        <r>
          <rPr>
            <b/>
            <sz val="9"/>
            <color indexed="81"/>
            <rFont val="Tahoma"/>
            <family val="2"/>
          </rPr>
          <t>the co has total capacity of 50mntpa but it has approval of only 26 that is the sellable capacity</t>
        </r>
      </text>
    </comment>
    <comment ref="AA6" authorId="0" shapeId="0" xr:uid="{FD31F638-B8F0-432C-9201-5BCFE71CB531}">
      <text>
        <r>
          <rPr>
            <b/>
            <sz val="9"/>
            <color indexed="81"/>
            <rFont val="Tahoma"/>
            <family val="2"/>
          </rPr>
          <t>4- Gadchiroli</t>
        </r>
      </text>
    </comment>
    <comment ref="AB6" authorId="0" shapeId="0" xr:uid="{B9C93401-F65E-4C6A-88AF-8358ABB34E04}">
      <text>
        <r>
          <rPr>
            <b/>
            <sz val="9"/>
            <color indexed="81"/>
            <rFont val="Tahoma"/>
            <family val="2"/>
          </rPr>
          <t>4-gadchiroli
4-ghusghus</t>
        </r>
      </text>
    </comment>
    <comment ref="AC6" authorId="0" shapeId="0" xr:uid="{D1CB2908-2D3E-412E-A1B0-636C4509CE37}">
      <text>
        <r>
          <rPr>
            <b/>
            <sz val="9"/>
            <color indexed="81"/>
            <rFont val="Tahoma"/>
            <family val="2"/>
          </rPr>
          <t>Gadchiroli- additional 4 MTPA capacity here</t>
        </r>
      </text>
    </comment>
    <comment ref="CR6" authorId="0" shapeId="0" xr:uid="{7308EAA7-E027-4822-9D73-F1B855D98F83}">
      <text>
        <r>
          <rPr>
            <b/>
            <sz val="9"/>
            <color indexed="81"/>
            <rFont val="Tahoma"/>
            <family val="2"/>
          </rPr>
          <t>the new 4 mtpa Gadchiroli plant will come in this quarter</t>
        </r>
      </text>
    </comment>
    <comment ref="AE8" authorId="0" shapeId="0" xr:uid="{A0046DCB-C6E0-470D-B8BB-27DCC1FACF6D}">
      <text>
        <r>
          <rPr>
            <b/>
            <sz val="9"/>
            <color indexed="81"/>
            <rFont val="Tahoma"/>
            <family val="2"/>
          </rPr>
          <t xml:space="preserve">3 mtpa HRC in  Gadchiroli </t>
        </r>
      </text>
    </comment>
    <comment ref="CY8" authorId="0" shapeId="0" xr:uid="{F4FBB1EC-B614-4F7B-8702-3223DA7C30A8}">
      <text>
        <r>
          <rPr>
            <b/>
            <sz val="9"/>
            <color indexed="81"/>
            <rFont val="Tahoma"/>
            <family val="2"/>
          </rPr>
          <t>HRC capacity is added</t>
        </r>
      </text>
    </comment>
    <comment ref="CO11" authorId="0" shapeId="0" xr:uid="{584F34A0-030A-4DA7-B4FC-55E89E90042C}">
      <text>
        <r>
          <rPr>
            <b/>
            <sz val="9"/>
            <color indexed="81"/>
            <rFont val="Tahoma"/>
            <family val="2"/>
          </rPr>
          <t>as &amp; when the BHQ processing starts the co will reduce their direct high-grade mining of Iron Ore- that is why  reducing this production</t>
        </r>
        <r>
          <rPr>
            <sz val="9"/>
            <color indexed="81"/>
            <rFont val="Tahoma"/>
            <family val="2"/>
          </rPr>
          <t xml:space="preserve">
as the cap for sellable capacity - is 26 mnt</t>
        </r>
      </text>
    </comment>
    <comment ref="A12" authorId="0" shapeId="0" xr:uid="{E06A56AD-6CC5-4436-BB09-6549CD4C2359}">
      <text>
        <r>
          <rPr>
            <b/>
            <sz val="9"/>
            <color indexed="81"/>
            <rFont val="Tahoma"/>
            <family val="2"/>
          </rPr>
          <t>BHQBanded Hematite Quartzite-low-grade iron ore.
From 3 tonnes of BHQ =1 tonnes of iron ore is made</t>
        </r>
      </text>
    </comment>
    <comment ref="CO12" authorId="0" shapeId="0" xr:uid="{9108BE14-5830-47B2-8C1D-39A7E7D78566}">
      <text>
        <r>
          <rPr>
            <b/>
            <sz val="9"/>
            <color indexed="81"/>
            <rFont val="Tahoma"/>
            <family val="2"/>
          </rPr>
          <t>Benefication plant will start in which the co will start processing bhq to make iron ore</t>
        </r>
      </text>
    </comment>
    <comment ref="A21" authorId="0" shapeId="0" xr:uid="{3679CE87-E73C-4535-B1DE-347D264D7635}">
      <text>
        <r>
          <rPr>
            <b/>
            <sz val="9"/>
            <color indexed="81"/>
            <rFont val="Tahoma"/>
            <family val="2"/>
          </rPr>
          <t>the multiplier is multiplied from the expected production to get the raw material needed</t>
        </r>
      </text>
    </comment>
    <comment ref="CH45" authorId="1" shapeId="0" xr:uid="{A4E16F23-D2A1-4461-A5DD-D9456A5F4C34}">
      <text>
        <r>
          <rPr>
            <b/>
            <sz val="9"/>
            <color indexed="81"/>
            <rFont val="Tahoma"/>
            <family val="2"/>
          </rPr>
          <t>includes all except mining</t>
        </r>
      </text>
    </comment>
    <comment ref="CI45" authorId="1" shapeId="0" xr:uid="{EA49157F-CB0B-424D-B5A5-78C83794AE39}">
      <text>
        <r>
          <rPr>
            <b/>
            <sz val="9"/>
            <color indexed="81"/>
            <rFont val="Tahoma"/>
            <family val="2"/>
          </rPr>
          <t>includes all except mining</t>
        </r>
      </text>
    </comment>
    <comment ref="CM46" authorId="0" shapeId="0" xr:uid="{09F4C606-864B-49C1-BD32-429C8A551347}">
      <text>
        <r>
          <rPr>
            <b/>
            <sz val="9"/>
            <color indexed="81"/>
            <rFont val="Tahoma"/>
            <family val="2"/>
          </rPr>
          <t>Assuming Growth of 6%
79.8% is lloyds metal share</t>
        </r>
      </text>
    </comment>
    <comment ref="CK130" authorId="0" shapeId="0" xr:uid="{F8486FC3-5907-4772-BB16-CECAEC9F4063}">
      <text>
        <r>
          <rPr>
            <b/>
            <sz val="9"/>
            <color indexed="81"/>
            <rFont val="Tahoma"/>
            <family val="2"/>
          </rPr>
          <t>Conversion of warrants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<sst xmlns="http://schemas.openxmlformats.org/spreadsheetml/2006/main" count="726" uniqueCount="586">
  <si>
    <t>QTR</t>
  </si>
  <si>
    <t>Net Sales</t>
  </si>
  <si>
    <t>Increase/Decrease in Stock</t>
  </si>
  <si>
    <t>Purchase of Finished Goods</t>
  </si>
  <si>
    <t>Raw Material Consumed</t>
  </si>
  <si>
    <t>Gross Profit</t>
  </si>
  <si>
    <t>GP%</t>
  </si>
  <si>
    <t>Power &amp; Fuel Cost</t>
  </si>
  <si>
    <t>Employee Cost</t>
  </si>
  <si>
    <t>Other Manufacturing Expenses</t>
  </si>
  <si>
    <t>General and Administration Expenses</t>
  </si>
  <si>
    <t>Selling and Distribution Expenses</t>
  </si>
  <si>
    <t>Miscellaneous Expenses</t>
  </si>
  <si>
    <t>EBITDA</t>
  </si>
  <si>
    <t>EBITDA Margins</t>
  </si>
  <si>
    <t>Depreciation</t>
  </si>
  <si>
    <t>EBIT</t>
  </si>
  <si>
    <t>Other Income</t>
  </si>
  <si>
    <t>Interest</t>
  </si>
  <si>
    <t>Exceptional Income / Expenses</t>
  </si>
  <si>
    <t>PBT</t>
  </si>
  <si>
    <t>Tax</t>
  </si>
  <si>
    <t>PAT</t>
  </si>
  <si>
    <t>Minority Interest</t>
  </si>
  <si>
    <t>Share of Associate</t>
  </si>
  <si>
    <t>Consolidated Net Profit</t>
  </si>
  <si>
    <t>Checksum Of qtr to Annual</t>
  </si>
  <si>
    <t>Eq</t>
  </si>
  <si>
    <t>FV</t>
  </si>
  <si>
    <t>No of share</t>
  </si>
  <si>
    <t>EPS</t>
  </si>
  <si>
    <t>DPS</t>
  </si>
  <si>
    <t>DPS % of EPS</t>
  </si>
  <si>
    <t>EPS TTM</t>
  </si>
  <si>
    <t>Promoter Share holding %</t>
  </si>
  <si>
    <t>Pledge Share %</t>
  </si>
  <si>
    <t>Share Price</t>
  </si>
  <si>
    <t>Close</t>
  </si>
  <si>
    <t>High</t>
  </si>
  <si>
    <t>Low</t>
  </si>
  <si>
    <t>PE</t>
  </si>
  <si>
    <t>Share Capital</t>
  </si>
  <si>
    <t>Share Warrants &amp; Outstandings</t>
  </si>
  <si>
    <t>Total Reserves</t>
  </si>
  <si>
    <t>Shareholder's Funds</t>
  </si>
  <si>
    <t>Secured Loans</t>
  </si>
  <si>
    <t>Unsecured Loans</t>
  </si>
  <si>
    <t>Current maturity</t>
  </si>
  <si>
    <t>Short Term Borrowings</t>
  </si>
  <si>
    <t>Debt</t>
  </si>
  <si>
    <t>Gross Block</t>
  </si>
  <si>
    <t>Less: Accumulated Depreciation</t>
  </si>
  <si>
    <t>Less: Impairment of Assets</t>
  </si>
  <si>
    <t>Net Block</t>
  </si>
  <si>
    <t>Goodwill</t>
  </si>
  <si>
    <t>Intangible Asset under Development</t>
  </si>
  <si>
    <t>Capital Work in Progress</t>
  </si>
  <si>
    <t>TFA</t>
  </si>
  <si>
    <t>Non Current Investments</t>
  </si>
  <si>
    <t>Long Term Loans &amp; Advances</t>
  </si>
  <si>
    <t>Other Non Current Assets</t>
  </si>
  <si>
    <t>Inventories</t>
  </si>
  <si>
    <t>Sundry Debtors</t>
  </si>
  <si>
    <t>Other Current Assets</t>
  </si>
  <si>
    <t>Short Term Loans and Advances</t>
  </si>
  <si>
    <t>TCA</t>
  </si>
  <si>
    <t>Other Long Term Liabilities</t>
  </si>
  <si>
    <t>Long Trade Payables</t>
  </si>
  <si>
    <t>Long Term Provisions</t>
  </si>
  <si>
    <t>Current Liabilities</t>
  </si>
  <si>
    <t>Trade Payables</t>
  </si>
  <si>
    <t>Other Current Liabilities</t>
  </si>
  <si>
    <t>Short Term Provisions</t>
  </si>
  <si>
    <t>TCL</t>
  </si>
  <si>
    <t>NWC</t>
  </si>
  <si>
    <t>Currents Investments</t>
  </si>
  <si>
    <t>Cash and Bank</t>
  </si>
  <si>
    <t>Cash &amp; Eq</t>
  </si>
  <si>
    <t>Deferred Tax Assets / Liabilities</t>
  </si>
  <si>
    <t>Miscellaneous Expenses not written off</t>
  </si>
  <si>
    <t>Net Debt</t>
  </si>
  <si>
    <t>Contingent Liabilities</t>
  </si>
  <si>
    <t>Liabilities under Guarantees</t>
  </si>
  <si>
    <t>Claims against the company not acknowledged</t>
  </si>
  <si>
    <t>Others</t>
  </si>
  <si>
    <t>% of Networth</t>
  </si>
  <si>
    <t>Growth</t>
  </si>
  <si>
    <t>Flag</t>
  </si>
  <si>
    <t>Dep</t>
  </si>
  <si>
    <t>Cash profit</t>
  </si>
  <si>
    <t>Change in wcap</t>
  </si>
  <si>
    <t>Cash flow from operation</t>
  </si>
  <si>
    <t>Cash flow from investment</t>
  </si>
  <si>
    <t>Investment</t>
  </si>
  <si>
    <t>FA</t>
  </si>
  <si>
    <t>Cash flow from finance</t>
  </si>
  <si>
    <t>Free cash</t>
  </si>
  <si>
    <t>Related Party Transaction ( more than 4%)</t>
  </si>
  <si>
    <t>Sale of Goods &amp; Services</t>
  </si>
  <si>
    <t>Closing Balance - Receivable</t>
  </si>
  <si>
    <t>Corporate Guarantee Utilised</t>
  </si>
  <si>
    <t>Rolling TTM</t>
  </si>
  <si>
    <t>Cash As % of Net worth</t>
  </si>
  <si>
    <t>Debt Increase</t>
  </si>
  <si>
    <t>EBITDA increase</t>
  </si>
  <si>
    <t>Red Flag</t>
  </si>
  <si>
    <t xml:space="preserve">Tax Rate % </t>
  </si>
  <si>
    <t>PAT %</t>
  </si>
  <si>
    <t>Gross Sales</t>
  </si>
  <si>
    <t>Less: Exise Duty</t>
  </si>
  <si>
    <t>Field Description</t>
  </si>
  <si>
    <t>Field Name</t>
  </si>
  <si>
    <t>Company Name</t>
  </si>
  <si>
    <t>Year End</t>
  </si>
  <si>
    <t>Sales Turnover</t>
  </si>
  <si>
    <t>Less: Inter divisional transfers</t>
  </si>
  <si>
    <t>Less: Sales Returns</t>
  </si>
  <si>
    <t>Less: Excise</t>
  </si>
  <si>
    <t>Operating &amp; Manufacturing Expenses</t>
  </si>
  <si>
    <t>Cost of Software development</t>
  </si>
  <si>
    <t>Less: Expenses Capitalised</t>
  </si>
  <si>
    <t>Total Expenditure</t>
  </si>
  <si>
    <t>Operating Profit (Excl OI)</t>
  </si>
  <si>
    <t>Operating Profit</t>
  </si>
  <si>
    <t>PBDT</t>
  </si>
  <si>
    <t>Share of Profit/Loss of JV &amp; Associates</t>
  </si>
  <si>
    <t>Provision for Tax</t>
  </si>
  <si>
    <t>Extra items</t>
  </si>
  <si>
    <t>Other Consolidated Items</t>
  </si>
  <si>
    <t>CD_COMPNAME</t>
  </si>
  <si>
    <t>PL_YEAR_END</t>
  </si>
  <si>
    <t>PL_TOTAL_GROSS_SALES</t>
  </si>
  <si>
    <t>PL_INTER_DIV_TRF</t>
  </si>
  <si>
    <t>PL_SALES_RETURN</t>
  </si>
  <si>
    <t>PL_EXCISE</t>
  </si>
  <si>
    <t>PL_NET_SALES</t>
  </si>
  <si>
    <t>PL_INC_DEC_INVENTORY</t>
  </si>
  <si>
    <t>PL_RAW_MATRS_CONSUMED</t>
  </si>
  <si>
    <t>PL_POWER_FUEL</t>
  </si>
  <si>
    <t>PL_EMPLOYEES</t>
  </si>
  <si>
    <t>PL_GEN_OTHER_MFG_EXPS</t>
  </si>
  <si>
    <t>PL_COST_SW</t>
  </si>
  <si>
    <t>PL_GEN_ADMN_EXPS</t>
  </si>
  <si>
    <t>PL_GEN_SELLG_EXPS</t>
  </si>
  <si>
    <t>PL_MISC_EXPS</t>
  </si>
  <si>
    <t>PL_PRE_OP_EXPS</t>
  </si>
  <si>
    <t>PL_TOTAL_EXPENDIURE</t>
  </si>
  <si>
    <t>PL_OPPROFIT_EXCLOI</t>
  </si>
  <si>
    <t>PL_OTHER_INCOME</t>
  </si>
  <si>
    <t>PL_OPERATING_PROFIT</t>
  </si>
  <si>
    <t>PL_INTEREST</t>
  </si>
  <si>
    <t>PL_GROSS_PROFITS</t>
  </si>
  <si>
    <t>PL_DEPRECIATION</t>
  </si>
  <si>
    <t>PL_SHARE_PL_JVA</t>
  </si>
  <si>
    <t>PL_EXCEPTIONALINCOME_EXPENSES</t>
  </si>
  <si>
    <t>PL_TAXATION</t>
  </si>
  <si>
    <t>PL_EXTRA_ITEMS</t>
  </si>
  <si>
    <t>PL_MINORITY_INTEREST</t>
  </si>
  <si>
    <t>PL_SHARE_ASSOCIATE</t>
  </si>
  <si>
    <t>PL_OTHER_CONSITEMS</t>
  </si>
  <si>
    <t>Long-Term Borrowings</t>
  </si>
  <si>
    <t>Long Term Trade Payables</t>
  </si>
  <si>
    <t>Total Non-Current Liabilities</t>
  </si>
  <si>
    <t>Liabilities as Held for Sale and Discontinued Operations</t>
  </si>
  <si>
    <t>Total Current Liabilities</t>
  </si>
  <si>
    <t>Total Liabilities</t>
  </si>
  <si>
    <t>LOANS</t>
  </si>
  <si>
    <t>Lease Adjustment A/c</t>
  </si>
  <si>
    <t>Intangible assets under development</t>
  </si>
  <si>
    <t>Pre-operative Expenses pending</t>
  </si>
  <si>
    <t>Assets in transit</t>
  </si>
  <si>
    <t>Total Non-Current Assets</t>
  </si>
  <si>
    <t>Assets as Held for Sale and Discontinued Operations</t>
  </si>
  <si>
    <t>Total Current Assets</t>
  </si>
  <si>
    <t>Total Assets</t>
  </si>
  <si>
    <t>BS_YEAR_END</t>
  </si>
  <si>
    <t>BS_SHARE_CAPITAL</t>
  </si>
  <si>
    <t>BS_SHAREWROUTST</t>
  </si>
  <si>
    <t>BS_RESERVE</t>
  </si>
  <si>
    <t>BS_SHAREHODERS_FUNDS</t>
  </si>
  <si>
    <t>BS_MINORITY_INTEREST</t>
  </si>
  <si>
    <t>BS_LTRM_BORROWING</t>
  </si>
  <si>
    <t>BS_SECURED_LOANS</t>
  </si>
  <si>
    <t>BS_UNSECURED_LOANS_NF</t>
  </si>
  <si>
    <t>BS_NET_DEF_TAX_NF</t>
  </si>
  <si>
    <t>BS_OTH_LT_LIAB</t>
  </si>
  <si>
    <t>BS_LT_TRADE_PAYABLES</t>
  </si>
  <si>
    <t>BS_LT_PROVISIONS</t>
  </si>
  <si>
    <t>BS_TOTAL_NONLIAB</t>
  </si>
  <si>
    <t>BS_TRADE_PAYABLES</t>
  </si>
  <si>
    <t>BS_CURRENT_LIABILITIES_NF</t>
  </si>
  <si>
    <t>BS_ST_BORROWINGS</t>
  </si>
  <si>
    <t>BS_PROVISIONS</t>
  </si>
  <si>
    <t>BS_LIABI_H_S_DIS</t>
  </si>
  <si>
    <t>BS_CURRENT_LAIB_PROV_NF</t>
  </si>
  <si>
    <t>BS_TOTAL_SOUNCES_FUNDS_NF</t>
  </si>
  <si>
    <t>BS_LOAN_NON_CUURENT_ASSETS</t>
  </si>
  <si>
    <t>BS_GROSS_BLOCK</t>
  </si>
  <si>
    <t>BS_ACC_DEPRECIATION</t>
  </si>
  <si>
    <t>BS_IMPAIRMENT_ASSETS</t>
  </si>
  <si>
    <t>BS_NET_BLOCK</t>
  </si>
  <si>
    <t>BS_LEASE_ADJ</t>
  </si>
  <si>
    <t>BS_CWIP_NF</t>
  </si>
  <si>
    <t>BS_INTANG_ASSETUNDERDEV</t>
  </si>
  <si>
    <t>BS_PRE_OPERATIEVE_EXPS</t>
  </si>
  <si>
    <t>BS_ASSETSINTRANSIT</t>
  </si>
  <si>
    <t>BS_INVESTMENTS_NF</t>
  </si>
  <si>
    <t>BS_LT_LOANADV</t>
  </si>
  <si>
    <t>BS_OTHER_NOC_ASSETS</t>
  </si>
  <si>
    <t>BS_TOTAL_NONASSETS</t>
  </si>
  <si>
    <t>BS_CURRENT_INVESTMENTS</t>
  </si>
  <si>
    <t>BS_INVENTORY</t>
  </si>
  <si>
    <t>BS_DEBTORS</t>
  </si>
  <si>
    <t>BS_CASH_BANK</t>
  </si>
  <si>
    <t>BS_OTHER_CURRENT_NF</t>
  </si>
  <si>
    <t>BS_LOANS_ADV</t>
  </si>
  <si>
    <t>BS_ASSET_H_S_DIS</t>
  </si>
  <si>
    <t>BS_CURRANT_ASSETS_NF</t>
  </si>
  <si>
    <t>BS_MISC_EXPS_NOT_WO</t>
  </si>
  <si>
    <t>BS_TOTAL_APPLICATIONS_NF</t>
  </si>
  <si>
    <t>BS_CONTINGENT_LIABILITIES</t>
  </si>
  <si>
    <t>BS_GOODWILL_NET</t>
  </si>
  <si>
    <t>X</t>
  </si>
  <si>
    <t>Consolidated PAT</t>
  </si>
  <si>
    <t>PL_CONSOLIDATEDPAT</t>
  </si>
  <si>
    <t>Profit After Tax from Discontinued Operations</t>
  </si>
  <si>
    <t>PL_PAT_DIS_OP</t>
  </si>
  <si>
    <t>Current maturity of Debentures &amp; Bonds</t>
  </si>
  <si>
    <t>Current maturity - Term Loans</t>
  </si>
  <si>
    <t>Current maturity - Foreign Loans</t>
  </si>
  <si>
    <t>Current maturity - Others</t>
  </si>
  <si>
    <t>BS_CL_CURMAT_DEB</t>
  </si>
  <si>
    <t>BS_CURMATDEB_RUPLOAN</t>
  </si>
  <si>
    <t>BS_CURMATDEB_FRGNLOAN</t>
  </si>
  <si>
    <t>BS_CL_CURMAT_OTHERS</t>
  </si>
  <si>
    <t>BS_GOODWILL</t>
  </si>
  <si>
    <t>BS_GOODWILL_CLDEP</t>
  </si>
  <si>
    <t>Goodwill (Dep)</t>
  </si>
  <si>
    <t>Goodwill (Gross)</t>
  </si>
  <si>
    <t>Goodwill (Net)</t>
  </si>
  <si>
    <t>Liability for partly paid investments</t>
  </si>
  <si>
    <t>Arreas of Dividend on Cummulative Prefernce Shares</t>
  </si>
  <si>
    <t>Liabilities on Bills receivables discounted</t>
  </si>
  <si>
    <t>Other Contingent Liabilities</t>
  </si>
  <si>
    <t>Estimated Capital Contracts Remaining</t>
  </si>
  <si>
    <t>BS_CLAIMS_NOT_ACKNOWLEDGE_DEBT</t>
  </si>
  <si>
    <t>BS_PARTLY_PAID_INVESTMENTS</t>
  </si>
  <si>
    <t>BS_LIABILITIES_UNDER_GUARANTEES</t>
  </si>
  <si>
    <t>BS_ARRS_DVND_PREF_SHARES</t>
  </si>
  <si>
    <t>BS_BILLS_DISCOUNTED_NOT_MATURED</t>
  </si>
  <si>
    <t>BS_CONTINGENT_LIABILITIES_OTHERS</t>
  </si>
  <si>
    <t>BS_ESTIMATED_CAPITAL_CONTRACT</t>
  </si>
  <si>
    <t>Date End</t>
  </si>
  <si>
    <t>Less: Excise Duty</t>
  </si>
  <si>
    <t>Other operating income</t>
  </si>
  <si>
    <t>Net Sales &amp; Other Operating Income</t>
  </si>
  <si>
    <t>(Increase) / Decrease In Stocks</t>
  </si>
  <si>
    <t>Cost of Services &amp; Raw Materials</t>
  </si>
  <si>
    <t>Excise Duty</t>
  </si>
  <si>
    <t>Electricity Power &amp; Fuel Cost</t>
  </si>
  <si>
    <t>General  Administration Expenses</t>
  </si>
  <si>
    <t>Selling &amp; Distribution Expenses</t>
  </si>
  <si>
    <t>Loss on Foreign Exchange</t>
  </si>
  <si>
    <t>Loss on Foreign Exchange Loan</t>
  </si>
  <si>
    <t>Exceptional Items</t>
  </si>
  <si>
    <t>Profit after tax</t>
  </si>
  <si>
    <t>Extraordinary Items</t>
  </si>
  <si>
    <t>Prior Period Expenses</t>
  </si>
  <si>
    <t>Other Adjustments</t>
  </si>
  <si>
    <t>Shares of Associates</t>
  </si>
  <si>
    <t>Other related items</t>
  </si>
  <si>
    <t>Misc. Expenses Written off</t>
  </si>
  <si>
    <t>Discontinued Operation (Net of tax )</t>
  </si>
  <si>
    <t>Other Comprehensive Incomes (Net of tax )</t>
  </si>
  <si>
    <t xml:space="preserve">Total Comprehensive Income </t>
  </si>
  <si>
    <t>QTR_DATE_END</t>
  </si>
  <si>
    <t>QTR_GROSS_SALE</t>
  </si>
  <si>
    <t>QTR_EXCISE_DUTY</t>
  </si>
  <si>
    <t>QTR_JOB_WORKS</t>
  </si>
  <si>
    <t>QTR_NET_SALES</t>
  </si>
  <si>
    <t>QTR_INC_DEC_INVENTORY</t>
  </si>
  <si>
    <t>QTR_RAW_MATERIAL_COST</t>
  </si>
  <si>
    <t>QTR_PURCHASE_FIN_GOOD</t>
  </si>
  <si>
    <t>QTR_EXCISE</t>
  </si>
  <si>
    <t>QTR_MFG_EXPS</t>
  </si>
  <si>
    <t>QTR_ELECTRICITY_POWER_FUEL</t>
  </si>
  <si>
    <t>QTR_EXPLOYEE_COST</t>
  </si>
  <si>
    <t>QTR_GEN_ADMINEXPENSES</t>
  </si>
  <si>
    <t>QTR_SELLING_DIST_EXPENSES</t>
  </si>
  <si>
    <t>QTR_LOSS_FOREIGN_EXCHANGE</t>
  </si>
  <si>
    <t>QTR_LOSSFOREIGNEXCHANGELOAN</t>
  </si>
  <si>
    <t>QTR_MISC_EXPENSES</t>
  </si>
  <si>
    <t>QTR_PBIDTXOI</t>
  </si>
  <si>
    <t>QTR_OTHER_INCOME</t>
  </si>
  <si>
    <t>QTR_OPERATING_PROFIT</t>
  </si>
  <si>
    <t>QTR_INTEREST</t>
  </si>
  <si>
    <t>QTR_EXCEPTION_ITEMS</t>
  </si>
  <si>
    <t>QTR_GROSS_PROFIT</t>
  </si>
  <si>
    <t>QTR_DEPRECIATION</t>
  </si>
  <si>
    <t>QTR_TAX</t>
  </si>
  <si>
    <t>QTR_PAT</t>
  </si>
  <si>
    <t>QTR_EI</t>
  </si>
  <si>
    <t>QTR_PPI</t>
  </si>
  <si>
    <t>QTR_OTHER_ADJUSTMENTS</t>
  </si>
  <si>
    <t>QTR_MINORITY_INTEREST</t>
  </si>
  <si>
    <t>QTR_SHARES_ASSOCIATE</t>
  </si>
  <si>
    <t>QTR_OTHER_RELATED_ITEMS</t>
  </si>
  <si>
    <t>QTR_MISC_EXPD_WOFF</t>
  </si>
  <si>
    <t>QTR_CONS_PAT</t>
  </si>
  <si>
    <t>QTR_DISCONTINUED_OP</t>
  </si>
  <si>
    <t>QTR_OTHER_COMPINCOME</t>
  </si>
  <si>
    <t>QTR_TOTAL_COMPINCOME</t>
  </si>
  <si>
    <t>Consolidated PAT(after extra items)</t>
  </si>
  <si>
    <t>QTR_CONS_PAT_EXITM</t>
  </si>
  <si>
    <t>Equity Paid Up</t>
  </si>
  <si>
    <t>Face Value</t>
  </si>
  <si>
    <t>Close Price (Unit Curr.)</t>
  </si>
  <si>
    <t>High Price (Unit Curr.)</t>
  </si>
  <si>
    <t>Low Price (Unit Curr.)</t>
  </si>
  <si>
    <t>Market Capitalization</t>
  </si>
  <si>
    <t>BS_EQUITY_PAIDUP</t>
  </si>
  <si>
    <t>BS_FACE_VALUE</t>
  </si>
  <si>
    <t>FH_YEAR_PRICE</t>
  </si>
  <si>
    <t>FH_HIGH</t>
  </si>
  <si>
    <t>FH_LOW</t>
  </si>
  <si>
    <t>FH_MCAP</t>
  </si>
  <si>
    <t>Adj DPS(Rs)</t>
  </si>
  <si>
    <t>Total of Promoter and Promoter Group</t>
  </si>
  <si>
    <t>FR_ADJ_DPS</t>
  </si>
  <si>
    <t>SHP_DATE_END</t>
  </si>
  <si>
    <t>SHP_TPFTOTALPROMOTER</t>
  </si>
  <si>
    <t>SHP_PSHFTOTALPROMOTER</t>
  </si>
  <si>
    <t>Total of Promoter and Promoter Group Pledged</t>
  </si>
  <si>
    <t>Equity Capital</t>
  </si>
  <si>
    <t>QTR_EQUITY_CAP</t>
  </si>
  <si>
    <t>QTR_FV</t>
  </si>
  <si>
    <t>BMONTH_CLOSE</t>
  </si>
  <si>
    <t>Month End</t>
  </si>
  <si>
    <t>BMONTH_MONTHEND</t>
  </si>
  <si>
    <t>Subsidiary</t>
  </si>
  <si>
    <t>Market Cap High</t>
  </si>
  <si>
    <t>Market Cap Low</t>
  </si>
  <si>
    <t>EV High</t>
  </si>
  <si>
    <t>EV/EBITDA High</t>
  </si>
  <si>
    <t>EV/EBITDA Low</t>
  </si>
  <si>
    <t>EV Low</t>
  </si>
  <si>
    <t>Upside (%)</t>
  </si>
  <si>
    <t>Downside (%)</t>
  </si>
  <si>
    <t>Total Cost</t>
  </si>
  <si>
    <t>Cost %</t>
  </si>
  <si>
    <t>ROE (%)</t>
  </si>
  <si>
    <t>ROCE (%)</t>
  </si>
  <si>
    <t>Standalone</t>
  </si>
  <si>
    <t>Share Warrants &amp; outstandings</t>
  </si>
  <si>
    <t>Reserves &amp; Surplus</t>
  </si>
  <si>
    <t>Long Term Borrowings</t>
  </si>
  <si>
    <t xml:space="preserve"> Secured Loans</t>
  </si>
  <si>
    <t>Lont Term Provisions</t>
  </si>
  <si>
    <t>Fixed Assets</t>
  </si>
  <si>
    <t>Total Net block</t>
  </si>
  <si>
    <t>Good Will</t>
  </si>
  <si>
    <t xml:space="preserve">      Lease Adjustment A/c</t>
  </si>
  <si>
    <t xml:space="preserve">      Capital Work in Progress</t>
  </si>
  <si>
    <t xml:space="preserve">      Pre-operative Expenses pending</t>
  </si>
  <si>
    <t xml:space="preserve">      Assets in transit</t>
  </si>
  <si>
    <t>Non Current Investment</t>
  </si>
  <si>
    <t>Current Investments</t>
  </si>
  <si>
    <t>Loans and Advances</t>
  </si>
  <si>
    <t>Current Maturity of debentures &amp; Others</t>
  </si>
  <si>
    <t>Provisions</t>
  </si>
  <si>
    <t>Net Current Assets</t>
  </si>
  <si>
    <t>QTRB_DATE_END</t>
  </si>
  <si>
    <t>QTRB_SHARE_CAPITAL</t>
  </si>
  <si>
    <t>QTRB_SHAREWARNDOUT</t>
  </si>
  <si>
    <t>QTRB_RESERVE</t>
  </si>
  <si>
    <t>QTRB_SHAREHODERS_FUNDS</t>
  </si>
  <si>
    <t>QTRB_MINORITY_INTEREST_BS</t>
  </si>
  <si>
    <t>QTRB_TOTAL_DEBTS</t>
  </si>
  <si>
    <t>QTRB_SECURED_LOANS</t>
  </si>
  <si>
    <t>QTRB_UNSECURED_LOANS_NF</t>
  </si>
  <si>
    <t>QTRB_OTHER_LT_LIABILITIES</t>
  </si>
  <si>
    <t>QTRB_LT_TRADE_PAYABLE</t>
  </si>
  <si>
    <t>QTRB_LT_PROVISIONS</t>
  </si>
  <si>
    <t>QTRB_TOTAL_SOUNCES_FUNDS</t>
  </si>
  <si>
    <t>QTRB_GROSS_BLOCK</t>
  </si>
  <si>
    <t>QTRB_ACC_DEPRECIATION</t>
  </si>
  <si>
    <t>QTRB_IMPAIRMENT_ASSETS</t>
  </si>
  <si>
    <t>QTRB_NET_BLOCK</t>
  </si>
  <si>
    <t>QTRB_GOODWILL</t>
  </si>
  <si>
    <t>QTRB_LEASE_ADJ</t>
  </si>
  <si>
    <t>QTRB_CWIP</t>
  </si>
  <si>
    <t>QTRB_PRE_OPERATIEVE_EXPS</t>
  </si>
  <si>
    <t>QTRB_ASSETSINTRANSIT</t>
  </si>
  <si>
    <t>QTRB_INVESTMENTS_NF</t>
  </si>
  <si>
    <t>QTRB_LT_LOAN_ADV</t>
  </si>
  <si>
    <t>QTRB_OTHER_NONC_ASSETS</t>
  </si>
  <si>
    <t>QTRB_CURRENT_INVESTMENTS</t>
  </si>
  <si>
    <t>QTRB_INVENTORY</t>
  </si>
  <si>
    <t>QTRB_DEBTORS</t>
  </si>
  <si>
    <t>QTRB_CASH_BANK</t>
  </si>
  <si>
    <t>QTRB_OTHER_CURRENT</t>
  </si>
  <si>
    <t>QTRB_LOANS_ADV</t>
  </si>
  <si>
    <t>QTRB_CURRANT_ASSETS</t>
  </si>
  <si>
    <t>QTRB_CURRENT_LIABILITIES_NF</t>
  </si>
  <si>
    <t>QTRB_ST_BORROWINGS</t>
  </si>
  <si>
    <t>QTRB_RST_TRADEPAYABLES</t>
  </si>
  <si>
    <t>QTRB_CUR_MATDEBOTHERS</t>
  </si>
  <si>
    <t>QTRB_RST_OCURLIABLITIES</t>
  </si>
  <si>
    <t>QTRB_PROVISIONS</t>
  </si>
  <si>
    <t>QTRB_CURRENT_LAIB_PROV</t>
  </si>
  <si>
    <t>QTRB_NET_CURR_ASSETS</t>
  </si>
  <si>
    <t>QTRB_MISC_EXPS_NOT_WO</t>
  </si>
  <si>
    <t>QTRB_NET_DEF_TAX</t>
  </si>
  <si>
    <t>QTRB_TOTAL_APPLICATIONS</t>
  </si>
  <si>
    <t>MonthEnd</t>
  </si>
  <si>
    <t>Open</t>
  </si>
  <si>
    <t>NMONTH_MONTHEND</t>
  </si>
  <si>
    <t>NMONTH_OPEN</t>
  </si>
  <si>
    <t>NMONTH_HIGH</t>
  </si>
  <si>
    <t>NMONTH_LOW</t>
  </si>
  <si>
    <t>NMONTH_CLOSE</t>
  </si>
  <si>
    <t>BMONTH_OPEN</t>
  </si>
  <si>
    <t>BMONTH_HIGH</t>
  </si>
  <si>
    <t>BMONTH_LOW</t>
  </si>
  <si>
    <t>Bloomberg Estimate</t>
  </si>
  <si>
    <t>EPS Growth YoY %</t>
  </si>
  <si>
    <t>Correlation</t>
  </si>
  <si>
    <t>Grand Total</t>
  </si>
  <si>
    <t>SHP_NSGRANDTOTAL</t>
  </si>
  <si>
    <t>In Crs.</t>
  </si>
  <si>
    <t>Gross Revenue</t>
  </si>
  <si>
    <t>Net Revenue</t>
  </si>
  <si>
    <t>Interest % of Revenue</t>
  </si>
  <si>
    <t>Dep On Revenue</t>
  </si>
  <si>
    <t>Ace - PAT</t>
  </si>
  <si>
    <t>Checksum - PAT</t>
  </si>
  <si>
    <t>Estimate deviation</t>
  </si>
  <si>
    <t>Sources of Funds</t>
  </si>
  <si>
    <t>Application of Funds</t>
  </si>
  <si>
    <t>Check sum - Balance Sheet</t>
  </si>
  <si>
    <t>Revenue growth</t>
  </si>
  <si>
    <t>Wc days growth</t>
  </si>
  <si>
    <t>Opening cash</t>
  </si>
  <si>
    <t>Closing cash</t>
  </si>
  <si>
    <t>checksum cash</t>
  </si>
  <si>
    <t>HISTORICAL ESTIMATES</t>
  </si>
  <si>
    <t>Net Revenue QOQ%</t>
  </si>
  <si>
    <t>GP YOY%</t>
  </si>
  <si>
    <t>GP QOQ%</t>
  </si>
  <si>
    <t>EBITDA YOY%</t>
  </si>
  <si>
    <t>EBITDA QOQ%</t>
  </si>
  <si>
    <t>PAT YOY%</t>
  </si>
  <si>
    <t>PAT QOQ%</t>
  </si>
  <si>
    <t>Revenue - Checksum Of qtr to Annual</t>
  </si>
  <si>
    <t>GP - Checksum Of qtr to Annual</t>
  </si>
  <si>
    <t>EBITDA - Checksum Of qtr to Annual</t>
  </si>
  <si>
    <t>PAT - Checksum Of qtr to Annual</t>
  </si>
  <si>
    <t>Share Price - Close</t>
  </si>
  <si>
    <t>Share Price - High</t>
  </si>
  <si>
    <t>Share Price - Low</t>
  </si>
  <si>
    <t>PE - Close</t>
  </si>
  <si>
    <t>PE - High</t>
  </si>
  <si>
    <t>PE - Low</t>
  </si>
  <si>
    <t>PE - 1Yr Fwd</t>
  </si>
  <si>
    <t>Wcap Days - Inventory</t>
  </si>
  <si>
    <t>Wcap Days - Debtors</t>
  </si>
  <si>
    <t>Wcap Days - Others</t>
  </si>
  <si>
    <t>Wcap Days - TCA</t>
  </si>
  <si>
    <t>Wcap Days - Payable</t>
  </si>
  <si>
    <t>Wcap Days - TCL</t>
  </si>
  <si>
    <t>Wcap Days - NWC</t>
  </si>
  <si>
    <t>Revenue - Rolling TTM</t>
  </si>
  <si>
    <t>EBITDA - Rolling TTM</t>
  </si>
  <si>
    <t>PAT - Rolling TTM</t>
  </si>
  <si>
    <t>Revenue - Subsidiary</t>
  </si>
  <si>
    <t>EBITDA - Subsidiary</t>
  </si>
  <si>
    <t>EBITDA Margins (%) - Subsidiary</t>
  </si>
  <si>
    <t>PAT - Subsidiary</t>
  </si>
  <si>
    <t>Revenue - Standalone</t>
  </si>
  <si>
    <t>EBITDA - Standalone</t>
  </si>
  <si>
    <t>EBITDA Margins (%) - Standalone</t>
  </si>
  <si>
    <t>PAT - Standalone</t>
  </si>
  <si>
    <t>Interest % of Debt</t>
  </si>
  <si>
    <t>Depreciation % of Net Block</t>
  </si>
  <si>
    <t>Net Revenue YOY%</t>
  </si>
  <si>
    <t>Profit &amp; Loss- Annual (Start)</t>
  </si>
  <si>
    <t>Profit &amp; Loss- Annual (End)</t>
  </si>
  <si>
    <t>Ratios (Start)</t>
  </si>
  <si>
    <t>Ratios (End)</t>
  </si>
  <si>
    <t>Valuation (Start)</t>
  </si>
  <si>
    <t>Valuation (End)</t>
  </si>
  <si>
    <t>Balance Sheet (Start)</t>
  </si>
  <si>
    <t>Balance Sheet (End)</t>
  </si>
  <si>
    <t>Wcap Days (Start)</t>
  </si>
  <si>
    <t>Wcap Days (End)</t>
  </si>
  <si>
    <t>Cash Flows (Start)</t>
  </si>
  <si>
    <t>Cash Flows (End)</t>
  </si>
  <si>
    <t>ROE tree (Start)</t>
  </si>
  <si>
    <t>ROE tree (End)</t>
  </si>
  <si>
    <t>Presentation Data (Start)</t>
  </si>
  <si>
    <t>Presentation Data (End)</t>
  </si>
  <si>
    <t>PB</t>
  </si>
  <si>
    <t>PB - Close</t>
  </si>
  <si>
    <t>PB - High</t>
  </si>
  <si>
    <t>PB - Low</t>
  </si>
  <si>
    <t>BVPS</t>
  </si>
  <si>
    <t>Price to Sales</t>
  </si>
  <si>
    <t>Price to Sales - Close</t>
  </si>
  <si>
    <t>Price to Sales - High</t>
  </si>
  <si>
    <t>Price to Sales - Low</t>
  </si>
  <si>
    <t>Sales Rolling</t>
  </si>
  <si>
    <t>Sales Per Share</t>
  </si>
  <si>
    <t>Sales/ total Assets x</t>
  </si>
  <si>
    <t>PAT Margin %</t>
  </si>
  <si>
    <t xml:space="preserve">Assets to Equity x </t>
  </si>
  <si>
    <t>DATE</t>
  </si>
  <si>
    <t>ADJCLOSE</t>
  </si>
  <si>
    <t>ADJHIGH</t>
  </si>
  <si>
    <t>ADJLOW</t>
  </si>
  <si>
    <t>ADJOPEN</t>
  </si>
  <si>
    <t>CLOSE</t>
  </si>
  <si>
    <t>VOLUME</t>
  </si>
  <si>
    <t>Revenue</t>
  </si>
  <si>
    <t>Pellet Trading</t>
  </si>
  <si>
    <t>Steel</t>
  </si>
  <si>
    <t>Power</t>
  </si>
  <si>
    <t>Checksum</t>
  </si>
  <si>
    <t>Capacity</t>
  </si>
  <si>
    <t>Realisation Per Tonne</t>
  </si>
  <si>
    <t>Sales (Mn T)</t>
  </si>
  <si>
    <t>Total Revenue</t>
  </si>
  <si>
    <t>Pellet+ DRI</t>
  </si>
  <si>
    <t>Pellet(mntpa) Gadchiroli+Ghusghus</t>
  </si>
  <si>
    <t>Royalty</t>
  </si>
  <si>
    <t>Mining Charges</t>
  </si>
  <si>
    <t>Freight Expenses</t>
  </si>
  <si>
    <t>Iron Ore Mining-Sales</t>
  </si>
  <si>
    <t>DRI(Gadchiroli+Ghusghus)</t>
  </si>
  <si>
    <t>Iron Ore Mining (mntpa)</t>
  </si>
  <si>
    <t>Production</t>
  </si>
  <si>
    <t>Iron Ore Production</t>
  </si>
  <si>
    <t>BHQ Production</t>
  </si>
  <si>
    <t>Total Iron Ore Production</t>
  </si>
  <si>
    <t>DRI production</t>
  </si>
  <si>
    <t xml:space="preserve">Pellet Production </t>
  </si>
  <si>
    <t>Wire Rod Production</t>
  </si>
  <si>
    <t>HRC Steel Production</t>
  </si>
  <si>
    <t>HRC in Gadchiroli-Steel</t>
  </si>
  <si>
    <t>Wire Rod in Ghusghus-Steel</t>
  </si>
  <si>
    <t>Intersegmental Usage</t>
  </si>
  <si>
    <r>
      <rPr>
        <b/>
        <i/>
        <sz val="9"/>
        <color rgb="FF000000"/>
        <rFont val="Calibri"/>
        <family val="2"/>
        <scheme val="minor"/>
      </rPr>
      <t xml:space="preserve">Iron Ore Used For Pellet production </t>
    </r>
    <r>
      <rPr>
        <i/>
        <sz val="9"/>
        <color rgb="FF000000"/>
        <rFont val="Calibri"/>
        <family val="2"/>
        <scheme val="minor"/>
      </rPr>
      <t>(1.2 tonnes of raw Iron Ore (IO) to produce 1 tonne of finished iron ore pellets)</t>
    </r>
  </si>
  <si>
    <t>Material Used for Pellet Production</t>
  </si>
  <si>
    <t>Materials used for DRI production</t>
  </si>
  <si>
    <t>Iron Ore used for making DRI(1.62 tonnes of raw ore = 1 tonne of DRI)</t>
  </si>
  <si>
    <t>Pellet Used for making DRI((1.35 tonnes of pellets = 1 tonne of DRI)</t>
  </si>
  <si>
    <t>Materials used for Wire Rod plant</t>
  </si>
  <si>
    <t>Total RM used to make Wire Rod</t>
  </si>
  <si>
    <t>DRI Used to make Wire Rod</t>
  </si>
  <si>
    <t>Pellet Used to make Wire Rod(b/f)</t>
  </si>
  <si>
    <t>Material Used For HRC</t>
  </si>
  <si>
    <t>Pellet used for making HRC(1.1 tonne of pellet to make 1 tonne of HRC)</t>
  </si>
  <si>
    <t>Pellet-Sales</t>
  </si>
  <si>
    <t>DRI-Sales</t>
  </si>
  <si>
    <t>Wire Rod-Steel Sales</t>
  </si>
  <si>
    <t>HRC-Steel Sales</t>
  </si>
  <si>
    <t>Power(MW) Sales</t>
  </si>
  <si>
    <t>Mining (Iron Ore)</t>
  </si>
  <si>
    <t>Less  Inter Segment Revenue (b/F)</t>
  </si>
  <si>
    <t>Iron Ore Mining Revenue -take from PPT</t>
  </si>
  <si>
    <t>Value Added Products(DRI+Pellet) Revenue PPT</t>
  </si>
  <si>
    <t>Wire Rod+HRC--&gt;Steel Revenue</t>
  </si>
  <si>
    <t>Iron ore</t>
  </si>
  <si>
    <t>EBITDA Per Tonne (co. Reported)</t>
  </si>
  <si>
    <t>Thriveni MDO operation Revenue</t>
  </si>
  <si>
    <t>Iron Ore EBITDA</t>
  </si>
  <si>
    <t>Wire Rod+HRC--&gt;Steel EBITDA</t>
  </si>
  <si>
    <t>Wire Rod+HRC--&gt;Steel</t>
  </si>
  <si>
    <t>Total EBITDA</t>
  </si>
  <si>
    <t>Lloyds Metals &amp; Energy Ltd.</t>
  </si>
  <si>
    <t>Thriveni MDO operation EBITDA(standalone coEBITDA-console Co.EBITDA)</t>
  </si>
  <si>
    <t>DRI</t>
  </si>
  <si>
    <t>Pellet EBITDA</t>
  </si>
  <si>
    <t>DRI EBITDA</t>
  </si>
  <si>
    <t>Others (b/f)</t>
  </si>
  <si>
    <t>Pellet</t>
  </si>
  <si>
    <t>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</si>
</sst>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_(* #,##0_);_(* \(#,##0\);_(* &quot;-&quot;??_);_(@_)"/>
    <numFmt numFmtId="166" formatCode="_ * #,##0_ ;_ * \-#,##0_ ;_ * &quot;-&quot;??_ ;_ @_ "/>
    <numFmt numFmtId="167" formatCode="0.0%"/>
    <numFmt numFmtId="168" formatCode="dd\-mmm\-yyyy"/>
    <numFmt numFmtId="169" formatCode="0.000"/>
    <numFmt numFmtId="170" formatCode="0.0"/>
  </numFmts>
  <fonts count="23" x14ac:knownFonts="1">
    <font>
      <sz val="11"/>
      <color theme="1"/>
      <name val="Calibri"/>
      <family val="2"/>
      <scheme val="minor"/>
    </font>
    <font>
      <sz val="11"/>
      <color theme="1"/>
      <name val="Calibri"/>
      <family val="2"/>
      <scheme val="minor"/>
    </font>
    <font>
      <sz val="9"/>
      <color theme="1"/>
      <name val="Calibri"/>
      <family val="2"/>
      <scheme val="minor"/>
    </font>
    <font>
      <i/>
      <sz val="9"/>
      <color rgb="FFFF0000"/>
      <name val="Calibri"/>
      <family val="2"/>
      <scheme val="minor"/>
    </font>
    <font>
      <b/>
      <i/>
      <sz val="9"/>
      <color theme="1"/>
      <name val="Calibri"/>
      <family val="2"/>
      <scheme val="minor"/>
    </font>
    <font>
      <b/>
      <sz val="9"/>
      <color theme="1"/>
      <name val="Calibri"/>
      <family val="2"/>
      <scheme val="minor"/>
    </font>
    <font>
      <b/>
      <sz val="9"/>
      <color rgb="FF000000"/>
      <name val="Calibri"/>
      <family val="2"/>
      <scheme val="minor"/>
    </font>
    <font>
      <i/>
      <sz val="9"/>
      <color theme="1"/>
      <name val="Calibri"/>
      <family val="2"/>
      <scheme val="minor"/>
    </font>
    <font>
      <sz val="11"/>
      <color theme="1"/>
      <name val="Calibri"/>
      <family val="2"/>
    </font>
    <font>
      <b/>
      <i/>
      <sz val="9"/>
      <color rgb="FFFF0000"/>
      <name val="Calibri"/>
      <family val="2"/>
      <scheme val="minor"/>
    </font>
    <font>
      <b/>
      <i/>
      <u/>
      <sz val="9"/>
      <color rgb="FFFF0000"/>
      <name val="Calibri"/>
      <family val="2"/>
      <scheme val="minor"/>
    </font>
    <font>
      <b/>
      <i/>
      <sz val="9"/>
      <color rgb="FF7030A0"/>
      <name val="Calibri"/>
      <family val="2"/>
      <scheme val="minor"/>
    </font>
    <font>
      <b/>
      <sz val="11"/>
      <color theme="1"/>
      <name val="Calibri"/>
      <family val="2"/>
      <scheme val="minor"/>
    </font>
    <font>
      <b/>
      <i/>
      <u/>
      <sz val="9"/>
      <color theme="1"/>
      <name val="Calibri"/>
      <family val="2"/>
      <scheme val="minor"/>
    </font>
    <font>
      <sz val="10"/>
      <name val="Arial"/>
      <family val="2"/>
    </font>
    <font>
      <i/>
      <u/>
      <sz val="9"/>
      <color theme="1"/>
      <name val="Calibri"/>
      <family val="2"/>
      <scheme val="minor"/>
    </font>
    <font>
      <b/>
      <i/>
      <sz val="9"/>
      <color theme="3" tint="-0.249977111117893"/>
      <name val="Calibri"/>
      <family val="2"/>
      <scheme val="minor"/>
    </font>
    <font>
      <b/>
      <i/>
      <sz val="9"/>
      <color rgb="FFC00000"/>
      <name val="Calibri"/>
      <family val="2"/>
      <scheme val="minor"/>
    </font>
    <font>
      <b/>
      <i/>
      <sz val="9"/>
      <color rgb="FF000000"/>
      <name val="Calibri"/>
      <family val="2"/>
      <scheme val="minor"/>
    </font>
    <font>
      <b/>
      <i/>
      <sz val="9"/>
      <color rgb="FFEE0000"/>
      <name val="Calibri"/>
      <family val="2"/>
      <scheme val="minor"/>
    </font>
    <font>
      <i/>
      <sz val="9"/>
      <color rgb="FF000000"/>
      <name val="Calibri"/>
      <family val="2"/>
      <scheme val="minor"/>
    </font>
    <font>
      <b/>
      <sz val="9"/>
      <color indexed="81"/>
      <name val="Tahoma"/>
      <family val="2"/>
    </font>
    <font>
      <sz val="9"/>
      <color indexed="81"/>
      <name val="Tahoma"/>
      <family val="2"/>
    </font>
  </fonts>
  <fills count="11">
    <fill>
      <patternFill patternType="none"/>
    </fill>
    <fill>
      <patternFill patternType="gray125"/>
    </fill>
    <fill>
      <patternFill patternType="solid">
        <fgColor rgb="FFADD8E6"/>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0" tint="-0.34998626667073579"/>
        <bgColor indexed="64"/>
      </patternFill>
    </fill>
    <fill>
      <patternFill patternType="solid">
        <fgColor rgb="FFFFFF00"/>
        <bgColor indexed="64"/>
      </patternFill>
    </fill>
    <fill>
      <patternFill patternType="solid">
        <fgColor theme="5" tint="0.79998168889431442"/>
        <bgColor indexed="64"/>
      </patternFill>
    </fill>
  </fills>
  <borders count="5">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6">
    <xf numFmtId="0" fontId="0" fillId="0" borderId="0"/>
    <xf numFmtId="9" fontId="1" fillId="0" borderId="0" applyFont="0" applyFill="0" applyBorder="0" applyAlignment="0" applyProtection="0"/>
    <xf numFmtId="43" fontId="1" fillId="0" borderId="0" applyFont="0" applyFill="0" applyBorder="0" applyAlignment="0" applyProtection="0"/>
    <xf numFmtId="0" fontId="8" fillId="0" borderId="0"/>
    <xf numFmtId="0" fontId="14" fillId="0" borderId="0"/>
    <xf numFmtId="164" fontId="1" fillId="0" borderId="0" applyFont="0" applyFill="0" applyBorder="0" applyAlignment="0" applyProtection="0"/>
  </cellStyleXfs>
  <cellXfs count="261">
    <xf numFmtId="0" fontId="0" fillId="0" borderId="0" xfId="0"/>
    <xf numFmtId="0" fontId="5" fillId="0" borderId="0" xfId="0" applyFont="1"/>
    <xf numFmtId="0" fontId="2" fillId="0" borderId="0" xfId="0" applyFont="1"/>
    <xf numFmtId="43" fontId="4" fillId="3" borderId="0" xfId="2" applyFont="1" applyFill="1" applyBorder="1"/>
    <xf numFmtId="43" fontId="5" fillId="3" borderId="0" xfId="2" applyFont="1" applyFill="1" applyBorder="1"/>
    <xf numFmtId="0" fontId="7" fillId="3" borderId="0" xfId="0" applyFont="1" applyFill="1"/>
    <xf numFmtId="0" fontId="2" fillId="4" borderId="0" xfId="0" applyFont="1" applyFill="1"/>
    <xf numFmtId="0" fontId="4" fillId="4" borderId="0" xfId="0" applyFont="1" applyFill="1"/>
    <xf numFmtId="0" fontId="9" fillId="0" borderId="0" xfId="0" applyFont="1"/>
    <xf numFmtId="2" fontId="9" fillId="0" borderId="0" xfId="0" applyNumberFormat="1" applyFont="1"/>
    <xf numFmtId="0" fontId="5" fillId="3" borderId="0" xfId="0" applyFont="1" applyFill="1"/>
    <xf numFmtId="0" fontId="7" fillId="0" borderId="0" xfId="0" applyFont="1"/>
    <xf numFmtId="0" fontId="9" fillId="5" borderId="0" xfId="0" applyFont="1" applyFill="1"/>
    <xf numFmtId="43" fontId="4" fillId="6" borderId="0" xfId="2" applyFont="1" applyFill="1" applyBorder="1"/>
    <xf numFmtId="166" fontId="4" fillId="6" borderId="0" xfId="2" applyNumberFormat="1" applyFont="1" applyFill="1" applyBorder="1"/>
    <xf numFmtId="2" fontId="9" fillId="7" borderId="0" xfId="0" applyNumberFormat="1" applyFont="1" applyFill="1"/>
    <xf numFmtId="166" fontId="4" fillId="7" borderId="0" xfId="2" applyNumberFormat="1" applyFont="1" applyFill="1" applyBorder="1"/>
    <xf numFmtId="43" fontId="5" fillId="7" borderId="0" xfId="2" applyFont="1" applyFill="1" applyBorder="1"/>
    <xf numFmtId="2" fontId="7" fillId="7" borderId="0" xfId="0" applyNumberFormat="1" applyFont="1" applyFill="1"/>
    <xf numFmtId="0" fontId="2" fillId="7" borderId="0" xfId="0" applyFont="1" applyFill="1"/>
    <xf numFmtId="0" fontId="5" fillId="7" borderId="0" xfId="0" applyFont="1" applyFill="1"/>
    <xf numFmtId="43" fontId="5" fillId="7" borderId="0" xfId="2" applyFont="1" applyFill="1"/>
    <xf numFmtId="43" fontId="5" fillId="0" borderId="0" xfId="2" applyFont="1"/>
    <xf numFmtId="43" fontId="2" fillId="0" borderId="0" xfId="2" applyFont="1"/>
    <xf numFmtId="43" fontId="2" fillId="7" borderId="0" xfId="2" applyFont="1" applyFill="1"/>
    <xf numFmtId="43" fontId="5" fillId="0" borderId="0" xfId="2" applyFont="1" applyBorder="1"/>
    <xf numFmtId="43" fontId="5" fillId="0" borderId="1" xfId="2" applyFont="1" applyBorder="1"/>
    <xf numFmtId="43" fontId="5" fillId="7" borderId="1" xfId="2" applyFont="1" applyFill="1" applyBorder="1"/>
    <xf numFmtId="43" fontId="7" fillId="0" borderId="0" xfId="2" applyFont="1"/>
    <xf numFmtId="43" fontId="7" fillId="3" borderId="0" xfId="2" applyFont="1" applyFill="1"/>
    <xf numFmtId="43" fontId="7" fillId="7" borderId="0" xfId="2" applyFont="1" applyFill="1"/>
    <xf numFmtId="43" fontId="4" fillId="0" borderId="1" xfId="2" applyFont="1" applyBorder="1"/>
    <xf numFmtId="43" fontId="4" fillId="7" borderId="1" xfId="2" applyFont="1" applyFill="1" applyBorder="1"/>
    <xf numFmtId="43" fontId="5" fillId="0" borderId="0" xfId="2" applyFont="1" applyAlignment="1">
      <alignment vertical="center" wrapText="1"/>
    </xf>
    <xf numFmtId="43" fontId="5" fillId="0" borderId="1" xfId="2" applyFont="1" applyBorder="1" applyAlignment="1">
      <alignment vertical="center" wrapText="1"/>
    </xf>
    <xf numFmtId="43" fontId="5" fillId="0" borderId="4" xfId="2" applyFont="1" applyBorder="1"/>
    <xf numFmtId="43" fontId="4" fillId="0" borderId="0" xfId="2" applyFont="1" applyBorder="1"/>
    <xf numFmtId="43" fontId="4" fillId="7" borderId="0" xfId="2" applyFont="1" applyFill="1" applyBorder="1"/>
    <xf numFmtId="167" fontId="9" fillId="0" borderId="0" xfId="1" applyNumberFormat="1" applyFont="1"/>
    <xf numFmtId="167" fontId="9" fillId="0" borderId="0" xfId="1" applyNumberFormat="1" applyFont="1" applyBorder="1"/>
    <xf numFmtId="167" fontId="9" fillId="7" borderId="0" xfId="1" applyNumberFormat="1" applyFont="1" applyFill="1" applyBorder="1"/>
    <xf numFmtId="167" fontId="4" fillId="0" borderId="0" xfId="1" applyNumberFormat="1" applyFont="1"/>
    <xf numFmtId="167" fontId="4" fillId="7" borderId="0" xfId="1" applyNumberFormat="1" applyFont="1" applyFill="1"/>
    <xf numFmtId="167" fontId="3" fillId="0" borderId="0" xfId="1" applyNumberFormat="1" applyFont="1" applyAlignment="1">
      <alignment vertical="center" wrapText="1"/>
    </xf>
    <xf numFmtId="167" fontId="3" fillId="0" borderId="0" xfId="1" applyNumberFormat="1" applyFont="1"/>
    <xf numFmtId="167" fontId="4" fillId="0" borderId="0" xfId="1" applyNumberFormat="1" applyFont="1" applyBorder="1"/>
    <xf numFmtId="167" fontId="7" fillId="0" borderId="0" xfId="1" applyNumberFormat="1" applyFont="1"/>
    <xf numFmtId="167" fontId="7" fillId="7" borderId="0" xfId="1" applyNumberFormat="1" applyFont="1" applyFill="1"/>
    <xf numFmtId="167" fontId="4" fillId="7" borderId="0" xfId="1" applyNumberFormat="1" applyFont="1" applyFill="1" applyBorder="1"/>
    <xf numFmtId="43" fontId="4" fillId="3" borderId="0" xfId="2" applyFont="1" applyFill="1"/>
    <xf numFmtId="43" fontId="4" fillId="7" borderId="0" xfId="2" applyFont="1" applyFill="1"/>
    <xf numFmtId="167" fontId="4" fillId="6" borderId="0" xfId="1" applyNumberFormat="1" applyFont="1" applyFill="1" applyBorder="1"/>
    <xf numFmtId="167" fontId="3" fillId="7" borderId="0" xfId="1" applyNumberFormat="1" applyFont="1" applyFill="1"/>
    <xf numFmtId="43" fontId="9" fillId="3" borderId="0" xfId="2" applyFont="1" applyFill="1" applyBorder="1"/>
    <xf numFmtId="43" fontId="9" fillId="7" borderId="0" xfId="2" applyFont="1" applyFill="1" applyBorder="1"/>
    <xf numFmtId="2" fontId="0" fillId="0" borderId="0" xfId="0" applyNumberFormat="1"/>
    <xf numFmtId="1" fontId="0" fillId="0" borderId="0" xfId="0" applyNumberFormat="1"/>
    <xf numFmtId="0" fontId="12" fillId="9" borderId="0" xfId="0" applyFont="1" applyFill="1"/>
    <xf numFmtId="0" fontId="9" fillId="7" borderId="0" xfId="0" applyFont="1" applyFill="1"/>
    <xf numFmtId="2" fontId="9" fillId="7" borderId="0" xfId="2" applyNumberFormat="1" applyFont="1" applyFill="1" applyBorder="1"/>
    <xf numFmtId="43" fontId="11" fillId="7" borderId="0" xfId="2" applyFont="1" applyFill="1" applyBorder="1"/>
    <xf numFmtId="0" fontId="13" fillId="4" borderId="0" xfId="0" applyFont="1" applyFill="1"/>
    <xf numFmtId="0" fontId="7" fillId="4" borderId="0" xfId="0" applyFont="1" applyFill="1"/>
    <xf numFmtId="0" fontId="7" fillId="7" borderId="0" xfId="0" applyFont="1" applyFill="1"/>
    <xf numFmtId="43" fontId="7" fillId="4" borderId="0" xfId="2" applyFont="1" applyFill="1"/>
    <xf numFmtId="43" fontId="13" fillId="4" borderId="0" xfId="2" applyFont="1" applyFill="1"/>
    <xf numFmtId="43" fontId="4" fillId="8" borderId="0" xfId="2" applyFont="1" applyFill="1"/>
    <xf numFmtId="2" fontId="7" fillId="4" borderId="0" xfId="0" applyNumberFormat="1" applyFont="1" applyFill="1"/>
    <xf numFmtId="165" fontId="7" fillId="4" borderId="0" xfId="0" applyNumberFormat="1" applyFont="1" applyFill="1"/>
    <xf numFmtId="165" fontId="4" fillId="4" borderId="0" xfId="0" applyNumberFormat="1" applyFont="1" applyFill="1"/>
    <xf numFmtId="2" fontId="4" fillId="4" borderId="0" xfId="0" applyNumberFormat="1" applyFont="1" applyFill="1"/>
    <xf numFmtId="2" fontId="4" fillId="7" borderId="0" xfId="0" applyNumberFormat="1" applyFont="1" applyFill="1"/>
    <xf numFmtId="43" fontId="9" fillId="7" borderId="0" xfId="2" applyFont="1" applyFill="1"/>
    <xf numFmtId="43" fontId="9" fillId="7" borderId="0" xfId="2" applyFont="1" applyFill="1" applyAlignment="1">
      <alignment horizontal="center"/>
    </xf>
    <xf numFmtId="43" fontId="7" fillId="7" borderId="0" xfId="2" applyFont="1" applyFill="1" applyBorder="1"/>
    <xf numFmtId="43" fontId="2" fillId="0" borderId="0" xfId="2" applyFont="1" applyBorder="1"/>
    <xf numFmtId="43" fontId="2" fillId="7" borderId="0" xfId="2" applyFont="1" applyFill="1" applyBorder="1"/>
    <xf numFmtId="0" fontId="4" fillId="7" borderId="0" xfId="0" applyFont="1" applyFill="1"/>
    <xf numFmtId="0" fontId="6" fillId="2" borderId="2" xfId="0" applyFont="1" applyFill="1" applyBorder="1" applyAlignment="1">
      <alignment horizontal="center"/>
    </xf>
    <xf numFmtId="17" fontId="6" fillId="2" borderId="3" xfId="0" applyNumberFormat="1" applyFont="1" applyFill="1" applyBorder="1" applyAlignment="1">
      <alignment horizontal="center"/>
    </xf>
    <xf numFmtId="17" fontId="6" fillId="7" borderId="3" xfId="0" applyNumberFormat="1" applyFont="1" applyFill="1" applyBorder="1" applyAlignment="1">
      <alignment horizontal="center"/>
    </xf>
    <xf numFmtId="0" fontId="5" fillId="0" borderId="0" xfId="0" applyFont="1" applyAlignment="1">
      <alignment horizontal="center"/>
    </xf>
    <xf numFmtId="43" fontId="10" fillId="8" borderId="0" xfId="2" applyFont="1" applyFill="1"/>
    <xf numFmtId="43" fontId="9" fillId="8" borderId="0" xfId="2" applyFont="1" applyFill="1"/>
    <xf numFmtId="43" fontId="4" fillId="4" borderId="0" xfId="2" applyFont="1" applyFill="1"/>
    <xf numFmtId="0" fontId="9" fillId="4" borderId="0" xfId="0" applyFont="1" applyFill="1"/>
    <xf numFmtId="167" fontId="9" fillId="4" borderId="0" xfId="1" applyNumberFormat="1" applyFont="1" applyFill="1"/>
    <xf numFmtId="167" fontId="9" fillId="7" borderId="0" xfId="1" applyNumberFormat="1" applyFont="1" applyFill="1"/>
    <xf numFmtId="167" fontId="4" fillId="4" borderId="0" xfId="1" applyNumberFormat="1" applyFont="1" applyFill="1"/>
    <xf numFmtId="167" fontId="7" fillId="4" borderId="0" xfId="1" applyNumberFormat="1" applyFont="1" applyFill="1"/>
    <xf numFmtId="167" fontId="11" fillId="0" borderId="0" xfId="1" applyNumberFormat="1" applyFont="1"/>
    <xf numFmtId="167" fontId="11" fillId="7" borderId="0" xfId="1" applyNumberFormat="1" applyFont="1" applyFill="1"/>
    <xf numFmtId="43" fontId="7" fillId="0" borderId="0" xfId="2" applyFont="1" applyBorder="1"/>
    <xf numFmtId="43" fontId="7" fillId="8" borderId="0" xfId="2" applyFont="1" applyFill="1"/>
    <xf numFmtId="43" fontId="11" fillId="7" borderId="0" xfId="2" applyFont="1" applyFill="1"/>
    <xf numFmtId="167" fontId="9" fillId="3" borderId="0" xfId="1" applyNumberFormat="1" applyFont="1" applyFill="1"/>
    <xf numFmtId="167" fontId="9" fillId="7" borderId="0" xfId="2" applyNumberFormat="1" applyFont="1" applyFill="1"/>
    <xf numFmtId="43" fontId="16" fillId="3" borderId="0" xfId="2" applyFont="1" applyFill="1" applyBorder="1"/>
    <xf numFmtId="43" fontId="17" fillId="6" borderId="0" xfId="2" applyFont="1" applyFill="1" applyBorder="1"/>
    <xf numFmtId="43" fontId="17" fillId="7" borderId="0" xfId="2" applyFont="1" applyFill="1" applyBorder="1"/>
    <xf numFmtId="43" fontId="0" fillId="0" borderId="0" xfId="2" applyFont="1"/>
    <xf numFmtId="9" fontId="16" fillId="3" borderId="0" xfId="1" applyFont="1" applyFill="1" applyBorder="1"/>
    <xf numFmtId="9" fontId="16" fillId="7" borderId="0" xfId="1" applyFont="1" applyFill="1" applyBorder="1"/>
    <xf numFmtId="43" fontId="9" fillId="4" borderId="0" xfId="2" applyFont="1" applyFill="1" applyAlignment="1">
      <alignment horizontal="center"/>
    </xf>
    <xf numFmtId="43" fontId="18" fillId="2" borderId="0" xfId="2" applyFont="1" applyFill="1"/>
    <xf numFmtId="43" fontId="18" fillId="7" borderId="0" xfId="2" applyFont="1" applyFill="1"/>
    <xf numFmtId="43" fontId="4" fillId="0" borderId="0" xfId="2" applyFont="1"/>
    <xf numFmtId="43" fontId="18" fillId="2" borderId="0" xfId="2" applyFont="1" applyFill="1" applyAlignment="1">
      <alignment horizontal="center"/>
    </xf>
    <xf numFmtId="43" fontId="18" fillId="7" borderId="0" xfId="2" applyFont="1" applyFill="1" applyAlignment="1">
      <alignment horizontal="center"/>
    </xf>
    <xf numFmtId="43" fontId="4" fillId="0" borderId="0" xfId="2" applyFont="1" applyAlignment="1">
      <alignment horizontal="center"/>
    </xf>
    <xf numFmtId="167" fontId="7" fillId="7" borderId="0" xfId="1" applyNumberFormat="1" applyFont="1" applyFill="1" applyBorder="1"/>
    <xf numFmtId="43" fontId="2" fillId="0" borderId="0" xfId="0" applyNumberFormat="1" applyFont="1"/>
    <xf numFmtId="43" fontId="7" fillId="3" borderId="0" xfId="0" applyNumberFormat="1" applyFont="1" applyFill="1"/>
    <xf numFmtId="43" fontId="2" fillId="4" borderId="0" xfId="0" applyNumberFormat="1" applyFont="1" applyFill="1"/>
    <xf numFmtId="43" fontId="7" fillId="4" borderId="0" xfId="0" applyNumberFormat="1" applyFont="1" applyFill="1"/>
    <xf numFmtId="43" fontId="4" fillId="4" borderId="0" xfId="0" applyNumberFormat="1" applyFont="1" applyFill="1"/>
    <xf numFmtId="4" fontId="0" fillId="0" borderId="0" xfId="0" applyNumberFormat="1"/>
    <xf numFmtId="43" fontId="18" fillId="0" borderId="0" xfId="2" applyFont="1" applyFill="1" applyAlignment="1">
      <alignment horizontal="center"/>
    </xf>
    <xf numFmtId="43" fontId="18" fillId="0" borderId="0" xfId="2" applyFont="1" applyFill="1"/>
    <xf numFmtId="43" fontId="5" fillId="0" borderId="0" xfId="2" applyFont="1" applyFill="1" applyBorder="1"/>
    <xf numFmtId="43" fontId="7" fillId="0" borderId="0" xfId="2" applyFont="1" applyFill="1" applyBorder="1"/>
    <xf numFmtId="43" fontId="5" fillId="0" borderId="1" xfId="2" applyFont="1" applyFill="1" applyBorder="1"/>
    <xf numFmtId="167" fontId="9" fillId="0" borderId="0" xfId="1" applyNumberFormat="1" applyFont="1" applyFill="1" applyBorder="1"/>
    <xf numFmtId="43" fontId="2" fillId="0" borderId="0" xfId="2" applyFont="1" applyFill="1"/>
    <xf numFmtId="43" fontId="4" fillId="0" borderId="1" xfId="2" applyFont="1" applyFill="1" applyBorder="1"/>
    <xf numFmtId="167" fontId="4" fillId="0" borderId="0" xfId="1" applyNumberFormat="1" applyFont="1" applyFill="1"/>
    <xf numFmtId="43" fontId="5" fillId="0" borderId="0" xfId="2" applyFont="1" applyFill="1"/>
    <xf numFmtId="167" fontId="11" fillId="0" borderId="0" xfId="1" applyNumberFormat="1" applyFont="1" applyFill="1"/>
    <xf numFmtId="167" fontId="3" fillId="0" borderId="0" xfId="1" applyNumberFormat="1" applyFont="1" applyFill="1"/>
    <xf numFmtId="167" fontId="4" fillId="0" borderId="0" xfId="1" applyNumberFormat="1" applyFont="1" applyFill="1" applyBorder="1"/>
    <xf numFmtId="167" fontId="7" fillId="0" borderId="0" xfId="1" applyNumberFormat="1" applyFont="1" applyFill="1"/>
    <xf numFmtId="43" fontId="2" fillId="0" borderId="0" xfId="2" applyFont="1" applyFill="1" applyBorder="1"/>
    <xf numFmtId="43" fontId="9" fillId="0" borderId="0" xfId="2" applyFont="1" applyFill="1" applyBorder="1"/>
    <xf numFmtId="2" fontId="9" fillId="0" borderId="0" xfId="2" applyNumberFormat="1" applyFont="1" applyFill="1" applyBorder="1"/>
    <xf numFmtId="43" fontId="4" fillId="0" borderId="0" xfId="2" applyFont="1" applyFill="1" applyBorder="1"/>
    <xf numFmtId="9" fontId="16" fillId="0" borderId="0" xfId="1" applyFont="1" applyFill="1" applyBorder="1"/>
    <xf numFmtId="43" fontId="11" fillId="0" borderId="0" xfId="2" applyFont="1" applyFill="1" applyBorder="1"/>
    <xf numFmtId="43" fontId="17" fillId="0" borderId="0" xfId="2" applyFont="1" applyFill="1" applyBorder="1"/>
    <xf numFmtId="43" fontId="4" fillId="0" borderId="0" xfId="2" applyFont="1" applyFill="1"/>
    <xf numFmtId="43" fontId="7" fillId="0" borderId="0" xfId="2" applyFont="1" applyFill="1"/>
    <xf numFmtId="167" fontId="9" fillId="0" borderId="0" xfId="2" applyNumberFormat="1" applyFont="1" applyFill="1"/>
    <xf numFmtId="167" fontId="9" fillId="0" borderId="0" xfId="1" applyNumberFormat="1" applyFont="1" applyFill="1"/>
    <xf numFmtId="43" fontId="9" fillId="0" borderId="0" xfId="2" applyFont="1" applyFill="1" applyAlignment="1">
      <alignment horizontal="center"/>
    </xf>
    <xf numFmtId="43" fontId="9" fillId="0" borderId="0" xfId="2" applyFont="1" applyFill="1"/>
    <xf numFmtId="43" fontId="19" fillId="3" borderId="0" xfId="2" applyFont="1" applyFill="1" applyBorder="1"/>
    <xf numFmtId="43" fontId="19" fillId="7" borderId="0" xfId="2" applyFont="1" applyFill="1" applyBorder="1"/>
    <xf numFmtId="43" fontId="19" fillId="0" borderId="0" xfId="2" applyFont="1" applyFill="1" applyBorder="1"/>
    <xf numFmtId="43" fontId="9" fillId="4" borderId="0" xfId="2" applyFont="1" applyFill="1" applyAlignment="1">
      <alignment horizontal="left"/>
    </xf>
    <xf numFmtId="17" fontId="6" fillId="0" borderId="3" xfId="0" applyNumberFormat="1" applyFont="1" applyBorder="1" applyAlignment="1">
      <alignment horizontal="left"/>
    </xf>
    <xf numFmtId="0" fontId="9" fillId="9" borderId="0" xfId="0" applyFont="1" applyFill="1"/>
    <xf numFmtId="0" fontId="4" fillId="9" borderId="0" xfId="0" applyFont="1" applyFill="1"/>
    <xf numFmtId="43" fontId="18" fillId="9" borderId="0" xfId="2" applyFont="1" applyFill="1" applyAlignment="1">
      <alignment horizontal="left"/>
    </xf>
    <xf numFmtId="0" fontId="2" fillId="9" borderId="0" xfId="0" applyFont="1" applyFill="1"/>
    <xf numFmtId="0" fontId="7" fillId="9" borderId="0" xfId="0" applyFont="1" applyFill="1"/>
    <xf numFmtId="0" fontId="15" fillId="9" borderId="0" xfId="0" applyFont="1" applyFill="1"/>
    <xf numFmtId="43" fontId="20" fillId="2" borderId="0" xfId="2" applyFont="1" applyFill="1" applyAlignment="1">
      <alignment horizontal="left"/>
    </xf>
    <xf numFmtId="43" fontId="20" fillId="2" borderId="0" xfId="2" applyFont="1" applyFill="1" applyAlignment="1">
      <alignment horizontal="center"/>
    </xf>
    <xf numFmtId="43" fontId="20" fillId="7" borderId="0" xfId="2" applyFont="1" applyFill="1" applyAlignment="1">
      <alignment horizontal="center"/>
    </xf>
    <xf numFmtId="43" fontId="7" fillId="0" borderId="0" xfId="2" applyFont="1" applyAlignment="1">
      <alignment horizontal="center"/>
    </xf>
    <xf numFmtId="43" fontId="20" fillId="0" borderId="0" xfId="2" applyFont="1" applyFill="1" applyAlignment="1">
      <alignment horizontal="center"/>
    </xf>
    <xf numFmtId="12" fontId="18" fillId="0" borderId="0" xfId="2" applyNumberFormat="1" applyFont="1" applyFill="1"/>
    <xf numFmtId="43" fontId="5" fillId="3" borderId="0" xfId="2" applyFont="1" applyFill="1"/>
    <xf numFmtId="43" fontId="4" fillId="6" borderId="0" xfId="2" applyFont="1" applyFill="1"/>
    <xf numFmtId="43" fontId="11" fillId="0" borderId="0" xfId="2" applyFont="1"/>
    <xf numFmtId="9" fontId="4" fillId="0" borderId="0" xfId="1" applyFont="1" applyAlignment="1">
      <alignment vertical="center" wrapText="1"/>
    </xf>
    <xf numFmtId="9" fontId="4" fillId="0" borderId="0" xfId="1" applyFont="1" applyBorder="1"/>
    <xf numFmtId="9" fontId="4" fillId="7" borderId="0" xfId="1" applyFont="1" applyFill="1" applyBorder="1"/>
    <xf numFmtId="9" fontId="4" fillId="0" borderId="0" xfId="1" applyFont="1"/>
    <xf numFmtId="9" fontId="4" fillId="0" borderId="0" xfId="1" applyFont="1" applyFill="1" applyBorder="1"/>
    <xf numFmtId="168" fontId="0" fillId="0" borderId="0" xfId="0" applyNumberFormat="1"/>
    <xf numFmtId="168" fontId="12" fillId="0" borderId="0" xfId="0" applyNumberFormat="1" applyFont="1"/>
    <xf numFmtId="0" fontId="12" fillId="0" borderId="0" xfId="0" applyFont="1"/>
    <xf numFmtId="4" fontId="12" fillId="0" borderId="0" xfId="0" applyNumberFormat="1" applyFont="1"/>
    <xf numFmtId="9" fontId="16" fillId="7" borderId="0" xfId="2" applyNumberFormat="1" applyFont="1" applyFill="1" applyBorder="1"/>
    <xf numFmtId="9" fontId="17" fillId="6" borderId="0" xfId="2" applyNumberFormat="1" applyFont="1" applyFill="1" applyBorder="1"/>
    <xf numFmtId="9" fontId="16" fillId="3" borderId="0" xfId="2" applyNumberFormat="1" applyFont="1" applyFill="1" applyBorder="1"/>
    <xf numFmtId="166" fontId="4" fillId="6" borderId="0" xfId="2" applyNumberFormat="1" applyFont="1" applyFill="1"/>
    <xf numFmtId="166" fontId="4" fillId="7" borderId="0" xfId="2" applyNumberFormat="1" applyFont="1" applyFill="1"/>
    <xf numFmtId="166" fontId="4" fillId="0" borderId="0" xfId="2" applyNumberFormat="1" applyFont="1"/>
    <xf numFmtId="9" fontId="7" fillId="4" borderId="0" xfId="0" applyNumberFormat="1" applyFont="1" applyFill="1"/>
    <xf numFmtId="167" fontId="4" fillId="4" borderId="0" xfId="2" applyNumberFormat="1" applyFont="1" applyFill="1"/>
    <xf numFmtId="9" fontId="4" fillId="7" borderId="0" xfId="2" applyNumberFormat="1" applyFont="1" applyFill="1"/>
    <xf numFmtId="43" fontId="5" fillId="0" borderId="0" xfId="0" applyNumberFormat="1" applyFont="1"/>
    <xf numFmtId="17" fontId="0" fillId="0" borderId="0" xfId="0" applyNumberFormat="1"/>
    <xf numFmtId="43" fontId="18" fillId="2" borderId="0" xfId="2" applyFont="1" applyFill="1" applyAlignment="1">
      <alignment horizontal="left"/>
    </xf>
    <xf numFmtId="166" fontId="20" fillId="2" borderId="0" xfId="2" applyNumberFormat="1" applyFont="1" applyFill="1" applyAlignment="1">
      <alignment horizontal="center"/>
    </xf>
    <xf numFmtId="166" fontId="20" fillId="2" borderId="0" xfId="2" applyNumberFormat="1" applyFont="1" applyFill="1" applyAlignment="1">
      <alignment horizontal="left"/>
    </xf>
    <xf numFmtId="166" fontId="20" fillId="7" borderId="0" xfId="2" applyNumberFormat="1" applyFont="1" applyFill="1" applyAlignment="1">
      <alignment horizontal="center"/>
    </xf>
    <xf numFmtId="166" fontId="7" fillId="0" borderId="0" xfId="2" applyNumberFormat="1" applyFont="1" applyAlignment="1">
      <alignment horizontal="center"/>
    </xf>
    <xf numFmtId="166" fontId="20" fillId="0" borderId="0" xfId="2" applyNumberFormat="1" applyFont="1" applyFill="1" applyAlignment="1">
      <alignment horizontal="center"/>
    </xf>
    <xf numFmtId="43" fontId="18" fillId="10" borderId="0" xfId="2" applyFont="1" applyFill="1" applyAlignment="1">
      <alignment horizontal="left"/>
    </xf>
    <xf numFmtId="43" fontId="18" fillId="10" borderId="0" xfId="2" applyFont="1" applyFill="1" applyAlignment="1">
      <alignment horizontal="center"/>
    </xf>
    <xf numFmtId="43" fontId="4" fillId="10" borderId="0" xfId="2" applyFont="1" applyFill="1" applyAlignment="1">
      <alignment horizontal="center"/>
    </xf>
    <xf numFmtId="43" fontId="20" fillId="10" borderId="0" xfId="2" applyFont="1" applyFill="1" applyAlignment="1">
      <alignment horizontal="center"/>
    </xf>
    <xf numFmtId="169" fontId="18" fillId="10" borderId="0" xfId="2" applyNumberFormat="1" applyFont="1" applyFill="1" applyAlignment="1">
      <alignment horizontal="center"/>
    </xf>
    <xf numFmtId="43" fontId="18" fillId="2" borderId="4" xfId="2" applyFont="1" applyFill="1" applyBorder="1" applyAlignment="1">
      <alignment horizontal="left"/>
    </xf>
    <xf numFmtId="43" fontId="18" fillId="2" borderId="1" xfId="2" applyFont="1" applyFill="1" applyBorder="1" applyAlignment="1">
      <alignment horizontal="center"/>
    </xf>
    <xf numFmtId="43" fontId="4" fillId="0" borderId="1" xfId="2" applyFont="1" applyBorder="1" applyAlignment="1">
      <alignment horizontal="center"/>
    </xf>
    <xf numFmtId="164" fontId="18" fillId="7" borderId="1" xfId="2" applyNumberFormat="1" applyFont="1" applyFill="1" applyBorder="1" applyAlignment="1">
      <alignment horizontal="center"/>
    </xf>
    <xf numFmtId="43" fontId="18" fillId="0" borderId="1" xfId="2" applyFont="1" applyFill="1" applyBorder="1" applyAlignment="1">
      <alignment horizontal="center"/>
    </xf>
    <xf numFmtId="164" fontId="18" fillId="2" borderId="1" xfId="2" applyNumberFormat="1" applyFont="1" applyFill="1" applyBorder="1" applyAlignment="1">
      <alignment horizontal="center"/>
    </xf>
    <xf numFmtId="170" fontId="20" fillId="2" borderId="0" xfId="2" applyNumberFormat="1" applyFont="1" applyFill="1" applyAlignment="1">
      <alignment horizontal="right"/>
    </xf>
    <xf numFmtId="170" fontId="20" fillId="7" borderId="0" xfId="2" applyNumberFormat="1" applyFont="1" applyFill="1" applyAlignment="1">
      <alignment horizontal="right"/>
    </xf>
    <xf numFmtId="170" fontId="20" fillId="2" borderId="0" xfId="2" applyNumberFormat="1" applyFont="1" applyFill="1" applyAlignment="1">
      <alignment horizontal="center"/>
    </xf>
    <xf numFmtId="12" fontId="2" fillId="7" borderId="0" xfId="2" applyNumberFormat="1" applyFont="1" applyFill="1"/>
    <xf numFmtId="0" fontId="20" fillId="7" borderId="0" xfId="2" applyNumberFormat="1" applyFont="1" applyFill="1" applyAlignment="1">
      <alignment horizontal="right"/>
    </xf>
    <xf numFmtId="164" fontId="20" fillId="10" borderId="0" xfId="5" applyFont="1" applyFill="1" applyBorder="1"/>
    <xf numFmtId="164" fontId="20" fillId="2" borderId="0" xfId="5" applyFont="1" applyFill="1" applyBorder="1"/>
    <xf numFmtId="164" fontId="20" fillId="2" borderId="0" xfId="5" applyFont="1" applyFill="1"/>
    <xf numFmtId="164" fontId="18" fillId="2" borderId="1" xfId="5" applyFont="1" applyFill="1" applyBorder="1"/>
    <xf numFmtId="17" fontId="5" fillId="0" borderId="0" xfId="0" applyNumberFormat="1" applyFont="1" applyAlignment="1">
      <alignment horizontal="center"/>
    </xf>
    <xf numFmtId="164" fontId="4" fillId="0" borderId="1" xfId="2" applyNumberFormat="1" applyFont="1" applyBorder="1" applyAlignment="1">
      <alignment horizontal="center"/>
    </xf>
    <xf numFmtId="43" fontId="7" fillId="0" borderId="0" xfId="0" applyNumberFormat="1" applyFont="1"/>
    <xf numFmtId="9" fontId="4" fillId="4" borderId="0" xfId="2" applyNumberFormat="1" applyFont="1" applyFill="1"/>
    <xf numFmtId="43" fontId="9" fillId="4" borderId="0" xfId="0" applyNumberFormat="1" applyFont="1" applyFill="1"/>
    <xf numFmtId="43" fontId="9" fillId="0" borderId="0" xfId="0" applyNumberFormat="1" applyFont="1"/>
    <xf numFmtId="12" fontId="2" fillId="0" borderId="0" xfId="2" applyNumberFormat="1" applyFont="1"/>
    <xf numFmtId="2" fontId="20" fillId="7" borderId="0" xfId="2" applyNumberFormat="1" applyFont="1" applyFill="1" applyAlignment="1">
      <alignment horizontal="right"/>
    </xf>
    <xf numFmtId="2" fontId="20" fillId="2" borderId="0" xfId="2" applyNumberFormat="1" applyFont="1" applyFill="1" applyAlignment="1">
      <alignment horizontal="right"/>
    </xf>
    <xf numFmtId="170" fontId="18" fillId="10" borderId="0" xfId="2" applyNumberFormat="1" applyFont="1" applyFill="1" applyAlignment="1">
      <alignment horizontal="center"/>
    </xf>
    <xf numFmtId="0" fontId="18" fillId="10" borderId="0" xfId="2" applyNumberFormat="1" applyFont="1" applyFill="1" applyAlignment="1">
      <alignment horizontal="right"/>
    </xf>
    <xf numFmtId="2" fontId="20" fillId="2" borderId="0" xfId="2" applyNumberFormat="1" applyFont="1" applyFill="1" applyAlignment="1">
      <alignment horizontal="left"/>
    </xf>
    <xf numFmtId="2" fontId="20" fillId="2" borderId="0" xfId="2" applyNumberFormat="1" applyFont="1" applyFill="1" applyAlignment="1">
      <alignment horizontal="center"/>
    </xf>
    <xf numFmtId="2" fontId="18" fillId="2" borderId="0" xfId="2" applyNumberFormat="1" applyFont="1" applyFill="1" applyAlignment="1">
      <alignment horizontal="left"/>
    </xf>
    <xf numFmtId="2" fontId="18" fillId="2" borderId="0" xfId="2" applyNumberFormat="1" applyFont="1" applyFill="1" applyAlignment="1">
      <alignment horizontal="center"/>
    </xf>
    <xf numFmtId="2" fontId="18" fillId="7" borderId="0" xfId="2" applyNumberFormat="1" applyFont="1" applyFill="1" applyAlignment="1">
      <alignment horizontal="right"/>
    </xf>
    <xf numFmtId="2" fontId="7" fillId="0" borderId="0" xfId="2" applyNumberFormat="1" applyFont="1" applyAlignment="1">
      <alignment horizontal="right"/>
    </xf>
    <xf numFmtId="2" fontId="20" fillId="0" borderId="0" xfId="2" applyNumberFormat="1" applyFont="1" applyFill="1" applyAlignment="1">
      <alignment horizontal="right"/>
    </xf>
    <xf numFmtId="2" fontId="4" fillId="0" borderId="0" xfId="2" applyNumberFormat="1" applyFont="1" applyAlignment="1">
      <alignment horizontal="right"/>
    </xf>
    <xf numFmtId="2" fontId="18" fillId="0" borderId="0" xfId="2" applyNumberFormat="1" applyFont="1" applyFill="1" applyAlignment="1">
      <alignment horizontal="right"/>
    </xf>
    <xf numFmtId="43" fontId="20" fillId="2" borderId="0" xfId="2" applyFont="1" applyFill="1" applyAlignment="1">
      <alignment horizontal="right"/>
    </xf>
    <xf numFmtId="43" fontId="20" fillId="7" borderId="0" xfId="2" applyFont="1" applyFill="1" applyAlignment="1">
      <alignment horizontal="right"/>
    </xf>
    <xf numFmtId="43" fontId="7" fillId="0" borderId="0" xfId="2" applyFont="1" applyAlignment="1">
      <alignment horizontal="right"/>
    </xf>
    <xf numFmtId="43" fontId="20" fillId="0" borderId="0" xfId="2" applyFont="1" applyFill="1" applyAlignment="1">
      <alignment horizontal="right"/>
    </xf>
    <xf numFmtId="169" fontId="20" fillId="7" borderId="0" xfId="2" applyNumberFormat="1" applyFont="1" applyFill="1" applyAlignment="1">
      <alignment horizontal="center"/>
    </xf>
    <xf numFmtId="43" fontId="18" fillId="7" borderId="0" xfId="2" applyFont="1" applyFill="1" applyAlignment="1">
      <alignment horizontal="right"/>
    </xf>
    <xf numFmtId="43" fontId="18" fillId="2" borderId="0" xfId="2" applyFont="1" applyFill="1" applyAlignment="1">
      <alignment horizontal="right"/>
    </xf>
    <xf numFmtId="43" fontId="4" fillId="0" borderId="0" xfId="2" applyFont="1" applyAlignment="1">
      <alignment horizontal="right"/>
    </xf>
    <xf numFmtId="43" fontId="18" fillId="0" borderId="0" xfId="2" applyFont="1" applyFill="1" applyAlignment="1">
      <alignment horizontal="right"/>
    </xf>
    <xf numFmtId="43" fontId="18" fillId="10" borderId="0" xfId="2" applyFont="1" applyFill="1" applyAlignment="1">
      <alignment horizontal="right"/>
    </xf>
    <xf numFmtId="43" fontId="4" fillId="10" borderId="0" xfId="2" applyFont="1" applyFill="1" applyAlignment="1">
      <alignment horizontal="right"/>
    </xf>
    <xf numFmtId="2" fontId="20" fillId="7" borderId="0" xfId="2" applyNumberFormat="1" applyFont="1" applyFill="1" applyAlignment="1"/>
    <xf numFmtId="2" fontId="7" fillId="0" borderId="0" xfId="2" applyNumberFormat="1" applyFont="1" applyAlignment="1"/>
    <xf numFmtId="2" fontId="20" fillId="2" borderId="0" xfId="2" applyNumberFormat="1" applyFont="1" applyFill="1" applyAlignment="1"/>
    <xf numFmtId="43" fontId="20" fillId="7" borderId="0" xfId="2" applyFont="1" applyFill="1" applyAlignment="1"/>
    <xf numFmtId="2" fontId="18" fillId="7" borderId="0" xfId="2" applyNumberFormat="1" applyFont="1" applyFill="1" applyAlignment="1"/>
    <xf numFmtId="2" fontId="4" fillId="0" borderId="0" xfId="2" applyNumberFormat="1" applyFont="1" applyAlignment="1"/>
    <xf numFmtId="2" fontId="18" fillId="2" borderId="0" xfId="2" applyNumberFormat="1" applyFont="1" applyFill="1" applyAlignment="1"/>
    <xf numFmtId="169" fontId="20" fillId="2" borderId="0" xfId="2" applyNumberFormat="1" applyFont="1" applyFill="1" applyAlignment="1"/>
    <xf numFmtId="43" fontId="7" fillId="0" borderId="0" xfId="2" applyFont="1" applyAlignment="1"/>
    <xf numFmtId="43" fontId="20" fillId="2" borderId="0" xfId="2" applyFont="1" applyFill="1" applyAlignment="1"/>
    <xf numFmtId="166" fontId="18" fillId="10" borderId="0" xfId="2" applyNumberFormat="1" applyFont="1" applyFill="1" applyAlignment="1">
      <alignment horizontal="center"/>
    </xf>
    <xf numFmtId="43" fontId="18" fillId="7" borderId="1" xfId="2" applyFont="1" applyFill="1" applyBorder="1" applyAlignment="1">
      <alignment horizontal="center"/>
    </xf>
    <xf numFmtId="43" fontId="18" fillId="2" borderId="0" xfId="2" applyFont="1" applyFill="1" applyBorder="1" applyAlignment="1">
      <alignment horizontal="left"/>
    </xf>
    <xf numFmtId="43" fontId="18" fillId="2" borderId="0" xfId="2" applyFont="1" applyFill="1" applyBorder="1" applyAlignment="1">
      <alignment horizontal="center"/>
    </xf>
    <xf numFmtId="43" fontId="18" fillId="7" borderId="0" xfId="2" applyFont="1" applyFill="1" applyBorder="1" applyAlignment="1">
      <alignment horizontal="center"/>
    </xf>
    <xf numFmtId="43" fontId="4" fillId="0" borderId="0" xfId="2" applyFont="1" applyBorder="1" applyAlignment="1">
      <alignment horizontal="center"/>
    </xf>
    <xf numFmtId="43" fontId="18" fillId="0" borderId="0" xfId="2" applyFont="1" applyFill="1" applyBorder="1" applyAlignment="1">
      <alignment horizontal="center"/>
    </xf>
    <xf numFmtId="38" fontId="20" fillId="2" borderId="0" xfId="2" applyNumberFormat="1" applyFont="1" applyFill="1" applyAlignment="1">
      <alignment horizontal="right"/>
    </xf>
    <xf numFmtId="43" fontId="20" fillId="2" borderId="0" xfId="5" applyNumberFormat="1" applyFont="1" applyFill="1" applyBorder="1"/>
    <xf numFmtId="166" fontId="20" fillId="2" borderId="0" xfId="2" applyNumberFormat="1" applyFont="1" applyFill="1" applyAlignment="1">
      <alignment horizontal="right"/>
    </xf>
  </cellXfs>
  <cellStyles count="6">
    <cellStyle name="Comma" xfId="2" builtinId="3"/>
    <cellStyle name="Comma 2" xfId="5" xr:uid="{66C6E133-3ADB-4343-AAA3-0C17D3D5B191}"/>
    <cellStyle name="Normal" xfId="0" builtinId="0"/>
    <cellStyle name="Normal 2" xfId="3" xr:uid="{00000000-0005-0000-0000-000002000000}"/>
    <cellStyle name="Normal 23" xfId="4" xr:uid="{96E2C96E-37F9-4700-815B-A62CFE08C09E}"/>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DF320"/>
  <sheetViews>
    <sheetView tabSelected="1" zoomScaleNormal="100" workbookViewId="0">
      <pane xSplit="1" ySplit="1" topLeftCell="CV45" activePane="bottomRight" state="frozen"/>
      <selection pane="topRight" activeCell="B1" sqref="B1"/>
      <selection pane="bottomLeft" activeCell="A2" sqref="A2"/>
      <selection pane="bottomRight" activeCell="DF71" sqref="DF71:DF320"/>
    </sheetView>
  </sheetViews>
  <sheetFormatPr defaultColWidth="11.140625" defaultRowHeight="12" outlineLevelRow="1" x14ac:dyDescent="0.2"/>
  <cols>
    <col min="1" max="1" width="35.85546875" style="2" customWidth="1"/>
    <col min="2" max="26" width="11.140625" style="2"/>
    <col min="27" max="29" width="11.140625" style="19"/>
    <col min="30" max="31" width="12.140625" style="19" bestFit="1" customWidth="1"/>
    <col min="32" max="86" width="11.140625" style="2"/>
    <col min="87" max="87" width="9.5703125" style="2" bestFit="1" customWidth="1"/>
    <col min="88" max="88" width="11.140625" style="2"/>
    <col min="89" max="90" width="11.42578125" style="2" bestFit="1" customWidth="1"/>
    <col min="91" max="106" width="11.140625" style="24"/>
    <col min="107" max="108" width="11.140625" style="2"/>
    <col min="109" max="109" width="11.140625" style="123"/>
    <col min="110" max="16384" width="11.140625" style="2"/>
  </cols>
  <sheetData>
    <row r="1" spans="1:110" s="81" customFormat="1" x14ac:dyDescent="0.2">
      <c r="A1" s="78" t="str">
        <f>+'Annual Raw'!C4</f>
        <v>Lloyds Metals &amp; Energy Ltd.</v>
      </c>
      <c r="B1" s="79">
        <v>36951</v>
      </c>
      <c r="C1" s="79">
        <f>EOMONTH(B1,12)</f>
        <v>37346</v>
      </c>
      <c r="D1" s="79">
        <f t="shared" ref="D1:AA1" si="0">EOMONTH(C1,12)</f>
        <v>37711</v>
      </c>
      <c r="E1" s="79">
        <f t="shared" si="0"/>
        <v>38077</v>
      </c>
      <c r="F1" s="79">
        <f t="shared" si="0"/>
        <v>38442</v>
      </c>
      <c r="G1" s="79">
        <f t="shared" si="0"/>
        <v>38807</v>
      </c>
      <c r="H1" s="79">
        <f t="shared" si="0"/>
        <v>39172</v>
      </c>
      <c r="I1" s="79">
        <f t="shared" si="0"/>
        <v>39538</v>
      </c>
      <c r="J1" s="79">
        <f t="shared" si="0"/>
        <v>39903</v>
      </c>
      <c r="K1" s="79">
        <f t="shared" si="0"/>
        <v>40268</v>
      </c>
      <c r="L1" s="79">
        <f t="shared" si="0"/>
        <v>40633</v>
      </c>
      <c r="M1" s="79">
        <f t="shared" si="0"/>
        <v>40999</v>
      </c>
      <c r="N1" s="79">
        <f t="shared" si="0"/>
        <v>41364</v>
      </c>
      <c r="O1" s="79">
        <f t="shared" si="0"/>
        <v>41729</v>
      </c>
      <c r="P1" s="79">
        <f t="shared" si="0"/>
        <v>42094</v>
      </c>
      <c r="Q1" s="79">
        <f t="shared" si="0"/>
        <v>42460</v>
      </c>
      <c r="R1" s="79">
        <f t="shared" si="0"/>
        <v>42825</v>
      </c>
      <c r="S1" s="79">
        <f t="shared" si="0"/>
        <v>43190</v>
      </c>
      <c r="T1" s="79">
        <f t="shared" si="0"/>
        <v>43555</v>
      </c>
      <c r="U1" s="79">
        <f t="shared" si="0"/>
        <v>43921</v>
      </c>
      <c r="V1" s="79">
        <f t="shared" si="0"/>
        <v>44286</v>
      </c>
      <c r="W1" s="79">
        <f t="shared" si="0"/>
        <v>44651</v>
      </c>
      <c r="X1" s="79">
        <f t="shared" si="0"/>
        <v>45016</v>
      </c>
      <c r="Y1" s="79">
        <f t="shared" si="0"/>
        <v>45382</v>
      </c>
      <c r="Z1" s="79">
        <f>EOMONTH(Y1,12)</f>
        <v>45747</v>
      </c>
      <c r="AA1" s="80">
        <f t="shared" si="0"/>
        <v>46112</v>
      </c>
      <c r="AB1" s="80">
        <f t="shared" ref="AB1" si="1">EOMONTH(AA1,12)</f>
        <v>46477</v>
      </c>
      <c r="AC1" s="80">
        <f t="shared" ref="AC1" si="2">EOMONTH(AB1,12)</f>
        <v>46843</v>
      </c>
      <c r="AD1" s="80">
        <f t="shared" ref="AD1" si="3">EOMONTH(AC1,12)</f>
        <v>47208</v>
      </c>
      <c r="AE1" s="80">
        <f t="shared" ref="AE1" si="4">EOMONTH(AD1,12)</f>
        <v>47573</v>
      </c>
      <c r="AH1" s="81" t="s">
        <v>0</v>
      </c>
      <c r="AI1" s="79">
        <v>41061</v>
      </c>
      <c r="AJ1" s="79">
        <v>41153</v>
      </c>
      <c r="AK1" s="79">
        <v>41244</v>
      </c>
      <c r="AL1" s="79">
        <v>41334</v>
      </c>
      <c r="AM1" s="79">
        <v>41426</v>
      </c>
      <c r="AN1" s="79">
        <v>41518</v>
      </c>
      <c r="AO1" s="79">
        <v>41609</v>
      </c>
      <c r="AP1" s="79">
        <v>41699</v>
      </c>
      <c r="AQ1" s="79">
        <v>41791</v>
      </c>
      <c r="AR1" s="79">
        <v>41883</v>
      </c>
      <c r="AS1" s="79">
        <v>41974</v>
      </c>
      <c r="AT1" s="79">
        <v>42064</v>
      </c>
      <c r="AU1" s="79">
        <v>42156</v>
      </c>
      <c r="AV1" s="79">
        <v>42248</v>
      </c>
      <c r="AW1" s="79">
        <v>42339</v>
      </c>
      <c r="AX1" s="79">
        <v>42430</v>
      </c>
      <c r="AY1" s="79">
        <v>42522</v>
      </c>
      <c r="AZ1" s="79">
        <v>42614</v>
      </c>
      <c r="BA1" s="79">
        <v>42705</v>
      </c>
      <c r="BB1" s="79">
        <v>42795</v>
      </c>
      <c r="BC1" s="79">
        <v>42887</v>
      </c>
      <c r="BD1" s="79">
        <v>42979</v>
      </c>
      <c r="BE1" s="79">
        <v>43070</v>
      </c>
      <c r="BF1" s="79">
        <v>43160</v>
      </c>
      <c r="BG1" s="79">
        <v>43252</v>
      </c>
      <c r="BH1" s="79">
        <v>43344</v>
      </c>
      <c r="BI1" s="79">
        <v>43435</v>
      </c>
      <c r="BJ1" s="79">
        <v>43525</v>
      </c>
      <c r="BK1" s="79">
        <v>43617</v>
      </c>
      <c r="BL1" s="79">
        <v>43709</v>
      </c>
      <c r="BM1" s="79">
        <v>43800</v>
      </c>
      <c r="BN1" s="79">
        <v>43891</v>
      </c>
      <c r="BO1" s="79">
        <v>43983</v>
      </c>
      <c r="BP1" s="79">
        <v>44075</v>
      </c>
      <c r="BQ1" s="79">
        <f>EOMONTH(BP1,3)</f>
        <v>44196</v>
      </c>
      <c r="BR1" s="79">
        <f t="shared" ref="BR1:BS1" si="5">EOMONTH(BQ1,3)</f>
        <v>44286</v>
      </c>
      <c r="BS1" s="79">
        <f t="shared" si="5"/>
        <v>44377</v>
      </c>
      <c r="BT1" s="79">
        <f>EOMONTH(BS1,3)</f>
        <v>44469</v>
      </c>
      <c r="BU1" s="79">
        <f>EOMONTH(BT1,3)</f>
        <v>44561</v>
      </c>
      <c r="BV1" s="79">
        <f t="shared" ref="BV1:BX1" si="6">EOMONTH(BU1,3)</f>
        <v>44651</v>
      </c>
      <c r="BW1" s="79">
        <f t="shared" si="6"/>
        <v>44742</v>
      </c>
      <c r="BX1" s="79">
        <f t="shared" si="6"/>
        <v>44834</v>
      </c>
      <c r="BY1" s="79">
        <f t="shared" ref="BY1" si="7">EOMONTH(BX1,3)</f>
        <v>44926</v>
      </c>
      <c r="BZ1" s="79">
        <f t="shared" ref="BZ1" si="8">EOMONTH(BY1,3)</f>
        <v>45016</v>
      </c>
      <c r="CA1" s="79">
        <f t="shared" ref="CA1" si="9">EOMONTH(BZ1,3)</f>
        <v>45107</v>
      </c>
      <c r="CB1" s="79">
        <f t="shared" ref="CB1" si="10">EOMONTH(CA1,3)</f>
        <v>45199</v>
      </c>
      <c r="CC1" s="79">
        <f t="shared" ref="CC1:CD1" si="11">EOMONTH(CB1,3)</f>
        <v>45291</v>
      </c>
      <c r="CD1" s="79">
        <f t="shared" si="11"/>
        <v>45382</v>
      </c>
      <c r="CE1" s="79">
        <f t="shared" ref="CE1" si="12">EOMONTH(CD1,3)</f>
        <v>45473</v>
      </c>
      <c r="CF1" s="79">
        <f t="shared" ref="CF1" si="13">EOMONTH(CE1,3)</f>
        <v>45565</v>
      </c>
      <c r="CG1" s="79">
        <f t="shared" ref="CG1" si="14">EOMONTH(CF1,3)</f>
        <v>45657</v>
      </c>
      <c r="CH1" s="79">
        <f t="shared" ref="CH1:CK1" si="15">EOMONTH(CG1,3)</f>
        <v>45747</v>
      </c>
      <c r="CI1" s="79">
        <f t="shared" si="15"/>
        <v>45838</v>
      </c>
      <c r="CJ1" s="79">
        <f t="shared" si="15"/>
        <v>45930</v>
      </c>
      <c r="CK1" s="79">
        <f t="shared" si="15"/>
        <v>46022</v>
      </c>
      <c r="CL1" s="79">
        <f t="shared" ref="CL1" si="16">EOMONTH(CK1,3)</f>
        <v>46112</v>
      </c>
      <c r="CM1" s="80">
        <f t="shared" ref="CM1" si="17">EOMONTH(CL1,3)</f>
        <v>46203</v>
      </c>
      <c r="CN1" s="80">
        <f t="shared" ref="CN1" si="18">EOMONTH(CM1,3)</f>
        <v>46295</v>
      </c>
      <c r="CO1" s="80">
        <f t="shared" ref="CO1" si="19">EOMONTH(CN1,3)</f>
        <v>46387</v>
      </c>
      <c r="CP1" s="80">
        <f t="shared" ref="CP1" si="20">EOMONTH(CO1,3)</f>
        <v>46477</v>
      </c>
      <c r="CQ1" s="80">
        <f t="shared" ref="CQ1" si="21">EOMONTH(CP1,3)</f>
        <v>46568</v>
      </c>
      <c r="CR1" s="80">
        <f t="shared" ref="CR1" si="22">EOMONTH(CQ1,3)</f>
        <v>46660</v>
      </c>
      <c r="CS1" s="80">
        <f t="shared" ref="CS1" si="23">EOMONTH(CR1,3)</f>
        <v>46752</v>
      </c>
      <c r="CT1" s="80">
        <f t="shared" ref="CT1" si="24">EOMONTH(CS1,3)</f>
        <v>46843</v>
      </c>
      <c r="CU1" s="80">
        <f t="shared" ref="CU1" si="25">EOMONTH(CT1,3)</f>
        <v>46934</v>
      </c>
      <c r="CV1" s="80">
        <f t="shared" ref="CV1" si="26">EOMONTH(CU1,3)</f>
        <v>47026</v>
      </c>
      <c r="CW1" s="80">
        <f t="shared" ref="CW1" si="27">EOMONTH(CV1,3)</f>
        <v>47118</v>
      </c>
      <c r="CX1" s="80">
        <f t="shared" ref="CX1" si="28">EOMONTH(CW1,3)</f>
        <v>47208</v>
      </c>
      <c r="CY1" s="80">
        <f t="shared" ref="CY1" si="29">EOMONTH(CX1,3)</f>
        <v>47299</v>
      </c>
      <c r="CZ1" s="80">
        <f t="shared" ref="CZ1" si="30">EOMONTH(CY1,3)</f>
        <v>47391</v>
      </c>
      <c r="DA1" s="80">
        <f t="shared" ref="DA1" si="31">EOMONTH(CZ1,3)</f>
        <v>47483</v>
      </c>
      <c r="DB1" s="80">
        <f t="shared" ref="DB1" si="32">EOMONTH(DA1,3)</f>
        <v>47573</v>
      </c>
      <c r="DE1" s="148" t="s">
        <v>445</v>
      </c>
      <c r="DF1" s="210">
        <v>46112</v>
      </c>
    </row>
    <row r="2" spans="1:110" s="109" customFormat="1" x14ac:dyDescent="0.2">
      <c r="A2" s="151" t="s">
        <v>499</v>
      </c>
      <c r="B2" s="107"/>
      <c r="C2" s="107"/>
      <c r="D2" s="107"/>
      <c r="E2" s="107"/>
      <c r="F2" s="107"/>
      <c r="G2" s="107"/>
      <c r="H2" s="107"/>
      <c r="I2" s="107"/>
      <c r="J2" s="107"/>
      <c r="K2" s="107"/>
      <c r="L2" s="107"/>
      <c r="M2" s="107"/>
      <c r="N2" s="107"/>
      <c r="O2" s="107"/>
      <c r="P2" s="107"/>
      <c r="Q2" s="107"/>
      <c r="R2" s="107"/>
      <c r="S2" s="107"/>
      <c r="T2" s="107"/>
      <c r="U2" s="107"/>
      <c r="V2" s="107"/>
      <c r="W2" s="107"/>
      <c r="X2" s="107"/>
      <c r="Y2" s="107"/>
      <c r="Z2" s="107"/>
      <c r="AA2" s="108"/>
      <c r="AB2" s="108"/>
      <c r="AC2" s="108"/>
      <c r="AD2" s="108"/>
      <c r="AE2" s="108"/>
      <c r="AI2" s="107"/>
      <c r="AJ2" s="107"/>
      <c r="AK2" s="107"/>
      <c r="AL2" s="107"/>
      <c r="AM2" s="107"/>
      <c r="AN2" s="107"/>
      <c r="AO2" s="107"/>
      <c r="AP2" s="107"/>
      <c r="AQ2" s="107"/>
      <c r="AR2" s="107"/>
      <c r="AS2" s="107"/>
      <c r="AT2" s="107"/>
      <c r="AU2" s="107"/>
      <c r="AV2" s="107"/>
      <c r="AW2" s="107"/>
      <c r="AX2" s="107"/>
      <c r="AY2" s="107"/>
      <c r="AZ2" s="107"/>
      <c r="BA2" s="107"/>
      <c r="BB2" s="107"/>
      <c r="BC2" s="107"/>
      <c r="BD2" s="107"/>
      <c r="BE2" s="107"/>
      <c r="BF2" s="107"/>
      <c r="BG2" s="107"/>
      <c r="BH2" s="107"/>
      <c r="BI2" s="107"/>
      <c r="BJ2" s="107"/>
      <c r="BK2" s="107"/>
      <c r="BL2" s="107"/>
      <c r="BM2" s="107"/>
      <c r="BN2" s="107"/>
      <c r="BO2" s="107"/>
      <c r="BP2" s="107"/>
      <c r="BQ2" s="107"/>
      <c r="BR2" s="107"/>
      <c r="BS2" s="107"/>
      <c r="BT2" s="107"/>
      <c r="BU2" s="107"/>
      <c r="BV2" s="107"/>
      <c r="BW2" s="107"/>
      <c r="BX2" s="107"/>
      <c r="BY2" s="107"/>
      <c r="BZ2" s="107"/>
      <c r="CA2" s="107"/>
      <c r="CB2" s="107"/>
      <c r="CC2" s="107"/>
      <c r="CD2" s="107"/>
      <c r="CE2" s="107"/>
      <c r="CF2" s="107"/>
      <c r="CG2" s="107"/>
      <c r="CH2" s="107"/>
      <c r="CI2" s="107"/>
      <c r="CJ2" s="107"/>
      <c r="CK2" s="107"/>
      <c r="CL2" s="107"/>
      <c r="CM2" s="108"/>
      <c r="CN2" s="108"/>
      <c r="CO2" s="108"/>
      <c r="CP2" s="108"/>
      <c r="CQ2" s="108"/>
      <c r="CR2" s="108"/>
      <c r="CS2" s="108"/>
      <c r="CT2" s="108"/>
      <c r="CU2" s="108"/>
      <c r="CV2" s="108"/>
      <c r="CW2" s="108"/>
      <c r="CX2" s="108"/>
      <c r="CY2" s="108"/>
      <c r="CZ2" s="108"/>
      <c r="DA2" s="108"/>
      <c r="DB2" s="108"/>
      <c r="DE2" s="117"/>
    </row>
    <row r="3" spans="1:110" s="158" customFormat="1" x14ac:dyDescent="0.2">
      <c r="A3" s="155"/>
      <c r="B3" s="156"/>
      <c r="C3" s="156"/>
      <c r="D3" s="156"/>
      <c r="E3" s="156"/>
      <c r="F3" s="156"/>
      <c r="G3" s="156"/>
      <c r="H3" s="156"/>
      <c r="I3" s="156"/>
      <c r="J3" s="156"/>
      <c r="K3" s="156"/>
      <c r="L3" s="156"/>
      <c r="M3" s="156"/>
      <c r="N3" s="156"/>
      <c r="O3" s="156"/>
      <c r="P3" s="156"/>
      <c r="Q3" s="156"/>
      <c r="R3" s="156"/>
      <c r="S3" s="156"/>
      <c r="T3" s="156"/>
      <c r="U3" s="156"/>
      <c r="V3" s="156"/>
      <c r="W3" s="156"/>
      <c r="X3" s="156"/>
      <c r="Y3" s="156"/>
      <c r="Z3" s="156"/>
      <c r="AA3" s="157"/>
      <c r="AB3" s="157"/>
      <c r="AC3" s="157"/>
      <c r="AD3" s="157"/>
      <c r="AE3" s="157"/>
      <c r="AI3" s="156"/>
      <c r="AJ3" s="156"/>
      <c r="AK3" s="156"/>
      <c r="AL3" s="156"/>
      <c r="AM3" s="156"/>
      <c r="AN3" s="156"/>
      <c r="AO3" s="156"/>
      <c r="AP3" s="156"/>
      <c r="AQ3" s="156"/>
      <c r="AR3" s="156"/>
      <c r="AS3" s="156"/>
      <c r="AT3" s="156"/>
      <c r="AU3" s="156"/>
      <c r="AV3" s="156"/>
      <c r="AW3" s="156"/>
      <c r="AX3" s="156"/>
      <c r="AY3" s="156"/>
      <c r="AZ3" s="156"/>
      <c r="BA3" s="156"/>
      <c r="BB3" s="156"/>
      <c r="BC3" s="156"/>
      <c r="BD3" s="156"/>
      <c r="BE3" s="156"/>
      <c r="BF3" s="156"/>
      <c r="BG3" s="156"/>
      <c r="BH3" s="156"/>
      <c r="BI3" s="156"/>
      <c r="BJ3" s="156"/>
      <c r="BK3" s="156"/>
      <c r="BL3" s="156"/>
      <c r="BM3" s="156"/>
      <c r="BN3" s="156"/>
      <c r="BO3" s="156"/>
      <c r="BP3" s="156"/>
      <c r="BQ3" s="156"/>
      <c r="BR3" s="156"/>
      <c r="BS3" s="156"/>
      <c r="BT3" s="156"/>
      <c r="BU3" s="156"/>
      <c r="BV3" s="156"/>
      <c r="BW3" s="156"/>
      <c r="BX3" s="156"/>
      <c r="BY3" s="156"/>
      <c r="BZ3" s="156"/>
      <c r="CA3" s="156"/>
      <c r="CB3" s="156"/>
      <c r="CC3" s="156"/>
      <c r="CD3" s="156"/>
      <c r="CE3" s="156"/>
      <c r="CF3" s="156"/>
      <c r="CG3" s="156"/>
      <c r="CH3" s="156"/>
      <c r="CI3" s="156"/>
      <c r="CJ3" s="156"/>
      <c r="CK3" s="156"/>
      <c r="CL3" s="156"/>
      <c r="CM3" s="157"/>
      <c r="CN3" s="157"/>
      <c r="CO3" s="157"/>
      <c r="CP3" s="157"/>
      <c r="CQ3" s="157"/>
      <c r="CR3" s="157"/>
      <c r="CS3" s="157"/>
      <c r="CT3" s="157"/>
      <c r="CU3" s="157"/>
      <c r="CV3" s="157"/>
      <c r="CW3" s="157"/>
      <c r="CX3" s="157"/>
      <c r="CY3" s="157"/>
      <c r="CZ3" s="157"/>
      <c r="DA3" s="157"/>
      <c r="DB3" s="157"/>
      <c r="DE3" s="159"/>
    </row>
    <row r="4" spans="1:110" s="192" customFormat="1" x14ac:dyDescent="0.2">
      <c r="A4" s="190" t="s">
        <v>527</v>
      </c>
      <c r="B4" s="191"/>
      <c r="C4" s="191"/>
      <c r="D4" s="191"/>
      <c r="E4" s="191"/>
      <c r="F4" s="191"/>
      <c r="G4" s="191"/>
      <c r="H4" s="191"/>
      <c r="I4" s="191"/>
      <c r="J4" s="191"/>
      <c r="K4" s="191"/>
      <c r="L4" s="191"/>
      <c r="M4" s="191"/>
      <c r="N4" s="191"/>
      <c r="O4" s="191"/>
      <c r="P4" s="191"/>
      <c r="Q4" s="191"/>
      <c r="R4" s="191"/>
      <c r="S4" s="191"/>
      <c r="T4" s="191"/>
      <c r="U4" s="191"/>
      <c r="V4" s="191"/>
      <c r="W4" s="191"/>
      <c r="X4" s="191"/>
      <c r="Y4" s="191"/>
      <c r="Z4" s="191"/>
      <c r="AA4" s="191"/>
      <c r="AB4" s="191"/>
      <c r="AC4" s="191"/>
      <c r="AD4" s="191"/>
      <c r="AE4" s="191"/>
      <c r="AI4" s="191"/>
      <c r="AJ4" s="191"/>
      <c r="AK4" s="191"/>
      <c r="AL4" s="191"/>
      <c r="AM4" s="191"/>
      <c r="AN4" s="191"/>
      <c r="AO4" s="191"/>
      <c r="AP4" s="191"/>
      <c r="AQ4" s="191"/>
      <c r="AR4" s="191"/>
      <c r="AS4" s="191"/>
      <c r="AT4" s="191"/>
      <c r="AU4" s="191"/>
      <c r="AV4" s="191"/>
      <c r="AW4" s="191"/>
      <c r="AX4" s="191"/>
      <c r="AY4" s="191"/>
      <c r="AZ4" s="191"/>
      <c r="BA4" s="191"/>
      <c r="BB4" s="191"/>
      <c r="BC4" s="191"/>
      <c r="BD4" s="191"/>
      <c r="BE4" s="191"/>
      <c r="BF4" s="191"/>
      <c r="BG4" s="191"/>
      <c r="BH4" s="191"/>
      <c r="BI4" s="191"/>
      <c r="BJ4" s="191"/>
      <c r="BK4" s="191"/>
      <c r="BL4" s="191"/>
      <c r="BM4" s="191"/>
      <c r="BN4" s="191"/>
      <c r="BO4" s="191"/>
      <c r="BP4" s="191"/>
      <c r="BQ4" s="191"/>
      <c r="BR4" s="191"/>
      <c r="BS4" s="191"/>
      <c r="BT4" s="191"/>
      <c r="BU4" s="191"/>
      <c r="BV4" s="191"/>
      <c r="BW4" s="191"/>
      <c r="BX4" s="191"/>
      <c r="BY4" s="191"/>
      <c r="BZ4" s="191"/>
      <c r="CA4" s="191"/>
      <c r="CB4" s="191"/>
      <c r="CC4" s="191"/>
      <c r="CD4" s="191"/>
      <c r="CE4" s="191"/>
      <c r="CF4" s="191"/>
      <c r="CG4" s="191"/>
      <c r="CH4" s="191"/>
      <c r="CI4" s="191"/>
      <c r="CJ4" s="191"/>
      <c r="CK4" s="191"/>
      <c r="CL4" s="191"/>
      <c r="CM4" s="191"/>
      <c r="CN4" s="191"/>
      <c r="CO4" s="191"/>
      <c r="CP4" s="191"/>
      <c r="CQ4" s="191"/>
      <c r="CR4" s="191"/>
      <c r="CS4" s="191"/>
      <c r="CT4" s="191"/>
      <c r="CU4" s="191"/>
      <c r="CV4" s="191"/>
      <c r="CW4" s="191"/>
      <c r="CX4" s="191"/>
      <c r="CY4" s="191"/>
      <c r="CZ4" s="191"/>
      <c r="DA4" s="191"/>
      <c r="DB4" s="191"/>
      <c r="DE4" s="191"/>
    </row>
    <row r="5" spans="1:110" s="158" customFormat="1" x14ac:dyDescent="0.2">
      <c r="A5" s="155" t="s">
        <v>538</v>
      </c>
      <c r="B5" s="156"/>
      <c r="C5" s="156"/>
      <c r="D5" s="156"/>
      <c r="E5" s="156"/>
      <c r="F5" s="156"/>
      <c r="G5" s="156"/>
      <c r="H5" s="156"/>
      <c r="I5" s="156"/>
      <c r="J5" s="156"/>
      <c r="K5" s="156"/>
      <c r="L5" s="156"/>
      <c r="M5" s="156"/>
      <c r="N5" s="156"/>
      <c r="O5" s="156"/>
      <c r="P5" s="156"/>
      <c r="Q5" s="156"/>
      <c r="R5" s="156"/>
      <c r="S5" s="156"/>
      <c r="T5" s="156"/>
      <c r="U5" s="156"/>
      <c r="V5" s="156"/>
      <c r="W5" s="156"/>
      <c r="X5" s="156"/>
      <c r="Y5" s="201">
        <v>10</v>
      </c>
      <c r="Z5" s="201">
        <v>10</v>
      </c>
      <c r="AA5" s="202">
        <v>26</v>
      </c>
      <c r="AB5" s="202">
        <v>26</v>
      </c>
      <c r="AC5" s="202">
        <v>26</v>
      </c>
      <c r="AD5" s="202">
        <v>26</v>
      </c>
      <c r="AE5" s="202">
        <v>26</v>
      </c>
      <c r="AI5" s="156"/>
      <c r="AJ5" s="156"/>
      <c r="AK5" s="156"/>
      <c r="AL5" s="156"/>
      <c r="AM5" s="156"/>
      <c r="AN5" s="156"/>
      <c r="AO5" s="156"/>
      <c r="AP5" s="156"/>
      <c r="AQ5" s="156"/>
      <c r="AR5" s="156"/>
      <c r="AS5" s="156"/>
      <c r="AT5" s="156"/>
      <c r="AU5" s="156"/>
      <c r="AV5" s="156"/>
      <c r="AW5" s="156"/>
      <c r="AX5" s="156"/>
      <c r="AY5" s="156"/>
      <c r="AZ5" s="156"/>
      <c r="BA5" s="156"/>
      <c r="BB5" s="156"/>
      <c r="BC5" s="156"/>
      <c r="BD5" s="156"/>
      <c r="BE5" s="156"/>
      <c r="BF5" s="156"/>
      <c r="BG5" s="156"/>
      <c r="BH5" s="156"/>
      <c r="BI5" s="156"/>
      <c r="BJ5" s="156"/>
      <c r="BK5" s="156"/>
      <c r="BL5" s="156"/>
      <c r="BM5" s="156"/>
      <c r="BN5" s="156"/>
      <c r="BO5" s="156"/>
      <c r="BP5" s="156"/>
      <c r="BQ5" s="156"/>
      <c r="BR5" s="156"/>
      <c r="BS5" s="156"/>
      <c r="BT5" s="156"/>
      <c r="BU5" s="156"/>
      <c r="BV5" s="156"/>
      <c r="BW5" s="156"/>
      <c r="BX5" s="156"/>
      <c r="BY5" s="156"/>
      <c r="BZ5" s="156"/>
      <c r="CA5" s="156">
        <f>+Y5/4</f>
        <v>2.5</v>
      </c>
      <c r="CB5" s="156">
        <f>+CA5</f>
        <v>2.5</v>
      </c>
      <c r="CC5" s="156">
        <f t="shared" ref="CC5:CD5" si="33">+CB5</f>
        <v>2.5</v>
      </c>
      <c r="CD5" s="156">
        <f t="shared" si="33"/>
        <v>2.5</v>
      </c>
      <c r="CE5" s="156">
        <f>+Z5/4</f>
        <v>2.5</v>
      </c>
      <c r="CF5" s="156">
        <f>+CE5</f>
        <v>2.5</v>
      </c>
      <c r="CG5" s="156">
        <f t="shared" ref="CG5:CH5" si="34">+CF5</f>
        <v>2.5</v>
      </c>
      <c r="CH5" s="156">
        <f t="shared" si="34"/>
        <v>2.5</v>
      </c>
      <c r="CI5" s="156">
        <f>+AA5/4</f>
        <v>6.5</v>
      </c>
      <c r="CJ5" s="156">
        <f>+CI5</f>
        <v>6.5</v>
      </c>
      <c r="CK5" s="156">
        <f t="shared" ref="CK5:CL6" si="35">+CJ5</f>
        <v>6.5</v>
      </c>
      <c r="CL5" s="156">
        <f t="shared" si="35"/>
        <v>6.5</v>
      </c>
      <c r="CM5" s="157">
        <f>+AB5/4</f>
        <v>6.5</v>
      </c>
      <c r="CN5" s="157">
        <f>+CM5</f>
        <v>6.5</v>
      </c>
      <c r="CO5" s="157">
        <f t="shared" ref="CO5:CP6" si="36">+CN5</f>
        <v>6.5</v>
      </c>
      <c r="CP5" s="157">
        <f t="shared" si="36"/>
        <v>6.5</v>
      </c>
      <c r="CQ5" s="157">
        <f>+AC5/4</f>
        <v>6.5</v>
      </c>
      <c r="CR5" s="157">
        <f>+CQ5</f>
        <v>6.5</v>
      </c>
      <c r="CS5" s="157">
        <f t="shared" ref="CS5:CT8" si="37">+CR5</f>
        <v>6.5</v>
      </c>
      <c r="CT5" s="157">
        <f t="shared" si="37"/>
        <v>6.5</v>
      </c>
      <c r="CU5" s="157">
        <f>+AD5/4</f>
        <v>6.5</v>
      </c>
      <c r="CV5" s="157">
        <f>+CU5</f>
        <v>6.5</v>
      </c>
      <c r="CW5" s="157">
        <f t="shared" ref="CW5:CX8" si="38">+CV5</f>
        <v>6.5</v>
      </c>
      <c r="CX5" s="157">
        <f t="shared" si="38"/>
        <v>6.5</v>
      </c>
      <c r="CY5" s="157">
        <f>+AE5/4</f>
        <v>6.5</v>
      </c>
      <c r="CZ5" s="157">
        <f>+CY5</f>
        <v>6.5</v>
      </c>
      <c r="DA5" s="157">
        <f t="shared" ref="DA5:DB9" si="39">+CZ5</f>
        <v>6.5</v>
      </c>
      <c r="DB5" s="157">
        <f t="shared" si="39"/>
        <v>6.5</v>
      </c>
      <c r="DE5" s="159"/>
      <c r="DF5" s="158">
        <v>26</v>
      </c>
    </row>
    <row r="6" spans="1:110" s="158" customFormat="1" x14ac:dyDescent="0.2">
      <c r="A6" s="155" t="s">
        <v>532</v>
      </c>
      <c r="B6" s="156"/>
      <c r="C6" s="156"/>
      <c r="D6" s="156"/>
      <c r="E6" s="156"/>
      <c r="F6" s="156"/>
      <c r="G6" s="156"/>
      <c r="H6" s="156"/>
      <c r="I6" s="156"/>
      <c r="J6" s="156"/>
      <c r="K6" s="156"/>
      <c r="L6" s="156"/>
      <c r="M6" s="156"/>
      <c r="N6" s="156"/>
      <c r="O6" s="156"/>
      <c r="P6" s="156"/>
      <c r="Q6" s="156"/>
      <c r="R6" s="156"/>
      <c r="S6" s="156"/>
      <c r="T6" s="156"/>
      <c r="U6" s="156"/>
      <c r="V6" s="156"/>
      <c r="W6" s="156"/>
      <c r="X6" s="156"/>
      <c r="Y6" s="203"/>
      <c r="Z6" s="203"/>
      <c r="AA6" s="205">
        <v>4</v>
      </c>
      <c r="AB6" s="205">
        <f>4+4</f>
        <v>8</v>
      </c>
      <c r="AC6" s="205">
        <f>8+4</f>
        <v>12</v>
      </c>
      <c r="AD6" s="205">
        <f>8+4</f>
        <v>12</v>
      </c>
      <c r="AE6" s="205">
        <f>8+4</f>
        <v>12</v>
      </c>
      <c r="AI6" s="156"/>
      <c r="AJ6" s="156"/>
      <c r="AK6" s="156"/>
      <c r="AL6" s="156"/>
      <c r="AM6" s="156"/>
      <c r="AN6" s="156"/>
      <c r="AO6" s="156"/>
      <c r="AP6" s="156"/>
      <c r="AQ6" s="156"/>
      <c r="AR6" s="156"/>
      <c r="AS6" s="156"/>
      <c r="AT6" s="156"/>
      <c r="AU6" s="156"/>
      <c r="AV6" s="156"/>
      <c r="AW6" s="156"/>
      <c r="AX6" s="156"/>
      <c r="AY6" s="156"/>
      <c r="AZ6" s="156"/>
      <c r="BA6" s="156"/>
      <c r="BB6" s="156"/>
      <c r="BC6" s="156"/>
      <c r="BD6" s="156"/>
      <c r="BE6" s="156"/>
      <c r="BF6" s="156"/>
      <c r="BG6" s="156"/>
      <c r="BH6" s="156"/>
      <c r="BI6" s="156"/>
      <c r="BJ6" s="156"/>
      <c r="BK6" s="156"/>
      <c r="BL6" s="156"/>
      <c r="BM6" s="156"/>
      <c r="BN6" s="156"/>
      <c r="BO6" s="156"/>
      <c r="BP6" s="156"/>
      <c r="BQ6" s="156"/>
      <c r="BR6" s="156"/>
      <c r="BS6" s="156"/>
      <c r="BT6" s="156"/>
      <c r="BU6" s="156"/>
      <c r="BV6" s="156"/>
      <c r="BW6" s="156"/>
      <c r="BX6" s="156"/>
      <c r="BY6" s="156"/>
      <c r="BZ6" s="156"/>
      <c r="CA6" s="156"/>
      <c r="CB6" s="156"/>
      <c r="CC6" s="156"/>
      <c r="CD6" s="156"/>
      <c r="CE6" s="156"/>
      <c r="CF6" s="156"/>
      <c r="CG6" s="156"/>
      <c r="CH6" s="156"/>
      <c r="CI6" s="156">
        <f>+AA6/4</f>
        <v>1</v>
      </c>
      <c r="CJ6" s="156">
        <f>+CI6</f>
        <v>1</v>
      </c>
      <c r="CK6" s="156">
        <f t="shared" si="35"/>
        <v>1</v>
      </c>
      <c r="CL6" s="156">
        <f t="shared" si="35"/>
        <v>1</v>
      </c>
      <c r="CM6" s="157">
        <f>+AB6/4</f>
        <v>2</v>
      </c>
      <c r="CN6" s="157">
        <f>+CM6</f>
        <v>2</v>
      </c>
      <c r="CO6" s="157">
        <f t="shared" si="36"/>
        <v>2</v>
      </c>
      <c r="CP6" s="157">
        <f t="shared" si="36"/>
        <v>2</v>
      </c>
      <c r="CQ6" s="157">
        <f>+CP6</f>
        <v>2</v>
      </c>
      <c r="CR6" s="157">
        <f>+CS6</f>
        <v>3</v>
      </c>
      <c r="CS6" s="157">
        <f>+CT6</f>
        <v>3</v>
      </c>
      <c r="CT6" s="157">
        <f>+AC6/4</f>
        <v>3</v>
      </c>
      <c r="CU6" s="157">
        <f>+AD6/4</f>
        <v>3</v>
      </c>
      <c r="CV6" s="157">
        <f>+CU6</f>
        <v>3</v>
      </c>
      <c r="CW6" s="157">
        <f t="shared" si="38"/>
        <v>3</v>
      </c>
      <c r="CX6" s="157">
        <f t="shared" si="38"/>
        <v>3</v>
      </c>
      <c r="CY6" s="157">
        <f>+AE6/4</f>
        <v>3</v>
      </c>
      <c r="CZ6" s="157">
        <f>+CY6</f>
        <v>3</v>
      </c>
      <c r="DA6" s="157">
        <f t="shared" si="39"/>
        <v>3</v>
      </c>
      <c r="DB6" s="157">
        <f t="shared" si="39"/>
        <v>3</v>
      </c>
      <c r="DE6" s="159"/>
      <c r="DF6" s="158">
        <v>4</v>
      </c>
    </row>
    <row r="7" spans="1:110" s="158" customFormat="1" x14ac:dyDescent="0.2">
      <c r="A7" s="155" t="s">
        <v>537</v>
      </c>
      <c r="B7" s="156"/>
      <c r="C7" s="156"/>
      <c r="D7" s="156"/>
      <c r="E7" s="156"/>
      <c r="F7" s="156"/>
      <c r="G7" s="156"/>
      <c r="H7" s="156"/>
      <c r="I7" s="156"/>
      <c r="J7" s="156"/>
      <c r="K7" s="156"/>
      <c r="L7" s="156"/>
      <c r="M7" s="156"/>
      <c r="N7" s="156"/>
      <c r="O7" s="156"/>
      <c r="P7" s="156"/>
      <c r="Q7" s="156"/>
      <c r="R7" s="156"/>
      <c r="S7" s="156"/>
      <c r="T7" s="156"/>
      <c r="U7" s="156"/>
      <c r="V7" s="156"/>
      <c r="W7" s="156"/>
      <c r="X7" s="156"/>
      <c r="Y7" s="218">
        <v>0.34400000000000003</v>
      </c>
      <c r="Z7" s="218">
        <v>0.34400000000000003</v>
      </c>
      <c r="AA7" s="217">
        <v>0.70399999999999996</v>
      </c>
      <c r="AB7" s="217">
        <v>0.70399999999999996</v>
      </c>
      <c r="AC7" s="217">
        <v>0.70399999999999996</v>
      </c>
      <c r="AD7" s="217">
        <v>0.70399999999999996</v>
      </c>
      <c r="AE7" s="217">
        <v>0.70399999999999996</v>
      </c>
      <c r="AI7" s="156"/>
      <c r="AJ7" s="156"/>
      <c r="AK7" s="156"/>
      <c r="AL7" s="156"/>
      <c r="AM7" s="156"/>
      <c r="AN7" s="156"/>
      <c r="AO7" s="156"/>
      <c r="AP7" s="156"/>
      <c r="AQ7" s="156"/>
      <c r="AR7" s="156"/>
      <c r="AS7" s="156"/>
      <c r="AT7" s="156"/>
      <c r="AU7" s="156"/>
      <c r="AV7" s="156"/>
      <c r="AW7" s="156"/>
      <c r="AX7" s="156"/>
      <c r="AY7" s="156"/>
      <c r="AZ7" s="156"/>
      <c r="BA7" s="156"/>
      <c r="BB7" s="156"/>
      <c r="BC7" s="156"/>
      <c r="BD7" s="156"/>
      <c r="BE7" s="156"/>
      <c r="BF7" s="156"/>
      <c r="BG7" s="156"/>
      <c r="BH7" s="156"/>
      <c r="BI7" s="156"/>
      <c r="BJ7" s="156"/>
      <c r="BK7" s="156"/>
      <c r="BL7" s="156"/>
      <c r="BM7" s="156"/>
      <c r="BN7" s="156"/>
      <c r="BO7" s="156"/>
      <c r="BP7" s="156"/>
      <c r="BQ7" s="156"/>
      <c r="BR7" s="156"/>
      <c r="BS7" s="156"/>
      <c r="BT7" s="156"/>
      <c r="BU7" s="156"/>
      <c r="BV7" s="156"/>
      <c r="BW7" s="156"/>
      <c r="BX7" s="156"/>
      <c r="BY7" s="156"/>
      <c r="BZ7" s="156"/>
      <c r="CA7" s="156">
        <f>+Y7/4</f>
        <v>8.6000000000000007E-2</v>
      </c>
      <c r="CB7" s="156">
        <f>+CA7</f>
        <v>8.6000000000000007E-2</v>
      </c>
      <c r="CC7" s="156">
        <f t="shared" ref="CC7" si="40">+CB7</f>
        <v>8.6000000000000007E-2</v>
      </c>
      <c r="CD7" s="156">
        <f t="shared" ref="CD7" si="41">+CC7</f>
        <v>8.6000000000000007E-2</v>
      </c>
      <c r="CE7" s="156">
        <f>+Z7/4</f>
        <v>8.6000000000000007E-2</v>
      </c>
      <c r="CF7" s="156">
        <f>+CE7</f>
        <v>8.6000000000000007E-2</v>
      </c>
      <c r="CG7" s="156">
        <f t="shared" ref="CG7" si="42">+CF7</f>
        <v>8.6000000000000007E-2</v>
      </c>
      <c r="CH7" s="156">
        <f t="shared" ref="CH7" si="43">+CG7</f>
        <v>8.6000000000000007E-2</v>
      </c>
      <c r="CI7" s="156">
        <f>+AA7/4</f>
        <v>0.17599999999999999</v>
      </c>
      <c r="CJ7" s="156">
        <f>+CI7</f>
        <v>0.17599999999999999</v>
      </c>
      <c r="CK7" s="156">
        <f t="shared" ref="CK7" si="44">+CJ7</f>
        <v>0.17599999999999999</v>
      </c>
      <c r="CL7" s="156">
        <f t="shared" ref="CL7" si="45">+CK7</f>
        <v>0.17599999999999999</v>
      </c>
      <c r="CM7" s="157">
        <f>+AB7/4</f>
        <v>0.17599999999999999</v>
      </c>
      <c r="CN7" s="157">
        <f>+CM7</f>
        <v>0.17599999999999999</v>
      </c>
      <c r="CO7" s="157">
        <f t="shared" ref="CO7" si="46">+CN7</f>
        <v>0.17599999999999999</v>
      </c>
      <c r="CP7" s="157">
        <f t="shared" ref="CP7" si="47">+CO7</f>
        <v>0.17599999999999999</v>
      </c>
      <c r="CQ7" s="157">
        <f>+AC7/4</f>
        <v>0.17599999999999999</v>
      </c>
      <c r="CR7" s="157">
        <f>+CQ7</f>
        <v>0.17599999999999999</v>
      </c>
      <c r="CS7" s="157">
        <f t="shared" ref="CS7" si="48">+CR7</f>
        <v>0.17599999999999999</v>
      </c>
      <c r="CT7" s="157">
        <f t="shared" ref="CT7" si="49">+CS7</f>
        <v>0.17599999999999999</v>
      </c>
      <c r="CU7" s="157">
        <f>+AD7/4</f>
        <v>0.17599999999999999</v>
      </c>
      <c r="CV7" s="157">
        <f>+CU7</f>
        <v>0.17599999999999999</v>
      </c>
      <c r="CW7" s="157">
        <f t="shared" ref="CW7" si="50">+CV7</f>
        <v>0.17599999999999999</v>
      </c>
      <c r="CX7" s="157">
        <f t="shared" ref="CX7" si="51">+CW7</f>
        <v>0.17599999999999999</v>
      </c>
      <c r="CY7" s="157">
        <f>+AE7/4</f>
        <v>0.17599999999999999</v>
      </c>
      <c r="CZ7" s="157">
        <f>+CY7</f>
        <v>0.17599999999999999</v>
      </c>
      <c r="DA7" s="157">
        <f t="shared" ref="DA7" si="52">+CZ7</f>
        <v>0.17599999999999999</v>
      </c>
      <c r="DB7" s="157">
        <f t="shared" ref="DB7" si="53">+DA7</f>
        <v>0.17599999999999999</v>
      </c>
      <c r="DE7" s="159"/>
    </row>
    <row r="8" spans="1:110" s="158" customFormat="1" x14ac:dyDescent="0.2">
      <c r="A8" s="155" t="s">
        <v>548</v>
      </c>
      <c r="B8" s="156"/>
      <c r="C8" s="156"/>
      <c r="D8" s="156"/>
      <c r="E8" s="156"/>
      <c r="F8" s="156"/>
      <c r="G8" s="156"/>
      <c r="H8" s="156"/>
      <c r="I8" s="156"/>
      <c r="J8" s="156"/>
      <c r="K8" s="156"/>
      <c r="L8" s="156"/>
      <c r="M8" s="156"/>
      <c r="N8" s="156"/>
      <c r="O8" s="156"/>
      <c r="P8" s="156"/>
      <c r="Q8" s="156"/>
      <c r="R8" s="156"/>
      <c r="S8" s="156"/>
      <c r="T8" s="156"/>
      <c r="U8" s="156"/>
      <c r="V8" s="156"/>
      <c r="W8" s="156"/>
      <c r="X8" s="156"/>
      <c r="Y8" s="203"/>
      <c r="Z8" s="203"/>
      <c r="AA8" s="205"/>
      <c r="AB8" s="205">
        <v>1.2</v>
      </c>
      <c r="AC8" s="205">
        <f>+AB8</f>
        <v>1.2</v>
      </c>
      <c r="AD8" s="205">
        <f t="shared" ref="AD8:AE8" si="54">+AC8</f>
        <v>1.2</v>
      </c>
      <c r="AE8" s="205">
        <f t="shared" si="54"/>
        <v>1.2</v>
      </c>
      <c r="AI8" s="156"/>
      <c r="AJ8" s="156"/>
      <c r="AK8" s="156"/>
      <c r="AL8" s="156"/>
      <c r="AM8" s="156"/>
      <c r="AN8" s="156"/>
      <c r="AO8" s="156"/>
      <c r="AP8" s="156"/>
      <c r="AQ8" s="156"/>
      <c r="AR8" s="156"/>
      <c r="AS8" s="156"/>
      <c r="AT8" s="156"/>
      <c r="AU8" s="156"/>
      <c r="AV8" s="156"/>
      <c r="AW8" s="156"/>
      <c r="AX8" s="156"/>
      <c r="AY8" s="156"/>
      <c r="AZ8" s="156"/>
      <c r="BA8" s="156"/>
      <c r="BB8" s="156"/>
      <c r="BC8" s="156"/>
      <c r="BD8" s="156"/>
      <c r="BE8" s="156"/>
      <c r="BF8" s="156"/>
      <c r="BG8" s="156"/>
      <c r="BH8" s="156"/>
      <c r="BI8" s="156"/>
      <c r="BJ8" s="156"/>
      <c r="BK8" s="156"/>
      <c r="BL8" s="156"/>
      <c r="BM8" s="156"/>
      <c r="BN8" s="156"/>
      <c r="BO8" s="156"/>
      <c r="BP8" s="156"/>
      <c r="BQ8" s="156"/>
      <c r="BR8" s="156"/>
      <c r="BS8" s="156"/>
      <c r="BT8" s="156"/>
      <c r="BU8" s="156"/>
      <c r="BV8" s="156"/>
      <c r="BW8" s="156"/>
      <c r="BX8" s="156"/>
      <c r="BY8" s="156"/>
      <c r="BZ8" s="156"/>
      <c r="CA8" s="156"/>
      <c r="CB8" s="156"/>
      <c r="CC8" s="156"/>
      <c r="CD8" s="156"/>
      <c r="CE8" s="156"/>
      <c r="CF8" s="156"/>
      <c r="CG8" s="156"/>
      <c r="CH8" s="156"/>
      <c r="CI8" s="156"/>
      <c r="CJ8" s="156"/>
      <c r="CK8" s="156"/>
      <c r="CL8" s="156"/>
      <c r="CM8" s="157"/>
      <c r="CN8" s="157"/>
      <c r="CO8" s="157"/>
      <c r="CP8" s="157">
        <f>+AB8/4</f>
        <v>0.3</v>
      </c>
      <c r="CQ8" s="157">
        <f>+AC8/4</f>
        <v>0.3</v>
      </c>
      <c r="CR8" s="157">
        <f>+CQ8</f>
        <v>0.3</v>
      </c>
      <c r="CS8" s="157">
        <f t="shared" si="37"/>
        <v>0.3</v>
      </c>
      <c r="CT8" s="157">
        <f t="shared" si="37"/>
        <v>0.3</v>
      </c>
      <c r="CU8" s="157">
        <f>+AD8/4</f>
        <v>0.3</v>
      </c>
      <c r="CV8" s="157">
        <f>+CU8</f>
        <v>0.3</v>
      </c>
      <c r="CW8" s="157">
        <f t="shared" si="38"/>
        <v>0.3</v>
      </c>
      <c r="CX8" s="157">
        <f t="shared" si="38"/>
        <v>0.3</v>
      </c>
      <c r="CY8" s="157">
        <f>+AE8/4</f>
        <v>0.3</v>
      </c>
      <c r="CZ8" s="157">
        <f>+CY8</f>
        <v>0.3</v>
      </c>
      <c r="DA8" s="157">
        <f t="shared" si="39"/>
        <v>0.3</v>
      </c>
      <c r="DB8" s="157">
        <f t="shared" si="39"/>
        <v>0.3</v>
      </c>
      <c r="DE8" s="159"/>
    </row>
    <row r="9" spans="1:110" s="158" customFormat="1" x14ac:dyDescent="0.2">
      <c r="A9" s="155" t="s">
        <v>547</v>
      </c>
      <c r="B9" s="156"/>
      <c r="C9" s="156"/>
      <c r="D9" s="156"/>
      <c r="E9" s="156"/>
      <c r="F9" s="156"/>
      <c r="G9" s="156"/>
      <c r="H9" s="156"/>
      <c r="I9" s="156"/>
      <c r="J9" s="156"/>
      <c r="K9" s="156"/>
      <c r="L9" s="156"/>
      <c r="M9" s="156"/>
      <c r="N9" s="156"/>
      <c r="O9" s="156"/>
      <c r="P9" s="156"/>
      <c r="Q9" s="156"/>
      <c r="R9" s="156"/>
      <c r="S9" s="156"/>
      <c r="T9" s="156"/>
      <c r="U9" s="156"/>
      <c r="V9" s="156"/>
      <c r="W9" s="156"/>
      <c r="X9" s="156"/>
      <c r="Y9" s="203"/>
      <c r="Z9" s="203"/>
      <c r="AA9" s="205"/>
      <c r="AB9" s="205"/>
      <c r="AC9" s="205"/>
      <c r="AD9" s="205"/>
      <c r="AE9" s="205">
        <v>3</v>
      </c>
      <c r="AI9" s="156"/>
      <c r="AJ9" s="156"/>
      <c r="AK9" s="156"/>
      <c r="AL9" s="156"/>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6"/>
      <c r="BQ9" s="156"/>
      <c r="BR9" s="156"/>
      <c r="BS9" s="156"/>
      <c r="BT9" s="156"/>
      <c r="BU9" s="156"/>
      <c r="BV9" s="156"/>
      <c r="BW9" s="156"/>
      <c r="BX9" s="156"/>
      <c r="BY9" s="156"/>
      <c r="BZ9" s="156"/>
      <c r="CA9" s="156"/>
      <c r="CB9" s="156"/>
      <c r="CC9" s="156"/>
      <c r="CD9" s="156"/>
      <c r="CE9" s="156"/>
      <c r="CF9" s="156"/>
      <c r="CG9" s="156"/>
      <c r="CH9" s="156"/>
      <c r="CI9" s="156"/>
      <c r="CJ9" s="156"/>
      <c r="CK9" s="156"/>
      <c r="CL9" s="156"/>
      <c r="CM9" s="234"/>
      <c r="CN9" s="234"/>
      <c r="CO9" s="234"/>
      <c r="CP9" s="234"/>
      <c r="CQ9" s="234"/>
      <c r="CR9" s="234"/>
      <c r="CS9" s="157"/>
      <c r="CT9" s="157"/>
      <c r="CU9" s="157"/>
      <c r="CV9" s="157"/>
      <c r="CW9" s="157"/>
      <c r="CX9" s="157"/>
      <c r="CY9" s="157">
        <f>+AE9/4</f>
        <v>0.75</v>
      </c>
      <c r="CZ9" s="157">
        <f>+CY9</f>
        <v>0.75</v>
      </c>
      <c r="DA9" s="157">
        <f t="shared" si="39"/>
        <v>0.75</v>
      </c>
      <c r="DB9" s="157">
        <f t="shared" si="39"/>
        <v>0.75</v>
      </c>
      <c r="DE9" s="159"/>
    </row>
    <row r="10" spans="1:110" s="192" customFormat="1" x14ac:dyDescent="0.2">
      <c r="A10" s="190" t="s">
        <v>539</v>
      </c>
      <c r="B10" s="191"/>
      <c r="C10" s="191"/>
      <c r="D10" s="191"/>
      <c r="E10" s="191"/>
      <c r="F10" s="191"/>
      <c r="G10" s="191"/>
      <c r="H10" s="191"/>
      <c r="I10" s="191"/>
      <c r="J10" s="191"/>
      <c r="K10" s="191"/>
      <c r="L10" s="191"/>
      <c r="M10" s="191"/>
      <c r="N10" s="191"/>
      <c r="O10" s="191"/>
      <c r="P10" s="191"/>
      <c r="Q10" s="191"/>
      <c r="R10" s="191"/>
      <c r="S10" s="191"/>
      <c r="T10" s="191"/>
      <c r="U10" s="191"/>
      <c r="V10" s="191"/>
      <c r="W10" s="191"/>
      <c r="X10" s="191"/>
      <c r="Y10" s="219"/>
      <c r="Z10" s="219"/>
      <c r="AA10" s="220"/>
      <c r="AB10" s="220"/>
      <c r="AC10" s="220"/>
      <c r="AD10" s="220"/>
      <c r="AE10" s="220"/>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c r="BE10" s="191"/>
      <c r="BF10" s="191"/>
      <c r="BG10" s="191"/>
      <c r="BH10" s="191"/>
      <c r="BI10" s="191"/>
      <c r="BJ10" s="191"/>
      <c r="BK10" s="191"/>
      <c r="BL10" s="191"/>
      <c r="BM10" s="191"/>
      <c r="BN10" s="191"/>
      <c r="BO10" s="191"/>
      <c r="BP10" s="191"/>
      <c r="BQ10" s="191"/>
      <c r="BR10" s="191"/>
      <c r="BS10" s="191"/>
      <c r="BT10" s="191"/>
      <c r="BU10" s="191"/>
      <c r="BV10" s="191"/>
      <c r="BW10" s="191"/>
      <c r="BX10" s="191"/>
      <c r="BY10" s="191"/>
      <c r="BZ10" s="191"/>
      <c r="CA10" s="191"/>
      <c r="CB10" s="191"/>
      <c r="CC10" s="191"/>
      <c r="CD10" s="191"/>
      <c r="CE10" s="191"/>
      <c r="CF10" s="191"/>
      <c r="CG10" s="191"/>
      <c r="CH10" s="191"/>
      <c r="CI10" s="191"/>
      <c r="CJ10" s="191"/>
      <c r="CK10" s="191"/>
      <c r="CL10" s="191"/>
      <c r="CM10" s="191"/>
      <c r="CN10" s="191"/>
      <c r="CO10" s="191"/>
      <c r="CP10" s="191"/>
      <c r="CQ10" s="191"/>
      <c r="CR10" s="191"/>
      <c r="CS10" s="191"/>
      <c r="CT10" s="191"/>
      <c r="CU10" s="191"/>
      <c r="CV10" s="191"/>
      <c r="CW10" s="191"/>
      <c r="CX10" s="191"/>
      <c r="CY10" s="191"/>
      <c r="CZ10" s="191"/>
      <c r="DA10" s="191"/>
      <c r="DB10" s="191"/>
      <c r="DE10" s="191"/>
    </row>
    <row r="11" spans="1:110" s="226" customFormat="1" x14ac:dyDescent="0.2">
      <c r="A11" s="221" t="s">
        <v>540</v>
      </c>
      <c r="B11" s="222"/>
      <c r="C11" s="222"/>
      <c r="D11" s="222"/>
      <c r="E11" s="222"/>
      <c r="F11" s="222"/>
      <c r="G11" s="222"/>
      <c r="H11" s="222"/>
      <c r="I11" s="222"/>
      <c r="J11" s="222"/>
      <c r="K11" s="222"/>
      <c r="L11" s="222"/>
      <c r="M11" s="222"/>
      <c r="N11" s="222"/>
      <c r="O11" s="222"/>
      <c r="P11" s="222"/>
      <c r="Q11" s="222"/>
      <c r="R11" s="222"/>
      <c r="S11" s="222"/>
      <c r="T11" s="222"/>
      <c r="U11" s="222"/>
      <c r="V11" s="222"/>
      <c r="W11" s="222">
        <f t="shared" ref="W11:W12" si="55">SUM(BS11:BV11)</f>
        <v>0</v>
      </c>
      <c r="X11" s="222">
        <f t="shared" ref="X11:X12" si="56">SUM(BW11:BZ11)</f>
        <v>3.59</v>
      </c>
      <c r="Y11" s="222">
        <f t="shared" ref="Y11:Y12" si="57">SUM(CA11:CD11)</f>
        <v>10</v>
      </c>
      <c r="Z11" s="222">
        <f t="shared" ref="Z11:Z12" si="58">SUM(CE11:CH11)</f>
        <v>10.000000000000002</v>
      </c>
      <c r="AA11" s="217">
        <f t="shared" ref="AA11:AA12" si="59">SUM(CI11:CL11)</f>
        <v>22</v>
      </c>
      <c r="AB11" s="217">
        <f t="shared" ref="AB11:AB12" si="60">+SUM(CM11:CP11)</f>
        <v>24</v>
      </c>
      <c r="AC11" s="217">
        <f t="shared" ref="AC11:AC12" si="61">+SUM(CQ11:CT11)</f>
        <v>16</v>
      </c>
      <c r="AD11" s="217">
        <f t="shared" ref="AD11:AD12" si="62">+SUM(CU11:CX11)</f>
        <v>11</v>
      </c>
      <c r="AE11" s="241">
        <f t="shared" ref="AE11:AE12" si="63">+SUM(CY11:DB11)</f>
        <v>11</v>
      </c>
      <c r="AF11" s="242"/>
      <c r="AG11" s="242"/>
      <c r="AH11" s="242"/>
      <c r="AI11" s="243"/>
      <c r="AJ11" s="243"/>
      <c r="AK11" s="243"/>
      <c r="AL11" s="243"/>
      <c r="AM11" s="243"/>
      <c r="AN11" s="243"/>
      <c r="AO11" s="243"/>
      <c r="AP11" s="243"/>
      <c r="AQ11" s="243"/>
      <c r="AR11" s="243"/>
      <c r="AS11" s="243"/>
      <c r="AT11" s="243"/>
      <c r="AU11" s="243"/>
      <c r="AV11" s="243"/>
      <c r="AW11" s="243"/>
      <c r="AX11" s="243"/>
      <c r="AY11" s="243"/>
      <c r="AZ11" s="243"/>
      <c r="BA11" s="243"/>
      <c r="BB11" s="243"/>
      <c r="BC11" s="243"/>
      <c r="BD11" s="243"/>
      <c r="BE11" s="243"/>
      <c r="BF11" s="243"/>
      <c r="BG11" s="243"/>
      <c r="BH11" s="243"/>
      <c r="BI11" s="243"/>
      <c r="BJ11" s="243"/>
      <c r="BK11" s="243"/>
      <c r="BL11" s="243"/>
      <c r="BM11" s="243"/>
      <c r="BN11" s="243"/>
      <c r="BO11" s="243"/>
      <c r="BP11" s="243"/>
      <c r="BQ11" s="243"/>
      <c r="BR11" s="243"/>
      <c r="BS11" s="243"/>
      <c r="BT11" s="243"/>
      <c r="BU11" s="243"/>
      <c r="BV11" s="243"/>
      <c r="BW11" s="243">
        <v>0.76</v>
      </c>
      <c r="BX11" s="243">
        <v>0.73</v>
      </c>
      <c r="BY11" s="243">
        <v>1.52</v>
      </c>
      <c r="BZ11" s="243">
        <v>0.57999999999999996</v>
      </c>
      <c r="CA11" s="243">
        <v>3.8</v>
      </c>
      <c r="CB11" s="243">
        <v>1.9000000000000004</v>
      </c>
      <c r="CC11" s="243">
        <v>2.419999999999999</v>
      </c>
      <c r="CD11" s="243">
        <v>1.8800000000000008</v>
      </c>
      <c r="CE11" s="243">
        <v>4</v>
      </c>
      <c r="CF11" s="243">
        <v>1.9</v>
      </c>
      <c r="CG11" s="243">
        <v>2.7</v>
      </c>
      <c r="CH11" s="243">
        <v>1.4</v>
      </c>
      <c r="CI11" s="243">
        <v>4</v>
      </c>
      <c r="CJ11" s="243">
        <v>3.4000000000000004</v>
      </c>
      <c r="CK11" s="243">
        <v>5.5</v>
      </c>
      <c r="CL11" s="243">
        <v>9.1</v>
      </c>
      <c r="CM11" s="241">
        <v>7</v>
      </c>
      <c r="CN11" s="241">
        <f>+CM11</f>
        <v>7</v>
      </c>
      <c r="CO11" s="241">
        <v>5</v>
      </c>
      <c r="CP11" s="241">
        <f t="shared" ref="CP11" si="64">+CO11</f>
        <v>5</v>
      </c>
      <c r="CQ11" s="241">
        <v>4</v>
      </c>
      <c r="CR11" s="241">
        <f>+CQ11</f>
        <v>4</v>
      </c>
      <c r="CS11" s="241">
        <f t="shared" ref="CS11:CT11" si="65">+CR11</f>
        <v>4</v>
      </c>
      <c r="CT11" s="241">
        <f t="shared" si="65"/>
        <v>4</v>
      </c>
      <c r="CU11" s="241">
        <v>2.75</v>
      </c>
      <c r="CV11" s="241">
        <f>+CU11</f>
        <v>2.75</v>
      </c>
      <c r="CW11" s="241">
        <f t="shared" ref="CW11:DB12" si="66">+CV11</f>
        <v>2.75</v>
      </c>
      <c r="CX11" s="241">
        <f t="shared" si="66"/>
        <v>2.75</v>
      </c>
      <c r="CY11" s="241">
        <v>2.75</v>
      </c>
      <c r="CZ11" s="241">
        <f t="shared" si="66"/>
        <v>2.75</v>
      </c>
      <c r="DA11" s="241">
        <f t="shared" si="66"/>
        <v>2.75</v>
      </c>
      <c r="DB11" s="241">
        <f t="shared" si="66"/>
        <v>2.75</v>
      </c>
      <c r="DE11" s="227"/>
    </row>
    <row r="12" spans="1:110" s="226" customFormat="1" x14ac:dyDescent="0.2">
      <c r="A12" s="221" t="s">
        <v>541</v>
      </c>
      <c r="B12" s="222"/>
      <c r="C12" s="222"/>
      <c r="D12" s="222"/>
      <c r="E12" s="222"/>
      <c r="F12" s="222"/>
      <c r="G12" s="222"/>
      <c r="H12" s="222"/>
      <c r="I12" s="222"/>
      <c r="J12" s="222"/>
      <c r="K12" s="222"/>
      <c r="L12" s="222"/>
      <c r="M12" s="222"/>
      <c r="N12" s="222"/>
      <c r="O12" s="222"/>
      <c r="P12" s="222"/>
      <c r="Q12" s="222"/>
      <c r="R12" s="222"/>
      <c r="S12" s="222"/>
      <c r="T12" s="222"/>
      <c r="U12" s="222"/>
      <c r="V12" s="222"/>
      <c r="W12" s="156">
        <f t="shared" si="55"/>
        <v>0</v>
      </c>
      <c r="X12" s="156">
        <f t="shared" si="56"/>
        <v>0</v>
      </c>
      <c r="Y12" s="156">
        <f t="shared" si="57"/>
        <v>0</v>
      </c>
      <c r="Z12" s="156">
        <f t="shared" si="58"/>
        <v>0</v>
      </c>
      <c r="AA12" s="231">
        <f t="shared" si="59"/>
        <v>0</v>
      </c>
      <c r="AB12" s="231">
        <f t="shared" si="60"/>
        <v>2</v>
      </c>
      <c r="AC12" s="231">
        <f t="shared" si="61"/>
        <v>9</v>
      </c>
      <c r="AD12" s="231">
        <f t="shared" si="62"/>
        <v>15</v>
      </c>
      <c r="AE12" s="244">
        <f t="shared" si="63"/>
        <v>15</v>
      </c>
      <c r="AF12" s="242"/>
      <c r="AG12" s="242"/>
      <c r="AH12" s="242"/>
      <c r="AI12" s="243"/>
      <c r="AJ12" s="243"/>
      <c r="AK12" s="243"/>
      <c r="AL12" s="243"/>
      <c r="AM12" s="243"/>
      <c r="AN12" s="243"/>
      <c r="AO12" s="243"/>
      <c r="AP12" s="243"/>
      <c r="AQ12" s="243"/>
      <c r="AR12" s="243"/>
      <c r="AS12" s="243"/>
      <c r="AT12" s="243"/>
      <c r="AU12" s="243"/>
      <c r="AV12" s="243"/>
      <c r="AW12" s="243"/>
      <c r="AX12" s="243"/>
      <c r="AY12" s="243"/>
      <c r="AZ12" s="243"/>
      <c r="BA12" s="243"/>
      <c r="BB12" s="243"/>
      <c r="BC12" s="243"/>
      <c r="BD12" s="243"/>
      <c r="BE12" s="243"/>
      <c r="BF12" s="243"/>
      <c r="BG12" s="243"/>
      <c r="BH12" s="243"/>
      <c r="BI12" s="243"/>
      <c r="BJ12" s="243"/>
      <c r="BK12" s="243"/>
      <c r="BL12" s="243"/>
      <c r="BM12" s="243"/>
      <c r="BN12" s="243"/>
      <c r="BO12" s="243"/>
      <c r="BP12" s="243"/>
      <c r="BQ12" s="243"/>
      <c r="BR12" s="243"/>
      <c r="BS12" s="243"/>
      <c r="BT12" s="243"/>
      <c r="BU12" s="243"/>
      <c r="BV12" s="243"/>
      <c r="BW12" s="243"/>
      <c r="BX12" s="243"/>
      <c r="BY12" s="243"/>
      <c r="BZ12" s="243"/>
      <c r="CA12" s="243"/>
      <c r="CB12" s="243"/>
      <c r="CC12" s="243"/>
      <c r="CD12" s="243"/>
      <c r="CE12" s="243"/>
      <c r="CF12" s="243"/>
      <c r="CG12" s="243"/>
      <c r="CH12" s="243"/>
      <c r="CI12" s="243"/>
      <c r="CJ12" s="243"/>
      <c r="CK12" s="243"/>
      <c r="CL12" s="243"/>
      <c r="CM12" s="241"/>
      <c r="CN12" s="241"/>
      <c r="CO12" s="241">
        <v>1</v>
      </c>
      <c r="CP12" s="241">
        <f>+CO12</f>
        <v>1</v>
      </c>
      <c r="CQ12" s="241">
        <v>2.25</v>
      </c>
      <c r="CR12" s="241">
        <f>+CQ12</f>
        <v>2.25</v>
      </c>
      <c r="CS12" s="241">
        <f t="shared" ref="CS12:CT12" si="67">+CR12</f>
        <v>2.25</v>
      </c>
      <c r="CT12" s="241">
        <f t="shared" si="67"/>
        <v>2.25</v>
      </c>
      <c r="CU12" s="241">
        <v>3.75</v>
      </c>
      <c r="CV12" s="241">
        <f>+CU12</f>
        <v>3.75</v>
      </c>
      <c r="CW12" s="241">
        <f t="shared" si="66"/>
        <v>3.75</v>
      </c>
      <c r="CX12" s="241">
        <f t="shared" si="66"/>
        <v>3.75</v>
      </c>
      <c r="CY12" s="241">
        <f t="shared" si="66"/>
        <v>3.75</v>
      </c>
      <c r="CZ12" s="241">
        <f t="shared" si="66"/>
        <v>3.75</v>
      </c>
      <c r="DA12" s="241">
        <f t="shared" si="66"/>
        <v>3.75</v>
      </c>
      <c r="DB12" s="241">
        <f t="shared" si="66"/>
        <v>3.75</v>
      </c>
      <c r="DE12" s="227"/>
    </row>
    <row r="13" spans="1:110" s="228" customFormat="1" x14ac:dyDescent="0.2">
      <c r="A13" s="223" t="s">
        <v>542</v>
      </c>
      <c r="B13" s="224"/>
      <c r="C13" s="224"/>
      <c r="D13" s="224"/>
      <c r="E13" s="224"/>
      <c r="F13" s="224"/>
      <c r="G13" s="224"/>
      <c r="H13" s="224"/>
      <c r="I13" s="224"/>
      <c r="J13" s="224"/>
      <c r="K13" s="224"/>
      <c r="L13" s="224"/>
      <c r="M13" s="224"/>
      <c r="N13" s="224"/>
      <c r="O13" s="224"/>
      <c r="P13" s="224"/>
      <c r="Q13" s="224"/>
      <c r="R13" s="224"/>
      <c r="S13" s="224"/>
      <c r="T13" s="224"/>
      <c r="U13" s="224"/>
      <c r="V13" s="224"/>
      <c r="W13" s="224">
        <f>+W11+W12</f>
        <v>0</v>
      </c>
      <c r="X13" s="224">
        <f t="shared" ref="X13:AE13" si="68">+X11+X12</f>
        <v>3.59</v>
      </c>
      <c r="Y13" s="224">
        <f t="shared" si="68"/>
        <v>10</v>
      </c>
      <c r="Z13" s="224">
        <f t="shared" si="68"/>
        <v>10.000000000000002</v>
      </c>
      <c r="AA13" s="225">
        <f t="shared" si="68"/>
        <v>22</v>
      </c>
      <c r="AB13" s="225">
        <f t="shared" si="68"/>
        <v>26</v>
      </c>
      <c r="AC13" s="225">
        <f t="shared" si="68"/>
        <v>25</v>
      </c>
      <c r="AD13" s="225">
        <f t="shared" si="68"/>
        <v>26</v>
      </c>
      <c r="AE13" s="245">
        <f t="shared" si="68"/>
        <v>26</v>
      </c>
      <c r="AF13" s="246"/>
      <c r="AG13" s="246"/>
      <c r="AH13" s="246"/>
      <c r="AI13" s="247"/>
      <c r="AJ13" s="247"/>
      <c r="AK13" s="247"/>
      <c r="AL13" s="247"/>
      <c r="AM13" s="247"/>
      <c r="AN13" s="247"/>
      <c r="AO13" s="247"/>
      <c r="AP13" s="247"/>
      <c r="AQ13" s="247"/>
      <c r="AR13" s="247"/>
      <c r="AS13" s="247"/>
      <c r="AT13" s="247"/>
      <c r="AU13" s="247"/>
      <c r="AV13" s="247"/>
      <c r="AW13" s="247"/>
      <c r="AX13" s="247"/>
      <c r="AY13" s="247"/>
      <c r="AZ13" s="247"/>
      <c r="BA13" s="247"/>
      <c r="BB13" s="247"/>
      <c r="BC13" s="247"/>
      <c r="BD13" s="247"/>
      <c r="BE13" s="247"/>
      <c r="BF13" s="247"/>
      <c r="BG13" s="247"/>
      <c r="BH13" s="247"/>
      <c r="BI13" s="247"/>
      <c r="BJ13" s="247"/>
      <c r="BK13" s="247"/>
      <c r="BL13" s="247"/>
      <c r="BM13" s="247"/>
      <c r="BN13" s="247"/>
      <c r="BO13" s="247"/>
      <c r="BP13" s="247"/>
      <c r="BQ13" s="247"/>
      <c r="BR13" s="247"/>
      <c r="BS13" s="247"/>
      <c r="BT13" s="247"/>
      <c r="BU13" s="247"/>
      <c r="BV13" s="247"/>
      <c r="BW13" s="247"/>
      <c r="BX13" s="247"/>
      <c r="BY13" s="247"/>
      <c r="BZ13" s="247"/>
      <c r="CA13" s="247"/>
      <c r="CB13" s="247"/>
      <c r="CC13" s="247"/>
      <c r="CD13" s="247"/>
      <c r="CE13" s="247">
        <f t="shared" ref="CE13:CJ13" si="69">+CE11+CE12</f>
        <v>4</v>
      </c>
      <c r="CF13" s="247">
        <f t="shared" si="69"/>
        <v>1.9</v>
      </c>
      <c r="CG13" s="247">
        <f t="shared" si="69"/>
        <v>2.7</v>
      </c>
      <c r="CH13" s="247">
        <f t="shared" si="69"/>
        <v>1.4</v>
      </c>
      <c r="CI13" s="247">
        <f t="shared" si="69"/>
        <v>4</v>
      </c>
      <c r="CJ13" s="247">
        <f t="shared" si="69"/>
        <v>3.4000000000000004</v>
      </c>
      <c r="CK13" s="247">
        <f>+CK11+CK12</f>
        <v>5.5</v>
      </c>
      <c r="CL13" s="247">
        <f>+CL11+CL12</f>
        <v>9.1</v>
      </c>
      <c r="CM13" s="245">
        <f t="shared" ref="CM13:DB13" si="70">+CM11+CM12</f>
        <v>7</v>
      </c>
      <c r="CN13" s="245">
        <f t="shared" si="70"/>
        <v>7</v>
      </c>
      <c r="CO13" s="245">
        <f t="shared" si="70"/>
        <v>6</v>
      </c>
      <c r="CP13" s="245">
        <f t="shared" si="70"/>
        <v>6</v>
      </c>
      <c r="CQ13" s="245">
        <f t="shared" si="70"/>
        <v>6.25</v>
      </c>
      <c r="CR13" s="245">
        <f t="shared" si="70"/>
        <v>6.25</v>
      </c>
      <c r="CS13" s="245">
        <f t="shared" si="70"/>
        <v>6.25</v>
      </c>
      <c r="CT13" s="245">
        <f t="shared" si="70"/>
        <v>6.25</v>
      </c>
      <c r="CU13" s="245">
        <f t="shared" si="70"/>
        <v>6.5</v>
      </c>
      <c r="CV13" s="245">
        <f t="shared" si="70"/>
        <v>6.5</v>
      </c>
      <c r="CW13" s="245">
        <f t="shared" si="70"/>
        <v>6.5</v>
      </c>
      <c r="CX13" s="245">
        <f t="shared" si="70"/>
        <v>6.5</v>
      </c>
      <c r="CY13" s="245">
        <f t="shared" si="70"/>
        <v>6.5</v>
      </c>
      <c r="CZ13" s="245">
        <f t="shared" si="70"/>
        <v>6.5</v>
      </c>
      <c r="DA13" s="245">
        <f t="shared" si="70"/>
        <v>6.5</v>
      </c>
      <c r="DB13" s="245">
        <f t="shared" si="70"/>
        <v>6.5</v>
      </c>
      <c r="DE13" s="229"/>
    </row>
    <row r="14" spans="1:110" s="226" customFormat="1" x14ac:dyDescent="0.2">
      <c r="A14" s="221" t="s">
        <v>544</v>
      </c>
      <c r="B14" s="222"/>
      <c r="C14" s="222"/>
      <c r="D14" s="222"/>
      <c r="E14" s="222"/>
      <c r="F14" s="222"/>
      <c r="G14" s="222"/>
      <c r="H14" s="222"/>
      <c r="I14" s="222"/>
      <c r="J14" s="222"/>
      <c r="K14" s="222"/>
      <c r="L14" s="222"/>
      <c r="M14" s="222"/>
      <c r="N14" s="222"/>
      <c r="O14" s="222"/>
      <c r="P14" s="222"/>
      <c r="Q14" s="222"/>
      <c r="R14" s="222"/>
      <c r="S14" s="222"/>
      <c r="T14" s="222"/>
      <c r="U14" s="222"/>
      <c r="V14" s="222"/>
      <c r="W14" s="156">
        <f t="shared" ref="W14:W17" si="71">SUM(BS14:BV14)</f>
        <v>0</v>
      </c>
      <c r="X14" s="156">
        <f t="shared" ref="X14:X17" si="72">SUM(BW14:BZ14)</f>
        <v>0</v>
      </c>
      <c r="Y14" s="156">
        <f t="shared" ref="Y14:Y17" si="73">SUM(CA14:CD14)</f>
        <v>0</v>
      </c>
      <c r="Z14" s="156">
        <f t="shared" ref="Z14:Z17" si="74">SUM(CE14:CH14)</f>
        <v>0</v>
      </c>
      <c r="AA14" s="231">
        <f t="shared" ref="AA14:AA17" si="75">SUM(CI14:CL14)</f>
        <v>3.03</v>
      </c>
      <c r="AB14" s="231">
        <f t="shared" ref="AB14:AB17" si="76">+SUM(CM14:CP14)</f>
        <v>7.2</v>
      </c>
      <c r="AC14" s="231">
        <f t="shared" ref="AC14:AC17" si="77">+SUM(CQ14:CT14)</f>
        <v>9.9</v>
      </c>
      <c r="AD14" s="231">
        <f t="shared" ref="AD14:AD17" si="78">+SUM(CU14:CX14)</f>
        <v>10.92</v>
      </c>
      <c r="AE14" s="244">
        <f t="shared" ref="AE14:AE17" si="79">+SUM(CY14:DB14)</f>
        <v>10.92</v>
      </c>
      <c r="AF14" s="242"/>
      <c r="AG14" s="242"/>
      <c r="AH14" s="242"/>
      <c r="AI14" s="243"/>
      <c r="AJ14" s="243"/>
      <c r="AK14" s="243"/>
      <c r="AL14" s="243"/>
      <c r="AM14" s="243"/>
      <c r="AN14" s="243"/>
      <c r="AO14" s="243"/>
      <c r="AP14" s="243"/>
      <c r="AQ14" s="243"/>
      <c r="AR14" s="243"/>
      <c r="AS14" s="243"/>
      <c r="AT14" s="243"/>
      <c r="AU14" s="243"/>
      <c r="AV14" s="243"/>
      <c r="AW14" s="243"/>
      <c r="AX14" s="243"/>
      <c r="AY14" s="243"/>
      <c r="AZ14" s="243"/>
      <c r="BA14" s="243"/>
      <c r="BB14" s="243"/>
      <c r="BC14" s="243"/>
      <c r="BD14" s="243"/>
      <c r="BE14" s="243"/>
      <c r="BF14" s="243"/>
      <c r="BG14" s="243"/>
      <c r="BH14" s="243"/>
      <c r="BI14" s="243"/>
      <c r="BJ14" s="243"/>
      <c r="BK14" s="243"/>
      <c r="BL14" s="243"/>
      <c r="BM14" s="243"/>
      <c r="BN14" s="243"/>
      <c r="BO14" s="243"/>
      <c r="BP14" s="243"/>
      <c r="BQ14" s="243"/>
      <c r="BR14" s="243"/>
      <c r="BS14" s="243"/>
      <c r="BT14" s="243"/>
      <c r="BU14" s="243"/>
      <c r="BV14" s="243"/>
      <c r="BW14" s="243"/>
      <c r="BX14" s="243"/>
      <c r="BY14" s="243"/>
      <c r="BZ14" s="243"/>
      <c r="CA14" s="243"/>
      <c r="CB14" s="243"/>
      <c r="CC14" s="243"/>
      <c r="CD14" s="243"/>
      <c r="CE14" s="243"/>
      <c r="CF14" s="243"/>
      <c r="CG14" s="243"/>
      <c r="CH14" s="243"/>
      <c r="CI14" s="243">
        <v>0.02</v>
      </c>
      <c r="CJ14" s="243">
        <v>0.69</v>
      </c>
      <c r="CK14" s="243">
        <f>1.95-CJ14-CI14</f>
        <v>1.24</v>
      </c>
      <c r="CL14" s="243">
        <f>3.03-CK14-CJ14-CI14</f>
        <v>1.0799999999999998</v>
      </c>
      <c r="CM14" s="241">
        <f>+CM6*90%</f>
        <v>1.8</v>
      </c>
      <c r="CN14" s="241">
        <f t="shared" ref="CN14:CP14" si="80">+CN6*90%</f>
        <v>1.8</v>
      </c>
      <c r="CO14" s="241">
        <f t="shared" si="80"/>
        <v>1.8</v>
      </c>
      <c r="CP14" s="241">
        <f t="shared" si="80"/>
        <v>1.8</v>
      </c>
      <c r="CQ14" s="241">
        <f>+CQ6*90%</f>
        <v>1.8</v>
      </c>
      <c r="CR14" s="241">
        <f t="shared" ref="CR14:CT14" si="81">+CR6*90%</f>
        <v>2.7</v>
      </c>
      <c r="CS14" s="241">
        <f t="shared" si="81"/>
        <v>2.7</v>
      </c>
      <c r="CT14" s="241">
        <f t="shared" si="81"/>
        <v>2.7</v>
      </c>
      <c r="CU14" s="241">
        <f>+CU6*91%</f>
        <v>2.73</v>
      </c>
      <c r="CV14" s="241">
        <f t="shared" ref="CV14:DB14" si="82">+CV6*91%</f>
        <v>2.73</v>
      </c>
      <c r="CW14" s="241">
        <f t="shared" si="82"/>
        <v>2.73</v>
      </c>
      <c r="CX14" s="241">
        <f t="shared" si="82"/>
        <v>2.73</v>
      </c>
      <c r="CY14" s="241">
        <f t="shared" si="82"/>
        <v>2.73</v>
      </c>
      <c r="CZ14" s="241">
        <f t="shared" si="82"/>
        <v>2.73</v>
      </c>
      <c r="DA14" s="241">
        <f t="shared" si="82"/>
        <v>2.73</v>
      </c>
      <c r="DB14" s="241">
        <f t="shared" si="82"/>
        <v>2.73</v>
      </c>
      <c r="DE14" s="227"/>
    </row>
    <row r="15" spans="1:110" s="226" customFormat="1" x14ac:dyDescent="0.2">
      <c r="A15" s="221" t="s">
        <v>543</v>
      </c>
      <c r="B15" s="222"/>
      <c r="C15" s="222"/>
      <c r="D15" s="222"/>
      <c r="E15" s="222"/>
      <c r="F15" s="222"/>
      <c r="G15" s="222"/>
      <c r="H15" s="222"/>
      <c r="I15" s="222"/>
      <c r="J15" s="222"/>
      <c r="K15" s="222"/>
      <c r="L15" s="222"/>
      <c r="M15" s="222"/>
      <c r="N15" s="222"/>
      <c r="O15" s="222"/>
      <c r="P15" s="222"/>
      <c r="Q15" s="222"/>
      <c r="R15" s="222"/>
      <c r="S15" s="222"/>
      <c r="T15" s="222"/>
      <c r="U15" s="222"/>
      <c r="V15" s="222"/>
      <c r="W15" s="156">
        <f t="shared" si="71"/>
        <v>0</v>
      </c>
      <c r="X15" s="156">
        <f t="shared" si="72"/>
        <v>0.20423000000000002</v>
      </c>
      <c r="Y15" s="156">
        <f t="shared" si="73"/>
        <v>0.26183600000000001</v>
      </c>
      <c r="Z15" s="156">
        <f t="shared" si="74"/>
        <v>0.30824299999999999</v>
      </c>
      <c r="AA15" s="231">
        <f t="shared" si="75"/>
        <v>0.48399999999999999</v>
      </c>
      <c r="AB15" s="231">
        <f t="shared" si="76"/>
        <v>0.70399999999999996</v>
      </c>
      <c r="AC15" s="231">
        <f t="shared" si="77"/>
        <v>0.70399999999999996</v>
      </c>
      <c r="AD15" s="231">
        <f t="shared" si="78"/>
        <v>0.70399999999999996</v>
      </c>
      <c r="AE15" s="244">
        <f t="shared" si="79"/>
        <v>0.70399999999999996</v>
      </c>
      <c r="AF15" s="242"/>
      <c r="AG15" s="242"/>
      <c r="AH15" s="242"/>
      <c r="AI15" s="243"/>
      <c r="AJ15" s="243"/>
      <c r="AK15" s="243"/>
      <c r="AL15" s="243"/>
      <c r="AM15" s="243"/>
      <c r="AN15" s="243"/>
      <c r="AO15" s="243"/>
      <c r="AP15" s="243"/>
      <c r="AQ15" s="243"/>
      <c r="AR15" s="243"/>
      <c r="AS15" s="243"/>
      <c r="AT15" s="243"/>
      <c r="AU15" s="243"/>
      <c r="AV15" s="243"/>
      <c r="AW15" s="243"/>
      <c r="AX15" s="243"/>
      <c r="AY15" s="243"/>
      <c r="AZ15" s="243"/>
      <c r="BA15" s="243"/>
      <c r="BB15" s="243"/>
      <c r="BC15" s="243"/>
      <c r="BD15" s="243"/>
      <c r="BE15" s="243"/>
      <c r="BF15" s="243"/>
      <c r="BG15" s="243"/>
      <c r="BH15" s="243"/>
      <c r="BI15" s="243"/>
      <c r="BJ15" s="243"/>
      <c r="BK15" s="243"/>
      <c r="BL15" s="243"/>
      <c r="BM15" s="243"/>
      <c r="BN15" s="243"/>
      <c r="BO15" s="243"/>
      <c r="BP15" s="243"/>
      <c r="BQ15" s="243"/>
      <c r="BR15" s="243"/>
      <c r="BS15" s="243"/>
      <c r="BT15" s="243"/>
      <c r="BU15" s="243"/>
      <c r="BV15" s="243"/>
      <c r="BW15" s="248">
        <v>4.5999999999999999E-2</v>
      </c>
      <c r="BX15" s="248">
        <v>4.7280000000000003E-2</v>
      </c>
      <c r="BY15" s="248">
        <v>6.0479999999999999E-2</v>
      </c>
      <c r="BZ15" s="248">
        <v>5.0470000000000001E-2</v>
      </c>
      <c r="CA15" s="248">
        <v>6.6299999999999998E-2</v>
      </c>
      <c r="CB15" s="248">
        <v>4.8149999999999998E-2</v>
      </c>
      <c r="CC15" s="248">
        <v>8.1581000000000001E-2</v>
      </c>
      <c r="CD15" s="248">
        <v>6.5805000000000002E-2</v>
      </c>
      <c r="CE15" s="243">
        <v>7.6703999999999994E-2</v>
      </c>
      <c r="CF15" s="243">
        <v>8.4968000000000002E-2</v>
      </c>
      <c r="CG15" s="243">
        <v>7.6760999999999996E-2</v>
      </c>
      <c r="CH15" s="243">
        <v>6.9809999999999997E-2</v>
      </c>
      <c r="CI15" s="243">
        <v>7.9033000000000006E-2</v>
      </c>
      <c r="CJ15" s="243">
        <v>8.8766999999999999E-2</v>
      </c>
      <c r="CK15" s="243">
        <f>0.291-CJ15-CI15</f>
        <v>0.12319999999999999</v>
      </c>
      <c r="CL15" s="243">
        <f>0.484-CK15-CJ15-CI15</f>
        <v>0.193</v>
      </c>
      <c r="CM15" s="241">
        <f>+CM7</f>
        <v>0.17599999999999999</v>
      </c>
      <c r="CN15" s="241">
        <f t="shared" ref="CN15:DB15" si="83">+CN7</f>
        <v>0.17599999999999999</v>
      </c>
      <c r="CO15" s="241">
        <f t="shared" si="83"/>
        <v>0.17599999999999999</v>
      </c>
      <c r="CP15" s="241">
        <f t="shared" si="83"/>
        <v>0.17599999999999999</v>
      </c>
      <c r="CQ15" s="241">
        <f t="shared" si="83"/>
        <v>0.17599999999999999</v>
      </c>
      <c r="CR15" s="241">
        <f t="shared" si="83"/>
        <v>0.17599999999999999</v>
      </c>
      <c r="CS15" s="241">
        <f t="shared" si="83"/>
        <v>0.17599999999999999</v>
      </c>
      <c r="CT15" s="241">
        <f t="shared" si="83"/>
        <v>0.17599999999999999</v>
      </c>
      <c r="CU15" s="241">
        <f t="shared" si="83"/>
        <v>0.17599999999999999</v>
      </c>
      <c r="CV15" s="241">
        <f t="shared" si="83"/>
        <v>0.17599999999999999</v>
      </c>
      <c r="CW15" s="241">
        <f t="shared" si="83"/>
        <v>0.17599999999999999</v>
      </c>
      <c r="CX15" s="241">
        <f t="shared" si="83"/>
        <v>0.17599999999999999</v>
      </c>
      <c r="CY15" s="241">
        <f t="shared" si="83"/>
        <v>0.17599999999999999</v>
      </c>
      <c r="CZ15" s="241">
        <f t="shared" si="83"/>
        <v>0.17599999999999999</v>
      </c>
      <c r="DA15" s="241">
        <f t="shared" si="83"/>
        <v>0.17599999999999999</v>
      </c>
      <c r="DB15" s="241">
        <f t="shared" si="83"/>
        <v>0.17599999999999999</v>
      </c>
      <c r="DE15" s="227"/>
    </row>
    <row r="16" spans="1:110" s="232" customFormat="1" x14ac:dyDescent="0.2">
      <c r="A16" s="155" t="s">
        <v>545</v>
      </c>
      <c r="B16" s="156"/>
      <c r="C16" s="156"/>
      <c r="D16" s="156"/>
      <c r="E16" s="156"/>
      <c r="F16" s="156"/>
      <c r="G16" s="156"/>
      <c r="H16" s="156"/>
      <c r="I16" s="156"/>
      <c r="J16" s="156"/>
      <c r="K16" s="156"/>
      <c r="L16" s="156"/>
      <c r="M16" s="156"/>
      <c r="N16" s="156"/>
      <c r="O16" s="156"/>
      <c r="P16" s="156"/>
      <c r="Q16" s="156"/>
      <c r="R16" s="156"/>
      <c r="S16" s="156"/>
      <c r="T16" s="156"/>
      <c r="U16" s="156"/>
      <c r="V16" s="156"/>
      <c r="W16" s="156">
        <f t="shared" si="71"/>
        <v>0</v>
      </c>
      <c r="X16" s="156">
        <f t="shared" si="72"/>
        <v>0</v>
      </c>
      <c r="Y16" s="156">
        <f t="shared" si="73"/>
        <v>0</v>
      </c>
      <c r="Z16" s="156">
        <f t="shared" si="74"/>
        <v>0</v>
      </c>
      <c r="AA16" s="231">
        <f t="shared" si="75"/>
        <v>0</v>
      </c>
      <c r="AB16" s="231">
        <f t="shared" si="76"/>
        <v>0.21</v>
      </c>
      <c r="AC16" s="231">
        <f t="shared" si="77"/>
        <v>0.96</v>
      </c>
      <c r="AD16" s="231">
        <f t="shared" si="78"/>
        <v>1.02</v>
      </c>
      <c r="AE16" s="244">
        <f t="shared" si="79"/>
        <v>1.08</v>
      </c>
      <c r="AF16" s="249"/>
      <c r="AG16" s="249"/>
      <c r="AH16" s="249"/>
      <c r="AI16" s="250"/>
      <c r="AJ16" s="250"/>
      <c r="AK16" s="250"/>
      <c r="AL16" s="250"/>
      <c r="AM16" s="250"/>
      <c r="AN16" s="250"/>
      <c r="AO16" s="250"/>
      <c r="AP16" s="250"/>
      <c r="AQ16" s="250"/>
      <c r="AR16" s="250"/>
      <c r="AS16" s="250"/>
      <c r="AT16" s="250"/>
      <c r="AU16" s="250"/>
      <c r="AV16" s="250"/>
      <c r="AW16" s="250"/>
      <c r="AX16" s="250"/>
      <c r="AY16" s="250"/>
      <c r="AZ16" s="250"/>
      <c r="BA16" s="250"/>
      <c r="BB16" s="250"/>
      <c r="BC16" s="250"/>
      <c r="BD16" s="250"/>
      <c r="BE16" s="250"/>
      <c r="BF16" s="250"/>
      <c r="BG16" s="250"/>
      <c r="BH16" s="250"/>
      <c r="BI16" s="250"/>
      <c r="BJ16" s="250"/>
      <c r="BK16" s="250"/>
      <c r="BL16" s="250"/>
      <c r="BM16" s="250"/>
      <c r="BN16" s="250"/>
      <c r="BO16" s="250"/>
      <c r="BP16" s="250"/>
      <c r="BQ16" s="250"/>
      <c r="BR16" s="250"/>
      <c r="BS16" s="250"/>
      <c r="BT16" s="250"/>
      <c r="BU16" s="250"/>
      <c r="BV16" s="250"/>
      <c r="BW16" s="250"/>
      <c r="BX16" s="250"/>
      <c r="BY16" s="250"/>
      <c r="BZ16" s="250"/>
      <c r="CA16" s="250"/>
      <c r="CB16" s="250"/>
      <c r="CC16" s="250"/>
      <c r="CD16" s="250"/>
      <c r="CE16" s="250"/>
      <c r="CF16" s="250"/>
      <c r="CG16" s="250"/>
      <c r="CH16" s="250"/>
      <c r="CI16" s="250"/>
      <c r="CJ16" s="250"/>
      <c r="CK16" s="250"/>
      <c r="CL16" s="250"/>
      <c r="CM16" s="244"/>
      <c r="CN16" s="244"/>
      <c r="CO16" s="244"/>
      <c r="CP16" s="244">
        <f>+CP8*70%</f>
        <v>0.21</v>
      </c>
      <c r="CQ16" s="244">
        <f>+CQ8*80%</f>
        <v>0.24</v>
      </c>
      <c r="CR16" s="244">
        <f t="shared" ref="CR16:CT16" si="84">+CR8*80%</f>
        <v>0.24</v>
      </c>
      <c r="CS16" s="244">
        <f t="shared" si="84"/>
        <v>0.24</v>
      </c>
      <c r="CT16" s="244">
        <f t="shared" si="84"/>
        <v>0.24</v>
      </c>
      <c r="CU16" s="244">
        <f>+CU8*85%</f>
        <v>0.255</v>
      </c>
      <c r="CV16" s="244">
        <f t="shared" ref="CV16:CX16" si="85">+CV8*85%</f>
        <v>0.255</v>
      </c>
      <c r="CW16" s="244">
        <f t="shared" si="85"/>
        <v>0.255</v>
      </c>
      <c r="CX16" s="244">
        <f t="shared" si="85"/>
        <v>0.255</v>
      </c>
      <c r="CY16" s="244">
        <f>+CY8*90%</f>
        <v>0.27</v>
      </c>
      <c r="CZ16" s="244">
        <f t="shared" ref="CZ16:DB16" si="86">+CZ8*90%</f>
        <v>0.27</v>
      </c>
      <c r="DA16" s="244">
        <f t="shared" si="86"/>
        <v>0.27</v>
      </c>
      <c r="DB16" s="244">
        <f t="shared" si="86"/>
        <v>0.27</v>
      </c>
      <c r="DE16" s="233"/>
    </row>
    <row r="17" spans="1:109" s="232" customFormat="1" x14ac:dyDescent="0.2">
      <c r="A17" s="155" t="s">
        <v>546</v>
      </c>
      <c r="B17" s="156"/>
      <c r="C17" s="156"/>
      <c r="D17" s="156"/>
      <c r="E17" s="156"/>
      <c r="F17" s="156"/>
      <c r="G17" s="156"/>
      <c r="H17" s="156"/>
      <c r="I17" s="156"/>
      <c r="J17" s="156"/>
      <c r="K17" s="156"/>
      <c r="L17" s="156"/>
      <c r="M17" s="156"/>
      <c r="N17" s="156"/>
      <c r="O17" s="156"/>
      <c r="P17" s="156"/>
      <c r="Q17" s="156"/>
      <c r="R17" s="156"/>
      <c r="S17" s="156"/>
      <c r="T17" s="156"/>
      <c r="U17" s="156"/>
      <c r="V17" s="156"/>
      <c r="W17" s="156">
        <f t="shared" si="71"/>
        <v>0</v>
      </c>
      <c r="X17" s="156">
        <f t="shared" si="72"/>
        <v>0</v>
      </c>
      <c r="Y17" s="156">
        <f t="shared" si="73"/>
        <v>0</v>
      </c>
      <c r="Z17" s="156">
        <f t="shared" si="74"/>
        <v>0</v>
      </c>
      <c r="AA17" s="231">
        <f t="shared" si="75"/>
        <v>0</v>
      </c>
      <c r="AB17" s="231">
        <f t="shared" si="76"/>
        <v>0</v>
      </c>
      <c r="AC17" s="231">
        <f t="shared" si="77"/>
        <v>0</v>
      </c>
      <c r="AD17" s="231">
        <f t="shared" si="78"/>
        <v>0</v>
      </c>
      <c r="AE17" s="244">
        <f t="shared" si="79"/>
        <v>2.4000000000000004</v>
      </c>
      <c r="AF17" s="249"/>
      <c r="AG17" s="249"/>
      <c r="AH17" s="249"/>
      <c r="AI17" s="250"/>
      <c r="AJ17" s="250"/>
      <c r="AK17" s="250"/>
      <c r="AL17" s="250"/>
      <c r="AM17" s="250"/>
      <c r="AN17" s="250"/>
      <c r="AO17" s="250"/>
      <c r="AP17" s="250"/>
      <c r="AQ17" s="250"/>
      <c r="AR17" s="250"/>
      <c r="AS17" s="250"/>
      <c r="AT17" s="250"/>
      <c r="AU17" s="250"/>
      <c r="AV17" s="250"/>
      <c r="AW17" s="250"/>
      <c r="AX17" s="250"/>
      <c r="AY17" s="250"/>
      <c r="AZ17" s="250"/>
      <c r="BA17" s="250"/>
      <c r="BB17" s="250"/>
      <c r="BC17" s="250"/>
      <c r="BD17" s="250"/>
      <c r="BE17" s="250"/>
      <c r="BF17" s="250"/>
      <c r="BG17" s="250"/>
      <c r="BH17" s="250"/>
      <c r="BI17" s="250"/>
      <c r="BJ17" s="250"/>
      <c r="BK17" s="250"/>
      <c r="BL17" s="250"/>
      <c r="BM17" s="250"/>
      <c r="BN17" s="250"/>
      <c r="BO17" s="250"/>
      <c r="BP17" s="250"/>
      <c r="BQ17" s="250"/>
      <c r="BR17" s="250"/>
      <c r="BS17" s="250"/>
      <c r="BT17" s="250"/>
      <c r="BU17" s="250"/>
      <c r="BV17" s="250"/>
      <c r="BW17" s="250"/>
      <c r="BX17" s="250"/>
      <c r="BY17" s="250"/>
      <c r="BZ17" s="250"/>
      <c r="CA17" s="250"/>
      <c r="CB17" s="250"/>
      <c r="CC17" s="250"/>
      <c r="CD17" s="250"/>
      <c r="CE17" s="250"/>
      <c r="CF17" s="250"/>
      <c r="CG17" s="250"/>
      <c r="CH17" s="250"/>
      <c r="CI17" s="250"/>
      <c r="CJ17" s="250"/>
      <c r="CK17" s="250"/>
      <c r="CL17" s="250"/>
      <c r="CM17" s="244"/>
      <c r="CN17" s="244"/>
      <c r="CO17" s="244"/>
      <c r="CP17" s="244"/>
      <c r="CQ17" s="244"/>
      <c r="CR17" s="244"/>
      <c r="CS17" s="244"/>
      <c r="CT17" s="244"/>
      <c r="CU17" s="244"/>
      <c r="CV17" s="244"/>
      <c r="CW17" s="244"/>
      <c r="CX17" s="244"/>
      <c r="CY17" s="244">
        <f>+CY9*80%</f>
        <v>0.60000000000000009</v>
      </c>
      <c r="CZ17" s="244">
        <f t="shared" ref="CZ17:DB17" si="87">+CZ9*80%</f>
        <v>0.60000000000000009</v>
      </c>
      <c r="DA17" s="244">
        <f t="shared" si="87"/>
        <v>0.60000000000000009</v>
      </c>
      <c r="DB17" s="244">
        <f t="shared" si="87"/>
        <v>0.60000000000000009</v>
      </c>
      <c r="DE17" s="233"/>
    </row>
    <row r="18" spans="1:109" s="232" customFormat="1" x14ac:dyDescent="0.2">
      <c r="A18" s="155"/>
      <c r="B18" s="156"/>
      <c r="C18" s="156"/>
      <c r="D18" s="156"/>
      <c r="E18" s="156"/>
      <c r="F18" s="156"/>
      <c r="G18" s="156"/>
      <c r="H18" s="156"/>
      <c r="I18" s="156"/>
      <c r="J18" s="156"/>
      <c r="K18" s="156"/>
      <c r="L18" s="156"/>
      <c r="M18" s="156"/>
      <c r="N18" s="156"/>
      <c r="O18" s="156"/>
      <c r="P18" s="156"/>
      <c r="Q18" s="156"/>
      <c r="R18" s="156"/>
      <c r="S18" s="156"/>
      <c r="T18" s="156"/>
      <c r="U18" s="156"/>
      <c r="V18" s="156"/>
      <c r="W18" s="156"/>
      <c r="X18" s="156"/>
      <c r="Y18" s="156"/>
      <c r="Z18" s="156"/>
      <c r="AA18" s="231"/>
      <c r="AB18" s="231"/>
      <c r="AC18" s="231"/>
      <c r="AD18" s="231"/>
      <c r="AE18" s="244"/>
      <c r="AF18" s="249"/>
      <c r="AG18" s="249"/>
      <c r="AH18" s="249"/>
      <c r="AI18" s="250"/>
      <c r="AJ18" s="250"/>
      <c r="AK18" s="250"/>
      <c r="AL18" s="250"/>
      <c r="AM18" s="250"/>
      <c r="AN18" s="250"/>
      <c r="AO18" s="250"/>
      <c r="AP18" s="250"/>
      <c r="AQ18" s="250"/>
      <c r="AR18" s="250"/>
      <c r="AS18" s="250"/>
      <c r="AT18" s="250"/>
      <c r="AU18" s="250"/>
      <c r="AV18" s="250"/>
      <c r="AW18" s="250"/>
      <c r="AX18" s="250"/>
      <c r="AY18" s="250"/>
      <c r="AZ18" s="250"/>
      <c r="BA18" s="250"/>
      <c r="BB18" s="250"/>
      <c r="BC18" s="250"/>
      <c r="BD18" s="250"/>
      <c r="BE18" s="250"/>
      <c r="BF18" s="250"/>
      <c r="BG18" s="250"/>
      <c r="BH18" s="250"/>
      <c r="BI18" s="250"/>
      <c r="BJ18" s="250"/>
      <c r="BK18" s="250"/>
      <c r="BL18" s="250"/>
      <c r="BM18" s="250"/>
      <c r="BN18" s="250"/>
      <c r="BO18" s="250"/>
      <c r="BP18" s="250"/>
      <c r="BQ18" s="250"/>
      <c r="BR18" s="250"/>
      <c r="BS18" s="250"/>
      <c r="BT18" s="250"/>
      <c r="BU18" s="250"/>
      <c r="BV18" s="250"/>
      <c r="BW18" s="250"/>
      <c r="BX18" s="250"/>
      <c r="BY18" s="250"/>
      <c r="BZ18" s="250"/>
      <c r="CA18" s="250"/>
      <c r="CB18" s="250"/>
      <c r="CC18" s="250"/>
      <c r="CD18" s="250"/>
      <c r="CE18" s="250"/>
      <c r="CF18" s="250"/>
      <c r="CG18" s="250"/>
      <c r="CH18" s="250"/>
      <c r="CI18" s="250"/>
      <c r="CJ18" s="250"/>
      <c r="CK18" s="250"/>
      <c r="CL18" s="250"/>
      <c r="CM18" s="244"/>
      <c r="CN18" s="244"/>
      <c r="CO18" s="244"/>
      <c r="CP18" s="244"/>
      <c r="CQ18" s="244"/>
      <c r="CR18" s="244"/>
      <c r="CS18" s="244"/>
      <c r="CT18" s="244"/>
      <c r="CU18" s="244"/>
      <c r="CV18" s="244"/>
      <c r="CW18" s="244"/>
      <c r="CX18" s="244"/>
      <c r="CY18" s="244"/>
      <c r="CZ18" s="244"/>
      <c r="DA18" s="244"/>
      <c r="DB18" s="244"/>
      <c r="DE18" s="233"/>
    </row>
    <row r="19" spans="1:109" s="240" customFormat="1" x14ac:dyDescent="0.2">
      <c r="A19" s="190" t="s">
        <v>549</v>
      </c>
      <c r="B19" s="191"/>
      <c r="C19" s="191"/>
      <c r="D19" s="191"/>
      <c r="E19" s="191"/>
      <c r="F19" s="191"/>
      <c r="G19" s="191"/>
      <c r="H19" s="191"/>
      <c r="I19" s="191"/>
      <c r="J19" s="191"/>
      <c r="K19" s="191"/>
      <c r="L19" s="191"/>
      <c r="M19" s="191"/>
      <c r="N19" s="191"/>
      <c r="O19" s="191"/>
      <c r="P19" s="191"/>
      <c r="Q19" s="191"/>
      <c r="R19" s="191"/>
      <c r="S19" s="191"/>
      <c r="T19" s="191"/>
      <c r="U19" s="191"/>
      <c r="V19" s="191"/>
      <c r="W19" s="191"/>
      <c r="X19" s="191"/>
      <c r="Y19" s="191"/>
      <c r="Z19" s="191"/>
      <c r="AA19" s="239"/>
      <c r="AB19" s="239"/>
      <c r="AC19" s="239"/>
      <c r="AD19" s="239"/>
      <c r="AE19" s="239"/>
      <c r="AF19" s="192"/>
      <c r="AG19" s="192"/>
      <c r="AH19" s="192"/>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c r="BE19" s="191"/>
      <c r="BF19" s="191"/>
      <c r="BG19" s="191"/>
      <c r="BH19" s="191"/>
      <c r="BI19" s="191"/>
      <c r="BJ19" s="191"/>
      <c r="BK19" s="191"/>
      <c r="BL19" s="191"/>
      <c r="BM19" s="191"/>
      <c r="BN19" s="191"/>
      <c r="BO19" s="191"/>
      <c r="BP19" s="191"/>
      <c r="BQ19" s="191"/>
      <c r="BR19" s="191"/>
      <c r="BS19" s="191"/>
      <c r="BT19" s="191"/>
      <c r="BU19" s="191"/>
      <c r="BV19" s="191"/>
      <c r="BW19" s="191"/>
      <c r="BX19" s="191"/>
      <c r="BY19" s="191"/>
      <c r="BZ19" s="191"/>
      <c r="CA19" s="191"/>
      <c r="CB19" s="191"/>
      <c r="CC19" s="191"/>
      <c r="CD19" s="191"/>
      <c r="CE19" s="239"/>
      <c r="CF19" s="239"/>
      <c r="CG19" s="239"/>
      <c r="CH19" s="239"/>
      <c r="CI19" s="239"/>
      <c r="CJ19" s="239"/>
      <c r="CK19" s="239"/>
      <c r="CL19" s="239"/>
      <c r="CM19" s="239"/>
      <c r="CN19" s="239"/>
      <c r="CO19" s="239"/>
      <c r="CP19" s="239"/>
      <c r="CQ19" s="239"/>
      <c r="CR19" s="239"/>
      <c r="CS19" s="239"/>
      <c r="CT19" s="239"/>
      <c r="CU19" s="239"/>
      <c r="CV19" s="239"/>
      <c r="CW19" s="239"/>
      <c r="CX19" s="239"/>
      <c r="CY19" s="239"/>
      <c r="CZ19" s="239"/>
      <c r="DA19" s="239"/>
      <c r="DB19" s="239"/>
      <c r="DE19" s="239"/>
    </row>
    <row r="20" spans="1:109" s="232" customFormat="1" x14ac:dyDescent="0.2">
      <c r="A20" s="184" t="s">
        <v>551</v>
      </c>
      <c r="B20" s="156"/>
      <c r="C20" s="156"/>
      <c r="D20" s="156"/>
      <c r="E20" s="156"/>
      <c r="F20" s="156"/>
      <c r="G20" s="156"/>
      <c r="H20" s="156"/>
      <c r="I20" s="156"/>
      <c r="J20" s="156"/>
      <c r="K20" s="156"/>
      <c r="L20" s="156"/>
      <c r="M20" s="156"/>
      <c r="N20" s="156"/>
      <c r="O20" s="156"/>
      <c r="P20" s="156"/>
      <c r="Q20" s="156"/>
      <c r="R20" s="156"/>
      <c r="S20" s="156"/>
      <c r="T20" s="156"/>
      <c r="U20" s="156"/>
      <c r="V20" s="156"/>
      <c r="W20" s="156"/>
      <c r="X20" s="156"/>
      <c r="Y20" s="156"/>
      <c r="Z20" s="156"/>
      <c r="AA20" s="231"/>
      <c r="AB20" s="231"/>
      <c r="AC20" s="231"/>
      <c r="AD20" s="231"/>
      <c r="AE20" s="231"/>
      <c r="AF20" s="158"/>
      <c r="AG20" s="158"/>
      <c r="AH20" s="158"/>
      <c r="AI20" s="156"/>
      <c r="AJ20" s="156"/>
      <c r="AK20" s="156"/>
      <c r="AL20" s="156"/>
      <c r="AM20" s="156"/>
      <c r="AN20" s="156"/>
      <c r="AO20" s="156"/>
      <c r="AP20" s="156"/>
      <c r="AQ20" s="156"/>
      <c r="AR20" s="156"/>
      <c r="AS20" s="156"/>
      <c r="AT20" s="156"/>
      <c r="AU20" s="156"/>
      <c r="AV20" s="156"/>
      <c r="AW20" s="156"/>
      <c r="AX20" s="156"/>
      <c r="AY20" s="156"/>
      <c r="AZ20" s="156"/>
      <c r="BA20" s="156"/>
      <c r="BB20" s="156"/>
      <c r="BC20" s="156"/>
      <c r="BD20" s="156"/>
      <c r="BE20" s="156"/>
      <c r="BF20" s="156"/>
      <c r="BG20" s="156"/>
      <c r="BH20" s="156"/>
      <c r="BI20" s="156"/>
      <c r="BJ20" s="156"/>
      <c r="BK20" s="156"/>
      <c r="BL20" s="156"/>
      <c r="BM20" s="156"/>
      <c r="BN20" s="156"/>
      <c r="BO20" s="156"/>
      <c r="BP20" s="156"/>
      <c r="BQ20" s="156"/>
      <c r="BR20" s="156"/>
      <c r="BS20" s="156"/>
      <c r="BT20" s="156"/>
      <c r="BU20" s="156"/>
      <c r="BV20" s="156"/>
      <c r="BW20" s="156"/>
      <c r="BX20" s="156"/>
      <c r="BY20" s="156"/>
      <c r="BZ20" s="156"/>
      <c r="CA20" s="156"/>
      <c r="CB20" s="156"/>
      <c r="CC20" s="156"/>
      <c r="CD20" s="156"/>
      <c r="CE20" s="230"/>
      <c r="CF20" s="230"/>
      <c r="CG20" s="230"/>
      <c r="CH20" s="230"/>
      <c r="CI20" s="230"/>
      <c r="CJ20" s="230"/>
      <c r="CK20" s="230"/>
      <c r="CL20" s="230"/>
      <c r="CM20" s="231"/>
      <c r="CN20" s="231"/>
      <c r="CO20" s="231"/>
      <c r="CP20" s="231"/>
      <c r="CQ20" s="231"/>
      <c r="CR20" s="231"/>
      <c r="CS20" s="231"/>
      <c r="CT20" s="231"/>
      <c r="CU20" s="231"/>
      <c r="CV20" s="231"/>
      <c r="CW20" s="231"/>
      <c r="CX20" s="231"/>
      <c r="CY20" s="231"/>
      <c r="CZ20" s="231"/>
      <c r="DA20" s="231"/>
      <c r="DB20" s="231"/>
      <c r="DE20" s="233"/>
    </row>
    <row r="21" spans="1:109" s="232" customFormat="1" x14ac:dyDescent="0.2">
      <c r="A21" s="155" t="s">
        <v>550</v>
      </c>
      <c r="B21" s="156"/>
      <c r="C21" s="156"/>
      <c r="D21" s="156"/>
      <c r="E21" s="156"/>
      <c r="F21" s="156"/>
      <c r="G21" s="156"/>
      <c r="H21" s="156"/>
      <c r="I21" s="156"/>
      <c r="J21" s="156"/>
      <c r="K21" s="156"/>
      <c r="L21" s="156"/>
      <c r="M21" s="156"/>
      <c r="N21" s="156"/>
      <c r="O21" s="156"/>
      <c r="P21" s="156"/>
      <c r="Q21" s="156"/>
      <c r="R21" s="156"/>
      <c r="S21" s="156"/>
      <c r="T21" s="156"/>
      <c r="U21" s="156"/>
      <c r="V21" s="156"/>
      <c r="W21" s="156">
        <f t="shared" ref="W21" si="88">SUM(BS21:BV21)</f>
        <v>0</v>
      </c>
      <c r="X21" s="156">
        <f t="shared" ref="X21" si="89">SUM(BW21:BZ21)</f>
        <v>0</v>
      </c>
      <c r="Y21" s="156">
        <f t="shared" ref="Y21" si="90">SUM(CA21:CD21)</f>
        <v>0</v>
      </c>
      <c r="Z21" s="156">
        <f t="shared" ref="Z21" si="91">SUM(CE21:CH21)</f>
        <v>0</v>
      </c>
      <c r="AA21" s="231">
        <f t="shared" ref="AA21" si="92">SUM(CI21:CL21)</f>
        <v>3.6359999999999997</v>
      </c>
      <c r="AB21" s="231">
        <f t="shared" ref="AB21" si="93">+SUM(CM21:CP21)</f>
        <v>8.64</v>
      </c>
      <c r="AC21" s="231">
        <f t="shared" ref="AC21" si="94">+SUM(CQ21:CT21)</f>
        <v>11.88</v>
      </c>
      <c r="AD21" s="231">
        <f t="shared" ref="AD21" si="95">+SUM(CU21:CX21)</f>
        <v>13.103999999999999</v>
      </c>
      <c r="AE21" s="231">
        <f t="shared" ref="AE21" si="96">+SUM(CY21:DB21)</f>
        <v>13.103999999999999</v>
      </c>
      <c r="AF21" s="158"/>
      <c r="AG21" s="158"/>
      <c r="AH21" s="158"/>
      <c r="AI21" s="156"/>
      <c r="AJ21" s="156"/>
      <c r="AK21" s="156"/>
      <c r="AL21" s="156"/>
      <c r="AM21" s="156"/>
      <c r="AN21" s="156"/>
      <c r="AO21" s="156"/>
      <c r="AP21" s="156"/>
      <c r="AQ21" s="156"/>
      <c r="AR21" s="156"/>
      <c r="AS21" s="156"/>
      <c r="AT21" s="156"/>
      <c r="AU21" s="156"/>
      <c r="AV21" s="156"/>
      <c r="AW21" s="156"/>
      <c r="AX21" s="156"/>
      <c r="AY21" s="156"/>
      <c r="AZ21" s="156"/>
      <c r="BA21" s="156"/>
      <c r="BB21" s="156"/>
      <c r="BC21" s="156"/>
      <c r="BD21" s="156"/>
      <c r="BE21" s="156"/>
      <c r="BF21" s="156"/>
      <c r="BG21" s="156"/>
      <c r="BH21" s="156"/>
      <c r="BI21" s="156"/>
      <c r="BJ21" s="156"/>
      <c r="BK21" s="156"/>
      <c r="BL21" s="156"/>
      <c r="BM21" s="156"/>
      <c r="BN21" s="156"/>
      <c r="BO21" s="156"/>
      <c r="BP21" s="156"/>
      <c r="BQ21" s="156"/>
      <c r="BR21" s="156"/>
      <c r="BS21" s="156"/>
      <c r="BT21" s="156"/>
      <c r="BU21" s="156"/>
      <c r="BV21" s="156"/>
      <c r="BW21" s="156"/>
      <c r="BX21" s="156"/>
      <c r="BY21" s="156"/>
      <c r="BZ21" s="156"/>
      <c r="CA21" s="156"/>
      <c r="CB21" s="156"/>
      <c r="CC21" s="156"/>
      <c r="CD21" s="156"/>
      <c r="CE21" s="230"/>
      <c r="CF21" s="230"/>
      <c r="CG21" s="230"/>
      <c r="CH21" s="230"/>
      <c r="CI21" s="230">
        <f t="shared" ref="CI21:DB21" si="97">+CI14*1.2</f>
        <v>2.4E-2</v>
      </c>
      <c r="CJ21" s="230">
        <f t="shared" si="97"/>
        <v>0.82799999999999996</v>
      </c>
      <c r="CK21" s="230">
        <f t="shared" si="97"/>
        <v>1.488</v>
      </c>
      <c r="CL21" s="230">
        <f t="shared" si="97"/>
        <v>1.2959999999999998</v>
      </c>
      <c r="CM21" s="231">
        <f t="shared" si="97"/>
        <v>2.16</v>
      </c>
      <c r="CN21" s="231">
        <f t="shared" si="97"/>
        <v>2.16</v>
      </c>
      <c r="CO21" s="231">
        <f t="shared" si="97"/>
        <v>2.16</v>
      </c>
      <c r="CP21" s="231">
        <f t="shared" si="97"/>
        <v>2.16</v>
      </c>
      <c r="CQ21" s="231">
        <f t="shared" si="97"/>
        <v>2.16</v>
      </c>
      <c r="CR21" s="231">
        <f t="shared" si="97"/>
        <v>3.24</v>
      </c>
      <c r="CS21" s="231">
        <f t="shared" si="97"/>
        <v>3.24</v>
      </c>
      <c r="CT21" s="231">
        <f t="shared" si="97"/>
        <v>3.24</v>
      </c>
      <c r="CU21" s="231">
        <f t="shared" si="97"/>
        <v>3.2759999999999998</v>
      </c>
      <c r="CV21" s="231">
        <f t="shared" si="97"/>
        <v>3.2759999999999998</v>
      </c>
      <c r="CW21" s="231">
        <f t="shared" si="97"/>
        <v>3.2759999999999998</v>
      </c>
      <c r="CX21" s="231">
        <f t="shared" si="97"/>
        <v>3.2759999999999998</v>
      </c>
      <c r="CY21" s="231">
        <f t="shared" si="97"/>
        <v>3.2759999999999998</v>
      </c>
      <c r="CZ21" s="231">
        <f t="shared" si="97"/>
        <v>3.2759999999999998</v>
      </c>
      <c r="DA21" s="231">
        <f t="shared" si="97"/>
        <v>3.2759999999999998</v>
      </c>
      <c r="DB21" s="231">
        <f t="shared" si="97"/>
        <v>3.2759999999999998</v>
      </c>
      <c r="DE21" s="233"/>
    </row>
    <row r="22" spans="1:109" s="232" customFormat="1" x14ac:dyDescent="0.2">
      <c r="A22" s="184" t="s">
        <v>552</v>
      </c>
      <c r="B22" s="156"/>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231"/>
      <c r="AB22" s="231"/>
      <c r="AC22" s="231"/>
      <c r="AD22" s="231"/>
      <c r="AE22" s="231"/>
      <c r="AF22" s="158"/>
      <c r="AG22" s="158"/>
      <c r="AH22" s="158"/>
      <c r="AI22" s="156"/>
      <c r="AJ22" s="156"/>
      <c r="AK22" s="156"/>
      <c r="AL22" s="156"/>
      <c r="AM22" s="156"/>
      <c r="AN22" s="156"/>
      <c r="AO22" s="156"/>
      <c r="AP22" s="156"/>
      <c r="AQ22" s="156"/>
      <c r="AR22" s="156"/>
      <c r="AS22" s="156"/>
      <c r="AT22" s="156"/>
      <c r="AU22" s="156"/>
      <c r="AV22" s="156"/>
      <c r="AW22" s="156"/>
      <c r="AX22" s="156"/>
      <c r="AY22" s="156"/>
      <c r="AZ22" s="156"/>
      <c r="BA22" s="156"/>
      <c r="BB22" s="156"/>
      <c r="BC22" s="156"/>
      <c r="BD22" s="156"/>
      <c r="BE22" s="156"/>
      <c r="BF22" s="156"/>
      <c r="BG22" s="156"/>
      <c r="BH22" s="156"/>
      <c r="BI22" s="156"/>
      <c r="BJ22" s="156"/>
      <c r="BK22" s="156"/>
      <c r="BL22" s="156"/>
      <c r="BM22" s="156"/>
      <c r="BN22" s="156"/>
      <c r="BO22" s="156"/>
      <c r="BP22" s="156"/>
      <c r="BQ22" s="156"/>
      <c r="BR22" s="156"/>
      <c r="BS22" s="156"/>
      <c r="BT22" s="156"/>
      <c r="BU22" s="156"/>
      <c r="BV22" s="156"/>
      <c r="BW22" s="156"/>
      <c r="BX22" s="156"/>
      <c r="BY22" s="156"/>
      <c r="BZ22" s="156"/>
      <c r="CA22" s="156"/>
      <c r="CB22" s="156"/>
      <c r="CC22" s="156"/>
      <c r="CD22" s="156"/>
      <c r="CE22" s="230"/>
      <c r="CF22" s="230"/>
      <c r="CG22" s="230"/>
      <c r="CH22" s="230"/>
      <c r="CI22" s="230"/>
      <c r="CJ22" s="230"/>
      <c r="CK22" s="230"/>
      <c r="CL22" s="230"/>
      <c r="CM22" s="231"/>
      <c r="CN22" s="231"/>
      <c r="CO22" s="231"/>
      <c r="CP22" s="231"/>
      <c r="CQ22" s="231"/>
      <c r="CR22" s="231"/>
      <c r="CS22" s="231"/>
      <c r="CT22" s="231"/>
      <c r="CU22" s="231"/>
      <c r="CV22" s="231"/>
      <c r="CW22" s="231"/>
      <c r="CX22" s="231"/>
      <c r="CY22" s="231"/>
      <c r="CZ22" s="231"/>
      <c r="DA22" s="231"/>
      <c r="DB22" s="231"/>
      <c r="DE22" s="233"/>
    </row>
    <row r="23" spans="1:109" s="232" customFormat="1" x14ac:dyDescent="0.2">
      <c r="A23" s="155" t="s">
        <v>553</v>
      </c>
      <c r="B23" s="156"/>
      <c r="C23" s="156"/>
      <c r="D23" s="156"/>
      <c r="E23" s="156"/>
      <c r="F23" s="156"/>
      <c r="G23" s="156"/>
      <c r="H23" s="156"/>
      <c r="I23" s="156"/>
      <c r="J23" s="156"/>
      <c r="K23" s="156"/>
      <c r="L23" s="156"/>
      <c r="M23" s="156"/>
      <c r="N23" s="156"/>
      <c r="O23" s="156"/>
      <c r="P23" s="156"/>
      <c r="Q23" s="156"/>
      <c r="R23" s="156"/>
      <c r="S23" s="156"/>
      <c r="T23" s="156"/>
      <c r="U23" s="156"/>
      <c r="V23" s="156"/>
      <c r="W23" s="156">
        <f t="shared" ref="W23:W24" si="98">SUM(BS23:BV23)</f>
        <v>0</v>
      </c>
      <c r="X23" s="156">
        <f t="shared" ref="X23:X24" si="99">SUM(BW23:BZ23)</f>
        <v>0.33085260000000005</v>
      </c>
      <c r="Y23" s="156">
        <f t="shared" ref="Y23:Y24" si="100">SUM(CA23:CD23)</f>
        <v>0.42417431999999999</v>
      </c>
      <c r="Z23" s="156">
        <f t="shared" ref="Z23:Z24" si="101">SUM(CE23:CH23)</f>
        <v>0.49935366000000003</v>
      </c>
      <c r="AA23" s="231">
        <f t="shared" ref="AA23:AA24" si="102">SUM(CI23:CL23)</f>
        <v>0.10803346000000001</v>
      </c>
      <c r="AB23" s="231">
        <f t="shared" ref="AB23:AB24" si="103">+SUM(CM23:CP23)</f>
        <v>0</v>
      </c>
      <c r="AC23" s="231">
        <f t="shared" ref="AC23:AC24" si="104">+SUM(CQ23:CT23)</f>
        <v>0</v>
      </c>
      <c r="AD23" s="231">
        <f t="shared" ref="AD23:AD24" si="105">+SUM(CU23:CX23)</f>
        <v>0</v>
      </c>
      <c r="AE23" s="231">
        <f t="shared" ref="AE23:AE24" si="106">+SUM(CY23:DB23)</f>
        <v>0</v>
      </c>
      <c r="AF23" s="158"/>
      <c r="AG23" s="158"/>
      <c r="AH23" s="158"/>
      <c r="AI23" s="156"/>
      <c r="AJ23" s="156"/>
      <c r="AK23" s="156"/>
      <c r="AL23" s="156"/>
      <c r="AM23" s="156"/>
      <c r="AN23" s="156"/>
      <c r="AO23" s="156"/>
      <c r="AP23" s="156"/>
      <c r="AQ23" s="156"/>
      <c r="AR23" s="156"/>
      <c r="AS23" s="156"/>
      <c r="AT23" s="156"/>
      <c r="AU23" s="156"/>
      <c r="AV23" s="156"/>
      <c r="AW23" s="156"/>
      <c r="AX23" s="156"/>
      <c r="AY23" s="156"/>
      <c r="AZ23" s="156"/>
      <c r="BA23" s="156"/>
      <c r="BB23" s="156"/>
      <c r="BC23" s="156"/>
      <c r="BD23" s="156"/>
      <c r="BE23" s="156"/>
      <c r="BF23" s="156"/>
      <c r="BG23" s="156"/>
      <c r="BH23" s="156"/>
      <c r="BI23" s="156"/>
      <c r="BJ23" s="156"/>
      <c r="BK23" s="156"/>
      <c r="BL23" s="156"/>
      <c r="BM23" s="156"/>
      <c r="BN23" s="156"/>
      <c r="BO23" s="156"/>
      <c r="BP23" s="156"/>
      <c r="BQ23" s="156"/>
      <c r="BR23" s="156"/>
      <c r="BS23" s="156"/>
      <c r="BT23" s="156"/>
      <c r="BU23" s="156"/>
      <c r="BV23" s="156"/>
      <c r="BW23" s="230">
        <f t="shared" ref="BW23:CH23" si="107">+BW15*1.62</f>
        <v>7.4520000000000003E-2</v>
      </c>
      <c r="BX23" s="230">
        <f t="shared" si="107"/>
        <v>7.6593600000000012E-2</v>
      </c>
      <c r="BY23" s="230">
        <f t="shared" si="107"/>
        <v>9.7977599999999998E-2</v>
      </c>
      <c r="BZ23" s="230">
        <f t="shared" si="107"/>
        <v>8.1761400000000012E-2</v>
      </c>
      <c r="CA23" s="230">
        <f t="shared" si="107"/>
        <v>0.107406</v>
      </c>
      <c r="CB23" s="230">
        <f t="shared" si="107"/>
        <v>7.8003000000000003E-2</v>
      </c>
      <c r="CC23" s="230">
        <f t="shared" si="107"/>
        <v>0.13216122000000002</v>
      </c>
      <c r="CD23" s="230">
        <f t="shared" si="107"/>
        <v>0.10660410000000001</v>
      </c>
      <c r="CE23" s="230">
        <f t="shared" si="107"/>
        <v>0.12426047999999999</v>
      </c>
      <c r="CF23" s="230">
        <f t="shared" si="107"/>
        <v>0.13764816000000002</v>
      </c>
      <c r="CG23" s="230">
        <f t="shared" si="107"/>
        <v>0.12435282</v>
      </c>
      <c r="CH23" s="230">
        <f t="shared" si="107"/>
        <v>0.1130922</v>
      </c>
      <c r="CI23" s="230">
        <f>+(CI15*1.62)-CI24</f>
        <v>0.10803346000000001</v>
      </c>
      <c r="CJ23" s="230">
        <v>0</v>
      </c>
      <c r="CK23" s="230">
        <v>0</v>
      </c>
      <c r="CL23" s="230"/>
      <c r="CM23" s="231"/>
      <c r="CN23" s="231"/>
      <c r="CO23" s="231"/>
      <c r="CP23" s="231"/>
      <c r="CQ23" s="231"/>
      <c r="CR23" s="231"/>
      <c r="CS23" s="231"/>
      <c r="CT23" s="231"/>
      <c r="CU23" s="231"/>
      <c r="CV23" s="231"/>
      <c r="CW23" s="231"/>
      <c r="CX23" s="231"/>
      <c r="CY23" s="231"/>
      <c r="CZ23" s="231"/>
      <c r="DA23" s="231"/>
      <c r="DB23" s="231"/>
      <c r="DE23" s="233"/>
    </row>
    <row r="24" spans="1:109" s="232" customFormat="1" x14ac:dyDescent="0.2">
      <c r="A24" s="155" t="s">
        <v>554</v>
      </c>
      <c r="B24" s="156"/>
      <c r="C24" s="156"/>
      <c r="D24" s="156"/>
      <c r="E24" s="156"/>
      <c r="F24" s="156"/>
      <c r="G24" s="156"/>
      <c r="H24" s="156"/>
      <c r="I24" s="156"/>
      <c r="J24" s="156"/>
      <c r="K24" s="156"/>
      <c r="L24" s="156"/>
      <c r="M24" s="156"/>
      <c r="N24" s="156"/>
      <c r="O24" s="156"/>
      <c r="P24" s="156"/>
      <c r="Q24" s="156"/>
      <c r="R24" s="156"/>
      <c r="S24" s="156"/>
      <c r="T24" s="156"/>
      <c r="U24" s="156"/>
      <c r="V24" s="156"/>
      <c r="W24" s="156">
        <f t="shared" si="98"/>
        <v>0</v>
      </c>
      <c r="X24" s="156">
        <f t="shared" si="99"/>
        <v>0</v>
      </c>
      <c r="Y24" s="156">
        <f t="shared" si="100"/>
        <v>0</v>
      </c>
      <c r="Z24" s="156">
        <f t="shared" si="101"/>
        <v>0</v>
      </c>
      <c r="AA24" s="231">
        <f t="shared" si="102"/>
        <v>0.56670544999999994</v>
      </c>
      <c r="AB24" s="231">
        <f t="shared" si="103"/>
        <v>0.95040000000000002</v>
      </c>
      <c r="AC24" s="231">
        <f t="shared" si="104"/>
        <v>0.95040000000000002</v>
      </c>
      <c r="AD24" s="231">
        <f t="shared" si="105"/>
        <v>0.95040000000000002</v>
      </c>
      <c r="AE24" s="231">
        <f t="shared" si="106"/>
        <v>0.95040000000000002</v>
      </c>
      <c r="AF24" s="158"/>
      <c r="AG24" s="158"/>
      <c r="AH24" s="158"/>
      <c r="AI24" s="156"/>
      <c r="AJ24" s="156"/>
      <c r="AK24" s="156"/>
      <c r="AL24" s="156"/>
      <c r="AM24" s="156"/>
      <c r="AN24" s="156"/>
      <c r="AO24" s="156"/>
      <c r="AP24" s="156"/>
      <c r="AQ24" s="156"/>
      <c r="AR24" s="156"/>
      <c r="AS24" s="156"/>
      <c r="AT24" s="156"/>
      <c r="AU24" s="156"/>
      <c r="AV24" s="156"/>
      <c r="AW24" s="156"/>
      <c r="AX24" s="156"/>
      <c r="AY24" s="156"/>
      <c r="AZ24" s="156"/>
      <c r="BA24" s="156"/>
      <c r="BB24" s="156"/>
      <c r="BC24" s="156"/>
      <c r="BD24" s="156"/>
      <c r="BE24" s="156"/>
      <c r="BF24" s="156"/>
      <c r="BG24" s="156"/>
      <c r="BH24" s="156"/>
      <c r="BI24" s="156"/>
      <c r="BJ24" s="156"/>
      <c r="BK24" s="156"/>
      <c r="BL24" s="156"/>
      <c r="BM24" s="156"/>
      <c r="BN24" s="156"/>
      <c r="BO24" s="156"/>
      <c r="BP24" s="156"/>
      <c r="BQ24" s="156"/>
      <c r="BR24" s="156"/>
      <c r="BS24" s="156"/>
      <c r="BT24" s="156"/>
      <c r="BU24" s="156"/>
      <c r="BV24" s="156"/>
      <c r="BW24" s="156"/>
      <c r="BX24" s="156"/>
      <c r="BY24" s="156"/>
      <c r="BZ24" s="156"/>
      <c r="CA24" s="156"/>
      <c r="CB24" s="156"/>
      <c r="CC24" s="156"/>
      <c r="CD24" s="156"/>
      <c r="CE24" s="230"/>
      <c r="CF24" s="230"/>
      <c r="CG24" s="230"/>
      <c r="CH24" s="230"/>
      <c r="CI24" s="230">
        <f>+CI14</f>
        <v>0.02</v>
      </c>
      <c r="CJ24" s="230">
        <f t="shared" ref="CJ24:DB24" si="108">+CJ15*1.35</f>
        <v>0.11983545000000001</v>
      </c>
      <c r="CK24" s="230">
        <f t="shared" si="108"/>
        <v>0.16632</v>
      </c>
      <c r="CL24" s="230">
        <f t="shared" si="108"/>
        <v>0.26055</v>
      </c>
      <c r="CM24" s="231">
        <f t="shared" si="108"/>
        <v>0.23760000000000001</v>
      </c>
      <c r="CN24" s="231">
        <f t="shared" si="108"/>
        <v>0.23760000000000001</v>
      </c>
      <c r="CO24" s="231">
        <f t="shared" si="108"/>
        <v>0.23760000000000001</v>
      </c>
      <c r="CP24" s="231">
        <f t="shared" si="108"/>
        <v>0.23760000000000001</v>
      </c>
      <c r="CQ24" s="231">
        <f t="shared" si="108"/>
        <v>0.23760000000000001</v>
      </c>
      <c r="CR24" s="231">
        <f t="shared" si="108"/>
        <v>0.23760000000000001</v>
      </c>
      <c r="CS24" s="231">
        <f t="shared" si="108"/>
        <v>0.23760000000000001</v>
      </c>
      <c r="CT24" s="231">
        <f t="shared" si="108"/>
        <v>0.23760000000000001</v>
      </c>
      <c r="CU24" s="231">
        <f t="shared" si="108"/>
        <v>0.23760000000000001</v>
      </c>
      <c r="CV24" s="231">
        <f t="shared" si="108"/>
        <v>0.23760000000000001</v>
      </c>
      <c r="CW24" s="231">
        <f t="shared" si="108"/>
        <v>0.23760000000000001</v>
      </c>
      <c r="CX24" s="231">
        <f t="shared" si="108"/>
        <v>0.23760000000000001</v>
      </c>
      <c r="CY24" s="231">
        <f t="shared" si="108"/>
        <v>0.23760000000000001</v>
      </c>
      <c r="CZ24" s="231">
        <f t="shared" si="108"/>
        <v>0.23760000000000001</v>
      </c>
      <c r="DA24" s="231">
        <f t="shared" si="108"/>
        <v>0.23760000000000001</v>
      </c>
      <c r="DB24" s="231">
        <f t="shared" si="108"/>
        <v>0.23760000000000001</v>
      </c>
      <c r="DE24" s="233"/>
    </row>
    <row r="25" spans="1:109" s="232" customFormat="1" x14ac:dyDescent="0.2">
      <c r="A25" s="184" t="s">
        <v>555</v>
      </c>
      <c r="B25" s="156"/>
      <c r="C25" s="156"/>
      <c r="D25" s="156"/>
      <c r="E25" s="156"/>
      <c r="F25" s="156"/>
      <c r="G25" s="156"/>
      <c r="H25" s="156"/>
      <c r="I25" s="156"/>
      <c r="J25" s="156"/>
      <c r="K25" s="156"/>
      <c r="L25" s="156"/>
      <c r="M25" s="156"/>
      <c r="N25" s="156"/>
      <c r="O25" s="156"/>
      <c r="P25" s="156"/>
      <c r="Q25" s="156"/>
      <c r="R25" s="156"/>
      <c r="S25" s="156"/>
      <c r="T25" s="156"/>
      <c r="U25" s="156"/>
      <c r="V25" s="156"/>
      <c r="W25" s="156"/>
      <c r="X25" s="156"/>
      <c r="Y25" s="156"/>
      <c r="Z25" s="156"/>
      <c r="AA25" s="231"/>
      <c r="AB25" s="231"/>
      <c r="AC25" s="231"/>
      <c r="AD25" s="231"/>
      <c r="AE25" s="231"/>
      <c r="AF25" s="158"/>
      <c r="AG25" s="158"/>
      <c r="AH25" s="158"/>
      <c r="AI25" s="156"/>
      <c r="AJ25" s="156"/>
      <c r="AK25" s="156"/>
      <c r="AL25" s="156"/>
      <c r="AM25" s="156"/>
      <c r="AN25" s="156"/>
      <c r="AO25" s="156"/>
      <c r="AP25" s="156"/>
      <c r="AQ25" s="156"/>
      <c r="AR25" s="156"/>
      <c r="AS25" s="156"/>
      <c r="AT25" s="156"/>
      <c r="AU25" s="156"/>
      <c r="AV25" s="156"/>
      <c r="AW25" s="156"/>
      <c r="AX25" s="156"/>
      <c r="AY25" s="156"/>
      <c r="AZ25" s="156"/>
      <c r="BA25" s="156"/>
      <c r="BB25" s="156"/>
      <c r="BC25" s="156"/>
      <c r="BD25" s="156"/>
      <c r="BE25" s="156"/>
      <c r="BF25" s="156"/>
      <c r="BG25" s="156"/>
      <c r="BH25" s="156"/>
      <c r="BI25" s="156"/>
      <c r="BJ25" s="156"/>
      <c r="BK25" s="156"/>
      <c r="BL25" s="156"/>
      <c r="BM25" s="156"/>
      <c r="BN25" s="156"/>
      <c r="BO25" s="156"/>
      <c r="BP25" s="156"/>
      <c r="BQ25" s="156"/>
      <c r="BR25" s="156"/>
      <c r="BS25" s="156"/>
      <c r="BT25" s="156"/>
      <c r="BU25" s="156"/>
      <c r="BV25" s="156"/>
      <c r="BW25" s="156"/>
      <c r="BX25" s="156"/>
      <c r="BY25" s="156"/>
      <c r="BZ25" s="156"/>
      <c r="CA25" s="156"/>
      <c r="CB25" s="156"/>
      <c r="CC25" s="156"/>
      <c r="CD25" s="156"/>
      <c r="CE25" s="230"/>
      <c r="CF25" s="230"/>
      <c r="CG25" s="230"/>
      <c r="CH25" s="230"/>
      <c r="CI25" s="230"/>
      <c r="CJ25" s="230"/>
      <c r="CK25" s="230"/>
      <c r="CL25" s="230"/>
      <c r="CM25" s="231"/>
      <c r="CN25" s="231"/>
      <c r="CO25" s="231"/>
      <c r="CP25" s="231"/>
      <c r="CQ25" s="231"/>
      <c r="CR25" s="231"/>
      <c r="CS25" s="231"/>
      <c r="CT25" s="231"/>
      <c r="CU25" s="231"/>
      <c r="CV25" s="231"/>
      <c r="CW25" s="231"/>
      <c r="CX25" s="231"/>
      <c r="CY25" s="231"/>
      <c r="CZ25" s="231"/>
      <c r="DA25" s="231"/>
      <c r="DB25" s="231"/>
      <c r="DE25" s="233"/>
    </row>
    <row r="26" spans="1:109" s="237" customFormat="1" x14ac:dyDescent="0.2">
      <c r="A26" s="184" t="s">
        <v>556</v>
      </c>
      <c r="B26" s="107"/>
      <c r="C26" s="107"/>
      <c r="D26" s="107"/>
      <c r="E26" s="107"/>
      <c r="F26" s="107"/>
      <c r="G26" s="107"/>
      <c r="H26" s="107"/>
      <c r="I26" s="107"/>
      <c r="J26" s="107"/>
      <c r="K26" s="107"/>
      <c r="L26" s="107"/>
      <c r="M26" s="107"/>
      <c r="N26" s="107"/>
      <c r="O26" s="107"/>
      <c r="P26" s="107"/>
      <c r="Q26" s="107"/>
      <c r="R26" s="107"/>
      <c r="S26" s="107"/>
      <c r="T26" s="107"/>
      <c r="U26" s="107"/>
      <c r="V26" s="107"/>
      <c r="W26" s="107">
        <f t="shared" ref="W26:W28" si="109">SUM(BS26:BV26)</f>
        <v>0</v>
      </c>
      <c r="X26" s="107">
        <f t="shared" ref="X26:X28" si="110">SUM(BW26:BZ26)</f>
        <v>0</v>
      </c>
      <c r="Y26" s="107">
        <f t="shared" ref="Y26:Y28" si="111">SUM(CA26:CD26)</f>
        <v>0</v>
      </c>
      <c r="Z26" s="107">
        <f t="shared" ref="Z26:Z28" si="112">SUM(CE26:CH26)</f>
        <v>0</v>
      </c>
      <c r="AA26" s="235">
        <f t="shared" ref="AA26:AA28" si="113">SUM(CI26:CL26)</f>
        <v>0</v>
      </c>
      <c r="AB26" s="235">
        <f t="shared" ref="AB26:AB28" si="114">+SUM(CM26:CP26)</f>
        <v>0.23100000000000001</v>
      </c>
      <c r="AC26" s="235">
        <f t="shared" ref="AC26:AC28" si="115">+SUM(CQ26:CT26)</f>
        <v>1.056</v>
      </c>
      <c r="AD26" s="235">
        <f t="shared" ref="AD26:AD28" si="116">+SUM(CU26:CX26)</f>
        <v>1.1220000000000001</v>
      </c>
      <c r="AE26" s="235">
        <f t="shared" ref="AE26:AE28" si="117">+SUM(CY26:DB26)</f>
        <v>1.1880000000000002</v>
      </c>
      <c r="AF26" s="109"/>
      <c r="AG26" s="109"/>
      <c r="AH26" s="109"/>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236"/>
      <c r="CF26" s="236"/>
      <c r="CG26" s="236"/>
      <c r="CH26" s="236"/>
      <c r="CI26" s="236"/>
      <c r="CJ26" s="236"/>
      <c r="CK26" s="236"/>
      <c r="CL26" s="236"/>
      <c r="CM26" s="235"/>
      <c r="CN26" s="235"/>
      <c r="CO26" s="235"/>
      <c r="CP26" s="235">
        <f t="shared" ref="CP26:DB26" si="118">+CP16*1.1</f>
        <v>0.23100000000000001</v>
      </c>
      <c r="CQ26" s="235">
        <f t="shared" si="118"/>
        <v>0.26400000000000001</v>
      </c>
      <c r="CR26" s="235">
        <f t="shared" si="118"/>
        <v>0.26400000000000001</v>
      </c>
      <c r="CS26" s="235">
        <f t="shared" si="118"/>
        <v>0.26400000000000001</v>
      </c>
      <c r="CT26" s="235">
        <f t="shared" si="118"/>
        <v>0.26400000000000001</v>
      </c>
      <c r="CU26" s="235">
        <f t="shared" si="118"/>
        <v>0.28050000000000003</v>
      </c>
      <c r="CV26" s="235">
        <f t="shared" si="118"/>
        <v>0.28050000000000003</v>
      </c>
      <c r="CW26" s="235">
        <f t="shared" si="118"/>
        <v>0.28050000000000003</v>
      </c>
      <c r="CX26" s="235">
        <f t="shared" si="118"/>
        <v>0.28050000000000003</v>
      </c>
      <c r="CY26" s="235">
        <f t="shared" si="118"/>
        <v>0.29700000000000004</v>
      </c>
      <c r="CZ26" s="235">
        <f t="shared" si="118"/>
        <v>0.29700000000000004</v>
      </c>
      <c r="DA26" s="235">
        <f t="shared" si="118"/>
        <v>0.29700000000000004</v>
      </c>
      <c r="DB26" s="235">
        <f t="shared" si="118"/>
        <v>0.29700000000000004</v>
      </c>
      <c r="DE26" s="238"/>
    </row>
    <row r="27" spans="1:109" s="232" customFormat="1" x14ac:dyDescent="0.2">
      <c r="A27" s="155" t="s">
        <v>557</v>
      </c>
      <c r="B27" s="156"/>
      <c r="C27" s="156"/>
      <c r="D27" s="156"/>
      <c r="E27" s="156"/>
      <c r="F27" s="156"/>
      <c r="G27" s="156"/>
      <c r="H27" s="156"/>
      <c r="I27" s="156"/>
      <c r="J27" s="156"/>
      <c r="K27" s="156"/>
      <c r="L27" s="156"/>
      <c r="M27" s="156"/>
      <c r="N27" s="156"/>
      <c r="O27" s="156"/>
      <c r="P27" s="156"/>
      <c r="Q27" s="156"/>
      <c r="R27" s="156"/>
      <c r="S27" s="156"/>
      <c r="T27" s="156"/>
      <c r="U27" s="156"/>
      <c r="V27" s="156"/>
      <c r="W27" s="156">
        <f t="shared" si="109"/>
        <v>0</v>
      </c>
      <c r="X27" s="156">
        <f t="shared" si="110"/>
        <v>0</v>
      </c>
      <c r="Y27" s="156">
        <f t="shared" si="111"/>
        <v>0</v>
      </c>
      <c r="Z27" s="156">
        <f t="shared" si="112"/>
        <v>0</v>
      </c>
      <c r="AA27" s="231">
        <f t="shared" si="113"/>
        <v>0</v>
      </c>
      <c r="AB27" s="231">
        <f t="shared" si="114"/>
        <v>0.17599999999999999</v>
      </c>
      <c r="AC27" s="231">
        <f t="shared" si="115"/>
        <v>0.70399999999999996</v>
      </c>
      <c r="AD27" s="231">
        <f t="shared" si="116"/>
        <v>0.70399999999999996</v>
      </c>
      <c r="AE27" s="231">
        <f t="shared" si="117"/>
        <v>0.70399999999999996</v>
      </c>
      <c r="AF27" s="158"/>
      <c r="AG27" s="158"/>
      <c r="AH27" s="158"/>
      <c r="AI27" s="156"/>
      <c r="AJ27" s="156"/>
      <c r="AK27" s="156"/>
      <c r="AL27" s="156"/>
      <c r="AM27" s="156"/>
      <c r="AN27" s="156"/>
      <c r="AO27" s="156"/>
      <c r="AP27" s="156"/>
      <c r="AQ27" s="156"/>
      <c r="AR27" s="156"/>
      <c r="AS27" s="156"/>
      <c r="AT27" s="156"/>
      <c r="AU27" s="156"/>
      <c r="AV27" s="156"/>
      <c r="AW27" s="156"/>
      <c r="AX27" s="156"/>
      <c r="AY27" s="156"/>
      <c r="AZ27" s="156"/>
      <c r="BA27" s="156"/>
      <c r="BB27" s="156"/>
      <c r="BC27" s="156"/>
      <c r="BD27" s="156"/>
      <c r="BE27" s="156"/>
      <c r="BF27" s="156"/>
      <c r="BG27" s="156"/>
      <c r="BH27" s="156"/>
      <c r="BI27" s="156"/>
      <c r="BJ27" s="156"/>
      <c r="BK27" s="156"/>
      <c r="BL27" s="156"/>
      <c r="BM27" s="156"/>
      <c r="BN27" s="156"/>
      <c r="BO27" s="156"/>
      <c r="BP27" s="156"/>
      <c r="BQ27" s="156"/>
      <c r="BR27" s="156"/>
      <c r="BS27" s="156"/>
      <c r="BT27" s="156"/>
      <c r="BU27" s="156"/>
      <c r="BV27" s="156"/>
      <c r="BW27" s="156"/>
      <c r="BX27" s="156"/>
      <c r="BY27" s="156"/>
      <c r="BZ27" s="156"/>
      <c r="CA27" s="156"/>
      <c r="CB27" s="156"/>
      <c r="CC27" s="156"/>
      <c r="CD27" s="156"/>
      <c r="CE27" s="230"/>
      <c r="CF27" s="230"/>
      <c r="CG27" s="230"/>
      <c r="CH27" s="230"/>
      <c r="CI27" s="230"/>
      <c r="CJ27" s="230"/>
      <c r="CK27" s="230"/>
      <c r="CL27" s="230"/>
      <c r="CM27" s="231"/>
      <c r="CN27" s="231"/>
      <c r="CO27" s="231"/>
      <c r="CP27" s="231">
        <f t="shared" ref="CP27:DB27" si="119">+CP15</f>
        <v>0.17599999999999999</v>
      </c>
      <c r="CQ27" s="231">
        <f t="shared" si="119"/>
        <v>0.17599999999999999</v>
      </c>
      <c r="CR27" s="231">
        <f t="shared" si="119"/>
        <v>0.17599999999999999</v>
      </c>
      <c r="CS27" s="231">
        <f t="shared" si="119"/>
        <v>0.17599999999999999</v>
      </c>
      <c r="CT27" s="231">
        <f t="shared" si="119"/>
        <v>0.17599999999999999</v>
      </c>
      <c r="CU27" s="231">
        <f t="shared" si="119"/>
        <v>0.17599999999999999</v>
      </c>
      <c r="CV27" s="231">
        <f t="shared" si="119"/>
        <v>0.17599999999999999</v>
      </c>
      <c r="CW27" s="231">
        <f t="shared" si="119"/>
        <v>0.17599999999999999</v>
      </c>
      <c r="CX27" s="231">
        <f t="shared" si="119"/>
        <v>0.17599999999999999</v>
      </c>
      <c r="CY27" s="231">
        <f t="shared" si="119"/>
        <v>0.17599999999999999</v>
      </c>
      <c r="CZ27" s="231">
        <f t="shared" si="119"/>
        <v>0.17599999999999999</v>
      </c>
      <c r="DA27" s="231">
        <f t="shared" si="119"/>
        <v>0.17599999999999999</v>
      </c>
      <c r="DB27" s="231">
        <f t="shared" si="119"/>
        <v>0.17599999999999999</v>
      </c>
      <c r="DE27" s="233"/>
    </row>
    <row r="28" spans="1:109" s="232" customFormat="1" x14ac:dyDescent="0.2">
      <c r="A28" s="155" t="s">
        <v>558</v>
      </c>
      <c r="B28" s="156"/>
      <c r="C28" s="156"/>
      <c r="D28" s="156"/>
      <c r="E28" s="156"/>
      <c r="F28" s="156"/>
      <c r="G28" s="156"/>
      <c r="H28" s="156"/>
      <c r="I28" s="156"/>
      <c r="J28" s="156"/>
      <c r="K28" s="156"/>
      <c r="L28" s="156"/>
      <c r="M28" s="156"/>
      <c r="N28" s="156"/>
      <c r="O28" s="156"/>
      <c r="P28" s="156"/>
      <c r="Q28" s="156"/>
      <c r="R28" s="156"/>
      <c r="S28" s="156"/>
      <c r="T28" s="156"/>
      <c r="U28" s="156"/>
      <c r="V28" s="156"/>
      <c r="W28" s="156">
        <f t="shared" si="109"/>
        <v>0</v>
      </c>
      <c r="X28" s="156">
        <f t="shared" si="110"/>
        <v>0</v>
      </c>
      <c r="Y28" s="156">
        <f t="shared" si="111"/>
        <v>0</v>
      </c>
      <c r="Z28" s="156">
        <f t="shared" si="112"/>
        <v>0</v>
      </c>
      <c r="AA28" s="231">
        <f t="shared" si="113"/>
        <v>0</v>
      </c>
      <c r="AB28" s="231">
        <f t="shared" si="114"/>
        <v>5.5000000000000021E-2</v>
      </c>
      <c r="AC28" s="231">
        <f t="shared" si="115"/>
        <v>0.35200000000000009</v>
      </c>
      <c r="AD28" s="231">
        <f t="shared" si="116"/>
        <v>0.41800000000000015</v>
      </c>
      <c r="AE28" s="231">
        <f t="shared" si="117"/>
        <v>0.48400000000000021</v>
      </c>
      <c r="AF28" s="158"/>
      <c r="AG28" s="158"/>
      <c r="AH28" s="158"/>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6"/>
      <c r="BF28" s="156"/>
      <c r="BG28" s="156"/>
      <c r="BH28" s="156"/>
      <c r="BI28" s="156"/>
      <c r="BJ28" s="156"/>
      <c r="BK28" s="156"/>
      <c r="BL28" s="156"/>
      <c r="BM28" s="156"/>
      <c r="BN28" s="156"/>
      <c r="BO28" s="156"/>
      <c r="BP28" s="156"/>
      <c r="BQ28" s="156"/>
      <c r="BR28" s="156"/>
      <c r="BS28" s="156"/>
      <c r="BT28" s="156"/>
      <c r="BU28" s="156"/>
      <c r="BV28" s="156"/>
      <c r="BW28" s="156"/>
      <c r="BX28" s="156"/>
      <c r="BY28" s="156"/>
      <c r="BZ28" s="156"/>
      <c r="CA28" s="156"/>
      <c r="CB28" s="156"/>
      <c r="CC28" s="156"/>
      <c r="CD28" s="156"/>
      <c r="CE28" s="230"/>
      <c r="CF28" s="230"/>
      <c r="CG28" s="230"/>
      <c r="CH28" s="230"/>
      <c r="CI28" s="230"/>
      <c r="CJ28" s="230"/>
      <c r="CK28" s="230"/>
      <c r="CL28" s="230"/>
      <c r="CM28" s="231"/>
      <c r="CN28" s="231"/>
      <c r="CO28" s="231"/>
      <c r="CP28" s="231">
        <f>+CP26-CP27</f>
        <v>5.5000000000000021E-2</v>
      </c>
      <c r="CQ28" s="231">
        <f t="shared" ref="CQ28:DB28" si="120">+CQ26-CQ27</f>
        <v>8.8000000000000023E-2</v>
      </c>
      <c r="CR28" s="231">
        <f t="shared" si="120"/>
        <v>8.8000000000000023E-2</v>
      </c>
      <c r="CS28" s="231">
        <f t="shared" si="120"/>
        <v>8.8000000000000023E-2</v>
      </c>
      <c r="CT28" s="231">
        <f t="shared" si="120"/>
        <v>8.8000000000000023E-2</v>
      </c>
      <c r="CU28" s="231">
        <f t="shared" si="120"/>
        <v>0.10450000000000004</v>
      </c>
      <c r="CV28" s="231">
        <f t="shared" si="120"/>
        <v>0.10450000000000004</v>
      </c>
      <c r="CW28" s="231">
        <f t="shared" si="120"/>
        <v>0.10450000000000004</v>
      </c>
      <c r="CX28" s="231">
        <f t="shared" si="120"/>
        <v>0.10450000000000004</v>
      </c>
      <c r="CY28" s="231">
        <f t="shared" si="120"/>
        <v>0.12100000000000005</v>
      </c>
      <c r="CZ28" s="231">
        <f t="shared" si="120"/>
        <v>0.12100000000000005</v>
      </c>
      <c r="DA28" s="231">
        <f t="shared" si="120"/>
        <v>0.12100000000000005</v>
      </c>
      <c r="DB28" s="231">
        <f t="shared" si="120"/>
        <v>0.12100000000000005</v>
      </c>
      <c r="DE28" s="233"/>
    </row>
    <row r="29" spans="1:109" s="237" customFormat="1" x14ac:dyDescent="0.2">
      <c r="A29" s="184" t="s">
        <v>559</v>
      </c>
      <c r="B29" s="107"/>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c r="AA29" s="235"/>
      <c r="AB29" s="235"/>
      <c r="AC29" s="235"/>
      <c r="AD29" s="235"/>
      <c r="AE29" s="235"/>
      <c r="AF29" s="109"/>
      <c r="AG29" s="109"/>
      <c r="AH29" s="109"/>
      <c r="AI29" s="107"/>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236"/>
      <c r="CF29" s="236"/>
      <c r="CG29" s="236"/>
      <c r="CH29" s="236"/>
      <c r="CI29" s="236"/>
      <c r="CJ29" s="236"/>
      <c r="CK29" s="236"/>
      <c r="CL29" s="236"/>
      <c r="CM29" s="235"/>
      <c r="CN29" s="235"/>
      <c r="CO29" s="235"/>
      <c r="CP29" s="235"/>
      <c r="CQ29" s="235"/>
      <c r="CR29" s="235"/>
      <c r="CS29" s="235"/>
      <c r="CT29" s="235"/>
      <c r="CU29" s="235"/>
      <c r="CV29" s="235"/>
      <c r="CW29" s="235"/>
      <c r="CX29" s="235"/>
      <c r="CY29" s="235"/>
      <c r="CZ29" s="235"/>
      <c r="DA29" s="235"/>
      <c r="DB29" s="235"/>
      <c r="DE29" s="238"/>
    </row>
    <row r="30" spans="1:109" s="232" customFormat="1" x14ac:dyDescent="0.2">
      <c r="A30" s="155" t="s">
        <v>560</v>
      </c>
      <c r="B30" s="156"/>
      <c r="C30" s="156"/>
      <c r="D30" s="156"/>
      <c r="E30" s="156"/>
      <c r="F30" s="156"/>
      <c r="G30" s="156"/>
      <c r="H30" s="156"/>
      <c r="I30" s="156"/>
      <c r="J30" s="156"/>
      <c r="K30" s="156"/>
      <c r="L30" s="156"/>
      <c r="M30" s="156"/>
      <c r="N30" s="156"/>
      <c r="O30" s="156"/>
      <c r="P30" s="156"/>
      <c r="Q30" s="156"/>
      <c r="R30" s="156"/>
      <c r="S30" s="156"/>
      <c r="T30" s="156"/>
      <c r="U30" s="156"/>
      <c r="V30" s="156"/>
      <c r="W30" s="156"/>
      <c r="X30" s="156"/>
      <c r="Y30" s="156"/>
      <c r="Z30" s="156"/>
      <c r="AA30" s="231">
        <f t="shared" ref="AA30" si="121">SUM(CI30:CL30)</f>
        <v>0</v>
      </c>
      <c r="AB30" s="231">
        <f t="shared" ref="AB30" si="122">+SUM(CM30:CP30)</f>
        <v>0</v>
      </c>
      <c r="AC30" s="231">
        <f t="shared" ref="AC30" si="123">+SUM(CQ30:CT30)</f>
        <v>0</v>
      </c>
      <c r="AD30" s="231">
        <f t="shared" ref="AD30" si="124">+SUM(CU30:CX30)</f>
        <v>0</v>
      </c>
      <c r="AE30" s="231">
        <f t="shared" ref="AE30" si="125">+SUM(CY30:DB30)</f>
        <v>2.6400000000000006</v>
      </c>
      <c r="AF30" s="158"/>
      <c r="AG30" s="158"/>
      <c r="AH30" s="158"/>
      <c r="AI30" s="156"/>
      <c r="AJ30" s="156"/>
      <c r="AK30" s="156"/>
      <c r="AL30" s="156"/>
      <c r="AM30" s="156"/>
      <c r="AN30" s="156"/>
      <c r="AO30" s="156"/>
      <c r="AP30" s="156"/>
      <c r="AQ30" s="156"/>
      <c r="AR30" s="156"/>
      <c r="AS30" s="156"/>
      <c r="AT30" s="156"/>
      <c r="AU30" s="156"/>
      <c r="AV30" s="156"/>
      <c r="AW30" s="156"/>
      <c r="AX30" s="156"/>
      <c r="AY30" s="156"/>
      <c r="AZ30" s="156"/>
      <c r="BA30" s="156"/>
      <c r="BB30" s="156"/>
      <c r="BC30" s="156"/>
      <c r="BD30" s="156"/>
      <c r="BE30" s="156"/>
      <c r="BF30" s="156"/>
      <c r="BG30" s="156"/>
      <c r="BH30" s="156"/>
      <c r="BI30" s="156"/>
      <c r="BJ30" s="156"/>
      <c r="BK30" s="156"/>
      <c r="BL30" s="156"/>
      <c r="BM30" s="156"/>
      <c r="BN30" s="156"/>
      <c r="BO30" s="156"/>
      <c r="BP30" s="156"/>
      <c r="BQ30" s="156"/>
      <c r="BR30" s="156"/>
      <c r="BS30" s="156"/>
      <c r="BT30" s="156"/>
      <c r="BU30" s="156"/>
      <c r="BV30" s="156"/>
      <c r="BW30" s="156"/>
      <c r="BX30" s="156"/>
      <c r="BY30" s="156"/>
      <c r="BZ30" s="156"/>
      <c r="CA30" s="156"/>
      <c r="CB30" s="156"/>
      <c r="CC30" s="156"/>
      <c r="CD30" s="156"/>
      <c r="CE30" s="230"/>
      <c r="CF30" s="230"/>
      <c r="CG30" s="230"/>
      <c r="CH30" s="230"/>
      <c r="CI30" s="230"/>
      <c r="CJ30" s="230"/>
      <c r="CK30" s="230"/>
      <c r="CL30" s="230"/>
      <c r="CM30" s="231"/>
      <c r="CN30" s="231"/>
      <c r="CO30" s="231"/>
      <c r="CP30" s="231"/>
      <c r="CQ30" s="231"/>
      <c r="CR30" s="231"/>
      <c r="CS30" s="231"/>
      <c r="CT30" s="231"/>
      <c r="CU30" s="231"/>
      <c r="CV30" s="231"/>
      <c r="CW30" s="231"/>
      <c r="CX30" s="231"/>
      <c r="CY30" s="231">
        <f>+CY17*1.1</f>
        <v>0.66000000000000014</v>
      </c>
      <c r="CZ30" s="231">
        <f>+CZ17*1.1</f>
        <v>0.66000000000000014</v>
      </c>
      <c r="DA30" s="231">
        <f>+DA17*1.1</f>
        <v>0.66000000000000014</v>
      </c>
      <c r="DB30" s="231">
        <f>+DB17*1.1</f>
        <v>0.66000000000000014</v>
      </c>
      <c r="DE30" s="233"/>
    </row>
    <row r="31" spans="1:109" s="232" customFormat="1" x14ac:dyDescent="0.2">
      <c r="A31" s="155"/>
      <c r="B31" s="156"/>
      <c r="C31" s="156"/>
      <c r="D31" s="156"/>
      <c r="E31" s="156"/>
      <c r="F31" s="156"/>
      <c r="G31" s="156"/>
      <c r="H31" s="156"/>
      <c r="I31" s="156"/>
      <c r="J31" s="156"/>
      <c r="K31" s="156"/>
      <c r="L31" s="156"/>
      <c r="M31" s="156"/>
      <c r="N31" s="156"/>
      <c r="O31" s="156"/>
      <c r="P31" s="156"/>
      <c r="Q31" s="156"/>
      <c r="R31" s="156"/>
      <c r="S31" s="156"/>
      <c r="T31" s="156"/>
      <c r="U31" s="156"/>
      <c r="V31" s="156"/>
      <c r="W31" s="156"/>
      <c r="X31" s="156"/>
      <c r="Y31" s="156"/>
      <c r="Z31" s="156"/>
      <c r="AA31" s="231"/>
      <c r="AB31" s="231"/>
      <c r="AC31" s="231"/>
      <c r="AD31" s="231"/>
      <c r="AE31" s="231"/>
      <c r="AF31" s="158"/>
      <c r="AG31" s="158"/>
      <c r="AH31" s="158"/>
      <c r="AI31" s="156"/>
      <c r="AJ31" s="156"/>
      <c r="AK31" s="156"/>
      <c r="AL31" s="156"/>
      <c r="AM31" s="156"/>
      <c r="AN31" s="156"/>
      <c r="AO31" s="156"/>
      <c r="AP31" s="156"/>
      <c r="AQ31" s="156"/>
      <c r="AR31" s="156"/>
      <c r="AS31" s="156"/>
      <c r="AT31" s="156"/>
      <c r="AU31" s="156"/>
      <c r="AV31" s="156"/>
      <c r="AW31" s="156"/>
      <c r="AX31" s="156"/>
      <c r="AY31" s="156"/>
      <c r="AZ31" s="156"/>
      <c r="BA31" s="156"/>
      <c r="BB31" s="156"/>
      <c r="BC31" s="156"/>
      <c r="BD31" s="156"/>
      <c r="BE31" s="156"/>
      <c r="BF31" s="156"/>
      <c r="BG31" s="156"/>
      <c r="BH31" s="156"/>
      <c r="BI31" s="156"/>
      <c r="BJ31" s="156"/>
      <c r="BK31" s="156"/>
      <c r="BL31" s="156"/>
      <c r="BM31" s="156"/>
      <c r="BN31" s="156"/>
      <c r="BO31" s="156"/>
      <c r="BP31" s="156"/>
      <c r="BQ31" s="156"/>
      <c r="BR31" s="156"/>
      <c r="BS31" s="156"/>
      <c r="BT31" s="156"/>
      <c r="BU31" s="156"/>
      <c r="BV31" s="156"/>
      <c r="BW31" s="156"/>
      <c r="BX31" s="156"/>
      <c r="BY31" s="156"/>
      <c r="BZ31" s="156"/>
      <c r="CA31" s="156"/>
      <c r="CB31" s="156"/>
      <c r="CC31" s="156"/>
      <c r="CD31" s="156"/>
      <c r="CE31" s="230"/>
      <c r="CF31" s="230"/>
      <c r="CG31" s="230"/>
      <c r="CH31" s="230"/>
      <c r="CI31" s="230"/>
      <c r="CJ31" s="230">
        <f>CJ50/(CJ21+CJ23+CJ24+CJ26+CJ30)</f>
        <v>501.77485976073177</v>
      </c>
      <c r="CK31" s="230">
        <f>CK50/(CK21+CK23+CK24+CK26+CK30)</f>
        <v>554.16122636491116</v>
      </c>
      <c r="CL31" s="230">
        <f>CL50/(CL21+CL23+CL24+CL26+CL30)</f>
        <v>938.91619286241973</v>
      </c>
      <c r="CM31" s="231">
        <f t="shared" ref="CM31:DB31" si="126">+CL31</f>
        <v>938.91619286241973</v>
      </c>
      <c r="CN31" s="231">
        <f t="shared" si="126"/>
        <v>938.91619286241973</v>
      </c>
      <c r="CO31" s="231">
        <f t="shared" si="126"/>
        <v>938.91619286241973</v>
      </c>
      <c r="CP31" s="231">
        <f t="shared" si="126"/>
        <v>938.91619286241973</v>
      </c>
      <c r="CQ31" s="231">
        <v>250</v>
      </c>
      <c r="CR31" s="231">
        <f t="shared" si="126"/>
        <v>250</v>
      </c>
      <c r="CS31" s="231">
        <f t="shared" si="126"/>
        <v>250</v>
      </c>
      <c r="CT31" s="231">
        <f t="shared" si="126"/>
        <v>250</v>
      </c>
      <c r="CU31" s="231">
        <f t="shared" si="126"/>
        <v>250</v>
      </c>
      <c r="CV31" s="231">
        <f t="shared" si="126"/>
        <v>250</v>
      </c>
      <c r="CW31" s="231">
        <f t="shared" si="126"/>
        <v>250</v>
      </c>
      <c r="CX31" s="231">
        <f t="shared" si="126"/>
        <v>250</v>
      </c>
      <c r="CY31" s="231">
        <v>230</v>
      </c>
      <c r="CZ31" s="231">
        <f t="shared" si="126"/>
        <v>230</v>
      </c>
      <c r="DA31" s="231">
        <f t="shared" si="126"/>
        <v>230</v>
      </c>
      <c r="DB31" s="231">
        <f t="shared" si="126"/>
        <v>230</v>
      </c>
      <c r="DE31" s="233"/>
    </row>
    <row r="32" spans="1:109" s="192" customFormat="1" x14ac:dyDescent="0.2">
      <c r="A32" s="190" t="s">
        <v>529</v>
      </c>
      <c r="B32" s="191"/>
      <c r="C32" s="191"/>
      <c r="D32" s="191"/>
      <c r="E32" s="191"/>
      <c r="F32" s="191"/>
      <c r="G32" s="191"/>
      <c r="H32" s="191"/>
      <c r="I32" s="191"/>
      <c r="J32" s="191"/>
      <c r="K32" s="191"/>
      <c r="L32" s="191"/>
      <c r="M32" s="191"/>
      <c r="N32" s="191"/>
      <c r="O32" s="191"/>
      <c r="P32" s="191"/>
      <c r="Q32" s="191"/>
      <c r="R32" s="191"/>
      <c r="S32" s="191"/>
      <c r="T32" s="191"/>
      <c r="U32" s="191"/>
      <c r="V32" s="191"/>
      <c r="W32" s="191"/>
      <c r="X32" s="191"/>
      <c r="Y32" s="191"/>
      <c r="Z32" s="191"/>
      <c r="AA32" s="194"/>
      <c r="AB32" s="194"/>
      <c r="AC32" s="194"/>
      <c r="AD32" s="194"/>
      <c r="AE32" s="194"/>
      <c r="AI32" s="191"/>
      <c r="AJ32" s="191"/>
      <c r="AK32" s="191"/>
      <c r="AL32" s="191"/>
      <c r="AM32" s="191"/>
      <c r="AN32" s="191"/>
      <c r="AO32" s="191"/>
      <c r="AP32" s="191"/>
      <c r="AQ32" s="191"/>
      <c r="AR32" s="191"/>
      <c r="AS32" s="191"/>
      <c r="AT32" s="191"/>
      <c r="AU32" s="191"/>
      <c r="AV32" s="191"/>
      <c r="AW32" s="191"/>
      <c r="AX32" s="191"/>
      <c r="AY32" s="191"/>
      <c r="AZ32" s="191"/>
      <c r="BA32" s="191"/>
      <c r="BB32" s="191"/>
      <c r="BC32" s="191"/>
      <c r="BD32" s="191"/>
      <c r="BE32" s="191"/>
      <c r="BF32" s="191"/>
      <c r="BG32" s="191"/>
      <c r="BH32" s="191"/>
      <c r="BI32" s="191"/>
      <c r="BJ32" s="191"/>
      <c r="BK32" s="191"/>
      <c r="BL32" s="191"/>
      <c r="BM32" s="191"/>
      <c r="BN32" s="191"/>
      <c r="BO32" s="191"/>
      <c r="BP32" s="191"/>
      <c r="BQ32" s="191"/>
      <c r="BR32" s="191"/>
      <c r="BS32" s="191"/>
      <c r="BT32" s="191"/>
      <c r="BU32" s="191"/>
      <c r="BV32" s="191"/>
      <c r="BW32" s="191"/>
      <c r="BX32" s="191"/>
      <c r="BY32" s="191"/>
      <c r="BZ32" s="191"/>
      <c r="CA32" s="191"/>
      <c r="CB32" s="191"/>
      <c r="CC32" s="191"/>
      <c r="CD32" s="191"/>
      <c r="CE32" s="191"/>
      <c r="CF32" s="191"/>
      <c r="CG32" s="191"/>
      <c r="CH32" s="191"/>
      <c r="CI32" s="191"/>
      <c r="CJ32" s="191"/>
      <c r="CK32" s="191"/>
      <c r="CL32" s="191"/>
      <c r="CM32" s="191"/>
      <c r="CN32" s="191"/>
      <c r="CO32" s="191"/>
      <c r="CP32" s="191"/>
      <c r="CQ32" s="191"/>
      <c r="CR32" s="191"/>
      <c r="CS32" s="191"/>
      <c r="CT32" s="191"/>
      <c r="CU32" s="191"/>
      <c r="CV32" s="191"/>
      <c r="CW32" s="191"/>
      <c r="CX32" s="191"/>
      <c r="CY32" s="191"/>
      <c r="CZ32" s="191"/>
      <c r="DA32" s="191"/>
      <c r="DB32" s="191"/>
      <c r="DE32" s="191"/>
    </row>
    <row r="33" spans="1:110" s="158" customFormat="1" x14ac:dyDescent="0.2">
      <c r="A33" s="155" t="s">
        <v>536</v>
      </c>
      <c r="B33" s="156"/>
      <c r="C33" s="156"/>
      <c r="D33" s="156"/>
      <c r="E33" s="156"/>
      <c r="F33" s="156"/>
      <c r="G33" s="156"/>
      <c r="H33" s="156"/>
      <c r="I33" s="156"/>
      <c r="J33" s="156"/>
      <c r="K33" s="156"/>
      <c r="L33" s="156"/>
      <c r="M33" s="156"/>
      <c r="N33" s="156"/>
      <c r="O33" s="156"/>
      <c r="P33" s="156"/>
      <c r="Q33" s="156"/>
      <c r="R33" s="156"/>
      <c r="S33" s="156"/>
      <c r="T33" s="156"/>
      <c r="U33" s="156"/>
      <c r="V33" s="156"/>
      <c r="W33" s="156">
        <f t="shared" ref="W33:AE33" si="127">+W13-W21-W23</f>
        <v>0</v>
      </c>
      <c r="X33" s="156">
        <f t="shared" si="127"/>
        <v>3.2591473999999998</v>
      </c>
      <c r="Y33" s="156">
        <f t="shared" si="127"/>
        <v>9.5758256799999995</v>
      </c>
      <c r="Z33" s="156">
        <f t="shared" si="127"/>
        <v>9.5006463400000012</v>
      </c>
      <c r="AA33" s="74">
        <f t="shared" si="127"/>
        <v>18.255966539999999</v>
      </c>
      <c r="AB33" s="74">
        <f t="shared" si="127"/>
        <v>17.36</v>
      </c>
      <c r="AC33" s="74">
        <f t="shared" si="127"/>
        <v>13.12</v>
      </c>
      <c r="AD33" s="74">
        <f t="shared" si="127"/>
        <v>12.896000000000001</v>
      </c>
      <c r="AE33" s="74">
        <f t="shared" si="127"/>
        <v>12.896000000000001</v>
      </c>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6"/>
      <c r="BF33" s="156"/>
      <c r="BG33" s="156"/>
      <c r="BH33" s="156"/>
      <c r="BI33" s="156"/>
      <c r="BJ33" s="156"/>
      <c r="BK33" s="156"/>
      <c r="BL33" s="156"/>
      <c r="BM33" s="156"/>
      <c r="BN33" s="156"/>
      <c r="BO33" s="156"/>
      <c r="BP33" s="156"/>
      <c r="BQ33" s="156"/>
      <c r="BR33" s="156"/>
      <c r="BS33" s="156"/>
      <c r="BT33" s="156"/>
      <c r="BU33" s="156">
        <v>0.06</v>
      </c>
      <c r="BV33" s="156">
        <v>0.3</v>
      </c>
      <c r="BW33" s="156">
        <v>1.1499999999999995</v>
      </c>
      <c r="BX33" s="156">
        <v>1.32</v>
      </c>
      <c r="BY33" s="156">
        <v>1.73</v>
      </c>
      <c r="BZ33" s="156">
        <v>1.1000000000000001</v>
      </c>
      <c r="CA33" s="156">
        <v>3.2</v>
      </c>
      <c r="CB33" s="156">
        <v>1.98</v>
      </c>
      <c r="CC33" s="156">
        <v>2.4900000000000002</v>
      </c>
      <c r="CD33" s="156">
        <v>1.98</v>
      </c>
      <c r="CE33" s="156">
        <v>3.6</v>
      </c>
      <c r="CF33" s="156">
        <v>1.98</v>
      </c>
      <c r="CG33" s="156">
        <v>2.48</v>
      </c>
      <c r="CH33" s="156">
        <v>1.66</v>
      </c>
      <c r="CI33" s="156">
        <v>3.45</v>
      </c>
      <c r="CJ33" s="156">
        <v>2.5</v>
      </c>
      <c r="CK33" s="156">
        <v>4.0999999999999996</v>
      </c>
      <c r="CL33" s="156">
        <v>6.16</v>
      </c>
      <c r="CM33" s="157">
        <f t="shared" ref="CM33:DB33" si="128">+CM13-CM21-CM23</f>
        <v>4.84</v>
      </c>
      <c r="CN33" s="157">
        <f t="shared" si="128"/>
        <v>4.84</v>
      </c>
      <c r="CO33" s="157">
        <f t="shared" si="128"/>
        <v>3.84</v>
      </c>
      <c r="CP33" s="157">
        <f t="shared" si="128"/>
        <v>3.84</v>
      </c>
      <c r="CQ33" s="157">
        <f t="shared" si="128"/>
        <v>4.09</v>
      </c>
      <c r="CR33" s="157">
        <f t="shared" si="128"/>
        <v>3.01</v>
      </c>
      <c r="CS33" s="157">
        <f t="shared" si="128"/>
        <v>3.01</v>
      </c>
      <c r="CT33" s="157">
        <f t="shared" si="128"/>
        <v>3.01</v>
      </c>
      <c r="CU33" s="157">
        <f t="shared" si="128"/>
        <v>3.2240000000000002</v>
      </c>
      <c r="CV33" s="157">
        <f t="shared" si="128"/>
        <v>3.2240000000000002</v>
      </c>
      <c r="CW33" s="157">
        <f t="shared" si="128"/>
        <v>3.2240000000000002</v>
      </c>
      <c r="CX33" s="157">
        <f t="shared" si="128"/>
        <v>3.2240000000000002</v>
      </c>
      <c r="CY33" s="157">
        <f t="shared" si="128"/>
        <v>3.2240000000000002</v>
      </c>
      <c r="CZ33" s="157">
        <f t="shared" si="128"/>
        <v>3.2240000000000002</v>
      </c>
      <c r="DA33" s="157">
        <f t="shared" si="128"/>
        <v>3.2240000000000002</v>
      </c>
      <c r="DB33" s="157">
        <f t="shared" si="128"/>
        <v>3.2240000000000002</v>
      </c>
      <c r="DE33" s="159"/>
      <c r="DF33" s="158">
        <v>4.92</v>
      </c>
    </row>
    <row r="34" spans="1:110" s="158" customFormat="1" x14ac:dyDescent="0.2">
      <c r="A34" s="155" t="s">
        <v>561</v>
      </c>
      <c r="B34" s="156"/>
      <c r="C34" s="156"/>
      <c r="D34" s="156"/>
      <c r="E34" s="156"/>
      <c r="F34" s="156"/>
      <c r="G34" s="156"/>
      <c r="H34" s="156"/>
      <c r="I34" s="156"/>
      <c r="J34" s="156"/>
      <c r="K34" s="156"/>
      <c r="L34" s="156"/>
      <c r="M34" s="156"/>
      <c r="N34" s="156"/>
      <c r="O34" s="156"/>
      <c r="P34" s="156"/>
      <c r="Q34" s="156"/>
      <c r="R34" s="156"/>
      <c r="S34" s="156"/>
      <c r="T34" s="156"/>
      <c r="U34" s="156"/>
      <c r="V34" s="156"/>
      <c r="W34" s="156">
        <f t="shared" ref="W34:AE34" si="129">+W14-W24-W28-W30</f>
        <v>0</v>
      </c>
      <c r="X34" s="156">
        <f t="shared" si="129"/>
        <v>0</v>
      </c>
      <c r="Y34" s="156">
        <f t="shared" si="129"/>
        <v>0</v>
      </c>
      <c r="Z34" s="156">
        <f t="shared" si="129"/>
        <v>0</v>
      </c>
      <c r="AA34" s="74">
        <f t="shared" si="129"/>
        <v>2.4632945499999996</v>
      </c>
      <c r="AB34" s="74">
        <f t="shared" si="129"/>
        <v>6.1946000000000003</v>
      </c>
      <c r="AC34" s="74">
        <f t="shared" si="129"/>
        <v>8.5975999999999999</v>
      </c>
      <c r="AD34" s="74">
        <f t="shared" si="129"/>
        <v>9.5516000000000005</v>
      </c>
      <c r="AE34" s="74">
        <f t="shared" si="129"/>
        <v>6.8455999999999992</v>
      </c>
      <c r="AI34" s="156"/>
      <c r="AJ34" s="156"/>
      <c r="AK34" s="156"/>
      <c r="AL34" s="156"/>
      <c r="AM34" s="156"/>
      <c r="AN34" s="156"/>
      <c r="AO34" s="156"/>
      <c r="AP34" s="156"/>
      <c r="AQ34" s="156"/>
      <c r="AR34" s="156"/>
      <c r="AS34" s="156"/>
      <c r="AT34" s="156"/>
      <c r="AU34" s="156"/>
      <c r="AV34" s="156"/>
      <c r="AW34" s="156"/>
      <c r="AX34" s="156"/>
      <c r="AY34" s="156"/>
      <c r="AZ34" s="156"/>
      <c r="BA34" s="156"/>
      <c r="BB34" s="156"/>
      <c r="BC34" s="156"/>
      <c r="BD34" s="156"/>
      <c r="BE34" s="156"/>
      <c r="BF34" s="156"/>
      <c r="BG34" s="156"/>
      <c r="BH34" s="156"/>
      <c r="BI34" s="156"/>
      <c r="BJ34" s="156"/>
      <c r="BK34" s="156"/>
      <c r="BL34" s="156"/>
      <c r="BM34" s="156"/>
      <c r="BN34" s="156"/>
      <c r="BO34" s="156"/>
      <c r="BP34" s="156"/>
      <c r="BQ34" s="156"/>
      <c r="BR34" s="156"/>
      <c r="BS34" s="156"/>
      <c r="BT34" s="156"/>
      <c r="BU34" s="156"/>
      <c r="BV34" s="156"/>
      <c r="BW34" s="156"/>
      <c r="BX34" s="156"/>
      <c r="BY34" s="156"/>
      <c r="BZ34" s="156"/>
      <c r="CA34" s="156"/>
      <c r="CB34" s="156"/>
      <c r="CC34" s="156"/>
      <c r="CD34" s="156"/>
      <c r="CE34" s="156"/>
      <c r="CF34" s="156"/>
      <c r="CG34" s="156"/>
      <c r="CH34" s="156"/>
      <c r="CI34" s="156"/>
      <c r="CJ34" s="156">
        <v>0.69</v>
      </c>
      <c r="CK34" s="156">
        <v>1</v>
      </c>
      <c r="CL34" s="156">
        <v>0.89</v>
      </c>
      <c r="CM34" s="157">
        <f t="shared" ref="CM34:DB34" si="130">+CM14-CM24-CM28-CM30</f>
        <v>1.5624</v>
      </c>
      <c r="CN34" s="157">
        <f t="shared" si="130"/>
        <v>1.5624</v>
      </c>
      <c r="CO34" s="157">
        <f t="shared" si="130"/>
        <v>1.5624</v>
      </c>
      <c r="CP34" s="157">
        <f t="shared" si="130"/>
        <v>1.5074000000000001</v>
      </c>
      <c r="CQ34" s="157">
        <f t="shared" si="130"/>
        <v>1.4743999999999999</v>
      </c>
      <c r="CR34" s="157">
        <f t="shared" si="130"/>
        <v>2.3744000000000001</v>
      </c>
      <c r="CS34" s="157">
        <f t="shared" si="130"/>
        <v>2.3744000000000001</v>
      </c>
      <c r="CT34" s="157">
        <f t="shared" si="130"/>
        <v>2.3744000000000001</v>
      </c>
      <c r="CU34" s="157">
        <f t="shared" si="130"/>
        <v>2.3879000000000001</v>
      </c>
      <c r="CV34" s="157">
        <f t="shared" si="130"/>
        <v>2.3879000000000001</v>
      </c>
      <c r="CW34" s="157">
        <f t="shared" si="130"/>
        <v>2.3879000000000001</v>
      </c>
      <c r="CX34" s="157">
        <f t="shared" si="130"/>
        <v>2.3879000000000001</v>
      </c>
      <c r="CY34" s="157">
        <f t="shared" si="130"/>
        <v>1.7113999999999998</v>
      </c>
      <c r="CZ34" s="157">
        <f t="shared" si="130"/>
        <v>1.7113999999999998</v>
      </c>
      <c r="DA34" s="157">
        <f t="shared" si="130"/>
        <v>1.7113999999999998</v>
      </c>
      <c r="DB34" s="157">
        <f t="shared" si="130"/>
        <v>1.7113999999999998</v>
      </c>
      <c r="DE34" s="159"/>
      <c r="DF34" s="158">
        <v>0.68400000000000005</v>
      </c>
    </row>
    <row r="35" spans="1:110" s="158" customFormat="1" x14ac:dyDescent="0.2">
      <c r="A35" s="155" t="s">
        <v>562</v>
      </c>
      <c r="B35" s="156"/>
      <c r="C35" s="156"/>
      <c r="D35" s="156"/>
      <c r="E35" s="156"/>
      <c r="F35" s="156"/>
      <c r="G35" s="156"/>
      <c r="H35" s="156"/>
      <c r="I35" s="156"/>
      <c r="J35" s="156"/>
      <c r="K35" s="156"/>
      <c r="L35" s="156"/>
      <c r="M35" s="156"/>
      <c r="N35" s="156"/>
      <c r="O35" s="156"/>
      <c r="P35" s="156"/>
      <c r="Q35" s="156"/>
      <c r="R35" s="156"/>
      <c r="S35" s="156"/>
      <c r="T35" s="156"/>
      <c r="U35" s="156"/>
      <c r="V35" s="156"/>
      <c r="W35" s="156">
        <f t="shared" ref="W35:AE35" si="131">+W15-W27</f>
        <v>0</v>
      </c>
      <c r="X35" s="156">
        <f t="shared" si="131"/>
        <v>0.20423000000000002</v>
      </c>
      <c r="Y35" s="156">
        <f t="shared" si="131"/>
        <v>0.26183600000000001</v>
      </c>
      <c r="Z35" s="156">
        <f t="shared" si="131"/>
        <v>0.30824299999999999</v>
      </c>
      <c r="AA35" s="74">
        <f t="shared" si="131"/>
        <v>0.48399999999999999</v>
      </c>
      <c r="AB35" s="74">
        <f t="shared" si="131"/>
        <v>0.52800000000000002</v>
      </c>
      <c r="AC35" s="74">
        <f t="shared" si="131"/>
        <v>0</v>
      </c>
      <c r="AD35" s="74">
        <f t="shared" si="131"/>
        <v>0</v>
      </c>
      <c r="AE35" s="74">
        <f t="shared" si="131"/>
        <v>0</v>
      </c>
      <c r="AI35" s="156"/>
      <c r="AJ35" s="156"/>
      <c r="AK35" s="156"/>
      <c r="AL35" s="156"/>
      <c r="AM35" s="156"/>
      <c r="AN35" s="156"/>
      <c r="AO35" s="156"/>
      <c r="AP35" s="156"/>
      <c r="AQ35" s="156"/>
      <c r="AR35" s="156"/>
      <c r="AS35" s="156"/>
      <c r="AT35" s="156"/>
      <c r="AU35" s="156"/>
      <c r="AV35" s="156"/>
      <c r="AW35" s="156"/>
      <c r="AX35" s="156"/>
      <c r="AY35" s="156"/>
      <c r="AZ35" s="156"/>
      <c r="BA35" s="156"/>
      <c r="BB35" s="156"/>
      <c r="BC35" s="156"/>
      <c r="BD35" s="156"/>
      <c r="BE35" s="156"/>
      <c r="BF35" s="156"/>
      <c r="BG35" s="156"/>
      <c r="BH35" s="156"/>
      <c r="BI35" s="156"/>
      <c r="BJ35" s="156"/>
      <c r="BK35" s="156"/>
      <c r="BL35" s="156"/>
      <c r="BM35" s="156"/>
      <c r="BN35" s="156"/>
      <c r="BO35" s="156"/>
      <c r="BP35" s="156"/>
      <c r="BQ35" s="156"/>
      <c r="BR35" s="156"/>
      <c r="BS35" s="156"/>
      <c r="BT35" s="156"/>
      <c r="BU35" s="156">
        <v>3.4049999999999997E-2</v>
      </c>
      <c r="BV35" s="156">
        <v>3.4840000000000003E-2</v>
      </c>
      <c r="BW35" s="156">
        <v>4.4749999999999998E-2</v>
      </c>
      <c r="BX35" s="156">
        <v>4.6850000000000003E-2</v>
      </c>
      <c r="BY35" s="156">
        <v>6.089E-2</v>
      </c>
      <c r="BZ35" s="156">
        <v>5.1670000000000001E-2</v>
      </c>
      <c r="CA35" s="156">
        <v>6.701E-2</v>
      </c>
      <c r="CB35" s="156">
        <v>4.8149999999999998E-2</v>
      </c>
      <c r="CC35" s="156">
        <v>8.095999999999999E-2</v>
      </c>
      <c r="CD35" s="156">
        <v>6.7239999999999994E-2</v>
      </c>
      <c r="CE35" s="156">
        <f t="shared" ref="CE35:CK35" si="132">+CE15</f>
        <v>7.6703999999999994E-2</v>
      </c>
      <c r="CF35" s="156">
        <f t="shared" si="132"/>
        <v>8.4968000000000002E-2</v>
      </c>
      <c r="CG35" s="156">
        <f t="shared" si="132"/>
        <v>7.6760999999999996E-2</v>
      </c>
      <c r="CH35" s="156">
        <f t="shared" si="132"/>
        <v>6.9809999999999997E-2</v>
      </c>
      <c r="CI35" s="156">
        <f t="shared" si="132"/>
        <v>7.9033000000000006E-2</v>
      </c>
      <c r="CJ35" s="156">
        <f t="shared" si="132"/>
        <v>8.8766999999999999E-2</v>
      </c>
      <c r="CK35" s="156">
        <f t="shared" si="132"/>
        <v>0.12319999999999999</v>
      </c>
      <c r="CL35" s="156">
        <v>0.188</v>
      </c>
      <c r="CM35" s="157">
        <f t="shared" ref="CM35:DB35" si="133">+CM15-CM27</f>
        <v>0.17599999999999999</v>
      </c>
      <c r="CN35" s="157">
        <f t="shared" si="133"/>
        <v>0.17599999999999999</v>
      </c>
      <c r="CO35" s="157">
        <f t="shared" si="133"/>
        <v>0.17599999999999999</v>
      </c>
      <c r="CP35" s="157">
        <f t="shared" si="133"/>
        <v>0</v>
      </c>
      <c r="CQ35" s="157">
        <f t="shared" si="133"/>
        <v>0</v>
      </c>
      <c r="CR35" s="157">
        <f t="shared" si="133"/>
        <v>0</v>
      </c>
      <c r="CS35" s="157">
        <f t="shared" si="133"/>
        <v>0</v>
      </c>
      <c r="CT35" s="157">
        <f t="shared" si="133"/>
        <v>0</v>
      </c>
      <c r="CU35" s="157">
        <f t="shared" si="133"/>
        <v>0</v>
      </c>
      <c r="CV35" s="157">
        <f t="shared" si="133"/>
        <v>0</v>
      </c>
      <c r="CW35" s="157">
        <f t="shared" si="133"/>
        <v>0</v>
      </c>
      <c r="CX35" s="157">
        <f t="shared" si="133"/>
        <v>0</v>
      </c>
      <c r="CY35" s="157">
        <f t="shared" si="133"/>
        <v>0</v>
      </c>
      <c r="CZ35" s="157">
        <f t="shared" si="133"/>
        <v>0</v>
      </c>
      <c r="DA35" s="157">
        <f t="shared" si="133"/>
        <v>0</v>
      </c>
      <c r="DB35" s="157">
        <f t="shared" si="133"/>
        <v>0</v>
      </c>
      <c r="DE35" s="159"/>
      <c r="DF35" s="158">
        <v>0.12</v>
      </c>
    </row>
    <row r="36" spans="1:110" s="158" customFormat="1" x14ac:dyDescent="0.2">
      <c r="A36" s="155" t="s">
        <v>563</v>
      </c>
      <c r="B36" s="156"/>
      <c r="C36" s="156"/>
      <c r="D36" s="156"/>
      <c r="E36" s="156"/>
      <c r="F36" s="156"/>
      <c r="G36" s="156"/>
      <c r="H36" s="156"/>
      <c r="I36" s="156"/>
      <c r="J36" s="156"/>
      <c r="K36" s="156"/>
      <c r="L36" s="156"/>
      <c r="M36" s="156"/>
      <c r="N36" s="156"/>
      <c r="O36" s="156"/>
      <c r="P36" s="156"/>
      <c r="Q36" s="156"/>
      <c r="R36" s="156"/>
      <c r="S36" s="156"/>
      <c r="T36" s="156"/>
      <c r="U36" s="156"/>
      <c r="V36" s="156"/>
      <c r="W36" s="156">
        <f t="shared" ref="W36:AE36" si="134">+W16</f>
        <v>0</v>
      </c>
      <c r="X36" s="156">
        <f t="shared" si="134"/>
        <v>0</v>
      </c>
      <c r="Y36" s="156">
        <f t="shared" si="134"/>
        <v>0</v>
      </c>
      <c r="Z36" s="156">
        <f t="shared" si="134"/>
        <v>0</v>
      </c>
      <c r="AA36" s="74">
        <f t="shared" si="134"/>
        <v>0</v>
      </c>
      <c r="AB36" s="74">
        <f t="shared" si="134"/>
        <v>0.21</v>
      </c>
      <c r="AC36" s="74">
        <f t="shared" si="134"/>
        <v>0.96</v>
      </c>
      <c r="AD36" s="74">
        <f t="shared" si="134"/>
        <v>1.02</v>
      </c>
      <c r="AE36" s="74">
        <f t="shared" si="134"/>
        <v>1.08</v>
      </c>
      <c r="AI36" s="156"/>
      <c r="AJ36" s="156"/>
      <c r="AK36" s="156"/>
      <c r="AL36" s="156"/>
      <c r="AM36" s="156"/>
      <c r="AN36" s="156"/>
      <c r="AO36" s="156"/>
      <c r="AP36" s="156"/>
      <c r="AQ36" s="156"/>
      <c r="AR36" s="156"/>
      <c r="AS36" s="156"/>
      <c r="AT36" s="156"/>
      <c r="AU36" s="156"/>
      <c r="AV36" s="156"/>
      <c r="AW36" s="156"/>
      <c r="AX36" s="156"/>
      <c r="AY36" s="156"/>
      <c r="AZ36" s="156"/>
      <c r="BA36" s="156"/>
      <c r="BB36" s="156"/>
      <c r="BC36" s="156"/>
      <c r="BD36" s="156"/>
      <c r="BE36" s="156"/>
      <c r="BF36" s="156"/>
      <c r="BG36" s="156"/>
      <c r="BH36" s="156"/>
      <c r="BI36" s="156"/>
      <c r="BJ36" s="156"/>
      <c r="BK36" s="156"/>
      <c r="BL36" s="156"/>
      <c r="BM36" s="156"/>
      <c r="BN36" s="156"/>
      <c r="BO36" s="156"/>
      <c r="BP36" s="156"/>
      <c r="BQ36" s="156"/>
      <c r="BR36" s="156"/>
      <c r="BS36" s="156"/>
      <c r="BT36" s="156"/>
      <c r="BU36" s="156"/>
      <c r="BV36" s="156"/>
      <c r="BW36" s="156"/>
      <c r="BX36" s="156"/>
      <c r="BY36" s="156"/>
      <c r="BZ36" s="156"/>
      <c r="CA36" s="156"/>
      <c r="CB36" s="156"/>
      <c r="CC36" s="156"/>
      <c r="CD36" s="156"/>
      <c r="CE36" s="156"/>
      <c r="CF36" s="156"/>
      <c r="CG36" s="156"/>
      <c r="CH36" s="156"/>
      <c r="CI36" s="156"/>
      <c r="CJ36" s="156"/>
      <c r="CK36" s="156"/>
      <c r="CL36" s="156"/>
      <c r="CM36" s="157"/>
      <c r="CN36" s="157"/>
      <c r="CO36" s="157"/>
      <c r="CP36" s="157">
        <f>+CP16*50%</f>
        <v>0.105</v>
      </c>
      <c r="CQ36" s="157">
        <f>+CQ16*70%</f>
        <v>0.16799999999999998</v>
      </c>
      <c r="CR36" s="157">
        <f t="shared" ref="CR36:CT36" si="135">+CR16*70%</f>
        <v>0.16799999999999998</v>
      </c>
      <c r="CS36" s="157">
        <f t="shared" si="135"/>
        <v>0.16799999999999998</v>
      </c>
      <c r="CT36" s="157">
        <f t="shared" si="135"/>
        <v>0.16799999999999998</v>
      </c>
      <c r="CU36" s="157">
        <f>+CU16*80%</f>
        <v>0.20400000000000001</v>
      </c>
      <c r="CV36" s="157">
        <f t="shared" ref="CV36:CX36" si="136">+CV16*80%</f>
        <v>0.20400000000000001</v>
      </c>
      <c r="CW36" s="157">
        <f t="shared" si="136"/>
        <v>0.20400000000000001</v>
      </c>
      <c r="CX36" s="157">
        <f t="shared" si="136"/>
        <v>0.20400000000000001</v>
      </c>
      <c r="CY36" s="157">
        <f>+CY16*90%</f>
        <v>0.24300000000000002</v>
      </c>
      <c r="CZ36" s="157">
        <f t="shared" ref="CZ36:DB36" si="137">+CZ16*90%</f>
        <v>0.24300000000000002</v>
      </c>
      <c r="DA36" s="157">
        <f t="shared" si="137"/>
        <v>0.24300000000000002</v>
      </c>
      <c r="DB36" s="157">
        <f t="shared" si="137"/>
        <v>0.24300000000000002</v>
      </c>
      <c r="DE36" s="159"/>
    </row>
    <row r="37" spans="1:110" s="158" customFormat="1" x14ac:dyDescent="0.2">
      <c r="A37" s="155" t="s">
        <v>564</v>
      </c>
      <c r="B37" s="156"/>
      <c r="C37" s="156"/>
      <c r="D37" s="156"/>
      <c r="E37" s="156"/>
      <c r="F37" s="156"/>
      <c r="G37" s="156"/>
      <c r="H37" s="156"/>
      <c r="I37" s="156"/>
      <c r="J37" s="156"/>
      <c r="K37" s="156"/>
      <c r="L37" s="156"/>
      <c r="M37" s="156"/>
      <c r="N37" s="156"/>
      <c r="O37" s="156"/>
      <c r="P37" s="156"/>
      <c r="Q37" s="156"/>
      <c r="R37" s="156"/>
      <c r="S37" s="156"/>
      <c r="T37" s="156"/>
      <c r="U37" s="156"/>
      <c r="V37" s="156"/>
      <c r="W37" s="156">
        <f t="shared" ref="W37:AE37" si="138">+W17</f>
        <v>0</v>
      </c>
      <c r="X37" s="156">
        <f t="shared" si="138"/>
        <v>0</v>
      </c>
      <c r="Y37" s="156">
        <f t="shared" si="138"/>
        <v>0</v>
      </c>
      <c r="Z37" s="156">
        <f t="shared" si="138"/>
        <v>0</v>
      </c>
      <c r="AA37" s="74">
        <f t="shared" si="138"/>
        <v>0</v>
      </c>
      <c r="AB37" s="74">
        <f t="shared" si="138"/>
        <v>0</v>
      </c>
      <c r="AC37" s="74">
        <f t="shared" si="138"/>
        <v>0</v>
      </c>
      <c r="AD37" s="74">
        <f t="shared" si="138"/>
        <v>0</v>
      </c>
      <c r="AE37" s="74">
        <f t="shared" si="138"/>
        <v>2.4000000000000004</v>
      </c>
      <c r="AI37" s="156"/>
      <c r="AJ37" s="156"/>
      <c r="AK37" s="156"/>
      <c r="AL37" s="156"/>
      <c r="AM37" s="156"/>
      <c r="AN37" s="156"/>
      <c r="AO37" s="156"/>
      <c r="AP37" s="156"/>
      <c r="AQ37" s="156"/>
      <c r="AR37" s="156"/>
      <c r="AS37" s="156"/>
      <c r="AT37" s="156"/>
      <c r="AU37" s="156"/>
      <c r="AV37" s="156"/>
      <c r="AW37" s="156"/>
      <c r="AX37" s="156"/>
      <c r="AY37" s="156"/>
      <c r="AZ37" s="156"/>
      <c r="BA37" s="156"/>
      <c r="BB37" s="156"/>
      <c r="BC37" s="156"/>
      <c r="BD37" s="156"/>
      <c r="BE37" s="156"/>
      <c r="BF37" s="156"/>
      <c r="BG37" s="156"/>
      <c r="BH37" s="156"/>
      <c r="BI37" s="156"/>
      <c r="BJ37" s="156"/>
      <c r="BK37" s="156"/>
      <c r="BL37" s="156"/>
      <c r="BM37" s="156"/>
      <c r="BN37" s="156"/>
      <c r="BO37" s="156"/>
      <c r="BP37" s="156"/>
      <c r="BQ37" s="156"/>
      <c r="BR37" s="156"/>
      <c r="BS37" s="156"/>
      <c r="BT37" s="156"/>
      <c r="BU37" s="156"/>
      <c r="BV37" s="156"/>
      <c r="BW37" s="156"/>
      <c r="BX37" s="156"/>
      <c r="BY37" s="156"/>
      <c r="BZ37" s="156"/>
      <c r="CA37" s="156"/>
      <c r="CB37" s="156"/>
      <c r="CC37" s="156"/>
      <c r="CD37" s="156"/>
      <c r="CE37" s="156"/>
      <c r="CF37" s="156"/>
      <c r="CG37" s="156"/>
      <c r="CH37" s="156"/>
      <c r="CI37" s="156"/>
      <c r="CJ37" s="156"/>
      <c r="CK37" s="156"/>
      <c r="CL37" s="156"/>
      <c r="CM37" s="157"/>
      <c r="CN37" s="157"/>
      <c r="CO37" s="157"/>
      <c r="CP37" s="157"/>
      <c r="CQ37" s="157"/>
      <c r="CR37" s="157"/>
      <c r="CS37" s="157"/>
      <c r="CT37" s="157"/>
      <c r="CU37" s="157"/>
      <c r="CV37" s="157"/>
      <c r="CW37" s="157"/>
      <c r="CX37" s="157"/>
      <c r="CY37" s="157">
        <f>+CY17*70%</f>
        <v>0.42000000000000004</v>
      </c>
      <c r="CZ37" s="157">
        <f t="shared" ref="CZ37:DB37" si="139">+CZ17*70%</f>
        <v>0.42000000000000004</v>
      </c>
      <c r="DA37" s="157">
        <f t="shared" si="139"/>
        <v>0.42000000000000004</v>
      </c>
      <c r="DB37" s="157">
        <f t="shared" si="139"/>
        <v>0.42000000000000004</v>
      </c>
      <c r="DE37" s="159"/>
    </row>
    <row r="38" spans="1:110" s="158" customFormat="1" x14ac:dyDescent="0.2">
      <c r="A38" s="155" t="s">
        <v>565</v>
      </c>
      <c r="B38" s="156"/>
      <c r="C38" s="156"/>
      <c r="D38" s="156"/>
      <c r="E38" s="156"/>
      <c r="F38" s="156"/>
      <c r="G38" s="156"/>
      <c r="H38" s="156"/>
      <c r="I38" s="156"/>
      <c r="J38" s="156"/>
      <c r="K38" s="156"/>
      <c r="L38" s="156"/>
      <c r="M38" s="156"/>
      <c r="N38" s="156"/>
      <c r="O38" s="156"/>
      <c r="P38" s="156"/>
      <c r="Q38" s="156"/>
      <c r="R38" s="156"/>
      <c r="S38" s="156"/>
      <c r="T38" s="156"/>
      <c r="U38" s="156"/>
      <c r="V38" s="156"/>
      <c r="W38" s="156">
        <f t="shared" ref="W38" si="140">SUM(BS38:BV38)</f>
        <v>66.19</v>
      </c>
      <c r="X38" s="156">
        <f t="shared" ref="X38" si="141">SUM(BW38:BZ38)</f>
        <v>109.41999999999999</v>
      </c>
      <c r="Y38" s="156">
        <f t="shared" ref="Y38" si="142">SUM(CA38:CD38)</f>
        <v>187.72000000000003</v>
      </c>
      <c r="Z38" s="156">
        <f t="shared" ref="Z38" si="143">SUM(CE38:CH38)</f>
        <v>200.64</v>
      </c>
      <c r="AA38" s="74">
        <f t="shared" ref="AA38" si="144">SUM(CI38:CL38)</f>
        <v>193.1</v>
      </c>
      <c r="AB38" s="74">
        <f t="shared" ref="AB38" si="145">+SUM(CM38:CP38)</f>
        <v>256</v>
      </c>
      <c r="AC38" s="74">
        <f t="shared" ref="AC38" si="146">+SUM(CQ38:CT38)</f>
        <v>256</v>
      </c>
      <c r="AD38" s="74">
        <f t="shared" ref="AD38" si="147">+SUM(CU38:CX38)</f>
        <v>256</v>
      </c>
      <c r="AE38" s="74">
        <f t="shared" ref="AE38" si="148">+SUM(CY38:DB38)</f>
        <v>256</v>
      </c>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6"/>
      <c r="BF38" s="156"/>
      <c r="BG38" s="156"/>
      <c r="BH38" s="156"/>
      <c r="BI38" s="156"/>
      <c r="BJ38" s="156"/>
      <c r="BK38" s="156"/>
      <c r="BL38" s="156"/>
      <c r="BM38" s="156"/>
      <c r="BN38" s="156"/>
      <c r="BO38" s="156"/>
      <c r="BP38" s="156"/>
      <c r="BQ38" s="156"/>
      <c r="BR38" s="156"/>
      <c r="BS38" s="156"/>
      <c r="BT38" s="156"/>
      <c r="BU38" s="156">
        <v>30.32</v>
      </c>
      <c r="BV38" s="156">
        <v>35.869999999999997</v>
      </c>
      <c r="BW38" s="156"/>
      <c r="BX38" s="156">
        <v>16.989999999999998</v>
      </c>
      <c r="BY38" s="156">
        <v>46.67</v>
      </c>
      <c r="BZ38" s="156">
        <v>45.76</v>
      </c>
      <c r="CA38" s="156">
        <v>49.46</v>
      </c>
      <c r="CB38" s="156">
        <v>36.82</v>
      </c>
      <c r="CC38" s="156">
        <v>53.64</v>
      </c>
      <c r="CD38" s="156">
        <v>47.8</v>
      </c>
      <c r="CE38" s="156">
        <v>49.1</v>
      </c>
      <c r="CF38" s="156">
        <v>50.98</v>
      </c>
      <c r="CG38" s="156">
        <v>53.64</v>
      </c>
      <c r="CH38" s="156">
        <v>46.92</v>
      </c>
      <c r="CI38" s="156">
        <v>50.1</v>
      </c>
      <c r="CJ38" s="156">
        <v>43</v>
      </c>
      <c r="CK38" s="156">
        <v>36</v>
      </c>
      <c r="CL38" s="156">
        <v>64</v>
      </c>
      <c r="CM38" s="157">
        <f t="shared" ref="CM38:CR38" si="149">+CL38</f>
        <v>64</v>
      </c>
      <c r="CN38" s="157">
        <f t="shared" si="149"/>
        <v>64</v>
      </c>
      <c r="CO38" s="157">
        <f t="shared" si="149"/>
        <v>64</v>
      </c>
      <c r="CP38" s="157">
        <f t="shared" si="149"/>
        <v>64</v>
      </c>
      <c r="CQ38" s="157">
        <f t="shared" si="149"/>
        <v>64</v>
      </c>
      <c r="CR38" s="157">
        <f t="shared" si="149"/>
        <v>64</v>
      </c>
      <c r="CS38" s="157">
        <f t="shared" ref="CS38:CT38" si="150">+CR38</f>
        <v>64</v>
      </c>
      <c r="CT38" s="157">
        <f t="shared" si="150"/>
        <v>64</v>
      </c>
      <c r="CU38" s="157">
        <f t="shared" ref="CU38:CV38" si="151">+CT38</f>
        <v>64</v>
      </c>
      <c r="CV38" s="157">
        <f t="shared" si="151"/>
        <v>64</v>
      </c>
      <c r="CW38" s="157">
        <f t="shared" ref="CW38:CX38" si="152">+CV38</f>
        <v>64</v>
      </c>
      <c r="CX38" s="157">
        <f t="shared" si="152"/>
        <v>64</v>
      </c>
      <c r="CY38" s="157">
        <f t="shared" ref="CY38:DB38" si="153">+CX38</f>
        <v>64</v>
      </c>
      <c r="CZ38" s="157">
        <f t="shared" si="153"/>
        <v>64</v>
      </c>
      <c r="DA38" s="157">
        <f t="shared" si="153"/>
        <v>64</v>
      </c>
      <c r="DB38" s="157">
        <f t="shared" si="153"/>
        <v>64</v>
      </c>
      <c r="DE38" s="159"/>
      <c r="DF38" s="158">
        <v>43</v>
      </c>
    </row>
    <row r="39" spans="1:110" s="192" customFormat="1" x14ac:dyDescent="0.2">
      <c r="A39" s="190" t="s">
        <v>528</v>
      </c>
      <c r="B39" s="191"/>
      <c r="C39" s="191"/>
      <c r="D39" s="191"/>
      <c r="E39" s="191"/>
      <c r="F39" s="191"/>
      <c r="G39" s="191"/>
      <c r="H39" s="191"/>
      <c r="I39" s="191"/>
      <c r="J39" s="191"/>
      <c r="K39" s="191"/>
      <c r="L39" s="191"/>
      <c r="M39" s="191"/>
      <c r="N39" s="191"/>
      <c r="O39" s="191"/>
      <c r="P39" s="191"/>
      <c r="Q39" s="191"/>
      <c r="R39" s="191"/>
      <c r="S39" s="191"/>
      <c r="T39" s="191"/>
      <c r="U39" s="191"/>
      <c r="V39" s="191"/>
      <c r="W39" s="191"/>
      <c r="X39" s="191"/>
      <c r="Y39" s="191"/>
      <c r="Z39" s="191"/>
      <c r="AA39" s="191"/>
      <c r="AB39" s="191"/>
      <c r="AC39" s="191"/>
      <c r="AD39" s="191"/>
      <c r="AE39" s="191"/>
      <c r="AI39" s="191"/>
      <c r="AJ39" s="191"/>
      <c r="AK39" s="191"/>
      <c r="AL39" s="191"/>
      <c r="AM39" s="191"/>
      <c r="AN39" s="191"/>
      <c r="AO39" s="191"/>
      <c r="AP39" s="191"/>
      <c r="AQ39" s="191"/>
      <c r="AR39" s="191"/>
      <c r="AS39" s="191"/>
      <c r="AT39" s="191"/>
      <c r="AU39" s="191"/>
      <c r="AV39" s="191"/>
      <c r="AW39" s="191"/>
      <c r="AX39" s="191"/>
      <c r="AY39" s="191"/>
      <c r="AZ39" s="191"/>
      <c r="BA39" s="191"/>
      <c r="BB39" s="191"/>
      <c r="BC39" s="191"/>
      <c r="BD39" s="191"/>
      <c r="BE39" s="191"/>
      <c r="BF39" s="191"/>
      <c r="BG39" s="191"/>
      <c r="BH39" s="191"/>
      <c r="BI39" s="191"/>
      <c r="BJ39" s="191"/>
      <c r="BK39" s="191"/>
      <c r="BL39" s="191"/>
      <c r="BM39" s="191"/>
      <c r="BN39" s="191"/>
      <c r="BO39" s="191"/>
      <c r="BP39" s="191"/>
      <c r="BQ39" s="191"/>
      <c r="BR39" s="191"/>
      <c r="BS39" s="191"/>
      <c r="BT39" s="191"/>
      <c r="BU39" s="191"/>
      <c r="BV39" s="191"/>
      <c r="BW39" s="191"/>
      <c r="BX39" s="191"/>
      <c r="BY39" s="191"/>
      <c r="BZ39" s="191"/>
      <c r="CA39" s="191"/>
      <c r="CB39" s="191"/>
      <c r="CC39" s="191"/>
      <c r="CD39" s="191"/>
      <c r="CE39" s="191"/>
      <c r="CF39" s="191"/>
      <c r="CG39" s="191"/>
      <c r="CH39" s="191"/>
      <c r="CI39" s="191"/>
      <c r="CJ39" s="191"/>
      <c r="CK39" s="191"/>
      <c r="CL39" s="191"/>
      <c r="CM39" s="191"/>
      <c r="CN39" s="191"/>
      <c r="CO39" s="191"/>
      <c r="CP39" s="191"/>
      <c r="CQ39" s="191"/>
      <c r="CR39" s="191"/>
      <c r="CS39" s="191"/>
      <c r="CT39" s="191"/>
      <c r="CU39" s="191"/>
      <c r="CV39" s="191"/>
      <c r="CW39" s="191"/>
      <c r="CX39" s="191"/>
      <c r="CY39" s="191"/>
      <c r="CZ39" s="191"/>
      <c r="DA39" s="191"/>
      <c r="DB39" s="191"/>
      <c r="DE39" s="191"/>
    </row>
    <row r="40" spans="1:110" s="188" customFormat="1" x14ac:dyDescent="0.2">
      <c r="A40" s="186" t="s">
        <v>566</v>
      </c>
      <c r="B40" s="185"/>
      <c r="C40" s="185"/>
      <c r="D40" s="185"/>
      <c r="E40" s="185"/>
      <c r="F40" s="185"/>
      <c r="G40" s="185"/>
      <c r="H40" s="185"/>
      <c r="I40" s="185"/>
      <c r="J40" s="185"/>
      <c r="K40" s="185"/>
      <c r="L40" s="185"/>
      <c r="M40" s="185"/>
      <c r="N40" s="185"/>
      <c r="O40" s="185"/>
      <c r="P40" s="185"/>
      <c r="Q40" s="185"/>
      <c r="R40" s="185"/>
      <c r="S40" s="185"/>
      <c r="T40" s="185"/>
      <c r="U40" s="185"/>
      <c r="V40" s="185"/>
      <c r="W40" s="185" t="e">
        <f t="shared" ref="W40:AE40" si="154">W44/W33*10</f>
        <v>#DIV/0!</v>
      </c>
      <c r="X40" s="185">
        <f t="shared" si="154"/>
        <v>8134.2746265480364</v>
      </c>
      <c r="Y40" s="185">
        <f t="shared" si="154"/>
        <v>5558.5598337667316</v>
      </c>
      <c r="Z40" s="185">
        <f t="shared" si="154"/>
        <v>5917.2605724001714</v>
      </c>
      <c r="AA40" s="187">
        <f t="shared" si="154"/>
        <v>5184.8583197501848</v>
      </c>
      <c r="AB40" s="187">
        <f t="shared" si="154"/>
        <v>5745.8985875455473</v>
      </c>
      <c r="AC40" s="187">
        <f t="shared" si="154"/>
        <v>5350.586909579657</v>
      </c>
      <c r="AD40" s="187">
        <f t="shared" si="154"/>
        <v>5308.0081471798785</v>
      </c>
      <c r="AE40" s="187">
        <f t="shared" si="154"/>
        <v>5300.7459834101601</v>
      </c>
      <c r="AI40" s="185"/>
      <c r="AJ40" s="185"/>
      <c r="AK40" s="185"/>
      <c r="AL40" s="185"/>
      <c r="AM40" s="185"/>
      <c r="AN40" s="185"/>
      <c r="AO40" s="185"/>
      <c r="AP40" s="185"/>
      <c r="AQ40" s="185"/>
      <c r="AR40" s="185"/>
      <c r="AS40" s="185"/>
      <c r="AT40" s="185"/>
      <c r="AU40" s="185"/>
      <c r="AV40" s="185"/>
      <c r="AW40" s="185"/>
      <c r="AX40" s="185"/>
      <c r="AY40" s="185"/>
      <c r="AZ40" s="185"/>
      <c r="BA40" s="185"/>
      <c r="BB40" s="185"/>
      <c r="BC40" s="185"/>
      <c r="BD40" s="185"/>
      <c r="BE40" s="185"/>
      <c r="BF40" s="185"/>
      <c r="BG40" s="185"/>
      <c r="BH40" s="185"/>
      <c r="BI40" s="185"/>
      <c r="BJ40" s="185"/>
      <c r="BK40" s="185"/>
      <c r="BL40" s="185"/>
      <c r="BM40" s="185"/>
      <c r="BN40" s="185"/>
      <c r="BO40" s="185"/>
      <c r="BP40" s="185"/>
      <c r="BQ40" s="185"/>
      <c r="BR40" s="185"/>
      <c r="BS40" s="185"/>
      <c r="BT40" s="185"/>
      <c r="BU40" s="185">
        <f t="shared" ref="BU40:CI40" si="155">(BU44-BU50)/BU33*10</f>
        <v>-258.33333333333337</v>
      </c>
      <c r="BV40" s="185">
        <f t="shared" si="155"/>
        <v>6187.6666666666661</v>
      </c>
      <c r="BW40" s="185">
        <f t="shared" si="155"/>
        <v>5657.3043478260897</v>
      </c>
      <c r="BX40" s="185">
        <f t="shared" si="155"/>
        <v>3798.560606060606</v>
      </c>
      <c r="BY40" s="185">
        <f t="shared" si="155"/>
        <v>4581.1560693641613</v>
      </c>
      <c r="BZ40" s="185">
        <f t="shared" si="155"/>
        <v>6347.363636363636</v>
      </c>
      <c r="CA40" s="185">
        <f t="shared" si="155"/>
        <v>5362.65625</v>
      </c>
      <c r="CB40" s="185">
        <f t="shared" si="155"/>
        <v>4742.5252525252527</v>
      </c>
      <c r="CC40" s="185">
        <f t="shared" si="155"/>
        <v>5471.6465863453814</v>
      </c>
      <c r="CD40" s="185">
        <f t="shared" si="155"/>
        <v>6344.3434343434346</v>
      </c>
      <c r="CE40" s="185">
        <f t="shared" si="155"/>
        <v>5368.2222222222217</v>
      </c>
      <c r="CF40" s="185">
        <f t="shared" si="155"/>
        <v>5520.3535353535353</v>
      </c>
      <c r="CG40" s="185">
        <f t="shared" si="155"/>
        <v>5775.0806451612889</v>
      </c>
      <c r="CH40" s="185">
        <f t="shared" si="155"/>
        <v>5994.2771084337355</v>
      </c>
      <c r="CI40" s="185">
        <f t="shared" si="155"/>
        <v>6064.9855072463761</v>
      </c>
      <c r="CJ40" s="185">
        <f t="shared" ref="CJ40" si="156">CJ44/CJ33*10</f>
        <v>5503.1999999999989</v>
      </c>
      <c r="CK40" s="185">
        <f>CK44/CK33*10</f>
        <v>5672.6829268292695</v>
      </c>
      <c r="CL40" s="185">
        <f>CL44/CL33*10</f>
        <v>5849.8376623376626</v>
      </c>
      <c r="CM40" s="187">
        <f>+AVERAGE(CI40:CL40)</f>
        <v>5772.6765241033263</v>
      </c>
      <c r="CN40" s="187">
        <f t="shared" ref="CN40:DB40" si="157">+AVERAGE(CJ40:CM40)</f>
        <v>5699.5992783175643</v>
      </c>
      <c r="CO40" s="187">
        <f t="shared" si="157"/>
        <v>5748.6990978969561</v>
      </c>
      <c r="CP40" s="187">
        <f t="shared" si="157"/>
        <v>5767.7031406638771</v>
      </c>
      <c r="CQ40" s="187">
        <f>+AVERAGE(CM40:CP40)*0.95</f>
        <v>5459.8110347331594</v>
      </c>
      <c r="CR40" s="187">
        <f t="shared" ref="CR40:CT40" si="158">+AVERAGE(CN40:CQ40)*0.95</f>
        <v>5385.5054810077445</v>
      </c>
      <c r="CS40" s="187">
        <f t="shared" si="158"/>
        <v>5310.9082041466627</v>
      </c>
      <c r="CT40" s="187">
        <f t="shared" si="158"/>
        <v>5206.9328668809667</v>
      </c>
      <c r="CU40" s="187">
        <f t="shared" si="157"/>
        <v>5340.7893966921329</v>
      </c>
      <c r="CV40" s="187">
        <f t="shared" si="157"/>
        <v>5311.033987181876</v>
      </c>
      <c r="CW40" s="187">
        <f t="shared" si="157"/>
        <v>5292.4161137254096</v>
      </c>
      <c r="CX40" s="187">
        <f t="shared" si="157"/>
        <v>5287.7930911200965</v>
      </c>
      <c r="CY40" s="187">
        <f t="shared" si="157"/>
        <v>5308.0081471798785</v>
      </c>
      <c r="CZ40" s="187">
        <f t="shared" si="157"/>
        <v>5299.8128348018145</v>
      </c>
      <c r="DA40" s="187">
        <f t="shared" si="157"/>
        <v>5297.0075467068</v>
      </c>
      <c r="DB40" s="187">
        <f t="shared" si="157"/>
        <v>5298.1554049521474</v>
      </c>
      <c r="DE40" s="189"/>
      <c r="DF40" s="188">
        <v>5500</v>
      </c>
    </row>
    <row r="41" spans="1:110" s="188" customFormat="1" x14ac:dyDescent="0.2">
      <c r="A41" s="186" t="s">
        <v>531</v>
      </c>
      <c r="B41" s="185"/>
      <c r="C41" s="185"/>
      <c r="D41" s="185"/>
      <c r="E41" s="185"/>
      <c r="F41" s="185"/>
      <c r="G41" s="185"/>
      <c r="H41" s="185"/>
      <c r="I41" s="185"/>
      <c r="J41" s="185"/>
      <c r="K41" s="185"/>
      <c r="L41" s="185"/>
      <c r="M41" s="185"/>
      <c r="N41" s="185"/>
      <c r="O41" s="185"/>
      <c r="P41" s="185"/>
      <c r="Q41" s="185"/>
      <c r="R41" s="185"/>
      <c r="S41" s="185"/>
      <c r="T41" s="185"/>
      <c r="U41" s="185"/>
      <c r="V41" s="185"/>
      <c r="W41" s="185" t="e">
        <f t="shared" ref="W41:AE41" si="159">W45/SUM(W34:W35)*10</f>
        <v>#DIV/0!</v>
      </c>
      <c r="X41" s="185">
        <f t="shared" si="159"/>
        <v>36674.337756451052</v>
      </c>
      <c r="Y41" s="185">
        <f t="shared" si="159"/>
        <v>31602.988129974488</v>
      </c>
      <c r="Z41" s="185">
        <f t="shared" si="159"/>
        <v>32230.091194285033</v>
      </c>
      <c r="AA41" s="187">
        <f t="shared" si="159"/>
        <v>15071.38131137928</v>
      </c>
      <c r="AB41" s="187">
        <f t="shared" si="159"/>
        <v>13799.239332062551</v>
      </c>
      <c r="AC41" s="187">
        <f t="shared" si="159"/>
        <v>12722.276049852149</v>
      </c>
      <c r="AD41" s="187">
        <f t="shared" si="159"/>
        <v>12664.882974344982</v>
      </c>
      <c r="AE41" s="187">
        <f t="shared" si="159"/>
        <v>12644.586755135093</v>
      </c>
      <c r="AI41" s="185"/>
      <c r="AJ41" s="185"/>
      <c r="AK41" s="185"/>
      <c r="AL41" s="185"/>
      <c r="AM41" s="185"/>
      <c r="AN41" s="185"/>
      <c r="AO41" s="185"/>
      <c r="AP41" s="185"/>
      <c r="AQ41" s="185"/>
      <c r="AR41" s="185"/>
      <c r="AS41" s="185"/>
      <c r="AT41" s="185"/>
      <c r="AU41" s="185"/>
      <c r="AV41" s="185"/>
      <c r="AW41" s="185"/>
      <c r="AX41" s="185"/>
      <c r="AY41" s="185"/>
      <c r="AZ41" s="185"/>
      <c r="BA41" s="185"/>
      <c r="BB41" s="185"/>
      <c r="BC41" s="185"/>
      <c r="BD41" s="185"/>
      <c r="BE41" s="185"/>
      <c r="BF41" s="185"/>
      <c r="BG41" s="185"/>
      <c r="BH41" s="185"/>
      <c r="BI41" s="185"/>
      <c r="BJ41" s="185"/>
      <c r="BK41" s="185"/>
      <c r="BL41" s="185"/>
      <c r="BM41" s="185"/>
      <c r="BN41" s="185"/>
      <c r="BO41" s="185"/>
      <c r="BP41" s="185"/>
      <c r="BQ41" s="185"/>
      <c r="BR41" s="185"/>
      <c r="BS41" s="185"/>
      <c r="BT41" s="185"/>
      <c r="BU41" s="185"/>
      <c r="BV41" s="185">
        <f t="shared" ref="BV41:CK41" si="160">BV45/SUM(BV34:BV35)*10</f>
        <v>42063.719862227328</v>
      </c>
      <c r="BW41" s="185">
        <f t="shared" si="160"/>
        <v>41483.798882681571</v>
      </c>
      <c r="BX41" s="185">
        <f t="shared" si="160"/>
        <v>37052.294557097113</v>
      </c>
      <c r="BY41" s="185">
        <f t="shared" si="160"/>
        <v>36055.181474790603</v>
      </c>
      <c r="BZ41" s="185">
        <f t="shared" si="160"/>
        <v>32945.616411844392</v>
      </c>
      <c r="CA41" s="185">
        <f t="shared" si="160"/>
        <v>32739.889568721082</v>
      </c>
      <c r="CB41" s="185">
        <f t="shared" si="160"/>
        <v>31744.548286604364</v>
      </c>
      <c r="CC41" s="185">
        <f t="shared" si="160"/>
        <v>31500.741106719368</v>
      </c>
      <c r="CD41" s="185">
        <f t="shared" si="160"/>
        <v>29775.431290898276</v>
      </c>
      <c r="CE41" s="185">
        <f t="shared" si="160"/>
        <v>31367.334167709636</v>
      </c>
      <c r="CF41" s="185">
        <f t="shared" si="160"/>
        <v>41616.843988325018</v>
      </c>
      <c r="CG41" s="185">
        <f t="shared" si="160"/>
        <v>23677.388257057624</v>
      </c>
      <c r="CH41" s="185">
        <f t="shared" si="160"/>
        <v>31157.427302678698</v>
      </c>
      <c r="CI41" s="185">
        <f t="shared" si="160"/>
        <v>40399.579922310935</v>
      </c>
      <c r="CJ41" s="185">
        <f t="shared" si="160"/>
        <v>15404.093907420318</v>
      </c>
      <c r="CK41" s="185">
        <f t="shared" si="160"/>
        <v>13792.467948717949</v>
      </c>
      <c r="CL41" s="185">
        <f t="shared" ref="CL41" si="161">CL45/SUM(CL34:CL35)*10</f>
        <v>12744.897959183674</v>
      </c>
      <c r="CM41" s="187">
        <f>+AVERAGE(CJ41:CL41)</f>
        <v>13980.486605107313</v>
      </c>
      <c r="CN41" s="187">
        <f t="shared" ref="CN41" si="162">+AVERAGE(CJ41:CM41)</f>
        <v>13980.486605107313</v>
      </c>
      <c r="CO41" s="187">
        <f t="shared" ref="CO41" si="163">+AVERAGE(CK41:CN41)</f>
        <v>13624.584779529061</v>
      </c>
      <c r="CP41" s="187">
        <f t="shared" ref="CP41" si="164">+AVERAGE(CL41:CO41)</f>
        <v>13582.61398723184</v>
      </c>
      <c r="CQ41" s="187">
        <f>+AVERAGE(CM41:CP41)*0.95</f>
        <v>13102.440844531686</v>
      </c>
      <c r="CR41" s="187">
        <f t="shared" ref="CR41" si="165">+AVERAGE(CN41:CQ41)*0.95</f>
        <v>12893.904976394975</v>
      </c>
      <c r="CS41" s="187">
        <f t="shared" ref="CS41" si="166">+AVERAGE(CO41:CR41)*0.95</f>
        <v>12635.841839575794</v>
      </c>
      <c r="CT41" s="187">
        <f t="shared" ref="CT41" si="167">+AVERAGE(CP41:CS41)*0.95</f>
        <v>12401.015391336894</v>
      </c>
      <c r="CU41" s="187">
        <f t="shared" ref="CU41" si="168">+AVERAGE(CQ41:CT41)</f>
        <v>12758.300762959838</v>
      </c>
      <c r="CV41" s="187">
        <f t="shared" ref="CV41" si="169">+AVERAGE(CR41:CU41)</f>
        <v>12672.265742566875</v>
      </c>
      <c r="CW41" s="187">
        <f t="shared" ref="CW41" si="170">+AVERAGE(CS41:CV41)</f>
        <v>12616.85593410985</v>
      </c>
      <c r="CX41" s="187">
        <f t="shared" ref="CX41" si="171">+AVERAGE(CT41:CW41)</f>
        <v>12612.109457743365</v>
      </c>
      <c r="CY41" s="187">
        <f t="shared" ref="CY41" si="172">+AVERAGE(CU41:CX41)</f>
        <v>12664.882974344982</v>
      </c>
      <c r="CZ41" s="187">
        <f t="shared" ref="CZ41" si="173">+AVERAGE(CV41:CY41)</f>
        <v>12641.528527191267</v>
      </c>
      <c r="DA41" s="187">
        <f t="shared" ref="DA41" si="174">+AVERAGE(CW41:CZ41)</f>
        <v>12633.844223347365</v>
      </c>
      <c r="DB41" s="187">
        <f t="shared" ref="DB41" si="175">+AVERAGE(CX41:DA41)</f>
        <v>12638.091295656744</v>
      </c>
      <c r="DE41" s="189"/>
      <c r="DF41" s="188">
        <v>15000</v>
      </c>
    </row>
    <row r="42" spans="1:110" s="158" customFormat="1" x14ac:dyDescent="0.2">
      <c r="A42" s="155" t="s">
        <v>524</v>
      </c>
      <c r="B42" s="156"/>
      <c r="C42" s="156"/>
      <c r="D42" s="156"/>
      <c r="E42" s="156"/>
      <c r="F42" s="156"/>
      <c r="G42" s="156"/>
      <c r="H42" s="156"/>
      <c r="I42" s="156"/>
      <c r="J42" s="156"/>
      <c r="K42" s="156"/>
      <c r="L42" s="156"/>
      <c r="M42" s="156"/>
      <c r="N42" s="156"/>
      <c r="O42" s="156"/>
      <c r="P42" s="156"/>
      <c r="Q42" s="156"/>
      <c r="R42" s="156"/>
      <c r="S42" s="156"/>
      <c r="T42" s="156"/>
      <c r="U42" s="156"/>
      <c r="V42" s="156"/>
      <c r="W42" s="156"/>
      <c r="X42" s="156"/>
      <c r="Y42" s="156"/>
      <c r="Z42" s="156"/>
      <c r="AA42" s="187"/>
      <c r="AB42" s="187">
        <f t="shared" ref="AB42:AD42" si="176">+AB47/(AB36+AB37)*10</f>
        <v>25500</v>
      </c>
      <c r="AC42" s="187">
        <f t="shared" si="176"/>
        <v>36050.000000000007</v>
      </c>
      <c r="AD42" s="187">
        <f t="shared" si="176"/>
        <v>42400</v>
      </c>
      <c r="AE42" s="187">
        <f>+AE47/(AE36+AE37)*10</f>
        <v>41151.724137931022</v>
      </c>
      <c r="AI42" s="156"/>
      <c r="AJ42" s="156"/>
      <c r="AK42" s="156"/>
      <c r="AL42" s="156"/>
      <c r="AM42" s="156"/>
      <c r="AN42" s="156"/>
      <c r="AO42" s="156"/>
      <c r="AP42" s="156"/>
      <c r="AQ42" s="156"/>
      <c r="AR42" s="156"/>
      <c r="AS42" s="156"/>
      <c r="AT42" s="156"/>
      <c r="AU42" s="156"/>
      <c r="AV42" s="156"/>
      <c r="AW42" s="156"/>
      <c r="AX42" s="156"/>
      <c r="AY42" s="156"/>
      <c r="AZ42" s="156"/>
      <c r="BA42" s="156"/>
      <c r="BB42" s="156"/>
      <c r="BC42" s="156"/>
      <c r="BD42" s="156"/>
      <c r="BE42" s="156"/>
      <c r="BF42" s="156"/>
      <c r="BG42" s="156"/>
      <c r="BH42" s="156"/>
      <c r="BI42" s="156"/>
      <c r="BJ42" s="156"/>
      <c r="BK42" s="156"/>
      <c r="BL42" s="156"/>
      <c r="BM42" s="156"/>
      <c r="BN42" s="156"/>
      <c r="BO42" s="156"/>
      <c r="BP42" s="156"/>
      <c r="BQ42" s="156"/>
      <c r="BR42" s="156"/>
      <c r="BS42" s="156"/>
      <c r="BT42" s="156"/>
      <c r="BU42" s="156"/>
      <c r="BV42" s="156"/>
      <c r="BW42" s="156"/>
      <c r="BX42" s="156"/>
      <c r="BY42" s="156"/>
      <c r="BZ42" s="156"/>
      <c r="CA42" s="156"/>
      <c r="CB42" s="156"/>
      <c r="CC42" s="156"/>
      <c r="CD42" s="156"/>
      <c r="CE42" s="156"/>
      <c r="CF42" s="156"/>
      <c r="CG42" s="156"/>
      <c r="CH42" s="156"/>
      <c r="CI42" s="156"/>
      <c r="CJ42" s="156"/>
      <c r="CK42" s="156"/>
      <c r="CL42" s="156"/>
      <c r="CM42" s="157"/>
      <c r="CN42" s="187"/>
      <c r="CO42" s="187"/>
      <c r="CP42" s="187">
        <v>51000</v>
      </c>
      <c r="CQ42" s="187">
        <v>51500</v>
      </c>
      <c r="CR42" s="187">
        <f t="shared" ref="CR42:DB42" si="177">+CQ42</f>
        <v>51500</v>
      </c>
      <c r="CS42" s="187">
        <f t="shared" si="177"/>
        <v>51500</v>
      </c>
      <c r="CT42" s="187">
        <f t="shared" si="177"/>
        <v>51500</v>
      </c>
      <c r="CU42" s="187">
        <v>53000</v>
      </c>
      <c r="CV42" s="187">
        <f t="shared" si="177"/>
        <v>53000</v>
      </c>
      <c r="CW42" s="187">
        <f t="shared" si="177"/>
        <v>53000</v>
      </c>
      <c r="CX42" s="187">
        <f t="shared" si="177"/>
        <v>53000</v>
      </c>
      <c r="CY42" s="187">
        <v>54000</v>
      </c>
      <c r="CZ42" s="187">
        <f t="shared" si="177"/>
        <v>54000</v>
      </c>
      <c r="DA42" s="187">
        <f t="shared" si="177"/>
        <v>54000</v>
      </c>
      <c r="DB42" s="187">
        <f t="shared" si="177"/>
        <v>54000</v>
      </c>
      <c r="DE42" s="159"/>
    </row>
    <row r="43" spans="1:110" s="192" customFormat="1" x14ac:dyDescent="0.2">
      <c r="A43" s="190" t="s">
        <v>522</v>
      </c>
      <c r="B43" s="191"/>
      <c r="C43" s="191"/>
      <c r="D43" s="191"/>
      <c r="E43" s="191"/>
      <c r="F43" s="191"/>
      <c r="G43" s="191"/>
      <c r="H43" s="191"/>
      <c r="I43" s="191"/>
      <c r="J43" s="191"/>
      <c r="K43" s="191"/>
      <c r="L43" s="191"/>
      <c r="M43" s="191"/>
      <c r="N43" s="191"/>
      <c r="O43" s="191"/>
      <c r="P43" s="191"/>
      <c r="Q43" s="191"/>
      <c r="R43" s="191"/>
      <c r="S43" s="191"/>
      <c r="T43" s="191"/>
      <c r="U43" s="191"/>
      <c r="V43" s="191"/>
      <c r="W43" s="191"/>
      <c r="X43" s="191"/>
      <c r="Y43" s="191"/>
      <c r="Z43" s="191"/>
      <c r="AA43" s="251"/>
      <c r="AB43" s="251"/>
      <c r="AC43" s="251"/>
      <c r="AD43" s="251"/>
      <c r="AE43" s="251"/>
      <c r="AI43" s="206"/>
      <c r="AJ43" s="206"/>
      <c r="AK43" s="206"/>
      <c r="AL43" s="206"/>
      <c r="AM43" s="206"/>
      <c r="AN43" s="206"/>
      <c r="AO43" s="206"/>
      <c r="AP43" s="206"/>
      <c r="AQ43" s="206"/>
      <c r="AR43" s="206"/>
      <c r="AS43" s="206"/>
      <c r="AT43" s="206"/>
      <c r="AU43" s="206"/>
      <c r="AV43" s="206"/>
      <c r="AW43" s="206"/>
      <c r="AX43" s="206"/>
      <c r="AY43" s="206"/>
      <c r="AZ43" s="206"/>
      <c r="BA43" s="206"/>
      <c r="BB43" s="206"/>
      <c r="BC43" s="206"/>
      <c r="BD43" s="206"/>
      <c r="BE43" s="206"/>
      <c r="BF43" s="206"/>
      <c r="BG43" s="206"/>
      <c r="BH43" s="206"/>
      <c r="BI43" s="206"/>
      <c r="BJ43" s="206"/>
      <c r="BK43" s="206"/>
      <c r="BL43" s="206"/>
      <c r="BM43" s="206"/>
      <c r="BN43" s="206"/>
      <c r="BO43" s="206"/>
      <c r="BP43" s="206"/>
      <c r="BQ43" s="206"/>
      <c r="BR43" s="193"/>
      <c r="BS43" s="193"/>
      <c r="BT43" s="193"/>
      <c r="BU43" s="193"/>
      <c r="BV43" s="193"/>
      <c r="BW43" s="193"/>
      <c r="BX43" s="193"/>
      <c r="BY43" s="193"/>
      <c r="BZ43" s="193"/>
      <c r="CA43" s="193"/>
      <c r="CB43" s="193"/>
      <c r="CC43" s="193"/>
      <c r="CD43" s="193"/>
      <c r="CE43" s="193"/>
      <c r="CF43" s="193"/>
      <c r="CG43" s="193"/>
      <c r="CH43" s="193"/>
      <c r="CI43" s="193"/>
      <c r="CJ43" s="193"/>
      <c r="CK43" s="193"/>
      <c r="CL43" s="193"/>
      <c r="CM43" s="191"/>
      <c r="CN43" s="191"/>
      <c r="CO43" s="191"/>
      <c r="CP43" s="191"/>
      <c r="CQ43" s="191"/>
      <c r="CR43" s="191"/>
      <c r="CS43" s="191"/>
      <c r="CT43" s="191"/>
      <c r="CU43" s="191"/>
      <c r="CV43" s="191"/>
      <c r="CW43" s="191"/>
      <c r="CX43" s="191"/>
      <c r="CY43" s="191"/>
      <c r="CZ43" s="191"/>
      <c r="DA43" s="191"/>
      <c r="DB43" s="191"/>
      <c r="DE43" s="191"/>
    </row>
    <row r="44" spans="1:110" s="158" customFormat="1" x14ac:dyDescent="0.2">
      <c r="A44" s="155" t="s">
        <v>568</v>
      </c>
      <c r="B44" s="156"/>
      <c r="C44" s="156"/>
      <c r="D44" s="156"/>
      <c r="E44" s="156"/>
      <c r="F44" s="156"/>
      <c r="G44" s="156"/>
      <c r="H44" s="156"/>
      <c r="I44" s="156"/>
      <c r="J44" s="156"/>
      <c r="K44" s="156"/>
      <c r="L44" s="156"/>
      <c r="M44" s="156"/>
      <c r="N44" s="156"/>
      <c r="O44" s="156"/>
      <c r="P44" s="156"/>
      <c r="Q44" s="156"/>
      <c r="R44" s="156"/>
      <c r="S44" s="156"/>
      <c r="T44" s="156"/>
      <c r="U44" s="156"/>
      <c r="V44" s="156"/>
      <c r="W44" s="156">
        <f t="shared" ref="W44" si="178">SUM(BS44:BV44)</f>
        <v>187.14</v>
      </c>
      <c r="X44" s="156">
        <f t="shared" ref="X44" si="179">SUM(BW44:BZ44)</f>
        <v>2651.0800000000004</v>
      </c>
      <c r="Y44" s="156">
        <f t="shared" ref="Y44" si="180">SUM(CA44:CD44)</f>
        <v>5322.78</v>
      </c>
      <c r="Z44" s="156">
        <f t="shared" ref="Z44" si="181">SUM(CE44:CH44)</f>
        <v>5621.78</v>
      </c>
      <c r="AA44" s="74">
        <f t="shared" ref="AA44" si="182">SUM(CI44:CL44)</f>
        <v>9465.4599999999991</v>
      </c>
      <c r="AB44" s="74">
        <f t="shared" ref="AB44" si="183">+SUM(CM44:CP44)</f>
        <v>9974.8799479790687</v>
      </c>
      <c r="AC44" s="74">
        <f t="shared" ref="AC44" si="184">+SUM(CQ44:CT44)</f>
        <v>7019.9700253685096</v>
      </c>
      <c r="AD44" s="74">
        <f t="shared" ref="AD44" si="185">+SUM(CU44:CX44)</f>
        <v>6845.2073066031717</v>
      </c>
      <c r="AE44" s="74">
        <f t="shared" ref="AE44" si="186">+SUM(CY44:DB44)</f>
        <v>6835.8420202057423</v>
      </c>
      <c r="AI44" s="207"/>
      <c r="AJ44" s="207"/>
      <c r="AK44" s="207"/>
      <c r="AL44" s="207"/>
      <c r="AM44" s="207"/>
      <c r="AN44" s="207"/>
      <c r="AO44" s="207"/>
      <c r="AP44" s="207"/>
      <c r="AQ44" s="207"/>
      <c r="AR44" s="207"/>
      <c r="AS44" s="207"/>
      <c r="AT44" s="207"/>
      <c r="AU44" s="207"/>
      <c r="AV44" s="207"/>
      <c r="AW44" s="207"/>
      <c r="AX44" s="207"/>
      <c r="AY44" s="207"/>
      <c r="AZ44" s="207"/>
      <c r="BA44" s="207"/>
      <c r="BB44" s="207"/>
      <c r="BC44" s="207"/>
      <c r="BD44" s="207"/>
      <c r="BE44" s="207"/>
      <c r="BF44" s="207"/>
      <c r="BG44" s="207"/>
      <c r="BH44" s="207"/>
      <c r="BI44" s="207"/>
      <c r="BJ44" s="207"/>
      <c r="BK44" s="207"/>
      <c r="BL44" s="207"/>
      <c r="BM44" s="207"/>
      <c r="BN44" s="207"/>
      <c r="BO44" s="207"/>
      <c r="BP44" s="207"/>
      <c r="BQ44" s="207"/>
      <c r="BR44" s="207"/>
      <c r="BS44" s="207"/>
      <c r="BT44" s="207"/>
      <c r="BU44" s="207"/>
      <c r="BV44" s="207">
        <v>187.14</v>
      </c>
      <c r="BW44" s="207">
        <v>652.59</v>
      </c>
      <c r="BX44" s="207">
        <v>503.48</v>
      </c>
      <c r="BY44" s="207">
        <v>794.9</v>
      </c>
      <c r="BZ44" s="207">
        <v>700.11</v>
      </c>
      <c r="CA44" s="207">
        <v>1718.55</v>
      </c>
      <c r="CB44" s="207">
        <v>940.44</v>
      </c>
      <c r="CC44" s="207">
        <v>1365.79</v>
      </c>
      <c r="CD44" s="207">
        <v>1298</v>
      </c>
      <c r="CE44" s="208">
        <v>1985</v>
      </c>
      <c r="CF44" s="208">
        <v>1120.51</v>
      </c>
      <c r="CG44" s="208">
        <v>1474.61</v>
      </c>
      <c r="CH44" s="208">
        <v>1041.6600000000001</v>
      </c>
      <c r="CI44" s="208">
        <v>2160.36</v>
      </c>
      <c r="CJ44" s="156">
        <v>1375.8</v>
      </c>
      <c r="CK44" s="156">
        <v>2325.8000000000002</v>
      </c>
      <c r="CL44" s="156">
        <v>3603.5</v>
      </c>
      <c r="CM44" s="157">
        <f t="shared" ref="CM44:DB44" si="187">+CM40*CM33/10</f>
        <v>2793.9754376660098</v>
      </c>
      <c r="CN44" s="157">
        <f t="shared" si="187"/>
        <v>2758.6060507057009</v>
      </c>
      <c r="CO44" s="157">
        <f t="shared" si="187"/>
        <v>2207.5004535924313</v>
      </c>
      <c r="CP44" s="157">
        <f t="shared" si="187"/>
        <v>2214.7980060149284</v>
      </c>
      <c r="CQ44" s="157">
        <f t="shared" si="187"/>
        <v>2233.0627132058621</v>
      </c>
      <c r="CR44" s="157">
        <f t="shared" si="187"/>
        <v>1621.037149783331</v>
      </c>
      <c r="CS44" s="157">
        <f t="shared" si="187"/>
        <v>1598.5833694481453</v>
      </c>
      <c r="CT44" s="157">
        <f t="shared" si="187"/>
        <v>1567.286792931171</v>
      </c>
      <c r="CU44" s="157">
        <f t="shared" si="187"/>
        <v>1721.8705014935435</v>
      </c>
      <c r="CV44" s="157">
        <f t="shared" si="187"/>
        <v>1712.277357467437</v>
      </c>
      <c r="CW44" s="157">
        <f t="shared" si="187"/>
        <v>1706.2749550650722</v>
      </c>
      <c r="CX44" s="157">
        <f t="shared" si="187"/>
        <v>1704.7844925771192</v>
      </c>
      <c r="CY44" s="157">
        <f t="shared" si="187"/>
        <v>1711.3018266507929</v>
      </c>
      <c r="CZ44" s="157">
        <f t="shared" si="187"/>
        <v>1708.6596579401053</v>
      </c>
      <c r="DA44" s="157">
        <f t="shared" si="187"/>
        <v>1707.7552330582723</v>
      </c>
      <c r="DB44" s="157">
        <f t="shared" si="187"/>
        <v>1708.1253025565725</v>
      </c>
      <c r="DE44" s="159"/>
      <c r="DF44" s="158">
        <v>2706</v>
      </c>
    </row>
    <row r="45" spans="1:110" s="158" customFormat="1" x14ac:dyDescent="0.2">
      <c r="A45" s="155" t="s">
        <v>569</v>
      </c>
      <c r="B45" s="156"/>
      <c r="C45" s="156"/>
      <c r="D45" s="156"/>
      <c r="E45" s="156"/>
      <c r="F45" s="156"/>
      <c r="G45" s="156"/>
      <c r="H45" s="156"/>
      <c r="I45" s="156"/>
      <c r="J45" s="156"/>
      <c r="K45" s="156"/>
      <c r="L45" s="156"/>
      <c r="M45" s="156"/>
      <c r="N45" s="156"/>
      <c r="O45" s="156"/>
      <c r="P45" s="156"/>
      <c r="Q45" s="156"/>
      <c r="R45" s="156"/>
      <c r="S45" s="156"/>
      <c r="T45" s="156"/>
      <c r="U45" s="156"/>
      <c r="V45" s="156"/>
      <c r="W45" s="156">
        <f t="shared" ref="W45:W50" si="188">SUM(BS45:BV45)</f>
        <v>496.25000000000006</v>
      </c>
      <c r="X45" s="156">
        <f t="shared" ref="X45:X50" si="189">SUM(BW45:BZ45)</f>
        <v>749</v>
      </c>
      <c r="Y45" s="156">
        <f t="shared" ref="Y45:Y50" si="190">SUM(CA45:CD45)</f>
        <v>827.48</v>
      </c>
      <c r="Z45" s="156">
        <f t="shared" ref="Z45:Z50" si="191">SUM(CE45:CH45)</f>
        <v>993.47</v>
      </c>
      <c r="AA45" s="74">
        <f t="shared" ref="AA45:AA50" si="192">SUM(CI45:CL45)</f>
        <v>4441.9799999999996</v>
      </c>
      <c r="AB45" s="74">
        <f t="shared" ref="AB45:AB50" si="193">+SUM(CM45:CP45)</f>
        <v>9276.6766333723699</v>
      </c>
      <c r="AC45" s="74">
        <f t="shared" ref="AC45:AC50" si="194">+SUM(CQ45:CT45)</f>
        <v>10938.104056620883</v>
      </c>
      <c r="AD45" s="74">
        <f t="shared" ref="AD45:AD50" si="195">+SUM(CU45:CX45)</f>
        <v>12096.989621775354</v>
      </c>
      <c r="AE45" s="74">
        <f t="shared" ref="AE45:AE50" si="196">+SUM(CY45:DB45)</f>
        <v>8655.9783090952769</v>
      </c>
      <c r="AI45" s="207">
        <v>233.63</v>
      </c>
      <c r="AJ45" s="207">
        <v>123.08</v>
      </c>
      <c r="AK45" s="207">
        <v>124.24</v>
      </c>
      <c r="AL45" s="207">
        <v>221.94</v>
      </c>
      <c r="AM45" s="207">
        <v>131</v>
      </c>
      <c r="AN45" s="207">
        <v>106.09</v>
      </c>
      <c r="AO45" s="207">
        <v>126.22</v>
      </c>
      <c r="AP45" s="207">
        <v>182.24</v>
      </c>
      <c r="AQ45" s="207">
        <v>168.3</v>
      </c>
      <c r="AR45" s="207">
        <v>217.68</v>
      </c>
      <c r="AS45" s="207">
        <v>116.84</v>
      </c>
      <c r="AT45" s="207">
        <v>119.18</v>
      </c>
      <c r="AU45" s="207">
        <v>120.1</v>
      </c>
      <c r="AV45" s="207">
        <v>71.16</v>
      </c>
      <c r="AW45" s="207">
        <v>69.98</v>
      </c>
      <c r="AX45" s="207">
        <v>71.97</v>
      </c>
      <c r="AY45" s="207">
        <v>78.5</v>
      </c>
      <c r="AZ45" s="207">
        <v>75.709999999999994</v>
      </c>
      <c r="BA45" s="207">
        <v>105.61</v>
      </c>
      <c r="BB45" s="207">
        <v>120.34</v>
      </c>
      <c r="BC45" s="207">
        <v>85.09</v>
      </c>
      <c r="BD45" s="207">
        <v>68.540000000000006</v>
      </c>
      <c r="BE45" s="207">
        <v>106.93</v>
      </c>
      <c r="BF45" s="207">
        <v>102.1</v>
      </c>
      <c r="BG45" s="207">
        <v>125.97</v>
      </c>
      <c r="BH45" s="207">
        <v>93</v>
      </c>
      <c r="BI45" s="207">
        <v>97.14</v>
      </c>
      <c r="BJ45" s="207">
        <v>130.80000000000001</v>
      </c>
      <c r="BK45" s="207">
        <v>114.18</v>
      </c>
      <c r="BL45" s="207">
        <v>46.57</v>
      </c>
      <c r="BM45" s="207">
        <v>78.66</v>
      </c>
      <c r="BN45" s="207">
        <v>93.45</v>
      </c>
      <c r="BO45" s="207">
        <v>10.92</v>
      </c>
      <c r="BP45" s="207">
        <v>71</v>
      </c>
      <c r="BQ45" s="207">
        <v>69.27</v>
      </c>
      <c r="BR45" s="207">
        <v>90.68</v>
      </c>
      <c r="BS45" s="207">
        <v>88.04</v>
      </c>
      <c r="BT45" s="207">
        <v>97.07</v>
      </c>
      <c r="BU45" s="207">
        <v>164.59</v>
      </c>
      <c r="BV45" s="207">
        <v>146.55000000000001</v>
      </c>
      <c r="BW45" s="207">
        <v>185.64</v>
      </c>
      <c r="BX45" s="207">
        <v>173.59</v>
      </c>
      <c r="BY45" s="207">
        <v>219.54</v>
      </c>
      <c r="BZ45" s="207">
        <v>170.23</v>
      </c>
      <c r="CA45" s="207">
        <v>219.39</v>
      </c>
      <c r="CB45" s="207">
        <v>152.85</v>
      </c>
      <c r="CC45" s="207">
        <v>255.03</v>
      </c>
      <c r="CD45" s="207">
        <v>200.21</v>
      </c>
      <c r="CE45" s="208">
        <v>240.6</v>
      </c>
      <c r="CF45" s="208">
        <v>353.61</v>
      </c>
      <c r="CG45" s="208">
        <v>181.75</v>
      </c>
      <c r="CH45" s="208">
        <v>217.51</v>
      </c>
      <c r="CI45" s="208">
        <v>319.29000000000002</v>
      </c>
      <c r="CJ45" s="156">
        <v>1199.6199999999999</v>
      </c>
      <c r="CK45" s="156">
        <v>1549.17</v>
      </c>
      <c r="CL45" s="156">
        <v>1373.9</v>
      </c>
      <c r="CM45" s="157">
        <f t="shared" ref="CM45:DB45" si="197">+CM41*SUM(CM34:CM35)/10</f>
        <v>2430.367791431855</v>
      </c>
      <c r="CN45" s="157">
        <f t="shared" si="197"/>
        <v>2430.367791431855</v>
      </c>
      <c r="CO45" s="157">
        <f t="shared" si="197"/>
        <v>2368.4978180733319</v>
      </c>
      <c r="CP45" s="157">
        <f t="shared" si="197"/>
        <v>2047.4432324353279</v>
      </c>
      <c r="CQ45" s="157">
        <f t="shared" si="197"/>
        <v>1931.8238781177515</v>
      </c>
      <c r="CR45" s="157">
        <f t="shared" si="197"/>
        <v>3061.5287975952228</v>
      </c>
      <c r="CS45" s="157">
        <f t="shared" si="197"/>
        <v>3000.2542863888766</v>
      </c>
      <c r="CT45" s="157">
        <f t="shared" si="197"/>
        <v>2944.4970945190321</v>
      </c>
      <c r="CU45" s="157">
        <f t="shared" si="197"/>
        <v>3046.5546391871799</v>
      </c>
      <c r="CV45" s="157">
        <f t="shared" si="197"/>
        <v>3026.0103366675439</v>
      </c>
      <c r="CW45" s="157">
        <f t="shared" si="197"/>
        <v>3012.7790285060914</v>
      </c>
      <c r="CX45" s="157">
        <f t="shared" si="197"/>
        <v>3011.6456174145383</v>
      </c>
      <c r="CY45" s="157">
        <f t="shared" si="197"/>
        <v>2167.4680722294001</v>
      </c>
      <c r="CZ45" s="157">
        <f t="shared" si="197"/>
        <v>2163.4711921435132</v>
      </c>
      <c r="DA45" s="157">
        <f t="shared" si="197"/>
        <v>2162.1561003836678</v>
      </c>
      <c r="DB45" s="157">
        <f t="shared" si="197"/>
        <v>2162.8829443386949</v>
      </c>
      <c r="DE45" s="159"/>
      <c r="DF45" s="158">
        <v>1206</v>
      </c>
    </row>
    <row r="46" spans="1:110" s="158" customFormat="1" x14ac:dyDescent="0.2">
      <c r="A46" s="155" t="s">
        <v>573</v>
      </c>
      <c r="B46" s="156"/>
      <c r="C46" s="156"/>
      <c r="D46" s="156"/>
      <c r="E46" s="156"/>
      <c r="F46" s="156"/>
      <c r="G46" s="156"/>
      <c r="H46" s="156"/>
      <c r="I46" s="156"/>
      <c r="J46" s="156"/>
      <c r="K46" s="156"/>
      <c r="L46" s="156"/>
      <c r="M46" s="156"/>
      <c r="N46" s="156"/>
      <c r="O46" s="156"/>
      <c r="P46" s="156"/>
      <c r="Q46" s="156"/>
      <c r="R46" s="156"/>
      <c r="S46" s="156"/>
      <c r="T46" s="156"/>
      <c r="U46" s="156"/>
      <c r="V46" s="156"/>
      <c r="W46" s="156">
        <f>SUM(BS46:BV46)</f>
        <v>0</v>
      </c>
      <c r="X46" s="156">
        <f>SUM(BW46:BZ46)</f>
        <v>0</v>
      </c>
      <c r="Y46" s="156">
        <f>SUM(CA46:CD46)</f>
        <v>0</v>
      </c>
      <c r="Z46" s="156">
        <f>SUM(CE46:CH46)</f>
        <v>0</v>
      </c>
      <c r="AA46" s="74">
        <f>SUM(CI46:CL46)</f>
        <v>6319.1</v>
      </c>
      <c r="AB46" s="74">
        <f>+SUM(CM46:CP46)</f>
        <v>11446.739999999998</v>
      </c>
      <c r="AC46" s="74">
        <f>+SUM(CQ46:CT46)</f>
        <v>12591.414000000001</v>
      </c>
      <c r="AD46" s="74">
        <f>+SUM(CU46:CX46)</f>
        <v>15109.696800000002</v>
      </c>
      <c r="AE46" s="74">
        <f>+SUM(CY46:DB46)</f>
        <v>15865.181639999999</v>
      </c>
      <c r="AI46" s="207"/>
      <c r="AJ46" s="207"/>
      <c r="AK46" s="207"/>
      <c r="AL46" s="207"/>
      <c r="AM46" s="207"/>
      <c r="AN46" s="207"/>
      <c r="AO46" s="207"/>
      <c r="AP46" s="207"/>
      <c r="AQ46" s="207"/>
      <c r="AR46" s="207"/>
      <c r="AS46" s="207"/>
      <c r="AT46" s="207"/>
      <c r="AU46" s="207"/>
      <c r="AV46" s="207"/>
      <c r="AW46" s="207"/>
      <c r="AX46" s="207"/>
      <c r="AY46" s="207"/>
      <c r="AZ46" s="207"/>
      <c r="BA46" s="207"/>
      <c r="BB46" s="207"/>
      <c r="BC46" s="207"/>
      <c r="BD46" s="207"/>
      <c r="BE46" s="207"/>
      <c r="BF46" s="207"/>
      <c r="BG46" s="207"/>
      <c r="BH46" s="207"/>
      <c r="BI46" s="207"/>
      <c r="BJ46" s="207"/>
      <c r="BK46" s="207"/>
      <c r="BL46" s="207"/>
      <c r="BM46" s="207"/>
      <c r="BN46" s="207"/>
      <c r="BO46" s="207"/>
      <c r="BP46" s="207"/>
      <c r="BQ46" s="207"/>
      <c r="BR46" s="207"/>
      <c r="BS46" s="207"/>
      <c r="BT46" s="207"/>
      <c r="BU46" s="207"/>
      <c r="BV46" s="207"/>
      <c r="BW46" s="207"/>
      <c r="BX46" s="207"/>
      <c r="BY46" s="207"/>
      <c r="BZ46" s="207"/>
      <c r="CA46" s="207"/>
      <c r="CB46" s="207"/>
      <c r="CC46" s="207"/>
      <c r="CD46" s="207"/>
      <c r="CE46" s="208"/>
      <c r="CF46" s="208"/>
      <c r="CG46" s="208"/>
      <c r="CH46" s="208"/>
      <c r="CI46" s="208"/>
      <c r="CJ46" s="156">
        <v>1607</v>
      </c>
      <c r="CK46" s="156">
        <v>2197.1</v>
      </c>
      <c r="CL46" s="156">
        <v>2515</v>
      </c>
      <c r="CM46" s="157">
        <v>2600</v>
      </c>
      <c r="CN46" s="157">
        <f>+CJ46*140%</f>
        <v>2249.7999999999997</v>
      </c>
      <c r="CO46" s="157">
        <f t="shared" ref="CO46:CP46" si="198">+CK46*140%</f>
        <v>3075.9399999999996</v>
      </c>
      <c r="CP46" s="157">
        <f t="shared" si="198"/>
        <v>3521</v>
      </c>
      <c r="CQ46" s="157">
        <f>+CM46*110%</f>
        <v>2860.0000000000005</v>
      </c>
      <c r="CR46" s="157">
        <f t="shared" ref="CR46:CT46" si="199">+CN46*110%</f>
        <v>2474.7799999999997</v>
      </c>
      <c r="CS46" s="157">
        <f t="shared" si="199"/>
        <v>3383.5339999999997</v>
      </c>
      <c r="CT46" s="157">
        <f t="shared" si="199"/>
        <v>3873.1000000000004</v>
      </c>
      <c r="CU46" s="157">
        <f>+CQ46*120%</f>
        <v>3432.0000000000005</v>
      </c>
      <c r="CV46" s="157">
        <f t="shared" ref="CV46:CX46" si="200">+CR46*120%</f>
        <v>2969.7359999999994</v>
      </c>
      <c r="CW46" s="157">
        <f t="shared" si="200"/>
        <v>4060.2407999999996</v>
      </c>
      <c r="CX46" s="157">
        <f t="shared" si="200"/>
        <v>4647.72</v>
      </c>
      <c r="CY46" s="157">
        <f>+CU46*105%</f>
        <v>3603.6000000000008</v>
      </c>
      <c r="CZ46" s="157">
        <f t="shared" ref="CZ46:DB46" si="201">+CV46*105%</f>
        <v>3118.2227999999996</v>
      </c>
      <c r="DA46" s="157">
        <f t="shared" si="201"/>
        <v>4263.2528400000001</v>
      </c>
      <c r="DB46" s="157">
        <f t="shared" si="201"/>
        <v>4880.1060000000007</v>
      </c>
      <c r="DE46" s="159"/>
      <c r="DF46" s="158">
        <v>1607.3715</v>
      </c>
    </row>
    <row r="47" spans="1:110" s="158" customFormat="1" x14ac:dyDescent="0.2">
      <c r="A47" s="155" t="s">
        <v>570</v>
      </c>
      <c r="B47" s="156"/>
      <c r="C47" s="156"/>
      <c r="D47" s="156"/>
      <c r="E47" s="156"/>
      <c r="F47" s="156"/>
      <c r="G47" s="156"/>
      <c r="H47" s="156"/>
      <c r="I47" s="156"/>
      <c r="J47" s="156"/>
      <c r="K47" s="156"/>
      <c r="L47" s="156"/>
      <c r="M47" s="156"/>
      <c r="N47" s="156"/>
      <c r="O47" s="156"/>
      <c r="P47" s="156"/>
      <c r="Q47" s="156"/>
      <c r="R47" s="156"/>
      <c r="S47" s="156"/>
      <c r="T47" s="156"/>
      <c r="U47" s="156"/>
      <c r="V47" s="156"/>
      <c r="W47" s="156"/>
      <c r="X47" s="156"/>
      <c r="Y47" s="156"/>
      <c r="Z47" s="156"/>
      <c r="AA47" s="74">
        <f t="shared" ref="AA47:AA49" si="202">SUM(CI47:CL47)</f>
        <v>0</v>
      </c>
      <c r="AB47" s="74">
        <f t="shared" ref="AB47:AB49" si="203">+SUM(CM47:CP47)</f>
        <v>535.5</v>
      </c>
      <c r="AC47" s="74">
        <f t="shared" ref="AC47:AC49" si="204">+SUM(CQ47:CT47)</f>
        <v>3460.8</v>
      </c>
      <c r="AD47" s="74">
        <f t="shared" ref="AD47:AD49" si="205">+SUM(CU47:CX47)</f>
        <v>4324.8</v>
      </c>
      <c r="AE47" s="74">
        <f t="shared" ref="AE47:AE49" si="206">+SUM(CY47:DB47)</f>
        <v>14320.8</v>
      </c>
      <c r="AI47" s="207"/>
      <c r="AJ47" s="207"/>
      <c r="AK47" s="207"/>
      <c r="AL47" s="207"/>
      <c r="AM47" s="207"/>
      <c r="AN47" s="207"/>
      <c r="AO47" s="207"/>
      <c r="AP47" s="207"/>
      <c r="AQ47" s="207"/>
      <c r="AR47" s="207"/>
      <c r="AS47" s="207"/>
      <c r="AT47" s="207"/>
      <c r="AU47" s="207"/>
      <c r="AV47" s="207"/>
      <c r="AW47" s="207"/>
      <c r="AX47" s="207"/>
      <c r="AY47" s="207"/>
      <c r="AZ47" s="207"/>
      <c r="BA47" s="207"/>
      <c r="BB47" s="207"/>
      <c r="BC47" s="207"/>
      <c r="BD47" s="207"/>
      <c r="BE47" s="207"/>
      <c r="BF47" s="207"/>
      <c r="BG47" s="207"/>
      <c r="BH47" s="207"/>
      <c r="BI47" s="207"/>
      <c r="BJ47" s="207"/>
      <c r="BK47" s="207"/>
      <c r="BL47" s="207"/>
      <c r="BM47" s="207"/>
      <c r="BN47" s="207"/>
      <c r="BO47" s="207"/>
      <c r="BP47" s="207"/>
      <c r="BQ47" s="207"/>
      <c r="BR47" s="207"/>
      <c r="BS47" s="207"/>
      <c r="BT47" s="207"/>
      <c r="BU47" s="207"/>
      <c r="BV47" s="207"/>
      <c r="BW47" s="207"/>
      <c r="BX47" s="207"/>
      <c r="BY47" s="207"/>
      <c r="BZ47" s="207"/>
      <c r="CA47" s="207"/>
      <c r="CB47" s="207"/>
      <c r="CC47" s="207"/>
      <c r="CD47" s="207"/>
      <c r="CE47" s="208"/>
      <c r="CF47" s="208"/>
      <c r="CG47" s="208"/>
      <c r="CH47" s="208"/>
      <c r="CI47" s="208"/>
      <c r="CJ47" s="156"/>
      <c r="CK47" s="156"/>
      <c r="CL47" s="156"/>
      <c r="CM47" s="157"/>
      <c r="CN47" s="157"/>
      <c r="CO47" s="157"/>
      <c r="CP47" s="157">
        <f t="shared" ref="CP47:DB47" si="207">+(CP36+CP37)*CP42/10</f>
        <v>535.5</v>
      </c>
      <c r="CQ47" s="157">
        <f t="shared" si="207"/>
        <v>865.2</v>
      </c>
      <c r="CR47" s="157">
        <f t="shared" si="207"/>
        <v>865.2</v>
      </c>
      <c r="CS47" s="157">
        <f t="shared" si="207"/>
        <v>865.2</v>
      </c>
      <c r="CT47" s="157">
        <f t="shared" si="207"/>
        <v>865.2</v>
      </c>
      <c r="CU47" s="157">
        <f t="shared" si="207"/>
        <v>1081.2</v>
      </c>
      <c r="CV47" s="157">
        <f t="shared" si="207"/>
        <v>1081.2</v>
      </c>
      <c r="CW47" s="157">
        <f t="shared" si="207"/>
        <v>1081.2</v>
      </c>
      <c r="CX47" s="157">
        <f t="shared" si="207"/>
        <v>1081.2</v>
      </c>
      <c r="CY47" s="157">
        <f t="shared" si="207"/>
        <v>3580.2</v>
      </c>
      <c r="CZ47" s="157">
        <f t="shared" si="207"/>
        <v>3580.2</v>
      </c>
      <c r="DA47" s="157">
        <f t="shared" si="207"/>
        <v>3580.2</v>
      </c>
      <c r="DB47" s="157">
        <f t="shared" si="207"/>
        <v>3580.2</v>
      </c>
      <c r="DE47" s="159"/>
    </row>
    <row r="48" spans="1:110" s="158" customFormat="1" x14ac:dyDescent="0.2">
      <c r="A48" s="155" t="s">
        <v>525</v>
      </c>
      <c r="B48" s="156"/>
      <c r="C48" s="156"/>
      <c r="D48" s="156"/>
      <c r="E48" s="156"/>
      <c r="F48" s="156"/>
      <c r="G48" s="156"/>
      <c r="H48" s="156"/>
      <c r="I48" s="156"/>
      <c r="J48" s="156"/>
      <c r="K48" s="156"/>
      <c r="L48" s="156"/>
      <c r="M48" s="156"/>
      <c r="N48" s="156"/>
      <c r="O48" s="156"/>
      <c r="P48" s="156"/>
      <c r="Q48" s="156"/>
      <c r="R48" s="156"/>
      <c r="S48" s="156"/>
      <c r="T48" s="156"/>
      <c r="U48" s="156"/>
      <c r="V48" s="156"/>
      <c r="W48" s="156">
        <f t="shared" si="188"/>
        <v>49.72</v>
      </c>
      <c r="X48" s="156">
        <f t="shared" si="189"/>
        <v>75.009999999999991</v>
      </c>
      <c r="Y48" s="156">
        <f t="shared" si="190"/>
        <v>127.32000000000001</v>
      </c>
      <c r="Z48" s="156">
        <f t="shared" si="191"/>
        <v>83.92</v>
      </c>
      <c r="AA48" s="74">
        <f t="shared" si="202"/>
        <v>0</v>
      </c>
      <c r="AB48" s="74">
        <f t="shared" si="203"/>
        <v>0</v>
      </c>
      <c r="AC48" s="74">
        <f t="shared" si="204"/>
        <v>0</v>
      </c>
      <c r="AD48" s="74">
        <f t="shared" si="205"/>
        <v>0</v>
      </c>
      <c r="AE48" s="74">
        <f t="shared" si="206"/>
        <v>0</v>
      </c>
      <c r="AI48" s="207">
        <v>19.89</v>
      </c>
      <c r="AJ48" s="207">
        <v>13.43</v>
      </c>
      <c r="AK48" s="207">
        <v>18.57</v>
      </c>
      <c r="AL48" s="207">
        <v>20.69</v>
      </c>
      <c r="AM48" s="207">
        <v>14.37</v>
      </c>
      <c r="AN48" s="207">
        <v>7.92</v>
      </c>
      <c r="AO48" s="207">
        <v>8.83</v>
      </c>
      <c r="AP48" s="207">
        <v>7.76</v>
      </c>
      <c r="AQ48" s="207">
        <v>12.7</v>
      </c>
      <c r="AR48" s="207">
        <v>8.73</v>
      </c>
      <c r="AS48" s="207">
        <v>6.91</v>
      </c>
      <c r="AT48" s="207">
        <v>11</v>
      </c>
      <c r="AU48" s="207">
        <v>17.600000000000001</v>
      </c>
      <c r="AV48" s="207">
        <v>9.67</v>
      </c>
      <c r="AW48" s="207">
        <v>12.79</v>
      </c>
      <c r="AX48" s="207">
        <v>17.7</v>
      </c>
      <c r="AY48" s="207">
        <v>18.72</v>
      </c>
      <c r="AZ48" s="207">
        <v>15.34</v>
      </c>
      <c r="BA48" s="207">
        <v>15.49</v>
      </c>
      <c r="BB48" s="207">
        <v>13.91</v>
      </c>
      <c r="BC48" s="207">
        <v>14.77</v>
      </c>
      <c r="BD48" s="207">
        <v>15.93</v>
      </c>
      <c r="BE48" s="207">
        <v>16.36</v>
      </c>
      <c r="BF48" s="207">
        <v>16.77</v>
      </c>
      <c r="BG48" s="207">
        <v>19.399999999999999</v>
      </c>
      <c r="BH48" s="207">
        <v>12.11</v>
      </c>
      <c r="BI48" s="207">
        <v>13.66</v>
      </c>
      <c r="BJ48" s="207">
        <v>21.13</v>
      </c>
      <c r="BK48" s="207">
        <v>21.83</v>
      </c>
      <c r="BL48" s="207">
        <v>15.36</v>
      </c>
      <c r="BM48" s="207">
        <v>13.56</v>
      </c>
      <c r="BN48" s="207">
        <v>20.43</v>
      </c>
      <c r="BO48" s="207">
        <v>1.44</v>
      </c>
      <c r="BP48" s="207">
        <v>10.08</v>
      </c>
      <c r="BQ48" s="207">
        <v>12.27</v>
      </c>
      <c r="BR48" s="207">
        <v>12.63</v>
      </c>
      <c r="BS48" s="207">
        <v>17.04</v>
      </c>
      <c r="BT48" s="207">
        <v>12.95</v>
      </c>
      <c r="BU48" s="207">
        <v>8.3000000000000007</v>
      </c>
      <c r="BV48" s="207">
        <v>11.43</v>
      </c>
      <c r="BW48" s="207">
        <v>19.059999999999999</v>
      </c>
      <c r="BX48" s="207">
        <v>11.36</v>
      </c>
      <c r="BY48" s="207">
        <v>17.32</v>
      </c>
      <c r="BZ48" s="207">
        <v>27.27</v>
      </c>
      <c r="CA48" s="207">
        <v>41.95</v>
      </c>
      <c r="CB48" s="207">
        <v>19.34</v>
      </c>
      <c r="CC48" s="207">
        <v>38.92</v>
      </c>
      <c r="CD48" s="207">
        <v>27.11</v>
      </c>
      <c r="CE48" s="208">
        <v>36.58</v>
      </c>
      <c r="CF48" s="208">
        <v>22.5</v>
      </c>
      <c r="CG48" s="208">
        <v>24.84</v>
      </c>
      <c r="CH48" s="208"/>
      <c r="CI48" s="208"/>
      <c r="CJ48" s="156"/>
      <c r="CK48" s="156"/>
      <c r="CL48" s="156"/>
      <c r="CM48" s="157"/>
      <c r="CN48" s="157"/>
      <c r="CO48" s="157"/>
      <c r="CP48" s="157"/>
      <c r="CQ48" s="157"/>
      <c r="CR48" s="157"/>
      <c r="CS48" s="157"/>
      <c r="CT48" s="157"/>
      <c r="CU48" s="157"/>
      <c r="CV48" s="157"/>
      <c r="CW48" s="157"/>
      <c r="CX48" s="157"/>
      <c r="CY48" s="157"/>
      <c r="CZ48" s="157"/>
      <c r="DA48" s="157"/>
      <c r="DB48" s="157"/>
      <c r="DE48" s="159"/>
    </row>
    <row r="49" spans="1:110" s="158" customFormat="1" x14ac:dyDescent="0.2">
      <c r="A49" s="155" t="s">
        <v>523</v>
      </c>
      <c r="B49" s="156"/>
      <c r="C49" s="156"/>
      <c r="D49" s="156"/>
      <c r="E49" s="156"/>
      <c r="F49" s="156"/>
      <c r="G49" s="156"/>
      <c r="H49" s="156"/>
      <c r="I49" s="156"/>
      <c r="J49" s="156"/>
      <c r="K49" s="156"/>
      <c r="L49" s="156"/>
      <c r="M49" s="156"/>
      <c r="N49" s="156"/>
      <c r="O49" s="156"/>
      <c r="P49" s="156"/>
      <c r="Q49" s="156"/>
      <c r="R49" s="156"/>
      <c r="S49" s="156"/>
      <c r="T49" s="156"/>
      <c r="U49" s="156"/>
      <c r="V49" s="156"/>
      <c r="W49" s="156">
        <f t="shared" si="188"/>
        <v>0</v>
      </c>
      <c r="X49" s="156">
        <f t="shared" si="189"/>
        <v>0</v>
      </c>
      <c r="Y49" s="156">
        <f t="shared" si="190"/>
        <v>346.08000000000004</v>
      </c>
      <c r="Z49" s="156">
        <f t="shared" si="191"/>
        <v>267.82</v>
      </c>
      <c r="AA49" s="74">
        <f t="shared" si="202"/>
        <v>0</v>
      </c>
      <c r="AB49" s="74">
        <f t="shared" si="203"/>
        <v>0</v>
      </c>
      <c r="AC49" s="74">
        <f t="shared" si="204"/>
        <v>0</v>
      </c>
      <c r="AD49" s="74">
        <f t="shared" si="205"/>
        <v>0</v>
      </c>
      <c r="AE49" s="74">
        <f t="shared" si="206"/>
        <v>0</v>
      </c>
      <c r="AI49" s="207"/>
      <c r="AJ49" s="207"/>
      <c r="AK49" s="207"/>
      <c r="AL49" s="207"/>
      <c r="AM49" s="207"/>
      <c r="AN49" s="207"/>
      <c r="AO49" s="207"/>
      <c r="AP49" s="207"/>
      <c r="AQ49" s="207"/>
      <c r="AR49" s="207"/>
      <c r="AS49" s="207"/>
      <c r="AT49" s="207"/>
      <c r="AU49" s="207"/>
      <c r="AV49" s="207"/>
      <c r="AW49" s="207"/>
      <c r="AX49" s="207"/>
      <c r="AY49" s="207"/>
      <c r="AZ49" s="207"/>
      <c r="BA49" s="207"/>
      <c r="BB49" s="207"/>
      <c r="BC49" s="207"/>
      <c r="BD49" s="207"/>
      <c r="BE49" s="207"/>
      <c r="BF49" s="207"/>
      <c r="BG49" s="207"/>
      <c r="BH49" s="207"/>
      <c r="BI49" s="207"/>
      <c r="BJ49" s="207"/>
      <c r="BK49" s="207"/>
      <c r="BL49" s="207"/>
      <c r="BM49" s="207"/>
      <c r="BN49" s="207"/>
      <c r="BO49" s="207"/>
      <c r="BP49" s="207"/>
      <c r="BQ49" s="207"/>
      <c r="BR49" s="207"/>
      <c r="BS49" s="207"/>
      <c r="BT49" s="207"/>
      <c r="BU49" s="207"/>
      <c r="BV49" s="207"/>
      <c r="BW49" s="207"/>
      <c r="BX49" s="207"/>
      <c r="BY49" s="207"/>
      <c r="BZ49" s="207"/>
      <c r="CA49" s="207"/>
      <c r="CB49" s="207"/>
      <c r="CC49" s="207">
        <v>267.23</v>
      </c>
      <c r="CD49" s="207">
        <v>78.849999999999994</v>
      </c>
      <c r="CE49" s="208">
        <v>212.8</v>
      </c>
      <c r="CF49" s="208">
        <v>0.66</v>
      </c>
      <c r="CG49" s="208">
        <v>54.36</v>
      </c>
      <c r="CH49" s="208"/>
      <c r="CI49" s="208"/>
      <c r="CJ49" s="156"/>
      <c r="CK49" s="156"/>
      <c r="CL49" s="156"/>
      <c r="CM49" s="157"/>
      <c r="CN49" s="157"/>
      <c r="CO49" s="157"/>
      <c r="CP49" s="157"/>
      <c r="CQ49" s="157"/>
      <c r="CR49" s="157"/>
      <c r="CS49" s="157"/>
      <c r="CT49" s="157"/>
      <c r="CU49" s="157"/>
      <c r="CV49" s="157"/>
      <c r="CW49" s="157"/>
      <c r="CX49" s="157"/>
      <c r="CY49" s="157"/>
      <c r="CZ49" s="157"/>
      <c r="DA49" s="157"/>
      <c r="DB49" s="157"/>
      <c r="DE49" s="159"/>
    </row>
    <row r="50" spans="1:110" s="158" customFormat="1" x14ac:dyDescent="0.2">
      <c r="A50" s="155" t="s">
        <v>567</v>
      </c>
      <c r="B50" s="156"/>
      <c r="C50" s="156"/>
      <c r="D50" s="156"/>
      <c r="E50" s="156"/>
      <c r="F50" s="156"/>
      <c r="G50" s="156"/>
      <c r="H50" s="156"/>
      <c r="I50" s="156"/>
      <c r="J50" s="156"/>
      <c r="K50" s="156"/>
      <c r="L50" s="156"/>
      <c r="M50" s="156"/>
      <c r="N50" s="156"/>
      <c r="O50" s="156"/>
      <c r="P50" s="156"/>
      <c r="Q50" s="156"/>
      <c r="R50" s="156"/>
      <c r="S50" s="156"/>
      <c r="T50" s="156"/>
      <c r="U50" s="156"/>
      <c r="V50" s="156"/>
      <c r="W50" s="156">
        <f t="shared" si="188"/>
        <v>5.8599999999999994</v>
      </c>
      <c r="X50" s="156">
        <f t="shared" si="189"/>
        <v>8.33</v>
      </c>
      <c r="Y50" s="156">
        <f t="shared" si="190"/>
        <v>49.09</v>
      </c>
      <c r="Z50" s="156">
        <f t="shared" si="191"/>
        <v>168.92000000000002</v>
      </c>
      <c r="AA50" s="74">
        <f t="shared" si="192"/>
        <v>2921.7699999999991</v>
      </c>
      <c r="AB50" s="74">
        <f t="shared" si="193"/>
        <v>9221.4714965789699</v>
      </c>
      <c r="AC50" s="74">
        <f t="shared" si="194"/>
        <v>3471.6</v>
      </c>
      <c r="AD50" s="74">
        <f t="shared" si="195"/>
        <v>3794.1</v>
      </c>
      <c r="AE50" s="74">
        <f t="shared" si="196"/>
        <v>4112.9520000000002</v>
      </c>
      <c r="AI50" s="207">
        <v>2.69</v>
      </c>
      <c r="AJ50" s="207">
        <v>2.12</v>
      </c>
      <c r="AK50" s="207">
        <v>2.15</v>
      </c>
      <c r="AL50" s="207">
        <v>2.4300000000000002</v>
      </c>
      <c r="AM50" s="207">
        <v>2.54</v>
      </c>
      <c r="AN50" s="207">
        <v>2.15</v>
      </c>
      <c r="AO50" s="207">
        <v>2.58</v>
      </c>
      <c r="AP50" s="207">
        <v>2.88</v>
      </c>
      <c r="AQ50" s="207">
        <v>2.4700000000000002</v>
      </c>
      <c r="AR50" s="207">
        <v>1.61</v>
      </c>
      <c r="AS50" s="207">
        <v>1.75</v>
      </c>
      <c r="AT50" s="207">
        <v>1.91</v>
      </c>
      <c r="AU50" s="207">
        <v>2.36</v>
      </c>
      <c r="AV50" s="207">
        <v>1.1100000000000001</v>
      </c>
      <c r="AW50" s="207">
        <v>1.92</v>
      </c>
      <c r="AX50" s="207">
        <v>2.2599999999999998</v>
      </c>
      <c r="AY50" s="207">
        <v>2.2400000000000002</v>
      </c>
      <c r="AZ50" s="207">
        <v>2.29</v>
      </c>
      <c r="BA50" s="207">
        <v>2.0299999999999998</v>
      </c>
      <c r="BB50" s="207">
        <v>30.13</v>
      </c>
      <c r="BC50" s="207">
        <v>8.48</v>
      </c>
      <c r="BD50" s="207">
        <v>1.94</v>
      </c>
      <c r="BE50" s="207">
        <v>3.67</v>
      </c>
      <c r="BF50" s="207">
        <v>2.23</v>
      </c>
      <c r="BG50" s="207">
        <v>2.5499999999999998</v>
      </c>
      <c r="BH50" s="207">
        <v>2.02</v>
      </c>
      <c r="BI50" s="207">
        <v>2.25</v>
      </c>
      <c r="BJ50" s="207">
        <v>2.4700000000000002</v>
      </c>
      <c r="BK50" s="207">
        <v>2.37</v>
      </c>
      <c r="BL50" s="207">
        <v>1.47</v>
      </c>
      <c r="BM50" s="207">
        <v>1.98</v>
      </c>
      <c r="BN50" s="207">
        <v>2.16</v>
      </c>
      <c r="BO50" s="207">
        <v>1.05</v>
      </c>
      <c r="BP50" s="207">
        <v>1.67</v>
      </c>
      <c r="BQ50" s="207">
        <v>1.47</v>
      </c>
      <c r="BR50" s="207">
        <v>0.78</v>
      </c>
      <c r="BS50" s="207">
        <v>1.3</v>
      </c>
      <c r="BT50" s="207">
        <v>1.5</v>
      </c>
      <c r="BU50" s="207">
        <v>1.55</v>
      </c>
      <c r="BV50" s="207">
        <v>1.51</v>
      </c>
      <c r="BW50" s="207">
        <v>2</v>
      </c>
      <c r="BX50" s="207">
        <v>2.0699999999999998</v>
      </c>
      <c r="BY50" s="207">
        <v>2.36</v>
      </c>
      <c r="BZ50" s="207">
        <v>1.9</v>
      </c>
      <c r="CA50" s="207">
        <v>2.5</v>
      </c>
      <c r="CB50" s="207">
        <v>1.42</v>
      </c>
      <c r="CC50" s="207">
        <v>3.35</v>
      </c>
      <c r="CD50" s="207">
        <v>41.82</v>
      </c>
      <c r="CE50" s="208">
        <v>52.44</v>
      </c>
      <c r="CF50" s="208">
        <v>27.48</v>
      </c>
      <c r="CG50" s="208">
        <v>42.39</v>
      </c>
      <c r="CH50" s="208">
        <v>46.61</v>
      </c>
      <c r="CI50" s="208">
        <v>67.94</v>
      </c>
      <c r="CJ50" s="207">
        <v>475.6</v>
      </c>
      <c r="CK50" s="259">
        <v>916.75999999999976</v>
      </c>
      <c r="CL50" s="259">
        <v>1461.4699999999993</v>
      </c>
      <c r="CM50" s="157">
        <f t="shared" ref="CM50:DB50" si="208">+CM31*(CM21+CM23+CM24+CM26+CM30)</f>
        <v>2251.1454640069378</v>
      </c>
      <c r="CN50" s="157">
        <f t="shared" si="208"/>
        <v>2251.1454640069378</v>
      </c>
      <c r="CO50" s="157">
        <f t="shared" si="208"/>
        <v>2251.1454640069378</v>
      </c>
      <c r="CP50" s="157">
        <f t="shared" si="208"/>
        <v>2468.0351045581565</v>
      </c>
      <c r="CQ50" s="157">
        <f t="shared" si="208"/>
        <v>665.4</v>
      </c>
      <c r="CR50" s="157">
        <f t="shared" si="208"/>
        <v>935.4</v>
      </c>
      <c r="CS50" s="157">
        <f t="shared" si="208"/>
        <v>935.4</v>
      </c>
      <c r="CT50" s="157">
        <f t="shared" si="208"/>
        <v>935.4</v>
      </c>
      <c r="CU50" s="157">
        <f t="shared" si="208"/>
        <v>948.52499999999998</v>
      </c>
      <c r="CV50" s="157">
        <f t="shared" si="208"/>
        <v>948.52499999999998</v>
      </c>
      <c r="CW50" s="157">
        <f t="shared" si="208"/>
        <v>948.52499999999998</v>
      </c>
      <c r="CX50" s="157">
        <f t="shared" si="208"/>
        <v>948.52499999999998</v>
      </c>
      <c r="CY50" s="157">
        <f t="shared" si="208"/>
        <v>1028.2380000000001</v>
      </c>
      <c r="CZ50" s="157">
        <f t="shared" si="208"/>
        <v>1028.2380000000001</v>
      </c>
      <c r="DA50" s="157">
        <f t="shared" si="208"/>
        <v>1028.2380000000001</v>
      </c>
      <c r="DB50" s="157">
        <f t="shared" si="208"/>
        <v>1028.2380000000001</v>
      </c>
      <c r="DE50" s="159"/>
      <c r="DF50" s="158">
        <v>500</v>
      </c>
    </row>
    <row r="51" spans="1:110" s="197" customFormat="1" x14ac:dyDescent="0.2">
      <c r="A51" s="195" t="s">
        <v>530</v>
      </c>
      <c r="B51" s="196"/>
      <c r="C51" s="196"/>
      <c r="D51" s="196"/>
      <c r="E51" s="196"/>
      <c r="F51" s="196"/>
      <c r="G51" s="196"/>
      <c r="H51" s="196"/>
      <c r="I51" s="196"/>
      <c r="J51" s="196"/>
      <c r="K51" s="196"/>
      <c r="L51" s="196"/>
      <c r="M51" s="196"/>
      <c r="N51" s="196"/>
      <c r="O51" s="196"/>
      <c r="P51" s="196"/>
      <c r="Q51" s="196"/>
      <c r="R51" s="196"/>
      <c r="S51" s="196"/>
      <c r="T51" s="196"/>
      <c r="U51" s="196"/>
      <c r="V51" s="196"/>
      <c r="W51" s="200">
        <f t="shared" ref="W51:AE51" si="209">SUM(W44:W49)-W50</f>
        <v>727.25000000000011</v>
      </c>
      <c r="X51" s="200">
        <f t="shared" si="209"/>
        <v>3466.76</v>
      </c>
      <c r="Y51" s="200">
        <f t="shared" si="209"/>
        <v>6574.57</v>
      </c>
      <c r="Z51" s="200">
        <f t="shared" si="209"/>
        <v>6798.07</v>
      </c>
      <c r="AA51" s="198">
        <f t="shared" si="209"/>
        <v>17304.77</v>
      </c>
      <c r="AB51" s="198">
        <f t="shared" si="209"/>
        <v>22012.32508477247</v>
      </c>
      <c r="AC51" s="198">
        <f t="shared" si="209"/>
        <v>30538.688081989392</v>
      </c>
      <c r="AD51" s="198">
        <f t="shared" si="209"/>
        <v>34582.593728378532</v>
      </c>
      <c r="AE51" s="198">
        <f t="shared" si="209"/>
        <v>41564.849969301016</v>
      </c>
      <c r="AI51" s="209">
        <f t="shared" ref="AI51:BN51" si="210">SUM(AI44:AI49)-AI50</f>
        <v>250.82999999999998</v>
      </c>
      <c r="AJ51" s="209">
        <f t="shared" si="210"/>
        <v>134.38999999999999</v>
      </c>
      <c r="AK51" s="209">
        <f t="shared" si="210"/>
        <v>140.66</v>
      </c>
      <c r="AL51" s="209">
        <f t="shared" si="210"/>
        <v>240.2</v>
      </c>
      <c r="AM51" s="209">
        <f t="shared" si="210"/>
        <v>142.83000000000001</v>
      </c>
      <c r="AN51" s="209">
        <f t="shared" si="210"/>
        <v>111.86</v>
      </c>
      <c r="AO51" s="209">
        <f t="shared" si="210"/>
        <v>132.47</v>
      </c>
      <c r="AP51" s="209">
        <f t="shared" si="210"/>
        <v>187.12</v>
      </c>
      <c r="AQ51" s="209">
        <f t="shared" si="210"/>
        <v>178.53</v>
      </c>
      <c r="AR51" s="209">
        <f t="shared" si="210"/>
        <v>224.79999999999998</v>
      </c>
      <c r="AS51" s="209">
        <f t="shared" si="210"/>
        <v>122</v>
      </c>
      <c r="AT51" s="209">
        <f t="shared" si="210"/>
        <v>128.27000000000001</v>
      </c>
      <c r="AU51" s="209">
        <f t="shared" si="210"/>
        <v>135.33999999999997</v>
      </c>
      <c r="AV51" s="209">
        <f t="shared" si="210"/>
        <v>79.72</v>
      </c>
      <c r="AW51" s="209">
        <f t="shared" si="210"/>
        <v>80.850000000000009</v>
      </c>
      <c r="AX51" s="209">
        <f t="shared" si="210"/>
        <v>87.41</v>
      </c>
      <c r="AY51" s="209">
        <f t="shared" si="210"/>
        <v>94.98</v>
      </c>
      <c r="AZ51" s="209">
        <f t="shared" si="210"/>
        <v>88.759999999999991</v>
      </c>
      <c r="BA51" s="209">
        <f t="shared" si="210"/>
        <v>119.07</v>
      </c>
      <c r="BB51" s="209">
        <f t="shared" si="210"/>
        <v>104.12</v>
      </c>
      <c r="BC51" s="209">
        <f t="shared" si="210"/>
        <v>91.38</v>
      </c>
      <c r="BD51" s="209">
        <f t="shared" si="210"/>
        <v>82.53</v>
      </c>
      <c r="BE51" s="209">
        <f t="shared" si="210"/>
        <v>119.62</v>
      </c>
      <c r="BF51" s="209">
        <f t="shared" si="210"/>
        <v>116.63999999999999</v>
      </c>
      <c r="BG51" s="209">
        <f t="shared" si="210"/>
        <v>142.82</v>
      </c>
      <c r="BH51" s="209">
        <f t="shared" si="210"/>
        <v>103.09</v>
      </c>
      <c r="BI51" s="209">
        <f t="shared" si="210"/>
        <v>108.55</v>
      </c>
      <c r="BJ51" s="209">
        <f t="shared" si="210"/>
        <v>149.46</v>
      </c>
      <c r="BK51" s="209">
        <f t="shared" si="210"/>
        <v>133.63999999999999</v>
      </c>
      <c r="BL51" s="209">
        <f t="shared" si="210"/>
        <v>60.46</v>
      </c>
      <c r="BM51" s="209">
        <f t="shared" si="210"/>
        <v>90.24</v>
      </c>
      <c r="BN51" s="209">
        <f t="shared" si="210"/>
        <v>111.72</v>
      </c>
      <c r="BO51" s="209">
        <f t="shared" ref="BO51:CT51" si="211">SUM(BO44:BO49)-BO50</f>
        <v>11.309999999999999</v>
      </c>
      <c r="BP51" s="209">
        <f t="shared" si="211"/>
        <v>79.41</v>
      </c>
      <c r="BQ51" s="209">
        <f t="shared" si="211"/>
        <v>80.069999999999993</v>
      </c>
      <c r="BR51" s="209">
        <f t="shared" si="211"/>
        <v>102.53</v>
      </c>
      <c r="BS51" s="209">
        <f t="shared" si="211"/>
        <v>103.78000000000002</v>
      </c>
      <c r="BT51" s="209">
        <f t="shared" si="211"/>
        <v>108.52</v>
      </c>
      <c r="BU51" s="209">
        <f t="shared" si="211"/>
        <v>171.34</v>
      </c>
      <c r="BV51" s="209">
        <f t="shared" si="211"/>
        <v>343.61</v>
      </c>
      <c r="BW51" s="209">
        <f t="shared" si="211"/>
        <v>855.29</v>
      </c>
      <c r="BX51" s="209">
        <f t="shared" si="211"/>
        <v>686.36</v>
      </c>
      <c r="BY51" s="209">
        <f t="shared" si="211"/>
        <v>1029.4000000000001</v>
      </c>
      <c r="BZ51" s="209">
        <f t="shared" si="211"/>
        <v>895.71</v>
      </c>
      <c r="CA51" s="209">
        <f t="shared" si="211"/>
        <v>1977.39</v>
      </c>
      <c r="CB51" s="209">
        <f t="shared" si="211"/>
        <v>1111.2099999999998</v>
      </c>
      <c r="CC51" s="209">
        <f t="shared" si="211"/>
        <v>1923.6200000000001</v>
      </c>
      <c r="CD51" s="209">
        <f t="shared" si="211"/>
        <v>1562.35</v>
      </c>
      <c r="CE51" s="209">
        <f t="shared" si="211"/>
        <v>2422.54</v>
      </c>
      <c r="CF51" s="209">
        <f t="shared" si="211"/>
        <v>1469.8</v>
      </c>
      <c r="CG51" s="209">
        <f t="shared" si="211"/>
        <v>1693.1699999999996</v>
      </c>
      <c r="CH51" s="209">
        <f t="shared" si="211"/>
        <v>1212.5600000000002</v>
      </c>
      <c r="CI51" s="209">
        <f t="shared" si="211"/>
        <v>2411.71</v>
      </c>
      <c r="CJ51" s="209">
        <f t="shared" si="211"/>
        <v>3706.82</v>
      </c>
      <c r="CK51" s="209">
        <f t="shared" si="211"/>
        <v>5155.3099999999995</v>
      </c>
      <c r="CL51" s="209">
        <f t="shared" si="211"/>
        <v>6030.93</v>
      </c>
      <c r="CM51" s="198">
        <f t="shared" si="211"/>
        <v>5573.1977650909275</v>
      </c>
      <c r="CN51" s="198">
        <f t="shared" si="211"/>
        <v>5187.6283781306183</v>
      </c>
      <c r="CO51" s="198">
        <f t="shared" si="211"/>
        <v>5400.792807658825</v>
      </c>
      <c r="CP51" s="198">
        <f t="shared" si="211"/>
        <v>5850.7061338921003</v>
      </c>
      <c r="CQ51" s="198">
        <f t="shared" si="211"/>
        <v>7224.6865913236134</v>
      </c>
      <c r="CR51" s="198">
        <f t="shared" si="211"/>
        <v>7087.1459473785535</v>
      </c>
      <c r="CS51" s="198">
        <f t="shared" si="211"/>
        <v>7912.1716558370226</v>
      </c>
      <c r="CT51" s="198">
        <f t="shared" si="211"/>
        <v>8314.6838874502046</v>
      </c>
      <c r="CU51" s="198">
        <f t="shared" ref="CU51:DB51" si="212">SUM(CU44:CU49)-CU50</f>
        <v>8333.1001406807245</v>
      </c>
      <c r="CV51" s="198">
        <f t="shared" si="212"/>
        <v>7840.6986941349805</v>
      </c>
      <c r="CW51" s="198">
        <f t="shared" si="212"/>
        <v>8911.969783571165</v>
      </c>
      <c r="CX51" s="198">
        <f t="shared" si="212"/>
        <v>9496.8251099916579</v>
      </c>
      <c r="CY51" s="198">
        <f t="shared" si="212"/>
        <v>10034.331898880193</v>
      </c>
      <c r="CZ51" s="198">
        <f t="shared" si="212"/>
        <v>9542.3156500836176</v>
      </c>
      <c r="DA51" s="198">
        <f t="shared" si="212"/>
        <v>10685.12617344194</v>
      </c>
      <c r="DB51" s="198">
        <f t="shared" si="212"/>
        <v>11303.076246895269</v>
      </c>
      <c r="DE51" s="199"/>
      <c r="DF51" s="211">
        <v>5019.3715000000002</v>
      </c>
    </row>
    <row r="52" spans="1:110" s="109" customFormat="1" x14ac:dyDescent="0.2">
      <c r="A52" s="184" t="s">
        <v>526</v>
      </c>
      <c r="B52" s="107"/>
      <c r="C52" s="107"/>
      <c r="D52" s="107"/>
      <c r="E52" s="107"/>
      <c r="F52" s="107"/>
      <c r="G52" s="107"/>
      <c r="H52" s="107"/>
      <c r="I52" s="107"/>
      <c r="J52" s="107"/>
      <c r="K52" s="107"/>
      <c r="L52" s="107"/>
      <c r="M52" s="107"/>
      <c r="N52" s="107"/>
      <c r="O52" s="107"/>
      <c r="P52" s="107"/>
      <c r="Q52" s="107"/>
      <c r="R52" s="107"/>
      <c r="S52" s="107"/>
      <c r="T52" s="107"/>
      <c r="U52" s="107"/>
      <c r="V52" s="107"/>
      <c r="W52" s="107">
        <f t="shared" ref="W52:AE52" si="213">W51-W74-W102</f>
        <v>1.1368683772161603E-13</v>
      </c>
      <c r="X52" s="107">
        <f t="shared" si="213"/>
        <v>-9.9999999997208988E-3</v>
      </c>
      <c r="Y52" s="107">
        <f t="shared" si="213"/>
        <v>-2.9999999999930083E-2</v>
      </c>
      <c r="Z52" s="107">
        <f t="shared" si="213"/>
        <v>23.309999999999526</v>
      </c>
      <c r="AA52" s="108">
        <f t="shared" si="213"/>
        <v>-1.629999999997807</v>
      </c>
      <c r="AB52" s="108">
        <f t="shared" si="213"/>
        <v>0</v>
      </c>
      <c r="AC52" s="108">
        <f t="shared" si="213"/>
        <v>0</v>
      </c>
      <c r="AD52" s="108">
        <f t="shared" si="213"/>
        <v>0</v>
      </c>
      <c r="AE52" s="108">
        <f t="shared" si="213"/>
        <v>0</v>
      </c>
      <c r="AI52" s="107">
        <f t="shared" ref="AI52:BN52" si="214">AI51-AI74-AI102</f>
        <v>9.9999999997546496E-4</v>
      </c>
      <c r="AJ52" s="107">
        <f t="shared" si="214"/>
        <v>-3.00000000002143E-3</v>
      </c>
      <c r="AK52" s="107">
        <f t="shared" si="214"/>
        <v>-4.4408920985006262E-15</v>
      </c>
      <c r="AL52" s="107">
        <f t="shared" si="214"/>
        <v>9.0000000000043379E-3</v>
      </c>
      <c r="AM52" s="107">
        <f t="shared" si="214"/>
        <v>8.0000000000177707E-3</v>
      </c>
      <c r="AN52" s="107">
        <f t="shared" si="214"/>
        <v>-2.999999999996561E-3</v>
      </c>
      <c r="AO52" s="107">
        <f t="shared" si="214"/>
        <v>6.9999999999970086E-3</v>
      </c>
      <c r="AP52" s="107">
        <f t="shared" si="214"/>
        <v>9.0000000000034497E-3</v>
      </c>
      <c r="AQ52" s="107">
        <f t="shared" si="214"/>
        <v>1.9999999999820162E-3</v>
      </c>
      <c r="AR52" s="107">
        <f t="shared" si="214"/>
        <v>-5.000000000032756E-3</v>
      </c>
      <c r="AS52" s="107">
        <f t="shared" si="214"/>
        <v>-9.9999999999500488E-4</v>
      </c>
      <c r="AT52" s="107">
        <f t="shared" si="214"/>
        <v>-1.9999999999908979E-3</v>
      </c>
      <c r="AU52" s="107">
        <f t="shared" si="214"/>
        <v>9.9999999997724132E-4</v>
      </c>
      <c r="AV52" s="107">
        <f t="shared" si="214"/>
        <v>-2.9999999999992255E-3</v>
      </c>
      <c r="AW52" s="107">
        <f t="shared" si="214"/>
        <v>-7.9999999999915694E-3</v>
      </c>
      <c r="AX52" s="107">
        <f t="shared" si="214"/>
        <v>-2.0000000000064411E-3</v>
      </c>
      <c r="AY52" s="107">
        <f t="shared" si="214"/>
        <v>-3.673</v>
      </c>
      <c r="AZ52" s="107">
        <f t="shared" si="214"/>
        <v>-2.2909999999999995</v>
      </c>
      <c r="BA52" s="107">
        <f t="shared" si="214"/>
        <v>3.0000000000001137E-3</v>
      </c>
      <c r="BB52" s="107">
        <f t="shared" si="214"/>
        <v>30.023000000000007</v>
      </c>
      <c r="BC52" s="107">
        <f t="shared" si="214"/>
        <v>-10.432000000000009</v>
      </c>
      <c r="BD52" s="107">
        <f t="shared" si="214"/>
        <v>0.21499999999999453</v>
      </c>
      <c r="BE52" s="107">
        <f t="shared" si="214"/>
        <v>-6.9079999999999995</v>
      </c>
      <c r="BF52" s="107">
        <f t="shared" si="214"/>
        <v>-7.0000000000076668E-3</v>
      </c>
      <c r="BG52" s="107">
        <f t="shared" si="214"/>
        <v>-3.0000000000143245E-3</v>
      </c>
      <c r="BH52" s="107">
        <f t="shared" si="214"/>
        <v>0.25900000000000545</v>
      </c>
      <c r="BI52" s="107">
        <f t="shared" si="214"/>
        <v>-2.0000000000085505E-3</v>
      </c>
      <c r="BJ52" s="107">
        <f t="shared" si="214"/>
        <v>-1.5050000000000026</v>
      </c>
      <c r="BK52" s="107">
        <f t="shared" si="214"/>
        <v>-5.4000000000007375E-2</v>
      </c>
      <c r="BL52" s="107">
        <f t="shared" si="214"/>
        <v>-1.0329999999999977</v>
      </c>
      <c r="BM52" s="107">
        <f t="shared" si="214"/>
        <v>-0.21100000000000119</v>
      </c>
      <c r="BN52" s="107">
        <f t="shared" si="214"/>
        <v>-2.9999999999956728E-3</v>
      </c>
      <c r="BO52" s="107">
        <f t="shared" ref="BO52:CT52" si="215">BO51-BO74-BO102</f>
        <v>-2.0000000000006679E-3</v>
      </c>
      <c r="BP52" s="107">
        <f t="shared" si="215"/>
        <v>6.9999999999934559E-3</v>
      </c>
      <c r="BQ52" s="107">
        <f t="shared" si="215"/>
        <v>1.9999999999891216E-3</v>
      </c>
      <c r="BR52" s="107">
        <f t="shared" si="215"/>
        <v>3.9999999999968949E-3</v>
      </c>
      <c r="BS52" s="107">
        <f t="shared" si="215"/>
        <v>-9.9999999999873523E-3</v>
      </c>
      <c r="BT52" s="107">
        <f t="shared" si="215"/>
        <v>1.000000000000334E-2</v>
      </c>
      <c r="BU52" s="107">
        <f t="shared" si="215"/>
        <v>-6.6613381477509392E-15</v>
      </c>
      <c r="BV52" s="107">
        <f t="shared" si="215"/>
        <v>3.3750779948604759E-14</v>
      </c>
      <c r="BW52" s="107">
        <f t="shared" si="215"/>
        <v>-9.999999999985576E-3</v>
      </c>
      <c r="BX52" s="107">
        <f t="shared" si="215"/>
        <v>2.3092638912203256E-14</v>
      </c>
      <c r="BY52" s="107">
        <f t="shared" si="215"/>
        <v>8.5265128291212022E-14</v>
      </c>
      <c r="BZ52" s="107">
        <f t="shared" si="215"/>
        <v>3.5527136788005009E-14</v>
      </c>
      <c r="CA52" s="107">
        <f t="shared" si="215"/>
        <v>1.1901590823981678E-13</v>
      </c>
      <c r="CB52" s="107">
        <f t="shared" si="215"/>
        <v>-2.000000000013813E-2</v>
      </c>
      <c r="CC52" s="107">
        <f t="shared" si="215"/>
        <v>2.007283228522283E-13</v>
      </c>
      <c r="CD52" s="107">
        <f t="shared" si="215"/>
        <v>-5.5067062021407764E-14</v>
      </c>
      <c r="CE52" s="107">
        <f t="shared" si="215"/>
        <v>-0.51999999999981839</v>
      </c>
      <c r="CF52" s="107">
        <f t="shared" si="215"/>
        <v>1.2789769243681803E-13</v>
      </c>
      <c r="CG52" s="107">
        <f t="shared" si="215"/>
        <v>-2.0000000000226947E-2</v>
      </c>
      <c r="CH52" s="107">
        <f t="shared" si="215"/>
        <v>0</v>
      </c>
      <c r="CI52" s="107">
        <f t="shared" si="215"/>
        <v>5.3290705182007514E-14</v>
      </c>
      <c r="CJ52" s="107">
        <f t="shared" si="215"/>
        <v>2.5579538487363607E-13</v>
      </c>
      <c r="CK52" s="107">
        <f t="shared" si="215"/>
        <v>-4.4053649617126212E-13</v>
      </c>
      <c r="CL52" s="107">
        <f t="shared" si="215"/>
        <v>3.5527136788005009E-14</v>
      </c>
      <c r="CM52" s="108">
        <f t="shared" si="215"/>
        <v>0</v>
      </c>
      <c r="CN52" s="108">
        <f t="shared" si="215"/>
        <v>0</v>
      </c>
      <c r="CO52" s="108">
        <f t="shared" si="215"/>
        <v>0</v>
      </c>
      <c r="CP52" s="108">
        <f t="shared" si="215"/>
        <v>0</v>
      </c>
      <c r="CQ52" s="108">
        <f t="shared" si="215"/>
        <v>0</v>
      </c>
      <c r="CR52" s="108">
        <f t="shared" si="215"/>
        <v>0</v>
      </c>
      <c r="CS52" s="108">
        <f t="shared" si="215"/>
        <v>0</v>
      </c>
      <c r="CT52" s="108">
        <f t="shared" si="215"/>
        <v>0</v>
      </c>
      <c r="CU52" s="108">
        <f t="shared" ref="CU52:DB52" si="216">CU51-CU74-CU102</f>
        <v>0</v>
      </c>
      <c r="CV52" s="108">
        <f t="shared" si="216"/>
        <v>0</v>
      </c>
      <c r="CW52" s="108">
        <f t="shared" si="216"/>
        <v>0</v>
      </c>
      <c r="CX52" s="108">
        <f t="shared" si="216"/>
        <v>0</v>
      </c>
      <c r="CY52" s="108">
        <f t="shared" si="216"/>
        <v>0</v>
      </c>
      <c r="CZ52" s="108">
        <f t="shared" si="216"/>
        <v>0</v>
      </c>
      <c r="DA52" s="108">
        <f t="shared" si="216"/>
        <v>0</v>
      </c>
      <c r="DB52" s="108">
        <f t="shared" si="216"/>
        <v>0</v>
      </c>
      <c r="DE52" s="117"/>
      <c r="DF52" s="109">
        <v>0</v>
      </c>
    </row>
    <row r="53" spans="1:110" s="109" customFormat="1" x14ac:dyDescent="0.2">
      <c r="A53" s="184"/>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c r="AA53" s="108"/>
      <c r="AB53" s="108"/>
      <c r="AC53" s="108"/>
      <c r="AD53" s="108"/>
      <c r="AE53" s="108"/>
      <c r="AI53" s="107"/>
      <c r="AJ53" s="107"/>
      <c r="AK53" s="107"/>
      <c r="AL53" s="107"/>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07"/>
      <c r="CL53" s="107"/>
      <c r="CM53" s="108"/>
      <c r="CN53" s="108"/>
      <c r="CO53" s="108"/>
      <c r="CP53" s="108"/>
      <c r="CQ53" s="108"/>
      <c r="CR53" s="108"/>
      <c r="CS53" s="108"/>
      <c r="CT53" s="108"/>
      <c r="CU53" s="108"/>
      <c r="CV53" s="108"/>
      <c r="CW53" s="108"/>
      <c r="CX53" s="108"/>
      <c r="CY53" s="108"/>
      <c r="CZ53" s="108"/>
      <c r="DA53" s="108"/>
      <c r="DB53" s="108"/>
      <c r="DE53" s="117"/>
    </row>
    <row r="54" spans="1:110" s="192" customFormat="1" x14ac:dyDescent="0.2">
      <c r="A54" s="190" t="s">
        <v>572</v>
      </c>
      <c r="B54" s="191"/>
      <c r="C54" s="191"/>
      <c r="D54" s="191"/>
      <c r="E54" s="191"/>
      <c r="F54" s="191"/>
      <c r="G54" s="191"/>
      <c r="H54" s="191"/>
      <c r="I54" s="191"/>
      <c r="J54" s="191"/>
      <c r="K54" s="191"/>
      <c r="L54" s="191"/>
      <c r="M54" s="191"/>
      <c r="N54" s="191"/>
      <c r="O54" s="191"/>
      <c r="P54" s="191"/>
      <c r="Q54" s="191"/>
      <c r="R54" s="191"/>
      <c r="S54" s="191"/>
      <c r="T54" s="191"/>
      <c r="U54" s="191"/>
      <c r="V54" s="191"/>
      <c r="W54" s="191"/>
      <c r="X54" s="191"/>
      <c r="Y54" s="191"/>
      <c r="Z54" s="191"/>
      <c r="AA54" s="191"/>
      <c r="AB54" s="191"/>
      <c r="AC54" s="191"/>
      <c r="AD54" s="191"/>
      <c r="AE54" s="191"/>
      <c r="AI54" s="191"/>
      <c r="AJ54" s="191"/>
      <c r="AK54" s="191"/>
      <c r="AL54" s="191"/>
      <c r="AM54" s="191"/>
      <c r="AN54" s="191"/>
      <c r="AO54" s="191"/>
      <c r="AP54" s="191"/>
      <c r="AQ54" s="191"/>
      <c r="AR54" s="191"/>
      <c r="AS54" s="191"/>
      <c r="AT54" s="191"/>
      <c r="AU54" s="191"/>
      <c r="AV54" s="191"/>
      <c r="AW54" s="191"/>
      <c r="AX54" s="191"/>
      <c r="AY54" s="191"/>
      <c r="AZ54" s="191"/>
      <c r="BA54" s="191"/>
      <c r="BB54" s="191"/>
      <c r="BC54" s="191"/>
      <c r="BD54" s="191"/>
      <c r="BE54" s="191"/>
      <c r="BF54" s="191"/>
      <c r="BG54" s="191"/>
      <c r="BH54" s="191"/>
      <c r="BI54" s="191"/>
      <c r="BJ54" s="191"/>
      <c r="BK54" s="191"/>
      <c r="BL54" s="191"/>
      <c r="BM54" s="191"/>
      <c r="BN54" s="191"/>
      <c r="BO54" s="191"/>
      <c r="BP54" s="191"/>
      <c r="BQ54" s="191"/>
      <c r="BR54" s="191"/>
      <c r="BS54" s="191"/>
      <c r="BT54" s="191"/>
      <c r="BU54" s="191"/>
      <c r="BV54" s="191"/>
      <c r="BW54" s="191"/>
      <c r="BX54" s="191"/>
      <c r="BY54" s="191"/>
      <c r="BZ54" s="191"/>
      <c r="CA54" s="191"/>
      <c r="CB54" s="191"/>
      <c r="CC54" s="191"/>
      <c r="CD54" s="191"/>
      <c r="CE54" s="191"/>
      <c r="CF54" s="191"/>
      <c r="CG54" s="191"/>
      <c r="CH54" s="191"/>
      <c r="CI54" s="191"/>
      <c r="CJ54" s="191"/>
      <c r="CK54" s="191"/>
      <c r="CL54" s="191"/>
      <c r="CM54" s="191"/>
      <c r="CN54" s="191"/>
      <c r="CO54" s="191"/>
      <c r="CP54" s="191"/>
      <c r="CQ54" s="191"/>
      <c r="CR54" s="191"/>
      <c r="CS54" s="191"/>
      <c r="CT54" s="191"/>
      <c r="CU54" s="191"/>
      <c r="CV54" s="191"/>
      <c r="CW54" s="191"/>
      <c r="CX54" s="191"/>
      <c r="CY54" s="191"/>
      <c r="CZ54" s="191"/>
      <c r="DA54" s="191"/>
      <c r="DB54" s="191"/>
      <c r="DE54" s="191"/>
    </row>
    <row r="55" spans="1:110" s="188" customFormat="1" x14ac:dyDescent="0.2">
      <c r="A55" s="186" t="s">
        <v>571</v>
      </c>
      <c r="B55" s="185"/>
      <c r="C55" s="185"/>
      <c r="D55" s="185"/>
      <c r="E55" s="185"/>
      <c r="F55" s="185"/>
      <c r="G55" s="185"/>
      <c r="H55" s="185"/>
      <c r="I55" s="185"/>
      <c r="J55" s="185"/>
      <c r="K55" s="185"/>
      <c r="L55" s="185"/>
      <c r="M55" s="185"/>
      <c r="N55" s="185"/>
      <c r="O55" s="185"/>
      <c r="P55" s="185"/>
      <c r="Q55" s="185"/>
      <c r="R55" s="185"/>
      <c r="S55" s="185"/>
      <c r="T55" s="185"/>
      <c r="U55" s="185"/>
      <c r="V55" s="185"/>
      <c r="W55" s="185"/>
      <c r="X55" s="185"/>
      <c r="Y55" s="185">
        <f t="shared" ref="Y55:AE55" si="217">+Y61/Y33*10</f>
        <v>924.29000858754148</v>
      </c>
      <c r="Z55" s="185">
        <f t="shared" si="217"/>
        <v>1842.2262416306296</v>
      </c>
      <c r="AA55" s="187">
        <f t="shared" si="217"/>
        <v>1712.9408038452725</v>
      </c>
      <c r="AB55" s="187">
        <f t="shared" si="217"/>
        <v>1889.4068260368667</v>
      </c>
      <c r="AC55" s="187">
        <f t="shared" si="217"/>
        <v>1964.5310899718354</v>
      </c>
      <c r="AD55" s="187">
        <f t="shared" si="217"/>
        <v>1973.1825416260469</v>
      </c>
      <c r="AE55" s="187">
        <f t="shared" si="217"/>
        <v>1974.8422380238324</v>
      </c>
      <c r="AI55" s="185"/>
      <c r="AJ55" s="185"/>
      <c r="AK55" s="185"/>
      <c r="AL55" s="185"/>
      <c r="AM55" s="185"/>
      <c r="AN55" s="185"/>
      <c r="AO55" s="185"/>
      <c r="AP55" s="185"/>
      <c r="AQ55" s="185"/>
      <c r="AR55" s="185"/>
      <c r="AS55" s="185"/>
      <c r="AT55" s="185"/>
      <c r="AU55" s="185"/>
      <c r="AV55" s="185"/>
      <c r="AW55" s="185"/>
      <c r="AX55" s="185"/>
      <c r="AY55" s="185"/>
      <c r="AZ55" s="185"/>
      <c r="BA55" s="185"/>
      <c r="BB55" s="185"/>
      <c r="BC55" s="185"/>
      <c r="BD55" s="185"/>
      <c r="BE55" s="185"/>
      <c r="BF55" s="185"/>
      <c r="BG55" s="185"/>
      <c r="BH55" s="185"/>
      <c r="BI55" s="185"/>
      <c r="BJ55" s="185"/>
      <c r="BK55" s="185"/>
      <c r="BL55" s="185"/>
      <c r="BM55" s="185"/>
      <c r="BN55" s="185"/>
      <c r="BO55" s="185"/>
      <c r="BP55" s="185"/>
      <c r="BQ55" s="185"/>
      <c r="BR55" s="185"/>
      <c r="BS55" s="185"/>
      <c r="BT55" s="185"/>
      <c r="BU55" s="185"/>
      <c r="BV55" s="185"/>
      <c r="BW55" s="185"/>
      <c r="BX55" s="185"/>
      <c r="BY55" s="185"/>
      <c r="BZ55" s="185"/>
      <c r="CA55" s="185"/>
      <c r="CB55" s="185"/>
      <c r="CC55" s="260">
        <v>1666</v>
      </c>
      <c r="CD55" s="260">
        <v>2375</v>
      </c>
      <c r="CE55" s="260">
        <v>1848</v>
      </c>
      <c r="CF55" s="260">
        <v>1668</v>
      </c>
      <c r="CG55" s="260">
        <v>2021</v>
      </c>
      <c r="CH55" s="260">
        <v>1527</v>
      </c>
      <c r="CI55" s="260">
        <v>2223</v>
      </c>
      <c r="CJ55" s="260">
        <v>1781</v>
      </c>
      <c r="CK55" s="260">
        <v>1825</v>
      </c>
      <c r="CL55" s="260">
        <v>1894</v>
      </c>
      <c r="CM55" s="187">
        <f>+AVERAGE(CI55:CL55)</f>
        <v>1930.75</v>
      </c>
      <c r="CN55" s="187">
        <f t="shared" ref="CN55:DB55" si="218">+AVERAGE(CJ55:CM55)</f>
        <v>1857.6875</v>
      </c>
      <c r="CO55" s="187">
        <f t="shared" si="218"/>
        <v>1876.859375</v>
      </c>
      <c r="CP55" s="187">
        <f t="shared" si="218"/>
        <v>1889.82421875</v>
      </c>
      <c r="CQ55" s="187">
        <f>+AVERAGE(CM55:CP55)*1.03</f>
        <v>1945.4436816406251</v>
      </c>
      <c r="CR55" s="187">
        <f t="shared" ref="CR55:CT55" si="219">+AVERAGE(CN55:CQ55)*1.03</f>
        <v>1949.227304663086</v>
      </c>
      <c r="CS55" s="187">
        <f t="shared" si="219"/>
        <v>1972.7988043638306</v>
      </c>
      <c r="CT55" s="187">
        <f t="shared" si="219"/>
        <v>1997.5032074250171</v>
      </c>
      <c r="CU55" s="187">
        <f t="shared" si="218"/>
        <v>1966.2432495231396</v>
      </c>
      <c r="CV55" s="187">
        <f t="shared" si="218"/>
        <v>1971.4431414937683</v>
      </c>
      <c r="CW55" s="187">
        <f t="shared" si="218"/>
        <v>1976.9971007014387</v>
      </c>
      <c r="CX55" s="187">
        <f t="shared" si="218"/>
        <v>1978.0466747858409</v>
      </c>
      <c r="CY55" s="187">
        <f t="shared" si="218"/>
        <v>1973.1825416260467</v>
      </c>
      <c r="CZ55" s="187">
        <f t="shared" si="218"/>
        <v>1974.9173646517738</v>
      </c>
      <c r="DA55" s="187">
        <f t="shared" si="218"/>
        <v>1975.785920441275</v>
      </c>
      <c r="DB55" s="187">
        <f t="shared" si="218"/>
        <v>1975.4831253762343</v>
      </c>
      <c r="DE55" s="189"/>
    </row>
    <row r="56" spans="1:110" s="188" customFormat="1" x14ac:dyDescent="0.2">
      <c r="A56" s="186" t="s">
        <v>584</v>
      </c>
      <c r="B56" s="185"/>
      <c r="C56" s="185"/>
      <c r="D56" s="185"/>
      <c r="E56" s="185"/>
      <c r="F56" s="185"/>
      <c r="G56" s="185"/>
      <c r="H56" s="185"/>
      <c r="I56" s="185"/>
      <c r="J56" s="185"/>
      <c r="K56" s="185"/>
      <c r="L56" s="185"/>
      <c r="M56" s="185"/>
      <c r="N56" s="185"/>
      <c r="O56" s="185"/>
      <c r="P56" s="185"/>
      <c r="Q56" s="185"/>
      <c r="R56" s="185"/>
      <c r="S56" s="185"/>
      <c r="T56" s="185"/>
      <c r="U56" s="185"/>
      <c r="V56" s="185"/>
      <c r="W56" s="185"/>
      <c r="X56" s="185"/>
      <c r="Y56" s="185"/>
      <c r="Z56" s="185"/>
      <c r="AA56" s="187">
        <f t="shared" ref="AA56:AE56" si="220">+AA62/AA34*10</f>
        <v>4659.0449363840798</v>
      </c>
      <c r="AB56" s="187">
        <f t="shared" si="220"/>
        <v>4115.7592903496598</v>
      </c>
      <c r="AC56" s="187">
        <f t="shared" si="220"/>
        <v>4440.7169267402296</v>
      </c>
      <c r="AD56" s="187">
        <f t="shared" si="220"/>
        <v>4457.5886083236328</v>
      </c>
      <c r="AE56" s="187">
        <f t="shared" si="220"/>
        <v>4593.1907922042919</v>
      </c>
      <c r="AI56" s="185"/>
      <c r="AJ56" s="185"/>
      <c r="AK56" s="185"/>
      <c r="AL56" s="185"/>
      <c r="AM56" s="185"/>
      <c r="AN56" s="185"/>
      <c r="AO56" s="185"/>
      <c r="AP56" s="185"/>
      <c r="AQ56" s="185"/>
      <c r="AR56" s="185"/>
      <c r="AS56" s="185"/>
      <c r="AT56" s="185"/>
      <c r="AU56" s="185"/>
      <c r="AV56" s="185"/>
      <c r="AW56" s="185"/>
      <c r="AX56" s="185"/>
      <c r="AY56" s="185"/>
      <c r="AZ56" s="185"/>
      <c r="BA56" s="185"/>
      <c r="BB56" s="185"/>
      <c r="BC56" s="185"/>
      <c r="BD56" s="185"/>
      <c r="BE56" s="185"/>
      <c r="BF56" s="185"/>
      <c r="BG56" s="185"/>
      <c r="BH56" s="185"/>
      <c r="BI56" s="185"/>
      <c r="BJ56" s="185"/>
      <c r="BK56" s="185"/>
      <c r="BL56" s="185"/>
      <c r="BM56" s="185"/>
      <c r="BN56" s="185"/>
      <c r="BO56" s="185"/>
      <c r="BP56" s="185"/>
      <c r="BQ56" s="185"/>
      <c r="BR56" s="185"/>
      <c r="BS56" s="185"/>
      <c r="BT56" s="185"/>
      <c r="BU56" s="185"/>
      <c r="BV56" s="185"/>
      <c r="BW56" s="185"/>
      <c r="BX56" s="185"/>
      <c r="BY56" s="185"/>
      <c r="BZ56" s="185"/>
      <c r="CA56" s="185"/>
      <c r="CB56" s="185"/>
      <c r="CC56" s="185"/>
      <c r="CD56" s="185"/>
      <c r="CE56" s="185"/>
      <c r="CF56" s="185"/>
      <c r="CG56" s="185"/>
      <c r="CH56" s="185"/>
      <c r="CI56" s="185"/>
      <c r="CJ56" s="260">
        <v>4900</v>
      </c>
      <c r="CK56" s="260">
        <v>4500</v>
      </c>
      <c r="CL56" s="260">
        <v>4040</v>
      </c>
      <c r="CM56" s="187">
        <f>+AVERAGE(CI56:CL56)*0.9</f>
        <v>4032</v>
      </c>
      <c r="CN56" s="187">
        <f>+AVERAGE(CJ56:CM56)*0.95</f>
        <v>4149.5999999999995</v>
      </c>
      <c r="CO56" s="187">
        <f>+AVERAGE(CK56:CN56)</f>
        <v>4180.3999999999996</v>
      </c>
      <c r="CP56" s="187">
        <f>+AVERAGE(CL56:CO56)</f>
        <v>4100.5</v>
      </c>
      <c r="CQ56" s="187">
        <f>+AVERAGE(CM56:CP56)*1.05</f>
        <v>4321.40625</v>
      </c>
      <c r="CR56" s="187">
        <f t="shared" ref="CR56:CT56" si="221">+AVERAGE(CN56:CQ56)*1.05</f>
        <v>4397.3753906250004</v>
      </c>
      <c r="CS56" s="187">
        <f t="shared" si="221"/>
        <v>4462.4164306640623</v>
      </c>
      <c r="CT56" s="187">
        <f t="shared" si="221"/>
        <v>4536.4457437133788</v>
      </c>
      <c r="CU56" s="187">
        <f t="shared" ref="CU56:CX56" si="222">+AVERAGE(CQ56:CT56)</f>
        <v>4429.4109537506101</v>
      </c>
      <c r="CV56" s="187">
        <f t="shared" si="222"/>
        <v>4456.4121296882622</v>
      </c>
      <c r="CW56" s="187">
        <f t="shared" si="222"/>
        <v>4471.171314454079</v>
      </c>
      <c r="CX56" s="187">
        <f t="shared" si="222"/>
        <v>4473.3600354015825</v>
      </c>
      <c r="CY56" s="187">
        <f>+AVERAGE(CU56:CX56)*1.02</f>
        <v>4546.7403804901069</v>
      </c>
      <c r="CZ56" s="187">
        <f t="shared" ref="CZ56:DB56" si="223">+AVERAGE(CV56:CY56)*1.02</f>
        <v>4576.6593843086775</v>
      </c>
      <c r="DA56" s="187">
        <f t="shared" si="223"/>
        <v>4607.322434236884</v>
      </c>
      <c r="DB56" s="187">
        <f t="shared" si="223"/>
        <v>4642.0409697814985</v>
      </c>
      <c r="DE56" s="189"/>
    </row>
    <row r="57" spans="1:110" s="158" customFormat="1" x14ac:dyDescent="0.2">
      <c r="A57" s="155" t="s">
        <v>580</v>
      </c>
      <c r="B57" s="156"/>
      <c r="C57" s="156"/>
      <c r="D57" s="156"/>
      <c r="E57" s="156"/>
      <c r="F57" s="156"/>
      <c r="G57" s="156"/>
      <c r="H57" s="156"/>
      <c r="I57" s="156"/>
      <c r="J57" s="156"/>
      <c r="K57" s="156"/>
      <c r="L57" s="156"/>
      <c r="M57" s="156"/>
      <c r="N57" s="156"/>
      <c r="O57" s="156"/>
      <c r="P57" s="156"/>
      <c r="Q57" s="156"/>
      <c r="R57" s="156"/>
      <c r="S57" s="156"/>
      <c r="T57" s="156"/>
      <c r="U57" s="156"/>
      <c r="V57" s="156"/>
      <c r="W57" s="156"/>
      <c r="X57" s="156"/>
      <c r="Y57" s="185"/>
      <c r="Z57" s="185"/>
      <c r="AA57" s="187">
        <f t="shared" ref="AA57:AB57" si="224">+AA63/AA35*10</f>
        <v>5862.0123966942137</v>
      </c>
      <c r="AB57" s="187">
        <f t="shared" si="224"/>
        <v>5000</v>
      </c>
      <c r="AC57" s="187"/>
      <c r="AD57" s="187"/>
      <c r="AE57" s="187"/>
      <c r="AI57" s="156"/>
      <c r="AJ57" s="156"/>
      <c r="AK57" s="156"/>
      <c r="AL57" s="156"/>
      <c r="AM57" s="156"/>
      <c r="AN57" s="156"/>
      <c r="AO57" s="156"/>
      <c r="AP57" s="156"/>
      <c r="AQ57" s="156"/>
      <c r="AR57" s="156"/>
      <c r="AS57" s="156"/>
      <c r="AT57" s="156"/>
      <c r="AU57" s="156"/>
      <c r="AV57" s="156"/>
      <c r="AW57" s="156"/>
      <c r="AX57" s="156"/>
      <c r="AY57" s="156"/>
      <c r="AZ57" s="156"/>
      <c r="BA57" s="156"/>
      <c r="BB57" s="156"/>
      <c r="BC57" s="156"/>
      <c r="BD57" s="156"/>
      <c r="BE57" s="156"/>
      <c r="BF57" s="156"/>
      <c r="BG57" s="156"/>
      <c r="BH57" s="156"/>
      <c r="BI57" s="156"/>
      <c r="BJ57" s="156"/>
      <c r="BK57" s="156"/>
      <c r="BL57" s="156"/>
      <c r="BM57" s="156"/>
      <c r="BN57" s="156"/>
      <c r="BO57" s="156"/>
      <c r="BP57" s="156"/>
      <c r="BQ57" s="156"/>
      <c r="BR57" s="156"/>
      <c r="BS57" s="156"/>
      <c r="BT57" s="156"/>
      <c r="BU57" s="156"/>
      <c r="BV57" s="156"/>
      <c r="BW57" s="156"/>
      <c r="BX57" s="156"/>
      <c r="BY57" s="156"/>
      <c r="BZ57" s="156"/>
      <c r="CA57" s="156"/>
      <c r="CB57" s="156"/>
      <c r="CC57" s="156"/>
      <c r="CD57" s="156"/>
      <c r="CE57" s="156"/>
      <c r="CF57" s="156"/>
      <c r="CG57" s="156"/>
      <c r="CH57" s="156"/>
      <c r="CI57" s="156"/>
      <c r="CJ57" s="258">
        <v>6000</v>
      </c>
      <c r="CK57" s="258">
        <v>6500</v>
      </c>
      <c r="CL57" s="258">
        <v>7999</v>
      </c>
      <c r="CM57" s="187">
        <v>5000</v>
      </c>
      <c r="CN57" s="187">
        <f>+CM57</f>
        <v>5000</v>
      </c>
      <c r="CO57" s="187">
        <f t="shared" ref="CO57" si="225">+CN57</f>
        <v>5000</v>
      </c>
      <c r="CP57" s="187"/>
      <c r="CQ57" s="187"/>
      <c r="CR57" s="187"/>
      <c r="CS57" s="187"/>
      <c r="CT57" s="187"/>
      <c r="CU57" s="187"/>
      <c r="CV57" s="187"/>
      <c r="CW57" s="187"/>
      <c r="CX57" s="187"/>
      <c r="CY57" s="187"/>
      <c r="CZ57" s="187"/>
      <c r="DA57" s="187"/>
      <c r="DB57" s="187"/>
      <c r="DE57" s="159"/>
    </row>
    <row r="58" spans="1:110" s="158" customFormat="1" x14ac:dyDescent="0.2">
      <c r="A58" s="155" t="s">
        <v>576</v>
      </c>
      <c r="B58" s="156"/>
      <c r="C58" s="156"/>
      <c r="D58" s="156"/>
      <c r="E58" s="156"/>
      <c r="F58" s="156"/>
      <c r="G58" s="156"/>
      <c r="H58" s="156"/>
      <c r="I58" s="156"/>
      <c r="J58" s="156"/>
      <c r="K58" s="156"/>
      <c r="L58" s="156"/>
      <c r="M58" s="156"/>
      <c r="N58" s="156"/>
      <c r="O58" s="156"/>
      <c r="P58" s="156"/>
      <c r="Q58" s="156"/>
      <c r="R58" s="156"/>
      <c r="S58" s="156"/>
      <c r="T58" s="156"/>
      <c r="U58" s="156"/>
      <c r="V58" s="156"/>
      <c r="W58" s="156"/>
      <c r="X58" s="156"/>
      <c r="Y58" s="185"/>
      <c r="Z58" s="185"/>
      <c r="AA58" s="187" t="e">
        <f>+AA65/AA36*10</f>
        <v>#DIV/0!</v>
      </c>
      <c r="AB58" s="187">
        <f>+AB65/AB36*10</f>
        <v>4750</v>
      </c>
      <c r="AC58" s="187">
        <f>+AC65/AC36*10</f>
        <v>7700</v>
      </c>
      <c r="AD58" s="187">
        <f>+AD65/AD36*10</f>
        <v>8800</v>
      </c>
      <c r="AE58" s="187">
        <f>+AE65/(AE36+AE37)*10</f>
        <v>11431.03448275862</v>
      </c>
      <c r="AI58" s="156"/>
      <c r="AJ58" s="156"/>
      <c r="AK58" s="156"/>
      <c r="AL58" s="156"/>
      <c r="AM58" s="156"/>
      <c r="AN58" s="156"/>
      <c r="AO58" s="156"/>
      <c r="AP58" s="156"/>
      <c r="AQ58" s="156"/>
      <c r="AR58" s="156"/>
      <c r="AS58" s="156"/>
      <c r="AT58" s="156"/>
      <c r="AU58" s="156"/>
      <c r="AV58" s="156"/>
      <c r="AW58" s="156"/>
      <c r="AX58" s="156"/>
      <c r="AY58" s="156"/>
      <c r="AZ58" s="156"/>
      <c r="BA58" s="156"/>
      <c r="BB58" s="156"/>
      <c r="BC58" s="156"/>
      <c r="BD58" s="156"/>
      <c r="BE58" s="156"/>
      <c r="BF58" s="156"/>
      <c r="BG58" s="156"/>
      <c r="BH58" s="156"/>
      <c r="BI58" s="156"/>
      <c r="BJ58" s="156"/>
      <c r="BK58" s="156"/>
      <c r="BL58" s="156"/>
      <c r="BM58" s="156"/>
      <c r="BN58" s="156"/>
      <c r="BO58" s="156"/>
      <c r="BP58" s="156"/>
      <c r="BQ58" s="156"/>
      <c r="BR58" s="156"/>
      <c r="BS58" s="156"/>
      <c r="BT58" s="156"/>
      <c r="BU58" s="156"/>
      <c r="BV58" s="156"/>
      <c r="BW58" s="156"/>
      <c r="BX58" s="156"/>
      <c r="BY58" s="156"/>
      <c r="BZ58" s="156"/>
      <c r="CA58" s="156"/>
      <c r="CB58" s="156"/>
      <c r="CC58" s="156"/>
      <c r="CD58" s="156"/>
      <c r="CE58" s="156"/>
      <c r="CF58" s="156"/>
      <c r="CG58" s="156"/>
      <c r="CH58" s="156"/>
      <c r="CI58" s="156"/>
      <c r="CJ58" s="156"/>
      <c r="CK58" s="258"/>
      <c r="CL58" s="258"/>
      <c r="CM58" s="187"/>
      <c r="CN58" s="187"/>
      <c r="CO58" s="187"/>
      <c r="CP58" s="187">
        <v>9500</v>
      </c>
      <c r="CQ58" s="187">
        <v>11000</v>
      </c>
      <c r="CR58" s="187">
        <f>+CQ58</f>
        <v>11000</v>
      </c>
      <c r="CS58" s="187">
        <f t="shared" ref="CS58:CT58" si="226">+CR58</f>
        <v>11000</v>
      </c>
      <c r="CT58" s="187">
        <f t="shared" si="226"/>
        <v>11000</v>
      </c>
      <c r="CU58" s="187">
        <f>+CT58</f>
        <v>11000</v>
      </c>
      <c r="CV58" s="187">
        <f>+CU58</f>
        <v>11000</v>
      </c>
      <c r="CW58" s="187">
        <f t="shared" ref="CW58:CX58" si="227">+CV58</f>
        <v>11000</v>
      </c>
      <c r="CX58" s="187">
        <f t="shared" si="227"/>
        <v>11000</v>
      </c>
      <c r="CY58" s="187">
        <v>15000</v>
      </c>
      <c r="CZ58" s="187">
        <f>+CY58</f>
        <v>15000</v>
      </c>
      <c r="DA58" s="187">
        <f t="shared" ref="DA58:DB58" si="228">+CZ58</f>
        <v>15000</v>
      </c>
      <c r="DB58" s="187">
        <f t="shared" si="228"/>
        <v>15000</v>
      </c>
      <c r="DE58" s="159"/>
    </row>
    <row r="59" spans="1:110" s="109" customFormat="1" x14ac:dyDescent="0.2">
      <c r="A59" s="184"/>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c r="AA59" s="108"/>
      <c r="AB59" s="108"/>
      <c r="AC59" s="108"/>
      <c r="AD59" s="108"/>
      <c r="AE59" s="108"/>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7"/>
      <c r="CA59" s="107"/>
      <c r="CB59" s="107"/>
      <c r="CC59" s="107"/>
      <c r="CD59" s="107"/>
      <c r="CE59" s="107"/>
      <c r="CF59" s="107"/>
      <c r="CG59" s="107"/>
      <c r="CH59" s="107"/>
      <c r="CI59" s="107"/>
      <c r="CJ59" s="107"/>
      <c r="CK59" s="107"/>
      <c r="CL59" s="107"/>
      <c r="CM59" s="108"/>
      <c r="CN59" s="108"/>
      <c r="CO59" s="108"/>
      <c r="CP59" s="108"/>
      <c r="CQ59" s="108"/>
      <c r="CR59" s="108"/>
      <c r="CS59" s="108"/>
      <c r="CT59" s="108"/>
      <c r="CU59" s="108"/>
      <c r="CV59" s="108"/>
      <c r="CW59" s="108"/>
      <c r="CX59" s="108"/>
      <c r="CY59" s="108"/>
      <c r="CZ59" s="108"/>
      <c r="DA59" s="108"/>
      <c r="DB59" s="108"/>
      <c r="DE59" s="117"/>
    </row>
    <row r="60" spans="1:110" s="192" customFormat="1" x14ac:dyDescent="0.2">
      <c r="A60" s="190" t="s">
        <v>13</v>
      </c>
      <c r="B60" s="191"/>
      <c r="C60" s="191"/>
      <c r="D60" s="191"/>
      <c r="E60" s="191"/>
      <c r="F60" s="191"/>
      <c r="G60" s="191"/>
      <c r="H60" s="191"/>
      <c r="I60" s="191"/>
      <c r="J60" s="191"/>
      <c r="K60" s="191"/>
      <c r="L60" s="191"/>
      <c r="M60" s="191"/>
      <c r="N60" s="191"/>
      <c r="O60" s="191"/>
      <c r="P60" s="191"/>
      <c r="Q60" s="191"/>
      <c r="R60" s="191"/>
      <c r="S60" s="191"/>
      <c r="T60" s="191"/>
      <c r="U60" s="191"/>
      <c r="V60" s="191"/>
      <c r="W60" s="191"/>
      <c r="X60" s="191"/>
      <c r="Y60" s="191"/>
      <c r="Z60" s="191"/>
      <c r="AA60" s="191"/>
      <c r="AB60" s="191"/>
      <c r="AC60" s="191"/>
      <c r="AD60" s="191"/>
      <c r="AE60" s="191"/>
      <c r="AI60" s="191"/>
      <c r="AJ60" s="191"/>
      <c r="AK60" s="191"/>
      <c r="AL60" s="191"/>
      <c r="AM60" s="191"/>
      <c r="AN60" s="191"/>
      <c r="AO60" s="191"/>
      <c r="AP60" s="191"/>
      <c r="AQ60" s="191"/>
      <c r="AR60" s="191"/>
      <c r="AS60" s="191"/>
      <c r="AT60" s="191"/>
      <c r="AU60" s="191"/>
      <c r="AV60" s="191"/>
      <c r="AW60" s="191"/>
      <c r="AX60" s="191"/>
      <c r="AY60" s="191"/>
      <c r="AZ60" s="191"/>
      <c r="BA60" s="191"/>
      <c r="BB60" s="191"/>
      <c r="BC60" s="191"/>
      <c r="BD60" s="191"/>
      <c r="BE60" s="191"/>
      <c r="BF60" s="191"/>
      <c r="BG60" s="191"/>
      <c r="BH60" s="191"/>
      <c r="BI60" s="191"/>
      <c r="BJ60" s="191"/>
      <c r="BK60" s="191"/>
      <c r="BL60" s="191"/>
      <c r="BM60" s="191"/>
      <c r="BN60" s="191"/>
      <c r="BO60" s="191"/>
      <c r="BP60" s="191"/>
      <c r="BQ60" s="191"/>
      <c r="BR60" s="191"/>
      <c r="BS60" s="191"/>
      <c r="BT60" s="191"/>
      <c r="BU60" s="191"/>
      <c r="BV60" s="191"/>
      <c r="BW60" s="191"/>
      <c r="BX60" s="191"/>
      <c r="BY60" s="191"/>
      <c r="BZ60" s="191"/>
      <c r="CA60" s="191"/>
      <c r="CB60" s="191"/>
      <c r="CC60" s="191"/>
      <c r="CD60" s="191"/>
      <c r="CE60" s="191"/>
      <c r="CF60" s="191"/>
      <c r="CG60" s="191"/>
      <c r="CH60" s="191"/>
      <c r="CI60" s="191"/>
      <c r="CJ60" s="191"/>
      <c r="CK60" s="191"/>
      <c r="CL60" s="191"/>
      <c r="CM60" s="191"/>
      <c r="CN60" s="191"/>
      <c r="CO60" s="191"/>
      <c r="CP60" s="191"/>
      <c r="CQ60" s="191"/>
      <c r="CR60" s="191"/>
      <c r="CS60" s="191"/>
      <c r="CT60" s="191"/>
      <c r="CU60" s="191"/>
      <c r="CV60" s="191"/>
      <c r="CW60" s="191"/>
      <c r="CX60" s="191"/>
      <c r="CY60" s="191"/>
      <c r="CZ60" s="191"/>
      <c r="DA60" s="191"/>
      <c r="DB60" s="191"/>
      <c r="DE60" s="191"/>
    </row>
    <row r="61" spans="1:110" s="158" customFormat="1" x14ac:dyDescent="0.2">
      <c r="A61" s="155" t="s">
        <v>574</v>
      </c>
      <c r="B61" s="156"/>
      <c r="C61" s="156"/>
      <c r="D61" s="156"/>
      <c r="E61" s="156"/>
      <c r="F61" s="156"/>
      <c r="G61" s="156"/>
      <c r="H61" s="156"/>
      <c r="I61" s="156"/>
      <c r="J61" s="156"/>
      <c r="K61" s="156"/>
      <c r="L61" s="156"/>
      <c r="M61" s="156"/>
      <c r="N61" s="156"/>
      <c r="O61" s="156"/>
      <c r="P61" s="156"/>
      <c r="Q61" s="156"/>
      <c r="R61" s="156"/>
      <c r="S61" s="156"/>
      <c r="T61" s="156"/>
      <c r="U61" s="156"/>
      <c r="V61" s="156"/>
      <c r="W61" s="156"/>
      <c r="X61" s="156"/>
      <c r="Y61" s="156">
        <f t="shared" ref="Y61" si="229">SUM(CA61:CD61)</f>
        <v>885.08400000000006</v>
      </c>
      <c r="Z61" s="156">
        <f t="shared" ref="Z61" si="230">SUM(CE61:CH61)</f>
        <v>1750.2339999999999</v>
      </c>
      <c r="AA61" s="157">
        <f t="shared" ref="AA61" si="231">SUM(CI61:CL61)</f>
        <v>3127.1390000000001</v>
      </c>
      <c r="AB61" s="157">
        <f t="shared" ref="AB61" si="232">+SUM(CM61:CP61)</f>
        <v>3280.0102500000003</v>
      </c>
      <c r="AC61" s="157">
        <f t="shared" ref="AC61" si="233">+SUM(CQ61:CT61)</f>
        <v>2577.4647900430477</v>
      </c>
      <c r="AD61" s="157">
        <f t="shared" ref="AD61" si="234">+SUM(CU61:CX61)</f>
        <v>2544.6162056809503</v>
      </c>
      <c r="AE61" s="157">
        <f t="shared" ref="AE61" si="235">+SUM(CY61:DB61)</f>
        <v>2546.7565501555346</v>
      </c>
      <c r="AI61" s="156"/>
      <c r="AJ61" s="156"/>
      <c r="AK61" s="156"/>
      <c r="AL61" s="156"/>
      <c r="AM61" s="156"/>
      <c r="AN61" s="156"/>
      <c r="AO61" s="156"/>
      <c r="AP61" s="156"/>
      <c r="AQ61" s="156"/>
      <c r="AR61" s="156"/>
      <c r="AS61" s="156"/>
      <c r="AT61" s="156"/>
      <c r="AU61" s="156"/>
      <c r="AV61" s="156"/>
      <c r="AW61" s="156"/>
      <c r="AX61" s="156"/>
      <c r="AY61" s="156"/>
      <c r="AZ61" s="156"/>
      <c r="BA61" s="156"/>
      <c r="BB61" s="156"/>
      <c r="BC61" s="156"/>
      <c r="BD61" s="156"/>
      <c r="BE61" s="156"/>
      <c r="BF61" s="156"/>
      <c r="BG61" s="156"/>
      <c r="BH61" s="156"/>
      <c r="BI61" s="156"/>
      <c r="BJ61" s="156"/>
      <c r="BK61" s="156"/>
      <c r="BL61" s="156"/>
      <c r="BM61" s="156"/>
      <c r="BN61" s="156"/>
      <c r="BO61" s="156"/>
      <c r="BP61" s="156"/>
      <c r="BQ61" s="156"/>
      <c r="BR61" s="156"/>
      <c r="BS61" s="156"/>
      <c r="BT61" s="156"/>
      <c r="BU61" s="156"/>
      <c r="BV61" s="156"/>
      <c r="BW61" s="156"/>
      <c r="BX61" s="156"/>
      <c r="BY61" s="156"/>
      <c r="BZ61" s="156"/>
      <c r="CA61" s="156"/>
      <c r="CB61" s="156"/>
      <c r="CC61" s="156">
        <f t="shared" ref="CC61:CJ61" si="236">+CC55*CC33/10</f>
        <v>414.834</v>
      </c>
      <c r="CD61" s="156">
        <f t="shared" si="236"/>
        <v>470.25</v>
      </c>
      <c r="CE61" s="156">
        <f t="shared" si="236"/>
        <v>665.28</v>
      </c>
      <c r="CF61" s="156">
        <f t="shared" si="236"/>
        <v>330.26400000000001</v>
      </c>
      <c r="CG61" s="156">
        <f t="shared" si="236"/>
        <v>501.20799999999997</v>
      </c>
      <c r="CH61" s="156">
        <f t="shared" si="236"/>
        <v>253.48199999999997</v>
      </c>
      <c r="CI61" s="156">
        <f t="shared" si="236"/>
        <v>766.93500000000006</v>
      </c>
      <c r="CJ61" s="156">
        <f t="shared" si="236"/>
        <v>445.25</v>
      </c>
      <c r="CK61" s="156">
        <f t="shared" ref="CK61:DB61" si="237">+CK55*CK33/10</f>
        <v>748.24999999999989</v>
      </c>
      <c r="CL61" s="156">
        <f t="shared" si="237"/>
        <v>1166.7040000000002</v>
      </c>
      <c r="CM61" s="157">
        <f t="shared" si="237"/>
        <v>934.48299999999995</v>
      </c>
      <c r="CN61" s="157">
        <f t="shared" si="237"/>
        <v>899.12075000000004</v>
      </c>
      <c r="CO61" s="157">
        <f t="shared" si="237"/>
        <v>720.71399999999994</v>
      </c>
      <c r="CP61" s="157">
        <f t="shared" si="237"/>
        <v>725.6925</v>
      </c>
      <c r="CQ61" s="157">
        <f t="shared" si="237"/>
        <v>795.68646579101562</v>
      </c>
      <c r="CR61" s="157">
        <f t="shared" si="237"/>
        <v>586.71741870358881</v>
      </c>
      <c r="CS61" s="157">
        <f t="shared" si="237"/>
        <v>593.81244011351305</v>
      </c>
      <c r="CT61" s="157">
        <f t="shared" si="237"/>
        <v>601.24846543493015</v>
      </c>
      <c r="CU61" s="157">
        <f t="shared" si="237"/>
        <v>633.91682364626024</v>
      </c>
      <c r="CV61" s="157">
        <f t="shared" si="237"/>
        <v>635.59326881759091</v>
      </c>
      <c r="CW61" s="157">
        <f t="shared" si="237"/>
        <v>637.38386526614386</v>
      </c>
      <c r="CX61" s="157">
        <f t="shared" si="237"/>
        <v>637.72224795095519</v>
      </c>
      <c r="CY61" s="157">
        <f t="shared" si="237"/>
        <v>636.15405142023747</v>
      </c>
      <c r="CZ61" s="157">
        <f t="shared" si="237"/>
        <v>636.71335836373191</v>
      </c>
      <c r="DA61" s="157">
        <f t="shared" si="237"/>
        <v>636.99338075026708</v>
      </c>
      <c r="DB61" s="157">
        <f t="shared" si="237"/>
        <v>636.89575962129788</v>
      </c>
      <c r="DE61" s="159"/>
    </row>
    <row r="62" spans="1:110" s="158" customFormat="1" x14ac:dyDescent="0.2">
      <c r="A62" s="155" t="s">
        <v>581</v>
      </c>
      <c r="B62" s="156"/>
      <c r="C62" s="156"/>
      <c r="D62" s="156"/>
      <c r="E62" s="156"/>
      <c r="F62" s="156"/>
      <c r="G62" s="156"/>
      <c r="H62" s="156"/>
      <c r="I62" s="156"/>
      <c r="J62" s="156"/>
      <c r="K62" s="156"/>
      <c r="L62" s="156"/>
      <c r="M62" s="156"/>
      <c r="N62" s="156"/>
      <c r="O62" s="156"/>
      <c r="P62" s="156"/>
      <c r="Q62" s="156"/>
      <c r="R62" s="156"/>
      <c r="S62" s="156"/>
      <c r="T62" s="156"/>
      <c r="U62" s="156"/>
      <c r="V62" s="156"/>
      <c r="W62" s="156"/>
      <c r="X62" s="156"/>
      <c r="Y62" s="156">
        <f t="shared" ref="Y62:Y65" si="238">SUM(CA62:CD62)</f>
        <v>0</v>
      </c>
      <c r="Z62" s="156">
        <f t="shared" ref="Z62:Z65" si="239">SUM(CE62:CH62)</f>
        <v>0</v>
      </c>
      <c r="AA62" s="157">
        <f t="shared" ref="AA62" si="240">SUM(CI62:CL62)</f>
        <v>1147.6599999999999</v>
      </c>
      <c r="AB62" s="157">
        <f t="shared" ref="AB62" si="241">+SUM(CM62:CP62)</f>
        <v>2549.5482500000003</v>
      </c>
      <c r="AC62" s="157">
        <f t="shared" ref="AC62" si="242">+SUM(CQ62:CT62)</f>
        <v>3817.9507849341799</v>
      </c>
      <c r="AD62" s="157">
        <f t="shared" ref="AD62" si="243">+SUM(CU62:CX62)</f>
        <v>4257.7103351264013</v>
      </c>
      <c r="AE62" s="157">
        <f t="shared" ref="AE62" si="244">+SUM(CY62:DB62)</f>
        <v>3144.3146887113699</v>
      </c>
      <c r="AI62" s="156"/>
      <c r="AJ62" s="156"/>
      <c r="AK62" s="156"/>
      <c r="AL62" s="156"/>
      <c r="AM62" s="156"/>
      <c r="AN62" s="156"/>
      <c r="AO62" s="156"/>
      <c r="AP62" s="156"/>
      <c r="AQ62" s="156"/>
      <c r="AR62" s="156"/>
      <c r="AS62" s="156"/>
      <c r="AT62" s="156"/>
      <c r="AU62" s="156"/>
      <c r="AV62" s="156"/>
      <c r="AW62" s="156"/>
      <c r="AX62" s="156"/>
      <c r="AY62" s="156"/>
      <c r="AZ62" s="156"/>
      <c r="BA62" s="156"/>
      <c r="BB62" s="156"/>
      <c r="BC62" s="156"/>
      <c r="BD62" s="156"/>
      <c r="BE62" s="156"/>
      <c r="BF62" s="156"/>
      <c r="BG62" s="156"/>
      <c r="BH62" s="156"/>
      <c r="BI62" s="156"/>
      <c r="BJ62" s="156"/>
      <c r="BK62" s="156"/>
      <c r="BL62" s="156"/>
      <c r="BM62" s="156"/>
      <c r="BN62" s="156"/>
      <c r="BO62" s="156"/>
      <c r="BP62" s="156"/>
      <c r="BQ62" s="156"/>
      <c r="BR62" s="156"/>
      <c r="BS62" s="156"/>
      <c r="BT62" s="156"/>
      <c r="BU62" s="156"/>
      <c r="BV62" s="156"/>
      <c r="BW62" s="156"/>
      <c r="BX62" s="156"/>
      <c r="BY62" s="156"/>
      <c r="BZ62" s="156"/>
      <c r="CA62" s="156"/>
      <c r="CB62" s="156"/>
      <c r="CC62" s="156"/>
      <c r="CD62" s="156"/>
      <c r="CE62" s="156"/>
      <c r="CF62" s="156"/>
      <c r="CG62" s="156"/>
      <c r="CH62" s="156"/>
      <c r="CI62" s="156"/>
      <c r="CJ62" s="156">
        <f t="shared" ref="CJ62" si="245">+CJ56*CJ34/10</f>
        <v>338.09999999999997</v>
      </c>
      <c r="CK62" s="156">
        <f t="shared" ref="CK62:DB62" si="246">+CK56*CK34/10</f>
        <v>450</v>
      </c>
      <c r="CL62" s="156">
        <f t="shared" si="246"/>
        <v>359.56</v>
      </c>
      <c r="CM62" s="157">
        <f t="shared" si="246"/>
        <v>629.95968000000005</v>
      </c>
      <c r="CN62" s="157">
        <f t="shared" si="246"/>
        <v>648.33350399999995</v>
      </c>
      <c r="CO62" s="157">
        <f t="shared" si="246"/>
        <v>653.14569599999993</v>
      </c>
      <c r="CP62" s="157">
        <f t="shared" si="246"/>
        <v>618.10937000000001</v>
      </c>
      <c r="CQ62" s="157">
        <f t="shared" si="246"/>
        <v>637.14813749999996</v>
      </c>
      <c r="CR62" s="157">
        <f t="shared" si="246"/>
        <v>1044.1128127500001</v>
      </c>
      <c r="CS62" s="157">
        <f t="shared" si="246"/>
        <v>1059.556157296875</v>
      </c>
      <c r="CT62" s="157">
        <f t="shared" si="246"/>
        <v>1077.1336773873047</v>
      </c>
      <c r="CU62" s="157">
        <f t="shared" si="246"/>
        <v>1057.6990416461081</v>
      </c>
      <c r="CV62" s="157">
        <f t="shared" si="246"/>
        <v>1064.1466524482603</v>
      </c>
      <c r="CW62" s="157">
        <f t="shared" si="246"/>
        <v>1067.6709981784895</v>
      </c>
      <c r="CX62" s="157">
        <f t="shared" si="246"/>
        <v>1068.1936428535441</v>
      </c>
      <c r="CY62" s="157">
        <f t="shared" si="246"/>
        <v>778.12914871707676</v>
      </c>
      <c r="CZ62" s="157">
        <f t="shared" si="246"/>
        <v>783.24948703058703</v>
      </c>
      <c r="DA62" s="157">
        <f t="shared" si="246"/>
        <v>788.49716139530017</v>
      </c>
      <c r="DB62" s="157">
        <f t="shared" si="246"/>
        <v>794.43889156840555</v>
      </c>
      <c r="DE62" s="159"/>
    </row>
    <row r="63" spans="1:110" s="158" customFormat="1" x14ac:dyDescent="0.2">
      <c r="A63" s="155" t="s">
        <v>582</v>
      </c>
      <c r="B63" s="156"/>
      <c r="C63" s="156"/>
      <c r="D63" s="156"/>
      <c r="E63" s="156"/>
      <c r="F63" s="156"/>
      <c r="G63" s="156"/>
      <c r="H63" s="156"/>
      <c r="I63" s="156"/>
      <c r="J63" s="156"/>
      <c r="K63" s="156"/>
      <c r="L63" s="156"/>
      <c r="M63" s="156"/>
      <c r="N63" s="156"/>
      <c r="O63" s="156"/>
      <c r="P63" s="156"/>
      <c r="Q63" s="156"/>
      <c r="R63" s="156"/>
      <c r="S63" s="156"/>
      <c r="T63" s="156"/>
      <c r="U63" s="156"/>
      <c r="V63" s="156"/>
      <c r="W63" s="156"/>
      <c r="X63" s="156"/>
      <c r="Y63" s="156"/>
      <c r="Z63" s="156"/>
      <c r="AA63" s="157">
        <f t="shared" ref="AA63:AA65" si="247">SUM(CI63:CL63)</f>
        <v>283.72139999999996</v>
      </c>
      <c r="AB63" s="157">
        <f t="shared" ref="AB63:AB65" si="248">+SUM(CM63:CP63)</f>
        <v>264</v>
      </c>
      <c r="AC63" s="157">
        <f t="shared" ref="AC63:AC65" si="249">+SUM(CQ63:CT63)</f>
        <v>0</v>
      </c>
      <c r="AD63" s="157">
        <f t="shared" ref="AD63:AD65" si="250">+SUM(CU63:CX63)</f>
        <v>0</v>
      </c>
      <c r="AE63" s="157">
        <f t="shared" ref="AE63:AE65" si="251">+SUM(CY63:DB63)</f>
        <v>0</v>
      </c>
      <c r="AI63" s="156"/>
      <c r="AJ63" s="156"/>
      <c r="AK63" s="156"/>
      <c r="AL63" s="156"/>
      <c r="AM63" s="156"/>
      <c r="AN63" s="156"/>
      <c r="AO63" s="156"/>
      <c r="AP63" s="156"/>
      <c r="AQ63" s="156"/>
      <c r="AR63" s="156"/>
      <c r="AS63" s="156"/>
      <c r="AT63" s="156"/>
      <c r="AU63" s="156"/>
      <c r="AV63" s="156"/>
      <c r="AW63" s="156"/>
      <c r="AX63" s="156"/>
      <c r="AY63" s="156"/>
      <c r="AZ63" s="156"/>
      <c r="BA63" s="156"/>
      <c r="BB63" s="156"/>
      <c r="BC63" s="156"/>
      <c r="BD63" s="156"/>
      <c r="BE63" s="156"/>
      <c r="BF63" s="156"/>
      <c r="BG63" s="156"/>
      <c r="BH63" s="156"/>
      <c r="BI63" s="156"/>
      <c r="BJ63" s="156"/>
      <c r="BK63" s="156"/>
      <c r="BL63" s="156"/>
      <c r="BM63" s="156"/>
      <c r="BN63" s="156"/>
      <c r="BO63" s="156"/>
      <c r="BP63" s="156"/>
      <c r="BQ63" s="156"/>
      <c r="BR63" s="156"/>
      <c r="BS63" s="156"/>
      <c r="BT63" s="156"/>
      <c r="BU63" s="156"/>
      <c r="BV63" s="156"/>
      <c r="BW63" s="156"/>
      <c r="BX63" s="156"/>
      <c r="BY63" s="156"/>
      <c r="BZ63" s="156"/>
      <c r="CA63" s="156"/>
      <c r="CB63" s="156"/>
      <c r="CC63" s="156"/>
      <c r="CD63" s="156"/>
      <c r="CE63" s="156"/>
      <c r="CF63" s="156"/>
      <c r="CG63" s="156"/>
      <c r="CH63" s="156"/>
      <c r="CI63" s="156"/>
      <c r="CJ63" s="156">
        <f>+CJ57*CJ35/10</f>
        <v>53.260199999999998</v>
      </c>
      <c r="CK63" s="156">
        <f>+CK57*CK35/10</f>
        <v>80.08</v>
      </c>
      <c r="CL63" s="156">
        <f>+CL57*CL35/10</f>
        <v>150.38119999999998</v>
      </c>
      <c r="CM63" s="157">
        <f t="shared" ref="CM63:DB63" si="252">+CM57*CM35/10</f>
        <v>88</v>
      </c>
      <c r="CN63" s="157">
        <f t="shared" si="252"/>
        <v>88</v>
      </c>
      <c r="CO63" s="157">
        <f t="shared" si="252"/>
        <v>88</v>
      </c>
      <c r="CP63" s="157">
        <f t="shared" si="252"/>
        <v>0</v>
      </c>
      <c r="CQ63" s="157">
        <f t="shared" si="252"/>
        <v>0</v>
      </c>
      <c r="CR63" s="157">
        <f t="shared" si="252"/>
        <v>0</v>
      </c>
      <c r="CS63" s="157">
        <f t="shared" si="252"/>
        <v>0</v>
      </c>
      <c r="CT63" s="157">
        <f t="shared" si="252"/>
        <v>0</v>
      </c>
      <c r="CU63" s="157">
        <f t="shared" si="252"/>
        <v>0</v>
      </c>
      <c r="CV63" s="157">
        <f t="shared" si="252"/>
        <v>0</v>
      </c>
      <c r="CW63" s="157">
        <f t="shared" si="252"/>
        <v>0</v>
      </c>
      <c r="CX63" s="157">
        <f t="shared" si="252"/>
        <v>0</v>
      </c>
      <c r="CY63" s="157">
        <f t="shared" si="252"/>
        <v>0</v>
      </c>
      <c r="CZ63" s="157">
        <f t="shared" si="252"/>
        <v>0</v>
      </c>
      <c r="DA63" s="157">
        <f t="shared" si="252"/>
        <v>0</v>
      </c>
      <c r="DB63" s="157">
        <f t="shared" si="252"/>
        <v>0</v>
      </c>
      <c r="DE63" s="159"/>
    </row>
    <row r="64" spans="1:110" s="158" customFormat="1" x14ac:dyDescent="0.2">
      <c r="A64" s="155" t="s">
        <v>579</v>
      </c>
      <c r="B64" s="156"/>
      <c r="C64" s="156"/>
      <c r="D64" s="156"/>
      <c r="E64" s="156"/>
      <c r="F64" s="156"/>
      <c r="G64" s="156"/>
      <c r="H64" s="156"/>
      <c r="I64" s="156"/>
      <c r="J64" s="156"/>
      <c r="K64" s="156"/>
      <c r="L64" s="156"/>
      <c r="M64" s="156"/>
      <c r="N64" s="156"/>
      <c r="O64" s="156"/>
      <c r="P64" s="156"/>
      <c r="Q64" s="156"/>
      <c r="R64" s="156"/>
      <c r="S64" s="156"/>
      <c r="T64" s="156"/>
      <c r="U64" s="156"/>
      <c r="V64" s="156"/>
      <c r="W64" s="156"/>
      <c r="X64" s="156"/>
      <c r="Y64" s="156">
        <f>SUM(CA64:CD64)</f>
        <v>0</v>
      </c>
      <c r="Z64" s="156">
        <f>SUM(CE64:CH64)</f>
        <v>0</v>
      </c>
      <c r="AA64" s="157">
        <f>SUM(CI64:CL64)</f>
        <v>1746.4</v>
      </c>
      <c r="AB64" s="157">
        <f>+SUM(CM64:CP64)</f>
        <v>2861.6849999999995</v>
      </c>
      <c r="AC64" s="157">
        <f>+SUM(CQ64:CT64)</f>
        <v>3777.4242000000004</v>
      </c>
      <c r="AD64" s="157">
        <f>+SUM(CU64:CX64)</f>
        <v>4835.1029760000001</v>
      </c>
      <c r="AE64" s="157">
        <f>+SUM(CY64:DB64)</f>
        <v>5076.858124800001</v>
      </c>
      <c r="AI64" s="156"/>
      <c r="AJ64" s="156"/>
      <c r="AK64" s="156"/>
      <c r="AL64" s="156"/>
      <c r="AM64" s="156"/>
      <c r="AN64" s="156"/>
      <c r="AO64" s="156"/>
      <c r="AP64" s="156"/>
      <c r="AQ64" s="156"/>
      <c r="AR64" s="156"/>
      <c r="AS64" s="156"/>
      <c r="AT64" s="156"/>
      <c r="AU64" s="156"/>
      <c r="AV64" s="156"/>
      <c r="AW64" s="156"/>
      <c r="AX64" s="156"/>
      <c r="AY64" s="156"/>
      <c r="AZ64" s="156"/>
      <c r="BA64" s="156"/>
      <c r="BB64" s="156"/>
      <c r="BC64" s="156"/>
      <c r="BD64" s="156"/>
      <c r="BE64" s="156"/>
      <c r="BF64" s="156"/>
      <c r="BG64" s="156"/>
      <c r="BH64" s="156"/>
      <c r="BI64" s="156"/>
      <c r="BJ64" s="156"/>
      <c r="BK64" s="156"/>
      <c r="BL64" s="156"/>
      <c r="BM64" s="156"/>
      <c r="BN64" s="156"/>
      <c r="BO64" s="156"/>
      <c r="BP64" s="156"/>
      <c r="BQ64" s="156"/>
      <c r="BR64" s="156"/>
      <c r="BS64" s="156"/>
      <c r="BT64" s="156"/>
      <c r="BU64" s="156"/>
      <c r="BV64" s="156"/>
      <c r="BW64" s="156"/>
      <c r="BX64" s="156"/>
      <c r="BY64" s="156"/>
      <c r="BZ64" s="156"/>
      <c r="CA64" s="156"/>
      <c r="CB64" s="156"/>
      <c r="CC64" s="156"/>
      <c r="CD64" s="156"/>
      <c r="CE64" s="156"/>
      <c r="CF64" s="156"/>
      <c r="CG64" s="156"/>
      <c r="CH64" s="156"/>
      <c r="CI64" s="156"/>
      <c r="CJ64" s="156">
        <v>226.5</v>
      </c>
      <c r="CK64" s="156">
        <v>545.5</v>
      </c>
      <c r="CL64" s="156">
        <v>974.4</v>
      </c>
      <c r="CM64" s="157">
        <f>+CM46*25%</f>
        <v>650</v>
      </c>
      <c r="CN64" s="157">
        <f>+CN46*25%</f>
        <v>562.44999999999993</v>
      </c>
      <c r="CO64" s="157">
        <f>+CO46*25%</f>
        <v>768.9849999999999</v>
      </c>
      <c r="CP64" s="157">
        <f>+CP46*25%</f>
        <v>880.25</v>
      </c>
      <c r="CQ64" s="157">
        <f>+CQ46*30%</f>
        <v>858.00000000000011</v>
      </c>
      <c r="CR64" s="157">
        <f t="shared" ref="CR64:CT64" si="253">+CR46*30%</f>
        <v>742.43399999999986</v>
      </c>
      <c r="CS64" s="157">
        <f t="shared" si="253"/>
        <v>1015.0601999999999</v>
      </c>
      <c r="CT64" s="157">
        <f t="shared" si="253"/>
        <v>1161.93</v>
      </c>
      <c r="CU64" s="157">
        <f t="shared" ref="CU64:DB64" si="254">+CU46*32%</f>
        <v>1098.2400000000002</v>
      </c>
      <c r="CV64" s="157">
        <f t="shared" si="254"/>
        <v>950.31551999999988</v>
      </c>
      <c r="CW64" s="157">
        <f t="shared" si="254"/>
        <v>1299.2770559999999</v>
      </c>
      <c r="CX64" s="157">
        <f t="shared" si="254"/>
        <v>1487.2704000000001</v>
      </c>
      <c r="CY64" s="157">
        <f t="shared" si="254"/>
        <v>1153.1520000000003</v>
      </c>
      <c r="CZ64" s="157">
        <f t="shared" si="254"/>
        <v>997.83129599999984</v>
      </c>
      <c r="DA64" s="157">
        <f t="shared" si="254"/>
        <v>1364.2409088000002</v>
      </c>
      <c r="DB64" s="157">
        <f t="shared" si="254"/>
        <v>1561.6339200000002</v>
      </c>
      <c r="DE64" s="159"/>
    </row>
    <row r="65" spans="1:110" s="158" customFormat="1" x14ac:dyDescent="0.2">
      <c r="A65" s="155" t="s">
        <v>575</v>
      </c>
      <c r="B65" s="156"/>
      <c r="C65" s="156"/>
      <c r="D65" s="156"/>
      <c r="E65" s="156"/>
      <c r="F65" s="156"/>
      <c r="G65" s="156"/>
      <c r="H65" s="156"/>
      <c r="I65" s="156"/>
      <c r="J65" s="156"/>
      <c r="K65" s="156"/>
      <c r="L65" s="156"/>
      <c r="M65" s="156"/>
      <c r="N65" s="156"/>
      <c r="O65" s="156"/>
      <c r="P65" s="156"/>
      <c r="Q65" s="156"/>
      <c r="R65" s="156"/>
      <c r="S65" s="156"/>
      <c r="T65" s="156"/>
      <c r="U65" s="156"/>
      <c r="V65" s="156"/>
      <c r="W65" s="156"/>
      <c r="X65" s="156"/>
      <c r="Y65" s="156">
        <f t="shared" si="238"/>
        <v>0</v>
      </c>
      <c r="Z65" s="156">
        <f t="shared" si="239"/>
        <v>0</v>
      </c>
      <c r="AA65" s="157">
        <f t="shared" si="247"/>
        <v>0</v>
      </c>
      <c r="AB65" s="157">
        <f t="shared" si="248"/>
        <v>99.75</v>
      </c>
      <c r="AC65" s="157">
        <f t="shared" si="249"/>
        <v>739.19999999999993</v>
      </c>
      <c r="AD65" s="157">
        <f t="shared" si="250"/>
        <v>897.6</v>
      </c>
      <c r="AE65" s="157">
        <f t="shared" si="251"/>
        <v>3978</v>
      </c>
      <c r="AI65" s="156"/>
      <c r="AJ65" s="156"/>
      <c r="AK65" s="156"/>
      <c r="AL65" s="156"/>
      <c r="AM65" s="156"/>
      <c r="AN65" s="156"/>
      <c r="AO65" s="156"/>
      <c r="AP65" s="156"/>
      <c r="AQ65" s="156"/>
      <c r="AR65" s="156"/>
      <c r="AS65" s="156"/>
      <c r="AT65" s="156"/>
      <c r="AU65" s="156"/>
      <c r="AV65" s="156"/>
      <c r="AW65" s="156"/>
      <c r="AX65" s="156"/>
      <c r="AY65" s="156"/>
      <c r="AZ65" s="156"/>
      <c r="BA65" s="156"/>
      <c r="BB65" s="156"/>
      <c r="BC65" s="156"/>
      <c r="BD65" s="156"/>
      <c r="BE65" s="156"/>
      <c r="BF65" s="156"/>
      <c r="BG65" s="156"/>
      <c r="BH65" s="156"/>
      <c r="BI65" s="156"/>
      <c r="BJ65" s="156"/>
      <c r="BK65" s="156"/>
      <c r="BL65" s="156"/>
      <c r="BM65" s="156"/>
      <c r="BN65" s="156"/>
      <c r="BO65" s="156"/>
      <c r="BP65" s="156"/>
      <c r="BQ65" s="156"/>
      <c r="BR65" s="156"/>
      <c r="BS65" s="156"/>
      <c r="BT65" s="156"/>
      <c r="BU65" s="156"/>
      <c r="BV65" s="156"/>
      <c r="BW65" s="156"/>
      <c r="BX65" s="156"/>
      <c r="BY65" s="156"/>
      <c r="BZ65" s="156"/>
      <c r="CA65" s="156"/>
      <c r="CB65" s="156"/>
      <c r="CC65" s="156"/>
      <c r="CD65" s="156"/>
      <c r="CE65" s="156"/>
      <c r="CF65" s="156"/>
      <c r="CG65" s="156"/>
      <c r="CH65" s="156"/>
      <c r="CI65" s="156"/>
      <c r="CJ65" s="156"/>
      <c r="CK65" s="156"/>
      <c r="CL65" s="156"/>
      <c r="CM65" s="157"/>
      <c r="CN65" s="157"/>
      <c r="CO65" s="157"/>
      <c r="CP65" s="157">
        <f>+CP58*(CP37+CP36)/10</f>
        <v>99.75</v>
      </c>
      <c r="CQ65" s="157">
        <f t="shared" ref="CQ65:DB65" si="255">+CQ58*(CQ37+CQ36)/10</f>
        <v>184.79999999999998</v>
      </c>
      <c r="CR65" s="157">
        <f t="shared" si="255"/>
        <v>184.79999999999998</v>
      </c>
      <c r="CS65" s="157">
        <f t="shared" si="255"/>
        <v>184.79999999999998</v>
      </c>
      <c r="CT65" s="157">
        <f t="shared" si="255"/>
        <v>184.79999999999998</v>
      </c>
      <c r="CU65" s="157">
        <f t="shared" si="255"/>
        <v>224.4</v>
      </c>
      <c r="CV65" s="157">
        <f t="shared" si="255"/>
        <v>224.4</v>
      </c>
      <c r="CW65" s="157">
        <f t="shared" si="255"/>
        <v>224.4</v>
      </c>
      <c r="CX65" s="157">
        <f t="shared" si="255"/>
        <v>224.4</v>
      </c>
      <c r="CY65" s="157">
        <f t="shared" si="255"/>
        <v>994.5</v>
      </c>
      <c r="CZ65" s="157">
        <f t="shared" si="255"/>
        <v>994.5</v>
      </c>
      <c r="DA65" s="157">
        <f t="shared" si="255"/>
        <v>994.5</v>
      </c>
      <c r="DB65" s="157">
        <f t="shared" si="255"/>
        <v>994.5</v>
      </c>
      <c r="DE65" s="159"/>
    </row>
    <row r="66" spans="1:110" s="158" customFormat="1" x14ac:dyDescent="0.2">
      <c r="A66" s="155" t="s">
        <v>583</v>
      </c>
      <c r="B66" s="156"/>
      <c r="C66" s="156"/>
      <c r="D66" s="156"/>
      <c r="E66" s="156"/>
      <c r="F66" s="156"/>
      <c r="G66" s="156"/>
      <c r="H66" s="156"/>
      <c r="I66" s="156"/>
      <c r="J66" s="156"/>
      <c r="K66" s="156"/>
      <c r="L66" s="156"/>
      <c r="M66" s="156"/>
      <c r="N66" s="156"/>
      <c r="O66" s="156"/>
      <c r="P66" s="156"/>
      <c r="Q66" s="156"/>
      <c r="R66" s="156"/>
      <c r="S66" s="156"/>
      <c r="T66" s="156"/>
      <c r="U66" s="156"/>
      <c r="V66" s="156"/>
      <c r="W66" s="156"/>
      <c r="X66" s="156"/>
      <c r="Y66" s="156"/>
      <c r="Z66" s="156"/>
      <c r="AA66" s="157">
        <f t="shared" ref="AA66" si="256">SUM(CI66:CL66)</f>
        <v>-163.13039999999921</v>
      </c>
      <c r="AB66" s="157">
        <f t="shared" ref="AB66" si="257">+SUM(CM66:CP66)</f>
        <v>0</v>
      </c>
      <c r="AC66" s="157">
        <f t="shared" ref="AC66" si="258">+SUM(CQ66:CT66)</f>
        <v>0</v>
      </c>
      <c r="AD66" s="157">
        <f t="shared" ref="AD66" si="259">+SUM(CU66:CX66)</f>
        <v>0</v>
      </c>
      <c r="AE66" s="157">
        <f t="shared" ref="AE66" si="260">+SUM(CY66:DB66)</f>
        <v>0</v>
      </c>
      <c r="AI66" s="156"/>
      <c r="AJ66" s="156"/>
      <c r="AK66" s="156"/>
      <c r="AL66" s="156"/>
      <c r="AM66" s="156"/>
      <c r="AN66" s="156"/>
      <c r="AO66" s="156"/>
      <c r="AP66" s="156"/>
      <c r="AQ66" s="156"/>
      <c r="AR66" s="156"/>
      <c r="AS66" s="156"/>
      <c r="AT66" s="156"/>
      <c r="AU66" s="156"/>
      <c r="AV66" s="156"/>
      <c r="AW66" s="156"/>
      <c r="AX66" s="156"/>
      <c r="AY66" s="156"/>
      <c r="AZ66" s="156"/>
      <c r="BA66" s="156"/>
      <c r="BB66" s="156"/>
      <c r="BC66" s="156"/>
      <c r="BD66" s="156"/>
      <c r="BE66" s="156"/>
      <c r="BF66" s="156"/>
      <c r="BG66" s="156"/>
      <c r="BH66" s="156"/>
      <c r="BI66" s="156"/>
      <c r="BJ66" s="156"/>
      <c r="BK66" s="156"/>
      <c r="BL66" s="156"/>
      <c r="BM66" s="156"/>
      <c r="BN66" s="156"/>
      <c r="BO66" s="156"/>
      <c r="BP66" s="156"/>
      <c r="BQ66" s="156"/>
      <c r="BR66" s="156"/>
      <c r="BS66" s="156"/>
      <c r="BT66" s="156"/>
      <c r="BU66" s="156"/>
      <c r="BV66" s="156"/>
      <c r="BW66" s="156"/>
      <c r="BX66" s="156"/>
      <c r="BY66" s="156"/>
      <c r="BZ66" s="156"/>
      <c r="CA66" s="156"/>
      <c r="CB66" s="156"/>
      <c r="CC66" s="156">
        <v>34.635999999999797</v>
      </c>
      <c r="CD66" s="156">
        <v>-11.839999999999918</v>
      </c>
      <c r="CE66" s="156">
        <v>53.389999999999418</v>
      </c>
      <c r="CF66" s="156">
        <v>80.445999999999913</v>
      </c>
      <c r="CG66" s="156">
        <v>35.221999999999753</v>
      </c>
      <c r="CH66" s="156">
        <v>7.6180000000002792</v>
      </c>
      <c r="CI66" s="156">
        <v>27.254999999999995</v>
      </c>
      <c r="CJ66" s="156">
        <v>-20.020199999999932</v>
      </c>
      <c r="CK66" s="156">
        <v>-64.619999999999891</v>
      </c>
      <c r="CL66" s="156">
        <v>-105.74519999999939</v>
      </c>
      <c r="CM66" s="157"/>
      <c r="CN66" s="157"/>
      <c r="CO66" s="157"/>
      <c r="CP66" s="157"/>
      <c r="CQ66" s="157"/>
      <c r="CR66" s="157"/>
      <c r="CS66" s="157"/>
      <c r="CT66" s="157"/>
      <c r="CU66" s="157"/>
      <c r="CV66" s="157"/>
      <c r="CW66" s="157"/>
      <c r="CX66" s="157"/>
      <c r="CY66" s="157"/>
      <c r="CZ66" s="157"/>
      <c r="DA66" s="157"/>
      <c r="DB66" s="157"/>
      <c r="DE66" s="159"/>
    </row>
    <row r="67" spans="1:110" s="197" customFormat="1" x14ac:dyDescent="0.2">
      <c r="A67" s="195" t="s">
        <v>577</v>
      </c>
      <c r="B67" s="196"/>
      <c r="C67" s="196"/>
      <c r="D67" s="196"/>
      <c r="E67" s="196"/>
      <c r="F67" s="196"/>
      <c r="G67" s="196"/>
      <c r="H67" s="196"/>
      <c r="I67" s="196"/>
      <c r="J67" s="196"/>
      <c r="K67" s="196"/>
      <c r="L67" s="196"/>
      <c r="M67" s="196"/>
      <c r="N67" s="196"/>
      <c r="O67" s="196"/>
      <c r="P67" s="196"/>
      <c r="Q67" s="196"/>
      <c r="R67" s="196"/>
      <c r="S67" s="196"/>
      <c r="T67" s="196"/>
      <c r="U67" s="196"/>
      <c r="V67" s="196"/>
      <c r="W67" s="196"/>
      <c r="X67" s="196"/>
      <c r="Y67" s="196">
        <f t="shared" ref="Y67:AE67" si="261">+SUM(Y61:Y66)</f>
        <v>885.08400000000006</v>
      </c>
      <c r="Z67" s="196">
        <f t="shared" si="261"/>
        <v>1750.2339999999999</v>
      </c>
      <c r="AA67" s="252">
        <f t="shared" si="261"/>
        <v>6141.7900000000018</v>
      </c>
      <c r="AB67" s="252">
        <f t="shared" si="261"/>
        <v>9054.9935000000005</v>
      </c>
      <c r="AC67" s="252">
        <f t="shared" si="261"/>
        <v>10912.039774977227</v>
      </c>
      <c r="AD67" s="252">
        <f t="shared" si="261"/>
        <v>12535.029516807352</v>
      </c>
      <c r="AE67" s="252">
        <f t="shared" si="261"/>
        <v>14745.929363666906</v>
      </c>
      <c r="AI67" s="196"/>
      <c r="AJ67" s="196"/>
      <c r="AK67" s="196"/>
      <c r="AL67" s="196"/>
      <c r="AM67" s="196"/>
      <c r="AN67" s="196"/>
      <c r="AO67" s="196"/>
      <c r="AP67" s="196"/>
      <c r="AQ67" s="196"/>
      <c r="AR67" s="196"/>
      <c r="AS67" s="196"/>
      <c r="AT67" s="196"/>
      <c r="AU67" s="196"/>
      <c r="AV67" s="196"/>
      <c r="AW67" s="196"/>
      <c r="AX67" s="196"/>
      <c r="AY67" s="196"/>
      <c r="AZ67" s="196"/>
      <c r="BA67" s="196"/>
      <c r="BB67" s="196"/>
      <c r="BC67" s="196"/>
      <c r="BD67" s="196"/>
      <c r="BE67" s="196"/>
      <c r="BF67" s="196"/>
      <c r="BG67" s="196"/>
      <c r="BH67" s="196"/>
      <c r="BI67" s="196"/>
      <c r="BJ67" s="196"/>
      <c r="BK67" s="196"/>
      <c r="BL67" s="196"/>
      <c r="BM67" s="196"/>
      <c r="BN67" s="196"/>
      <c r="BO67" s="196"/>
      <c r="BP67" s="196"/>
      <c r="BQ67" s="196"/>
      <c r="BR67" s="196"/>
      <c r="BS67" s="196"/>
      <c r="BT67" s="196"/>
      <c r="BU67" s="196"/>
      <c r="BV67" s="196"/>
      <c r="BW67" s="196"/>
      <c r="BX67" s="196"/>
      <c r="BY67" s="196"/>
      <c r="BZ67" s="196"/>
      <c r="CA67" s="196"/>
      <c r="CB67" s="196"/>
      <c r="CC67" s="196">
        <f t="shared" ref="CC67:DB67" si="262">+SUM(CC61:CC66)</f>
        <v>449.4699999999998</v>
      </c>
      <c r="CD67" s="196">
        <f t="shared" si="262"/>
        <v>458.41000000000008</v>
      </c>
      <c r="CE67" s="196">
        <f t="shared" si="262"/>
        <v>718.66999999999939</v>
      </c>
      <c r="CF67" s="196">
        <f t="shared" si="262"/>
        <v>410.70999999999992</v>
      </c>
      <c r="CG67" s="196">
        <f t="shared" si="262"/>
        <v>536.42999999999972</v>
      </c>
      <c r="CH67" s="196">
        <f t="shared" si="262"/>
        <v>261.10000000000025</v>
      </c>
      <c r="CI67" s="196">
        <f t="shared" si="262"/>
        <v>794.19</v>
      </c>
      <c r="CJ67" s="196">
        <f t="shared" si="262"/>
        <v>1043.0899999999999</v>
      </c>
      <c r="CK67" s="196">
        <f t="shared" si="262"/>
        <v>1759.21</v>
      </c>
      <c r="CL67" s="196">
        <f t="shared" si="262"/>
        <v>2545.3000000000006</v>
      </c>
      <c r="CM67" s="252">
        <f t="shared" si="262"/>
        <v>2302.4426800000001</v>
      </c>
      <c r="CN67" s="252">
        <f t="shared" si="262"/>
        <v>2197.904254</v>
      </c>
      <c r="CO67" s="252">
        <f t="shared" si="262"/>
        <v>2230.8446960000001</v>
      </c>
      <c r="CP67" s="252">
        <f t="shared" si="262"/>
        <v>2323.8018700000002</v>
      </c>
      <c r="CQ67" s="252">
        <f t="shared" si="262"/>
        <v>2475.634603291016</v>
      </c>
      <c r="CR67" s="252">
        <f t="shared" si="262"/>
        <v>2558.0642314535889</v>
      </c>
      <c r="CS67" s="252">
        <f t="shared" si="262"/>
        <v>2853.2287974103883</v>
      </c>
      <c r="CT67" s="252">
        <f t="shared" si="262"/>
        <v>3025.112142822235</v>
      </c>
      <c r="CU67" s="252">
        <f t="shared" si="262"/>
        <v>3014.2558652923685</v>
      </c>
      <c r="CV67" s="252">
        <f t="shared" si="262"/>
        <v>2874.4554412658513</v>
      </c>
      <c r="CW67" s="252">
        <f t="shared" si="262"/>
        <v>3228.7319194446331</v>
      </c>
      <c r="CX67" s="252">
        <f t="shared" si="262"/>
        <v>3417.5862908044996</v>
      </c>
      <c r="CY67" s="252">
        <f t="shared" si="262"/>
        <v>3561.9352001373145</v>
      </c>
      <c r="CZ67" s="252">
        <f t="shared" si="262"/>
        <v>3412.294141394319</v>
      </c>
      <c r="DA67" s="252">
        <f t="shared" si="262"/>
        <v>3784.2314509455673</v>
      </c>
      <c r="DB67" s="252">
        <f t="shared" si="262"/>
        <v>3987.4685711897037</v>
      </c>
      <c r="DE67" s="199"/>
    </row>
    <row r="68" spans="1:110" s="256" customFormat="1" x14ac:dyDescent="0.2">
      <c r="A68" s="253"/>
      <c r="B68" s="254"/>
      <c r="C68" s="254"/>
      <c r="D68" s="254"/>
      <c r="E68" s="254"/>
      <c r="F68" s="254"/>
      <c r="G68" s="254"/>
      <c r="H68" s="254"/>
      <c r="I68" s="254"/>
      <c r="J68" s="254"/>
      <c r="K68" s="254"/>
      <c r="L68" s="254"/>
      <c r="M68" s="254"/>
      <c r="N68" s="254"/>
      <c r="O68" s="254"/>
      <c r="P68" s="254"/>
      <c r="Q68" s="254"/>
      <c r="R68" s="254"/>
      <c r="S68" s="254"/>
      <c r="T68" s="254"/>
      <c r="U68" s="254"/>
      <c r="V68" s="254"/>
      <c r="W68" s="254"/>
      <c r="X68" s="254"/>
      <c r="Y68" s="254">
        <f t="shared" ref="Y68:AE68" si="263">+Y67-Y95</f>
        <v>-846.16599999999903</v>
      </c>
      <c r="Z68" s="254">
        <f t="shared" si="263"/>
        <v>-205.50599999999986</v>
      </c>
      <c r="AA68" s="255">
        <f t="shared" si="263"/>
        <v>-10.369999999996253</v>
      </c>
      <c r="AB68" s="255">
        <f t="shared" si="263"/>
        <v>0</v>
      </c>
      <c r="AC68" s="255">
        <f t="shared" si="263"/>
        <v>0</v>
      </c>
      <c r="AD68" s="255">
        <f t="shared" si="263"/>
        <v>0</v>
      </c>
      <c r="AE68" s="255">
        <f t="shared" si="263"/>
        <v>0</v>
      </c>
      <c r="AI68" s="254"/>
      <c r="AJ68" s="254"/>
      <c r="AK68" s="254"/>
      <c r="AL68" s="254"/>
      <c r="AM68" s="254"/>
      <c r="AN68" s="254"/>
      <c r="AO68" s="254"/>
      <c r="AP68" s="254"/>
      <c r="AQ68" s="254"/>
      <c r="AR68" s="254"/>
      <c r="AS68" s="254"/>
      <c r="AT68" s="254"/>
      <c r="AU68" s="254"/>
      <c r="AV68" s="254"/>
      <c r="AW68" s="254"/>
      <c r="AX68" s="254"/>
      <c r="AY68" s="254"/>
      <c r="AZ68" s="254"/>
      <c r="BA68" s="254"/>
      <c r="BB68" s="254"/>
      <c r="BC68" s="254"/>
      <c r="BD68" s="254"/>
      <c r="BE68" s="254"/>
      <c r="BF68" s="254"/>
      <c r="BG68" s="254"/>
      <c r="BH68" s="254"/>
      <c r="BI68" s="254"/>
      <c r="BJ68" s="254"/>
      <c r="BK68" s="254"/>
      <c r="BL68" s="254"/>
      <c r="BM68" s="254"/>
      <c r="BN68" s="254"/>
      <c r="BO68" s="254"/>
      <c r="BP68" s="254"/>
      <c r="BQ68" s="254"/>
      <c r="BR68" s="254"/>
      <c r="BS68" s="254"/>
      <c r="BT68" s="254"/>
      <c r="BU68" s="254"/>
      <c r="BV68" s="254"/>
      <c r="BW68" s="254"/>
      <c r="BX68" s="254"/>
      <c r="BY68" s="254"/>
      <c r="BZ68" s="254"/>
      <c r="CA68" s="254"/>
      <c r="CB68" s="254"/>
      <c r="CC68" s="254">
        <f t="shared" ref="CC68:DB68" si="264">+CC67-CC95</f>
        <v>0</v>
      </c>
      <c r="CD68" s="254">
        <f t="shared" si="264"/>
        <v>0</v>
      </c>
      <c r="CE68" s="254">
        <f t="shared" si="264"/>
        <v>0</v>
      </c>
      <c r="CF68" s="254">
        <f t="shared" si="264"/>
        <v>0</v>
      </c>
      <c r="CG68" s="254">
        <f t="shared" si="264"/>
        <v>0</v>
      </c>
      <c r="CH68" s="254">
        <f t="shared" si="264"/>
        <v>0</v>
      </c>
      <c r="CI68" s="254">
        <f t="shared" si="264"/>
        <v>0</v>
      </c>
      <c r="CJ68" s="254">
        <f t="shared" si="264"/>
        <v>0</v>
      </c>
      <c r="CK68" s="254">
        <f t="shared" si="264"/>
        <v>0</v>
      </c>
      <c r="CL68" s="254">
        <f t="shared" si="264"/>
        <v>0</v>
      </c>
      <c r="CM68" s="255">
        <f t="shared" si="264"/>
        <v>0</v>
      </c>
      <c r="CN68" s="255">
        <f t="shared" si="264"/>
        <v>0</v>
      </c>
      <c r="CO68" s="255">
        <f t="shared" si="264"/>
        <v>0</v>
      </c>
      <c r="CP68" s="255">
        <f t="shared" si="264"/>
        <v>0</v>
      </c>
      <c r="CQ68" s="255">
        <f t="shared" si="264"/>
        <v>0</v>
      </c>
      <c r="CR68" s="255">
        <f t="shared" si="264"/>
        <v>0</v>
      </c>
      <c r="CS68" s="255">
        <f t="shared" si="264"/>
        <v>0</v>
      </c>
      <c r="CT68" s="255">
        <f t="shared" si="264"/>
        <v>0</v>
      </c>
      <c r="CU68" s="255">
        <f t="shared" si="264"/>
        <v>0</v>
      </c>
      <c r="CV68" s="255">
        <f t="shared" si="264"/>
        <v>0</v>
      </c>
      <c r="CW68" s="255">
        <f t="shared" si="264"/>
        <v>0</v>
      </c>
      <c r="CX68" s="255">
        <f t="shared" si="264"/>
        <v>0</v>
      </c>
      <c r="CY68" s="255">
        <f t="shared" si="264"/>
        <v>0</v>
      </c>
      <c r="CZ68" s="255">
        <f t="shared" si="264"/>
        <v>0</v>
      </c>
      <c r="DA68" s="255">
        <f t="shared" si="264"/>
        <v>0</v>
      </c>
      <c r="DB68" s="255">
        <f t="shared" si="264"/>
        <v>0</v>
      </c>
      <c r="DE68" s="257"/>
    </row>
    <row r="69" spans="1:110" s="256" customFormat="1" x14ac:dyDescent="0.2">
      <c r="A69" s="253"/>
      <c r="B69" s="254"/>
      <c r="C69" s="254"/>
      <c r="D69" s="254"/>
      <c r="E69" s="254"/>
      <c r="F69" s="254"/>
      <c r="G69" s="254"/>
      <c r="H69" s="254"/>
      <c r="I69" s="254"/>
      <c r="J69" s="254"/>
      <c r="K69" s="254"/>
      <c r="L69" s="254"/>
      <c r="M69" s="254"/>
      <c r="N69" s="254"/>
      <c r="O69" s="254"/>
      <c r="P69" s="254"/>
      <c r="Q69" s="254"/>
      <c r="R69" s="254"/>
      <c r="S69" s="254"/>
      <c r="T69" s="254"/>
      <c r="U69" s="254"/>
      <c r="V69" s="254"/>
      <c r="W69" s="254"/>
      <c r="X69" s="254"/>
      <c r="Y69" s="254"/>
      <c r="Z69" s="254"/>
      <c r="AA69" s="255"/>
      <c r="AB69" s="255"/>
      <c r="AC69" s="255"/>
      <c r="AD69" s="255"/>
      <c r="AE69" s="255"/>
      <c r="AI69" s="254"/>
      <c r="AJ69" s="254"/>
      <c r="AK69" s="254"/>
      <c r="AL69" s="254"/>
      <c r="AM69" s="254"/>
      <c r="AN69" s="254"/>
      <c r="AO69" s="254"/>
      <c r="AP69" s="254"/>
      <c r="AQ69" s="254"/>
      <c r="AR69" s="254"/>
      <c r="AS69" s="254"/>
      <c r="AT69" s="254"/>
      <c r="AU69" s="254"/>
      <c r="AV69" s="254"/>
      <c r="AW69" s="254"/>
      <c r="AX69" s="254"/>
      <c r="AY69" s="254"/>
      <c r="AZ69" s="254"/>
      <c r="BA69" s="254"/>
      <c r="BB69" s="254"/>
      <c r="BC69" s="254"/>
      <c r="BD69" s="254"/>
      <c r="BE69" s="254"/>
      <c r="BF69" s="254"/>
      <c r="BG69" s="254"/>
      <c r="BH69" s="254"/>
      <c r="BI69" s="254"/>
      <c r="BJ69" s="254"/>
      <c r="BK69" s="254"/>
      <c r="BL69" s="254"/>
      <c r="BM69" s="254"/>
      <c r="BN69" s="254"/>
      <c r="BO69" s="254"/>
      <c r="BP69" s="254"/>
      <c r="BQ69" s="254"/>
      <c r="BR69" s="254"/>
      <c r="BS69" s="254"/>
      <c r="BT69" s="254"/>
      <c r="BU69" s="254"/>
      <c r="BV69" s="254"/>
      <c r="BW69" s="254"/>
      <c r="BX69" s="254"/>
      <c r="BY69" s="254"/>
      <c r="BZ69" s="254"/>
      <c r="CA69" s="254"/>
      <c r="CB69" s="254"/>
      <c r="CC69" s="254"/>
      <c r="CD69" s="254"/>
      <c r="CE69" s="254"/>
      <c r="CF69" s="254"/>
      <c r="CG69" s="254"/>
      <c r="CH69" s="254"/>
      <c r="CI69" s="254"/>
      <c r="CJ69" s="254"/>
      <c r="CK69" s="254"/>
      <c r="CL69" s="254"/>
      <c r="CM69" s="255"/>
      <c r="CN69" s="255"/>
      <c r="CO69" s="255"/>
      <c r="CP69" s="255"/>
      <c r="CQ69" s="255"/>
      <c r="CR69" s="255"/>
      <c r="CS69" s="255"/>
      <c r="CT69" s="255"/>
      <c r="CU69" s="255"/>
      <c r="CV69" s="255"/>
      <c r="CW69" s="255"/>
      <c r="CX69" s="255"/>
      <c r="CY69" s="255"/>
      <c r="CZ69" s="255"/>
      <c r="DA69" s="255"/>
      <c r="DB69" s="255"/>
      <c r="DE69" s="257"/>
    </row>
    <row r="70" spans="1:110" s="106" customFormat="1" x14ac:dyDescent="0.2">
      <c r="A70" s="151" t="s">
        <v>500</v>
      </c>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5"/>
      <c r="AB70" s="105"/>
      <c r="AC70" s="105"/>
      <c r="AD70" s="105"/>
      <c r="AE70" s="105"/>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104"/>
      <c r="BG70" s="104"/>
      <c r="BH70" s="104"/>
      <c r="BI70" s="104"/>
      <c r="BJ70" s="104"/>
      <c r="BK70" s="104"/>
      <c r="BL70" s="104"/>
      <c r="BM70" s="104"/>
      <c r="BN70" s="104"/>
      <c r="BO70" s="104"/>
      <c r="BP70" s="104"/>
      <c r="BQ70" s="104"/>
      <c r="BR70" s="104"/>
      <c r="BS70" s="104"/>
      <c r="BT70" s="104"/>
      <c r="BU70" s="104"/>
      <c r="BV70" s="104"/>
      <c r="BW70" s="104"/>
      <c r="BX70" s="104"/>
      <c r="BY70" s="104"/>
      <c r="BZ70" s="104"/>
      <c r="CA70" s="104"/>
      <c r="CB70" s="104"/>
      <c r="CC70" s="104"/>
      <c r="CD70" s="104"/>
      <c r="CE70" s="104"/>
      <c r="CF70" s="104"/>
      <c r="CG70" s="104"/>
      <c r="CH70" s="104"/>
      <c r="CI70" s="104"/>
      <c r="CJ70" s="104"/>
      <c r="CK70" s="104"/>
      <c r="CL70" s="104"/>
      <c r="CM70" s="105"/>
      <c r="CN70" s="105"/>
      <c r="CO70" s="105"/>
      <c r="CP70" s="105"/>
      <c r="CQ70" s="105"/>
      <c r="CR70" s="105"/>
      <c r="CS70" s="105"/>
      <c r="CT70" s="105"/>
      <c r="CU70" s="105"/>
      <c r="CV70" s="105"/>
      <c r="CW70" s="105"/>
      <c r="CX70" s="105"/>
      <c r="CY70" s="105"/>
      <c r="CZ70" s="105"/>
      <c r="DA70" s="105"/>
      <c r="DB70" s="105"/>
      <c r="DE70" s="118"/>
    </row>
    <row r="71" spans="1:110" s="106" customFormat="1" x14ac:dyDescent="0.2">
      <c r="A71" s="151" t="s">
        <v>485</v>
      </c>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c r="Z71" s="118"/>
      <c r="AA71" s="118"/>
      <c r="AB71" s="105"/>
      <c r="AC71" s="105"/>
      <c r="AD71" s="105"/>
      <c r="AE71" s="105"/>
      <c r="AI71" s="118"/>
      <c r="AJ71" s="118"/>
      <c r="AK71" s="118"/>
      <c r="AL71" s="118"/>
      <c r="AM71" s="118"/>
      <c r="AN71" s="118"/>
      <c r="AO71" s="118"/>
      <c r="AP71" s="118"/>
      <c r="AQ71" s="118"/>
      <c r="AR71" s="118"/>
      <c r="AS71" s="118"/>
      <c r="AT71" s="118"/>
      <c r="AU71" s="118"/>
      <c r="AV71" s="118"/>
      <c r="AW71" s="118"/>
      <c r="AX71" s="118"/>
      <c r="AY71" s="118"/>
      <c r="AZ71" s="118"/>
      <c r="BA71" s="118"/>
      <c r="BB71" s="118"/>
      <c r="BC71" s="118"/>
      <c r="BD71" s="118"/>
      <c r="BE71" s="118"/>
      <c r="BF71" s="118"/>
      <c r="BG71" s="118"/>
      <c r="BH71" s="118"/>
      <c r="BI71" s="118"/>
      <c r="BJ71" s="118"/>
      <c r="BK71" s="118"/>
      <c r="BL71" s="118"/>
      <c r="BM71" s="118"/>
      <c r="BN71" s="118"/>
      <c r="BO71" s="118"/>
      <c r="BP71" s="118"/>
      <c r="BQ71" s="118"/>
      <c r="BR71" s="118"/>
      <c r="BS71" s="118"/>
      <c r="BT71" s="118"/>
      <c r="BU71" s="118"/>
      <c r="BV71" s="118"/>
      <c r="BW71" s="118"/>
      <c r="BX71" s="118"/>
      <c r="BY71" s="118"/>
      <c r="BZ71" s="118"/>
      <c r="CA71" s="118"/>
      <c r="CB71" s="118"/>
      <c r="CC71" s="118"/>
      <c r="CD71" s="118"/>
      <c r="CE71" s="118"/>
      <c r="CF71" s="118"/>
      <c r="CG71" s="118"/>
      <c r="CH71" s="118"/>
      <c r="CI71" s="118"/>
      <c r="CJ71" s="160"/>
      <c r="CK71" s="160"/>
      <c r="CL71" s="160"/>
      <c r="CM71" s="105"/>
      <c r="CN71" s="105"/>
      <c r="CO71" s="105"/>
      <c r="CP71" s="105"/>
      <c r="CQ71" s="105"/>
      <c r="CR71" s="105"/>
      <c r="CS71" s="105"/>
      <c r="CT71" s="105"/>
      <c r="CU71" s="105"/>
      <c r="CV71" s="105"/>
      <c r="CW71" s="105"/>
      <c r="CX71" s="105"/>
      <c r="CY71" s="105"/>
      <c r="CZ71" s="105"/>
      <c r="DA71" s="105"/>
      <c r="DB71" s="105"/>
      <c r="DE71" s="118"/>
    </row>
    <row r="72" spans="1:110" s="25" customFormat="1" outlineLevel="1" x14ac:dyDescent="0.2">
      <c r="A72" s="25" t="s">
        <v>430</v>
      </c>
      <c r="B72" s="25">
        <f>'Annual Raw'!C6</f>
        <v>114.754</v>
      </c>
      <c r="C72" s="25">
        <f>'Annual Raw'!D6</f>
        <v>117.18980000000001</v>
      </c>
      <c r="D72" s="25">
        <f>'Annual Raw'!E6</f>
        <v>169.73349999999999</v>
      </c>
      <c r="E72" s="25">
        <f>'Annual Raw'!F6</f>
        <v>198.83920000000001</v>
      </c>
      <c r="F72" s="25">
        <f>'Annual Raw'!G6</f>
        <v>281.16500000000002</v>
      </c>
      <c r="G72" s="25">
        <f>'Annual Raw'!H6</f>
        <v>295.04680000000002</v>
      </c>
      <c r="H72" s="25">
        <f>'Annual Raw'!I6</f>
        <v>336.64049999999997</v>
      </c>
      <c r="I72" s="25">
        <f>'Annual Raw'!J6</f>
        <v>381.99799999999999</v>
      </c>
      <c r="J72" s="25">
        <f>'Annual Raw'!K6</f>
        <v>743.69219999999996</v>
      </c>
      <c r="K72" s="25">
        <f>'Annual Raw'!L6</f>
        <v>592.00400000000002</v>
      </c>
      <c r="L72" s="25">
        <f>'Annual Raw'!M6</f>
        <v>728.37139999999999</v>
      </c>
      <c r="M72" s="25">
        <f>'Annual Raw'!N6</f>
        <v>1044.9322999999999</v>
      </c>
      <c r="N72" s="25">
        <f>'Annual Raw'!O6</f>
        <v>803.63390000000004</v>
      </c>
      <c r="O72" s="25">
        <f>'Annual Raw'!P6</f>
        <v>613.67010000000005</v>
      </c>
      <c r="P72" s="25">
        <f>'Annual Raw'!Q6</f>
        <v>677.1001</v>
      </c>
      <c r="Q72" s="25">
        <f>'Annual Raw'!R6</f>
        <v>412.49889999999999</v>
      </c>
      <c r="R72" s="25">
        <f>'Annual Raw'!S6</f>
        <v>400.99270000000001</v>
      </c>
      <c r="S72" s="25">
        <f>'Annual Raw'!T6</f>
        <v>414.67899999999997</v>
      </c>
      <c r="T72" s="25">
        <f>'Annual Raw'!U6</f>
        <v>477.28109999999998</v>
      </c>
      <c r="U72" s="25">
        <f>'Annual Raw'!V6</f>
        <v>371.73849999999999</v>
      </c>
      <c r="V72" s="25">
        <f>'Annual Raw'!W6</f>
        <v>253.4067</v>
      </c>
      <c r="W72" s="25">
        <f>'Annual Raw'!X6</f>
        <v>697.5</v>
      </c>
      <c r="X72" s="25">
        <f>'Annual Raw'!Y6</f>
        <v>3392.31</v>
      </c>
      <c r="Y72" s="25">
        <f>'Annual Raw'!Z6</f>
        <v>6524.65</v>
      </c>
      <c r="Z72" s="25">
        <f>'Annual Raw'!AA6</f>
        <v>6721.05</v>
      </c>
      <c r="AA72" s="25">
        <f>'Annual Raw'!AB6</f>
        <v>17112.669999999998</v>
      </c>
      <c r="AB72" s="17">
        <f>+SUM(CM72:CP72)</f>
        <v>22012.32508477247</v>
      </c>
      <c r="AC72" s="17">
        <f>+SUM(CQ72:CT72)</f>
        <v>30538.688081989392</v>
      </c>
      <c r="AD72" s="17">
        <f>+SUM(CU72:CX72)</f>
        <v>34582.593728378532</v>
      </c>
      <c r="AE72" s="17">
        <f>+SUM(CY72:DB72)</f>
        <v>41564.849969301016</v>
      </c>
      <c r="AI72" s="25">
        <f>'QTR Raw'!C6+'QTR Raw'!C8</f>
        <v>260.709</v>
      </c>
      <c r="AJ72" s="25">
        <f>'QTR Raw'!D6+'QTR Raw'!D8</f>
        <v>130.55600000000001</v>
      </c>
      <c r="AK72" s="25">
        <f>'QTR Raw'!E6+'QTR Raw'!E8</f>
        <v>147.374</v>
      </c>
      <c r="AL72" s="25">
        <f>'QTR Raw'!F6+'QTR Raw'!F8</f>
        <v>253.529</v>
      </c>
      <c r="AM72" s="25">
        <f>'QTR Raw'!G6+'QTR Raw'!G8</f>
        <v>147.41499999999999</v>
      </c>
      <c r="AN72" s="25">
        <f>'QTR Raw'!H6+'QTR Raw'!H8</f>
        <v>115.678</v>
      </c>
      <c r="AO72" s="25">
        <f>'QTR Raw'!I6+'QTR Raw'!I8</f>
        <v>139.52600000000001</v>
      </c>
      <c r="AP72" s="25">
        <f>'QTR Raw'!J6+'QTR Raw'!J8</f>
        <v>197.02500000000001</v>
      </c>
      <c r="AQ72" s="25">
        <f>'QTR Raw'!K6+'QTR Raw'!K8</f>
        <v>185.25800000000001</v>
      </c>
      <c r="AR72" s="25">
        <f>'QTR Raw'!L6+'QTR Raw'!L8</f>
        <v>223.80600000000001</v>
      </c>
      <c r="AS72" s="25">
        <f>'QTR Raw'!M6+'QTR Raw'!M8</f>
        <v>117.99</v>
      </c>
      <c r="AT72" s="25">
        <f>'QTR Raw'!N6+'QTR Raw'!N8</f>
        <v>123.149</v>
      </c>
      <c r="AU72" s="25">
        <f>'QTR Raw'!O6+'QTR Raw'!O8</f>
        <v>130.559</v>
      </c>
      <c r="AV72" s="25">
        <f>'QTR Raw'!P6+'QTR Raw'!P8</f>
        <v>76.454999999999998</v>
      </c>
      <c r="AW72" s="25">
        <f>'QTR Raw'!Q6+'QTR Raw'!Q8</f>
        <v>77.622</v>
      </c>
      <c r="AX72" s="25">
        <f>'QTR Raw'!R6+'QTR Raw'!R8</f>
        <v>84.584000000000003</v>
      </c>
      <c r="AY72" s="25">
        <f>'QTR Raw'!S6+'QTR Raw'!S8</f>
        <v>101.491</v>
      </c>
      <c r="AZ72" s="25">
        <f>'QTR Raw'!T6+'QTR Raw'!T8</f>
        <v>94.581999999999994</v>
      </c>
      <c r="BA72" s="25">
        <f>'QTR Raw'!U6+'QTR Raw'!U8</f>
        <v>126.458</v>
      </c>
      <c r="BB72" s="25">
        <f>'QTR Raw'!V6+'QTR Raw'!V8</f>
        <v>82.734999999999999</v>
      </c>
      <c r="BC72" s="25">
        <f>'QTR Raw'!W6+'QTR Raw'!W8</f>
        <v>109.669</v>
      </c>
      <c r="BD72" s="25">
        <f>'QTR Raw'!X6+'QTR Raw'!X8</f>
        <v>76.311000000000007</v>
      </c>
      <c r="BE72" s="25">
        <f>'QTR Raw'!Y6+'QTR Raw'!Y8</f>
        <v>119.611</v>
      </c>
      <c r="BF72" s="25">
        <f>'QTR Raw'!Z6+'QTR Raw'!Z8</f>
        <v>109.08799999999999</v>
      </c>
      <c r="BG72" s="25">
        <f>'QTR Raw'!AA6+'QTR Raw'!AA8</f>
        <v>134.44200000000001</v>
      </c>
      <c r="BH72" s="25">
        <f>'QTR Raw'!AB6+'QTR Raw'!AB8</f>
        <v>101.199</v>
      </c>
      <c r="BI72" s="25">
        <f>'QTR Raw'!AC6+'QTR Raw'!AC8</f>
        <v>108.27500000000001</v>
      </c>
      <c r="BJ72" s="25">
        <f>'QTR Raw'!AD6+'QTR Raw'!AD8</f>
        <v>130.41300000000001</v>
      </c>
      <c r="BK72" s="25">
        <f>'QTR Raw'!AE6+'QTR Raw'!AE8</f>
        <v>126.45699999999999</v>
      </c>
      <c r="BL72" s="25">
        <f>'QTR Raw'!AF6+'QTR Raw'!AF8</f>
        <v>56.393999999999998</v>
      </c>
      <c r="BM72" s="25">
        <f>'QTR Raw'!AG6+'QTR Raw'!AG8</f>
        <v>84.900999999999996</v>
      </c>
      <c r="BN72" s="25">
        <f>'QTR Raw'!AH6+'QTR Raw'!AH8</f>
        <v>103.98699999999999</v>
      </c>
      <c r="BO72" s="25">
        <f>'QTR Raw'!AI6+'QTR Raw'!AI8</f>
        <v>10.61</v>
      </c>
      <c r="BP72" s="25">
        <f>'QTR Raw'!AJ6+'QTR Raw'!AJ8</f>
        <v>73.7</v>
      </c>
      <c r="BQ72" s="25">
        <f>'QTR Raw'!AK6+'QTR Raw'!AK8</f>
        <v>73.852000000000004</v>
      </c>
      <c r="BR72" s="25">
        <f>'QTR Raw'!AL6+'QTR Raw'!AL8</f>
        <v>95.245000000000005</v>
      </c>
      <c r="BS72" s="25">
        <f>'QTR Raw'!AM6+'QTR Raw'!AM8</f>
        <v>95.7</v>
      </c>
      <c r="BT72" s="25">
        <f>'QTR Raw'!AN6+'QTR Raw'!AN8</f>
        <v>100.32</v>
      </c>
      <c r="BU72" s="25">
        <f>'QTR Raw'!AO6+'QTR Raw'!AO8</f>
        <v>168.27</v>
      </c>
      <c r="BV72" s="25">
        <f>'QTR Raw'!AP6+'QTR Raw'!AP8</f>
        <v>333.21</v>
      </c>
      <c r="BW72" s="25">
        <f>'QTR Raw'!AQ6+'QTR Raw'!AQ8</f>
        <v>842.68</v>
      </c>
      <c r="BX72" s="25">
        <f>'QTR Raw'!AR6+'QTR Raw'!AR8</f>
        <v>673.76</v>
      </c>
      <c r="BY72" s="25">
        <f>'QTR Raw'!AS6+'QTR Raw'!AS8</f>
        <v>999.62</v>
      </c>
      <c r="BZ72" s="25">
        <f>'QTR Raw'!AT6+'QTR Raw'!AT8</f>
        <v>876.25</v>
      </c>
      <c r="CA72" s="25">
        <f>'QTR Raw'!AU6+'QTR Raw'!AU8</f>
        <v>1965.52</v>
      </c>
      <c r="CB72" s="25">
        <f>'QTR Raw'!AV6+'QTR Raw'!AV8</f>
        <v>1091.31</v>
      </c>
      <c r="CC72" s="25">
        <f>'QTR Raw'!AW6+'QTR Raw'!AW8</f>
        <v>1912.34</v>
      </c>
      <c r="CD72" s="25">
        <f>'QTR Raw'!AX6+'QTR Raw'!AX8</f>
        <v>1554.29</v>
      </c>
      <c r="CE72" s="25">
        <f>'QTR Raw'!AY6+'QTR Raw'!AY8</f>
        <v>2417.2399999999998</v>
      </c>
      <c r="CF72" s="25">
        <f>'QTR Raw'!AZ6+'QTR Raw'!AZ8</f>
        <v>1435.6899999999998</v>
      </c>
      <c r="CG72" s="25">
        <f>'QTR Raw'!BA6+'QTR Raw'!BA8</f>
        <v>1675.1699999999998</v>
      </c>
      <c r="CH72" s="25">
        <f>'QTR Raw'!BB6+'QTR Raw'!BB8</f>
        <v>1193.3000000000002</v>
      </c>
      <c r="CI72" s="25">
        <f>'QTR Raw'!BC6+'QTR Raw'!BC8</f>
        <v>2383.52</v>
      </c>
      <c r="CJ72" s="25">
        <f>'QTR Raw'!BD6+'QTR Raw'!BD8</f>
        <v>3651.35</v>
      </c>
      <c r="CK72" s="25">
        <f>'QTR Raw'!BE6+'QTR Raw'!BE8</f>
        <v>5058.08</v>
      </c>
      <c r="CL72" s="25">
        <f>'QTR Raw'!BF6+'QTR Raw'!BF8</f>
        <v>6019.72</v>
      </c>
      <c r="CM72" s="17">
        <f t="shared" ref="CM72:DB72" si="265">+CM51</f>
        <v>5573.1977650909275</v>
      </c>
      <c r="CN72" s="17">
        <f t="shared" si="265"/>
        <v>5187.6283781306183</v>
      </c>
      <c r="CO72" s="17">
        <f t="shared" si="265"/>
        <v>5400.792807658825</v>
      </c>
      <c r="CP72" s="17">
        <f t="shared" si="265"/>
        <v>5850.7061338921003</v>
      </c>
      <c r="CQ72" s="17">
        <f>+CQ51</f>
        <v>7224.6865913236134</v>
      </c>
      <c r="CR72" s="17">
        <f t="shared" si="265"/>
        <v>7087.1459473785535</v>
      </c>
      <c r="CS72" s="17">
        <f t="shared" si="265"/>
        <v>7912.1716558370226</v>
      </c>
      <c r="CT72" s="17">
        <f t="shared" si="265"/>
        <v>8314.6838874502046</v>
      </c>
      <c r="CU72" s="17">
        <f t="shared" si="265"/>
        <v>8333.1001406807245</v>
      </c>
      <c r="CV72" s="17">
        <f t="shared" si="265"/>
        <v>7840.6986941349805</v>
      </c>
      <c r="CW72" s="17">
        <f t="shared" si="265"/>
        <v>8911.969783571165</v>
      </c>
      <c r="CX72" s="17">
        <f t="shared" si="265"/>
        <v>9496.8251099916579</v>
      </c>
      <c r="CY72" s="17">
        <f t="shared" si="265"/>
        <v>10034.331898880193</v>
      </c>
      <c r="CZ72" s="17">
        <f t="shared" si="265"/>
        <v>9542.3156500836176</v>
      </c>
      <c r="DA72" s="17">
        <f t="shared" si="265"/>
        <v>10685.12617344194</v>
      </c>
      <c r="DB72" s="17">
        <f t="shared" si="265"/>
        <v>11303.076246895269</v>
      </c>
      <c r="DE72" s="119"/>
      <c r="DF72" s="25">
        <v>17112.669999999998</v>
      </c>
    </row>
    <row r="73" spans="1:110" s="92" customFormat="1" outlineLevel="1" x14ac:dyDescent="0.2">
      <c r="A73" s="92" t="s">
        <v>109</v>
      </c>
      <c r="B73" s="92">
        <f>'Annual Raw'!C7+'Annual Raw'!C8+'Annual Raw'!C9</f>
        <v>12.616400000000001</v>
      </c>
      <c r="C73" s="92">
        <f>'Annual Raw'!D7+'Annual Raw'!D8+'Annual Raw'!D9</f>
        <v>11.2066</v>
      </c>
      <c r="D73" s="92">
        <f>'Annual Raw'!E7+'Annual Raw'!E8+'Annual Raw'!E9</f>
        <v>19.686</v>
      </c>
      <c r="E73" s="92">
        <f>'Annual Raw'!F7+'Annual Raw'!F8+'Annual Raw'!F9</f>
        <v>23.015999999999998</v>
      </c>
      <c r="F73" s="92">
        <f>'Annual Raw'!G7+'Annual Raw'!G8+'Annual Raw'!G9</f>
        <v>23.547999999999998</v>
      </c>
      <c r="G73" s="92">
        <f>'Annual Raw'!H7+'Annual Raw'!H8+'Annual Raw'!H9</f>
        <v>41.036799999999999</v>
      </c>
      <c r="H73" s="92">
        <f>'Annual Raw'!I7+'Annual Raw'!I8+'Annual Raw'!I9</f>
        <v>0</v>
      </c>
      <c r="I73" s="92">
        <f>'Annual Raw'!J7+'Annual Raw'!J8+'Annual Raw'!J9</f>
        <v>0</v>
      </c>
      <c r="J73" s="92">
        <f>'Annual Raw'!K7+'Annual Raw'!K8+'Annual Raw'!K9</f>
        <v>62.508499999999998</v>
      </c>
      <c r="K73" s="92">
        <f>'Annual Raw'!L7+'Annual Raw'!L8+'Annual Raw'!L9</f>
        <v>24.1098</v>
      </c>
      <c r="L73" s="92">
        <f>'Annual Raw'!M7+'Annual Raw'!M8+'Annual Raw'!M9</f>
        <v>38.374099999999999</v>
      </c>
      <c r="M73" s="92">
        <f>'Annual Raw'!N7+'Annual Raw'!N8+'Annual Raw'!N9</f>
        <v>38.128399999999999</v>
      </c>
      <c r="N73" s="92">
        <f>'Annual Raw'!O7+'Annual Raw'!O8+'Annual Raw'!O9</f>
        <v>44.431699999999999</v>
      </c>
      <c r="O73" s="92">
        <f>'Annual Raw'!P7+'Annual Raw'!P8+'Annual Raw'!P9</f>
        <v>45.923999999999999</v>
      </c>
      <c r="P73" s="92">
        <f>'Annual Raw'!Q7+'Annual Raw'!Q8+'Annual Raw'!Q9</f>
        <v>38.1843</v>
      </c>
      <c r="Q73" s="92">
        <f>'Annual Raw'!R7+'Annual Raw'!R8+'Annual Raw'!R9</f>
        <v>35.629100000000001</v>
      </c>
      <c r="R73" s="92">
        <f>'Annual Raw'!S7+'Annual Raw'!S8+'Annual Raw'!S9</f>
        <v>32.049300000000002</v>
      </c>
      <c r="S73" s="92">
        <f>'Annual Raw'!T7+'Annual Raw'!T8+'Annual Raw'!T9</f>
        <v>12.061400000000001</v>
      </c>
      <c r="T73" s="92">
        <f>'Annual Raw'!U7+'Annual Raw'!U8+'Annual Raw'!U9</f>
        <v>0</v>
      </c>
      <c r="U73" s="92">
        <f>'Annual Raw'!V7+'Annual Raw'!V8+'Annual Raw'!V9</f>
        <v>0</v>
      </c>
      <c r="V73" s="92">
        <f>'Annual Raw'!W7+'Annual Raw'!W8+'Annual Raw'!W9</f>
        <v>0</v>
      </c>
      <c r="W73" s="92">
        <f>'Annual Raw'!X7+'Annual Raw'!X8+'Annual Raw'!X9</f>
        <v>0</v>
      </c>
      <c r="X73" s="92">
        <f>'Annual Raw'!Y7+'Annual Raw'!Y8+'Annual Raw'!Y9</f>
        <v>0</v>
      </c>
      <c r="Y73" s="92">
        <f>'Annual Raw'!Z7+'Annual Raw'!Z8+'Annual Raw'!Z9</f>
        <v>0</v>
      </c>
      <c r="Z73" s="92">
        <f>'Annual Raw'!AA7+'Annual Raw'!AA8+'Annual Raw'!AA9</f>
        <v>0</v>
      </c>
      <c r="AA73" s="92">
        <f>'Annual Raw'!AB7+'Annual Raw'!AB8+'Annual Raw'!AB9</f>
        <v>0</v>
      </c>
      <c r="AB73" s="76">
        <f>+SUM(CM73:CP73)</f>
        <v>0</v>
      </c>
      <c r="AC73" s="76">
        <f>+SUM(CQ73:CT73)</f>
        <v>0</v>
      </c>
      <c r="AD73" s="76">
        <f>+SUM(CU73:CX73)</f>
        <v>0</v>
      </c>
      <c r="AE73" s="76">
        <f>+SUM(CY73:DB73)</f>
        <v>0</v>
      </c>
      <c r="AI73" s="92">
        <f>+'QTR Raw'!C20+'QTR Raw'!C19+'QTR Raw'!C13+'QTR Raw'!C7</f>
        <v>13.487</v>
      </c>
      <c r="AJ73" s="92">
        <f>+'QTR Raw'!D20+'QTR Raw'!D19+'QTR Raw'!D13+'QTR Raw'!D7</f>
        <v>9.0779999999999994</v>
      </c>
      <c r="AK73" s="92">
        <f>+'QTR Raw'!E20+'QTR Raw'!E19+'QTR Raw'!E13+'QTR Raw'!E7</f>
        <v>9.0939999999999994</v>
      </c>
      <c r="AL73" s="92">
        <f>+'QTR Raw'!F20+'QTR Raw'!F19+'QTR Raw'!F13+'QTR Raw'!F7</f>
        <v>10.699</v>
      </c>
      <c r="AM73" s="92">
        <f>+'QTR Raw'!G20+'QTR Raw'!G19+'QTR Raw'!G13+'QTR Raw'!G7</f>
        <v>9.8030000000000008</v>
      </c>
      <c r="AN73" s="92">
        <f>+'QTR Raw'!H20+'QTR Raw'!H19+'QTR Raw'!H13+'QTR Raw'!H7</f>
        <v>7.53</v>
      </c>
      <c r="AO73" s="92">
        <f>+'QTR Raw'!I20+'QTR Raw'!I19+'QTR Raw'!I13+'QTR Raw'!I7</f>
        <v>11.234</v>
      </c>
      <c r="AP73" s="92">
        <f>+'QTR Raw'!J20+'QTR Raw'!J19+'QTR Raw'!J13+'QTR Raw'!J7</f>
        <v>13.494999999999999</v>
      </c>
      <c r="AQ73" s="92">
        <f>+'QTR Raw'!K20+'QTR Raw'!K19+'QTR Raw'!K13+'QTR Raw'!K7</f>
        <v>11.122999999999999</v>
      </c>
      <c r="AR73" s="92">
        <f>+'QTR Raw'!L20+'QTR Raw'!L19+'QTR Raw'!L13+'QTR Raw'!L7</f>
        <v>7.8979999999999997</v>
      </c>
      <c r="AS73" s="92">
        <f>+'QTR Raw'!M20+'QTR Raw'!M19+'QTR Raw'!M13+'QTR Raw'!M7</f>
        <v>0</v>
      </c>
      <c r="AT73" s="92">
        <f>+'QTR Raw'!N20+'QTR Raw'!N19+'QTR Raw'!N13+'QTR Raw'!N7</f>
        <v>0</v>
      </c>
      <c r="AU73" s="92">
        <f>+'QTR Raw'!O20+'QTR Raw'!O19+'QTR Raw'!O13+'QTR Raw'!O7</f>
        <v>0</v>
      </c>
      <c r="AV73" s="92">
        <f>+'QTR Raw'!P20+'QTR Raw'!P19+'QTR Raw'!P13+'QTR Raw'!P7</f>
        <v>0</v>
      </c>
      <c r="AW73" s="92">
        <f>+'QTR Raw'!Q20+'QTR Raw'!Q19+'QTR Raw'!Q13+'QTR Raw'!Q7</f>
        <v>0</v>
      </c>
      <c r="AX73" s="92">
        <f>+'QTR Raw'!R20+'QTR Raw'!R19+'QTR Raw'!R13+'QTR Raw'!R7</f>
        <v>0</v>
      </c>
      <c r="AY73" s="92">
        <f>+'QTR Raw'!S20+'QTR Raw'!S19+'QTR Raw'!S13+'QTR Raw'!S7</f>
        <v>6.508</v>
      </c>
      <c r="AZ73" s="92">
        <f>+'QTR Raw'!T20+'QTR Raw'!T19+'QTR Raw'!T13+'QTR Raw'!T7</f>
        <v>7.84</v>
      </c>
      <c r="BA73" s="92">
        <f>+'QTR Raw'!U20+'QTR Raw'!U19+'QTR Raw'!U13+'QTR Raw'!U7</f>
        <v>7.391</v>
      </c>
      <c r="BB73" s="92">
        <f>+'QTR Raw'!V20+'QTR Raw'!V19+'QTR Raw'!V13+'QTR Raw'!V7</f>
        <v>10.31</v>
      </c>
      <c r="BC73" s="92">
        <f>+'QTR Raw'!W20+'QTR Raw'!W19+'QTR Raw'!W13+'QTR Raw'!W7</f>
        <v>12.061</v>
      </c>
      <c r="BD73" s="92">
        <f>+'QTR Raw'!X20+'QTR Raw'!X19+'QTR Raw'!X13+'QTR Raw'!X7</f>
        <v>0</v>
      </c>
      <c r="BE73" s="92">
        <f>+'QTR Raw'!Y20+'QTR Raw'!Y19+'QTR Raw'!Y13+'QTR Raw'!Y7</f>
        <v>0</v>
      </c>
      <c r="BF73" s="92">
        <f>+'QTR Raw'!Z20+'QTR Raw'!Z19+'QTR Raw'!Z13+'QTR Raw'!Z7</f>
        <v>0</v>
      </c>
      <c r="BG73" s="92">
        <f>+'QTR Raw'!AA20+'QTR Raw'!AA19+'QTR Raw'!AA13+'QTR Raw'!AA7</f>
        <v>0</v>
      </c>
      <c r="BH73" s="92">
        <f>+'QTR Raw'!AB20+'QTR Raw'!AB19+'QTR Raw'!AB13+'QTR Raw'!AB7</f>
        <v>0</v>
      </c>
      <c r="BI73" s="92">
        <f>+'QTR Raw'!AC20+'QTR Raw'!AC19+'QTR Raw'!AC13+'QTR Raw'!AC7</f>
        <v>0</v>
      </c>
      <c r="BJ73" s="92">
        <f>+'QTR Raw'!AD20+'QTR Raw'!AD19+'QTR Raw'!AD13+'QTR Raw'!AD7</f>
        <v>0</v>
      </c>
      <c r="BK73" s="92">
        <f>+'QTR Raw'!AE20+'QTR Raw'!AE19+'QTR Raw'!AE13+'QTR Raw'!AE7</f>
        <v>0</v>
      </c>
      <c r="BL73" s="92">
        <f>+'QTR Raw'!AF20+'QTR Raw'!AF19+'QTR Raw'!AF13+'QTR Raw'!AF7</f>
        <v>0</v>
      </c>
      <c r="BM73" s="92">
        <f>+'QTR Raw'!AG20+'QTR Raw'!AG19+'QTR Raw'!AG13+'QTR Raw'!AG7</f>
        <v>0</v>
      </c>
      <c r="BN73" s="92">
        <f>+'QTR Raw'!AH20+'QTR Raw'!AH19+'QTR Raw'!AH13+'QTR Raw'!AH7</f>
        <v>0</v>
      </c>
      <c r="BO73" s="92">
        <f>+'QTR Raw'!AI20+'QTR Raw'!AI19+'QTR Raw'!AI13+'QTR Raw'!AI7</f>
        <v>0</v>
      </c>
      <c r="BP73" s="92">
        <f>+'QTR Raw'!AJ20+'QTR Raw'!AJ19+'QTR Raw'!AJ13+'QTR Raw'!AJ7</f>
        <v>0</v>
      </c>
      <c r="BQ73" s="92">
        <f>+'QTR Raw'!AK20+'QTR Raw'!AK19+'QTR Raw'!AK13+'QTR Raw'!AK7</f>
        <v>0</v>
      </c>
      <c r="BR73" s="92">
        <f>+'QTR Raw'!AL20+'QTR Raw'!AL19+'QTR Raw'!AL13+'QTR Raw'!AL7</f>
        <v>0</v>
      </c>
      <c r="BS73" s="92">
        <f>+'QTR Raw'!AM20+'QTR Raw'!AM19+'QTR Raw'!AM13+'QTR Raw'!AM7</f>
        <v>0</v>
      </c>
      <c r="BT73" s="92">
        <f>+'QTR Raw'!AN20+'QTR Raw'!AN19+'QTR Raw'!AN13+'QTR Raw'!AN7</f>
        <v>0</v>
      </c>
      <c r="BU73" s="92">
        <f>+'QTR Raw'!AO20+'QTR Raw'!AO19+'QTR Raw'!AO13+'QTR Raw'!AO7</f>
        <v>0</v>
      </c>
      <c r="BV73" s="92">
        <f>+'QTR Raw'!AP20+'QTR Raw'!AP19+'QTR Raw'!AP13+'QTR Raw'!AP7</f>
        <v>0</v>
      </c>
      <c r="BW73" s="92">
        <f>+'QTR Raw'!AQ20+'QTR Raw'!AQ19+'QTR Raw'!AQ13+'QTR Raw'!AQ7</f>
        <v>0</v>
      </c>
      <c r="BX73" s="92">
        <f>+'QTR Raw'!AR20+'QTR Raw'!AR19+'QTR Raw'!AR13+'QTR Raw'!AR7</f>
        <v>0</v>
      </c>
      <c r="BY73" s="92">
        <f>+'QTR Raw'!AS20+'QTR Raw'!AS19+'QTR Raw'!AS13+'QTR Raw'!AS7</f>
        <v>0</v>
      </c>
      <c r="BZ73" s="92">
        <f>+'QTR Raw'!AT20+'QTR Raw'!AT19+'QTR Raw'!AT13+'QTR Raw'!AT7</f>
        <v>0</v>
      </c>
      <c r="CA73" s="92">
        <f>+'QTR Raw'!AU20+'QTR Raw'!AU19+'QTR Raw'!AU13+'QTR Raw'!AU7</f>
        <v>0</v>
      </c>
      <c r="CB73" s="92">
        <f>+'QTR Raw'!AV20+'QTR Raw'!AV19+'QTR Raw'!AV13+'QTR Raw'!AV7</f>
        <v>0</v>
      </c>
      <c r="CC73" s="92">
        <f>+'QTR Raw'!AW20+'QTR Raw'!AW19+'QTR Raw'!AW13+'QTR Raw'!AW7</f>
        <v>0</v>
      </c>
      <c r="CD73" s="92">
        <f>+'QTR Raw'!AX20+'QTR Raw'!AX19+'QTR Raw'!AX13+'QTR Raw'!AX7</f>
        <v>0</v>
      </c>
      <c r="CE73" s="92">
        <f>+'QTR Raw'!AY20+'QTR Raw'!AY19+'QTR Raw'!AY13+'QTR Raw'!AY7</f>
        <v>0</v>
      </c>
      <c r="CF73" s="92">
        <f>+'QTR Raw'!AZ20+'QTR Raw'!AZ19+'QTR Raw'!AZ13+'QTR Raw'!AZ7</f>
        <v>0</v>
      </c>
      <c r="CG73" s="92">
        <f>+'QTR Raw'!BA20+'QTR Raw'!BA19+'QTR Raw'!BA13+'QTR Raw'!BA7</f>
        <v>0</v>
      </c>
      <c r="CH73" s="92">
        <f>+'QTR Raw'!BB20+'QTR Raw'!BB19+'QTR Raw'!BB13+'QTR Raw'!BB7</f>
        <v>0</v>
      </c>
      <c r="CI73" s="92">
        <f>+'QTR Raw'!BC20+'QTR Raw'!BC19+'QTR Raw'!BC13+'QTR Raw'!BC7</f>
        <v>0</v>
      </c>
      <c r="CJ73" s="92">
        <f>+'QTR Raw'!BD20+'QTR Raw'!BD19+'QTR Raw'!BD13+'QTR Raw'!BD7</f>
        <v>0</v>
      </c>
      <c r="CK73" s="92">
        <f>+'QTR Raw'!BE20+'QTR Raw'!BE19+'QTR Raw'!BE13+'QTR Raw'!BE7</f>
        <v>0</v>
      </c>
      <c r="CL73" s="92">
        <f>+'QTR Raw'!BF20+'QTR Raw'!BF19+'QTR Raw'!BF13+'QTR Raw'!BF7</f>
        <v>0</v>
      </c>
      <c r="CM73" s="74"/>
      <c r="CN73" s="74"/>
      <c r="CO73" s="74"/>
      <c r="CP73" s="74"/>
      <c r="CQ73" s="74"/>
      <c r="CR73" s="74"/>
      <c r="CS73" s="74"/>
      <c r="CT73" s="74"/>
      <c r="CU73" s="74"/>
      <c r="CV73" s="74"/>
      <c r="CW73" s="74"/>
      <c r="CX73" s="74"/>
      <c r="CY73" s="74"/>
      <c r="CZ73" s="74"/>
      <c r="DA73" s="74"/>
      <c r="DB73" s="74"/>
      <c r="DE73" s="120"/>
      <c r="DF73" s="92">
        <v>0</v>
      </c>
    </row>
    <row r="74" spans="1:110" s="26" customFormat="1" x14ac:dyDescent="0.2">
      <c r="A74" s="26" t="s">
        <v>431</v>
      </c>
      <c r="B74" s="26">
        <f>+B72-B73</f>
        <v>102.13760000000001</v>
      </c>
      <c r="C74" s="26">
        <f>+C72-C73</f>
        <v>105.98320000000001</v>
      </c>
      <c r="D74" s="26">
        <f t="shared" ref="D74:U74" si="266">+D72-D73</f>
        <v>150.04749999999999</v>
      </c>
      <c r="E74" s="26">
        <f t="shared" si="266"/>
        <v>175.82320000000001</v>
      </c>
      <c r="F74" s="26">
        <f t="shared" si="266"/>
        <v>257.61700000000002</v>
      </c>
      <c r="G74" s="26">
        <f t="shared" si="266"/>
        <v>254.01000000000002</v>
      </c>
      <c r="H74" s="26">
        <f t="shared" si="266"/>
        <v>336.64049999999997</v>
      </c>
      <c r="I74" s="26">
        <f t="shared" si="266"/>
        <v>381.99799999999999</v>
      </c>
      <c r="J74" s="26">
        <f t="shared" si="266"/>
        <v>681.18369999999993</v>
      </c>
      <c r="K74" s="26">
        <f t="shared" si="266"/>
        <v>567.89420000000007</v>
      </c>
      <c r="L74" s="26">
        <f t="shared" si="266"/>
        <v>689.9973</v>
      </c>
      <c r="M74" s="26">
        <f t="shared" si="266"/>
        <v>1006.8038999999999</v>
      </c>
      <c r="N74" s="26">
        <f t="shared" si="266"/>
        <v>759.20220000000006</v>
      </c>
      <c r="O74" s="26">
        <f t="shared" si="266"/>
        <v>567.74610000000007</v>
      </c>
      <c r="P74" s="26">
        <f t="shared" si="266"/>
        <v>638.91579999999999</v>
      </c>
      <c r="Q74" s="26">
        <f t="shared" si="266"/>
        <v>376.8698</v>
      </c>
      <c r="R74" s="26">
        <f t="shared" si="266"/>
        <v>368.9434</v>
      </c>
      <c r="S74" s="26">
        <f t="shared" si="266"/>
        <v>402.61759999999998</v>
      </c>
      <c r="T74" s="26">
        <f t="shared" si="266"/>
        <v>477.28109999999998</v>
      </c>
      <c r="U74" s="26">
        <f t="shared" si="266"/>
        <v>371.73849999999999</v>
      </c>
      <c r="V74" s="26">
        <f t="shared" ref="V74:AA74" si="267">+V72-V73</f>
        <v>253.4067</v>
      </c>
      <c r="W74" s="26">
        <f t="shared" si="267"/>
        <v>697.5</v>
      </c>
      <c r="X74" s="26">
        <f t="shared" si="267"/>
        <v>3392.31</v>
      </c>
      <c r="Y74" s="26">
        <f t="shared" si="267"/>
        <v>6524.65</v>
      </c>
      <c r="Z74" s="26">
        <f t="shared" si="267"/>
        <v>6721.05</v>
      </c>
      <c r="AA74" s="26">
        <f t="shared" ref="AA74" si="268">+AA72-AA73</f>
        <v>17112.669999999998</v>
      </c>
      <c r="AB74" s="27">
        <f t="shared" ref="AB74:AD74" si="269">+AB72-AB73</f>
        <v>22012.32508477247</v>
      </c>
      <c r="AC74" s="27">
        <f t="shared" si="269"/>
        <v>30538.688081989392</v>
      </c>
      <c r="AD74" s="27">
        <f t="shared" si="269"/>
        <v>34582.593728378532</v>
      </c>
      <c r="AE74" s="27">
        <f t="shared" ref="AE74" si="270">+AE72-AE73</f>
        <v>41564.849969301016</v>
      </c>
      <c r="AI74" s="26">
        <f t="shared" ref="AI74" si="271">+AI72-AI73</f>
        <v>247.22200000000001</v>
      </c>
      <c r="AJ74" s="26">
        <f t="shared" ref="AJ74" si="272">+AJ72-AJ73</f>
        <v>121.47800000000001</v>
      </c>
      <c r="AK74" s="26">
        <f t="shared" ref="AK74:AM74" si="273">+AK72-AK73</f>
        <v>138.28</v>
      </c>
      <c r="AL74" s="26">
        <f t="shared" si="273"/>
        <v>242.82999999999998</v>
      </c>
      <c r="AM74" s="26">
        <f t="shared" si="273"/>
        <v>137.61199999999999</v>
      </c>
      <c r="AN74" s="26">
        <f t="shared" ref="AN74:AO74" si="274">+AN72-AN73</f>
        <v>108.148</v>
      </c>
      <c r="AO74" s="26">
        <f t="shared" si="274"/>
        <v>128.292</v>
      </c>
      <c r="AP74" s="26">
        <f t="shared" ref="AP74:AW74" si="275">+AP72-AP73</f>
        <v>183.53</v>
      </c>
      <c r="AQ74" s="26">
        <f t="shared" si="275"/>
        <v>174.13500000000002</v>
      </c>
      <c r="AR74" s="26">
        <f t="shared" si="275"/>
        <v>215.90800000000002</v>
      </c>
      <c r="AS74" s="26">
        <f t="shared" si="275"/>
        <v>117.99</v>
      </c>
      <c r="AT74" s="26">
        <f t="shared" si="275"/>
        <v>123.149</v>
      </c>
      <c r="AU74" s="26">
        <f t="shared" si="275"/>
        <v>130.559</v>
      </c>
      <c r="AV74" s="26">
        <f t="shared" si="275"/>
        <v>76.454999999999998</v>
      </c>
      <c r="AW74" s="26">
        <f t="shared" si="275"/>
        <v>77.622</v>
      </c>
      <c r="AX74" s="26">
        <f t="shared" ref="AX74:CF74" si="276">+AX72-AX73</f>
        <v>84.584000000000003</v>
      </c>
      <c r="AY74" s="26">
        <f t="shared" si="276"/>
        <v>94.983000000000004</v>
      </c>
      <c r="AZ74" s="26">
        <f t="shared" si="276"/>
        <v>86.74199999999999</v>
      </c>
      <c r="BA74" s="26">
        <f t="shared" si="276"/>
        <v>119.06699999999999</v>
      </c>
      <c r="BB74" s="26">
        <f t="shared" si="276"/>
        <v>72.424999999999997</v>
      </c>
      <c r="BC74" s="26">
        <f t="shared" si="276"/>
        <v>97.608000000000004</v>
      </c>
      <c r="BD74" s="26">
        <f t="shared" si="276"/>
        <v>76.311000000000007</v>
      </c>
      <c r="BE74" s="26">
        <f t="shared" si="276"/>
        <v>119.611</v>
      </c>
      <c r="BF74" s="26">
        <f t="shared" si="276"/>
        <v>109.08799999999999</v>
      </c>
      <c r="BG74" s="26">
        <f t="shared" si="276"/>
        <v>134.44200000000001</v>
      </c>
      <c r="BH74" s="26">
        <f t="shared" si="276"/>
        <v>101.199</v>
      </c>
      <c r="BI74" s="26">
        <f t="shared" si="276"/>
        <v>108.27500000000001</v>
      </c>
      <c r="BJ74" s="26">
        <f t="shared" si="276"/>
        <v>130.41300000000001</v>
      </c>
      <c r="BK74" s="26">
        <f t="shared" si="276"/>
        <v>126.45699999999999</v>
      </c>
      <c r="BL74" s="26">
        <f t="shared" si="276"/>
        <v>56.393999999999998</v>
      </c>
      <c r="BM74" s="26">
        <f t="shared" si="276"/>
        <v>84.900999999999996</v>
      </c>
      <c r="BN74" s="26">
        <f t="shared" si="276"/>
        <v>103.98699999999999</v>
      </c>
      <c r="BO74" s="26">
        <f t="shared" si="276"/>
        <v>10.61</v>
      </c>
      <c r="BP74" s="26">
        <f t="shared" si="276"/>
        <v>73.7</v>
      </c>
      <c r="BQ74" s="26">
        <f t="shared" si="276"/>
        <v>73.852000000000004</v>
      </c>
      <c r="BR74" s="26">
        <f t="shared" si="276"/>
        <v>95.245000000000005</v>
      </c>
      <c r="BS74" s="26">
        <f t="shared" si="276"/>
        <v>95.7</v>
      </c>
      <c r="BT74" s="26">
        <f t="shared" si="276"/>
        <v>100.32</v>
      </c>
      <c r="BU74" s="26">
        <f t="shared" si="276"/>
        <v>168.27</v>
      </c>
      <c r="BV74" s="26">
        <f t="shared" si="276"/>
        <v>333.21</v>
      </c>
      <c r="BW74" s="26">
        <f t="shared" si="276"/>
        <v>842.68</v>
      </c>
      <c r="BX74" s="26">
        <f t="shared" si="276"/>
        <v>673.76</v>
      </c>
      <c r="BY74" s="26">
        <f t="shared" si="276"/>
        <v>999.62</v>
      </c>
      <c r="BZ74" s="26">
        <f t="shared" si="276"/>
        <v>876.25</v>
      </c>
      <c r="CA74" s="26">
        <f t="shared" si="276"/>
        <v>1965.52</v>
      </c>
      <c r="CB74" s="26">
        <f t="shared" si="276"/>
        <v>1091.31</v>
      </c>
      <c r="CC74" s="26">
        <f t="shared" si="276"/>
        <v>1912.34</v>
      </c>
      <c r="CD74" s="26">
        <f t="shared" si="276"/>
        <v>1554.29</v>
      </c>
      <c r="CE74" s="26">
        <f t="shared" si="276"/>
        <v>2417.2399999999998</v>
      </c>
      <c r="CF74" s="26">
        <f t="shared" si="276"/>
        <v>1435.6899999999998</v>
      </c>
      <c r="CG74" s="26">
        <f t="shared" ref="CG74:CH74" si="277">+CG72-CG73</f>
        <v>1675.1699999999998</v>
      </c>
      <c r="CH74" s="26">
        <f t="shared" si="277"/>
        <v>1193.3000000000002</v>
      </c>
      <c r="CI74" s="26">
        <f t="shared" ref="CI74:CJ74" si="278">+CI72-CI73</f>
        <v>2383.52</v>
      </c>
      <c r="CJ74" s="26">
        <f t="shared" si="278"/>
        <v>3651.35</v>
      </c>
      <c r="CK74" s="26">
        <f t="shared" ref="CK74:CL74" si="279">+CK72-CK73</f>
        <v>5058.08</v>
      </c>
      <c r="CL74" s="26">
        <f t="shared" si="279"/>
        <v>6019.72</v>
      </c>
      <c r="CM74" s="27">
        <f t="shared" ref="CM74:DB74" si="280">+CM72-CM73</f>
        <v>5573.1977650909275</v>
      </c>
      <c r="CN74" s="27">
        <f t="shared" si="280"/>
        <v>5187.6283781306183</v>
      </c>
      <c r="CO74" s="27">
        <f t="shared" si="280"/>
        <v>5400.792807658825</v>
      </c>
      <c r="CP74" s="27">
        <f t="shared" si="280"/>
        <v>5850.7061338921003</v>
      </c>
      <c r="CQ74" s="27">
        <f t="shared" si="280"/>
        <v>7224.6865913236134</v>
      </c>
      <c r="CR74" s="27">
        <f t="shared" si="280"/>
        <v>7087.1459473785535</v>
      </c>
      <c r="CS74" s="27">
        <f t="shared" si="280"/>
        <v>7912.1716558370226</v>
      </c>
      <c r="CT74" s="27">
        <f t="shared" si="280"/>
        <v>8314.6838874502046</v>
      </c>
      <c r="CU74" s="27">
        <f t="shared" si="280"/>
        <v>8333.1001406807245</v>
      </c>
      <c r="CV74" s="27">
        <f t="shared" si="280"/>
        <v>7840.6986941349805</v>
      </c>
      <c r="CW74" s="27">
        <f t="shared" si="280"/>
        <v>8911.969783571165</v>
      </c>
      <c r="CX74" s="27">
        <f t="shared" si="280"/>
        <v>9496.8251099916579</v>
      </c>
      <c r="CY74" s="27">
        <f t="shared" si="280"/>
        <v>10034.331898880193</v>
      </c>
      <c r="CZ74" s="27">
        <f t="shared" si="280"/>
        <v>9542.3156500836176</v>
      </c>
      <c r="DA74" s="27">
        <f t="shared" si="280"/>
        <v>10685.12617344194</v>
      </c>
      <c r="DB74" s="27">
        <f t="shared" si="280"/>
        <v>11303.076246895269</v>
      </c>
      <c r="DE74" s="121"/>
      <c r="DF74" s="26">
        <v>17112.669999999998</v>
      </c>
    </row>
    <row r="75" spans="1:110" s="39" customFormat="1" x14ac:dyDescent="0.2">
      <c r="A75" s="39" t="s">
        <v>484</v>
      </c>
      <c r="C75" s="39">
        <f t="shared" ref="C75" si="281">C74/B74-1</f>
        <v>3.7651168619587727E-2</v>
      </c>
      <c r="D75" s="39">
        <f t="shared" ref="D75" si="282">D74/C74-1</f>
        <v>0.41576683851780261</v>
      </c>
      <c r="E75" s="39">
        <f t="shared" ref="E75" si="283">E74/D74-1</f>
        <v>0.17178360185941144</v>
      </c>
      <c r="F75" s="39">
        <f t="shared" ref="F75:R75" si="284">F74/E74-1</f>
        <v>0.46520481938674751</v>
      </c>
      <c r="G75" s="39">
        <f t="shared" si="284"/>
        <v>-1.4001405186769511E-2</v>
      </c>
      <c r="H75" s="39">
        <f t="shared" si="284"/>
        <v>0.32530412188496505</v>
      </c>
      <c r="I75" s="39">
        <f t="shared" si="284"/>
        <v>0.13473571955840136</v>
      </c>
      <c r="J75" s="39">
        <f t="shared" si="284"/>
        <v>0.7832127393337136</v>
      </c>
      <c r="K75" s="39">
        <f>K74/J74-1</f>
        <v>-0.1663126994964792</v>
      </c>
      <c r="L75" s="39">
        <f t="shared" si="284"/>
        <v>0.21501029593188292</v>
      </c>
      <c r="M75" s="39">
        <f t="shared" si="284"/>
        <v>0.45914179664181276</v>
      </c>
      <c r="N75" s="39">
        <f t="shared" si="284"/>
        <v>-0.24592842757164513</v>
      </c>
      <c r="O75" s="39">
        <f t="shared" si="284"/>
        <v>-0.25218064436588827</v>
      </c>
      <c r="P75" s="39">
        <f t="shared" si="284"/>
        <v>0.12535480208494598</v>
      </c>
      <c r="Q75" s="39">
        <f t="shared" si="284"/>
        <v>-0.41014168064086065</v>
      </c>
      <c r="R75" s="39">
        <f t="shared" si="284"/>
        <v>-2.1032197326503743E-2</v>
      </c>
      <c r="S75" s="39">
        <f t="shared" ref="S75:AA75" si="285">S74/R74-1</f>
        <v>9.1271994566104242E-2</v>
      </c>
      <c r="T75" s="39">
        <f t="shared" si="285"/>
        <v>0.18544519663323222</v>
      </c>
      <c r="U75" s="39">
        <f t="shared" si="285"/>
        <v>-0.22113299688590227</v>
      </c>
      <c r="V75" s="39">
        <f t="shared" si="285"/>
        <v>-0.3183200018292428</v>
      </c>
      <c r="W75" s="39">
        <f t="shared" si="285"/>
        <v>1.7524923374164931</v>
      </c>
      <c r="X75" s="39">
        <f t="shared" si="285"/>
        <v>3.8635268817204302</v>
      </c>
      <c r="Y75" s="39">
        <f t="shared" si="285"/>
        <v>0.92336490474042754</v>
      </c>
      <c r="Z75" s="39">
        <f t="shared" si="285"/>
        <v>3.0101231483681268E-2</v>
      </c>
      <c r="AA75" s="39">
        <f t="shared" si="285"/>
        <v>1.5461304409281285</v>
      </c>
      <c r="AB75" s="40">
        <f t="shared" ref="AB75" si="286">AB74/AA74-1</f>
        <v>0.28631739435006187</v>
      </c>
      <c r="AC75" s="40">
        <f t="shared" ref="AC75" si="287">AC74/AB74-1</f>
        <v>0.38734495172048988</v>
      </c>
      <c r="AD75" s="40">
        <f t="shared" ref="AD75" si="288">AD74/AC74-1</f>
        <v>0.13241910181380989</v>
      </c>
      <c r="AE75" s="40">
        <f t="shared" ref="AE75" si="289">AE74/AD74-1</f>
        <v>0.20190088388867244</v>
      </c>
      <c r="AM75" s="39">
        <f t="shared" ref="AM75:CI75" si="290">+IF(AI74&lt;0,1-AM74/AI74,AM74/AI74-1)</f>
        <v>-0.44336669066668832</v>
      </c>
      <c r="AN75" s="39">
        <f t="shared" si="290"/>
        <v>-0.10973180328948462</v>
      </c>
      <c r="AO75" s="39">
        <f t="shared" si="290"/>
        <v>-7.2230257448654855E-2</v>
      </c>
      <c r="AP75" s="39">
        <f t="shared" si="290"/>
        <v>-0.24420376395008847</v>
      </c>
      <c r="AQ75" s="39">
        <f t="shared" si="290"/>
        <v>0.26540563322966038</v>
      </c>
      <c r="AR75" s="39">
        <f t="shared" si="290"/>
        <v>0.99641232385249867</v>
      </c>
      <c r="AS75" s="39">
        <f t="shared" si="290"/>
        <v>-8.0301187915068795E-2</v>
      </c>
      <c r="AT75" s="39">
        <f t="shared" si="290"/>
        <v>-0.32899798398082059</v>
      </c>
      <c r="AU75" s="39">
        <f t="shared" si="290"/>
        <v>-0.25024262784621132</v>
      </c>
      <c r="AV75" s="39">
        <f t="shared" si="290"/>
        <v>-0.64589084239583527</v>
      </c>
      <c r="AW75" s="39">
        <f t="shared" si="290"/>
        <v>-0.34213068904144417</v>
      </c>
      <c r="AX75" s="39">
        <f t="shared" si="290"/>
        <v>-0.3131572322958367</v>
      </c>
      <c r="AY75" s="39">
        <f t="shared" si="290"/>
        <v>-0.27248983218315082</v>
      </c>
      <c r="AZ75" s="39">
        <f t="shared" si="290"/>
        <v>0.13454973513831647</v>
      </c>
      <c r="BA75" s="39">
        <f t="shared" si="290"/>
        <v>0.53393367859627427</v>
      </c>
      <c r="BB75" s="39">
        <f t="shared" si="290"/>
        <v>-0.14375059112834587</v>
      </c>
      <c r="BC75" s="39">
        <f t="shared" si="290"/>
        <v>2.7636524430687537E-2</v>
      </c>
      <c r="BD75" s="39">
        <f t="shared" si="290"/>
        <v>-0.12025316455696189</v>
      </c>
      <c r="BE75" s="39">
        <f t="shared" si="290"/>
        <v>4.5688561902124114E-3</v>
      </c>
      <c r="BF75" s="39">
        <f t="shared" si="290"/>
        <v>0.50622022782188458</v>
      </c>
      <c r="BG75" s="39">
        <f t="shared" si="290"/>
        <v>0.3773666092943202</v>
      </c>
      <c r="BH75" s="39">
        <f t="shared" si="290"/>
        <v>0.32613908872901654</v>
      </c>
      <c r="BI75" s="39">
        <f t="shared" si="290"/>
        <v>-9.4773892033341411E-2</v>
      </c>
      <c r="BJ75" s="39">
        <f t="shared" si="290"/>
        <v>0.19548437958345577</v>
      </c>
      <c r="BK75" s="39">
        <f t="shared" si="290"/>
        <v>-5.9393641867868774E-2</v>
      </c>
      <c r="BL75" s="39">
        <f t="shared" si="290"/>
        <v>-0.44274152906649278</v>
      </c>
      <c r="BM75" s="39">
        <f t="shared" si="290"/>
        <v>-0.21587624105287473</v>
      </c>
      <c r="BN75" s="39">
        <f t="shared" si="290"/>
        <v>-0.20263317307323669</v>
      </c>
      <c r="BO75" s="39">
        <f t="shared" si="290"/>
        <v>-0.91609796215314299</v>
      </c>
      <c r="BP75" s="39">
        <f t="shared" si="290"/>
        <v>0.3068766180799376</v>
      </c>
      <c r="BQ75" s="39">
        <f t="shared" si="290"/>
        <v>-0.13013980989623197</v>
      </c>
      <c r="BR75" s="39">
        <f t="shared" si="290"/>
        <v>-8.4068200832796314E-2</v>
      </c>
      <c r="BS75" s="39">
        <f t="shared" si="290"/>
        <v>8.0197926484448647</v>
      </c>
      <c r="BT75" s="39">
        <f t="shared" si="290"/>
        <v>0.36119402985074611</v>
      </c>
      <c r="BU75" s="39">
        <f t="shared" si="290"/>
        <v>1.2784758706602393</v>
      </c>
      <c r="BV75" s="39">
        <f t="shared" si="290"/>
        <v>2.4984513622762345</v>
      </c>
      <c r="BW75" s="39">
        <f t="shared" si="290"/>
        <v>7.8054336468129559</v>
      </c>
      <c r="BX75" s="39">
        <f t="shared" si="290"/>
        <v>5.7161084529505581</v>
      </c>
      <c r="BY75" s="39">
        <f t="shared" si="290"/>
        <v>4.9405717002436553</v>
      </c>
      <c r="BZ75" s="39">
        <f t="shared" si="290"/>
        <v>1.6297229975090786</v>
      </c>
      <c r="CA75" s="39">
        <f t="shared" si="290"/>
        <v>1.332463093938387</v>
      </c>
      <c r="CB75" s="39">
        <f t="shared" si="290"/>
        <v>0.61973106150558066</v>
      </c>
      <c r="CC75" s="39">
        <f t="shared" si="290"/>
        <v>0.91306696544686972</v>
      </c>
      <c r="CD75" s="39">
        <f t="shared" si="290"/>
        <v>0.77379743223965769</v>
      </c>
      <c r="CE75" s="39">
        <f t="shared" si="290"/>
        <v>0.22982213358297021</v>
      </c>
      <c r="CF75" s="39">
        <f t="shared" si="290"/>
        <v>0.31556569627328623</v>
      </c>
      <c r="CG75" s="39">
        <f t="shared" si="290"/>
        <v>-0.1240208331154502</v>
      </c>
      <c r="CH75" s="39">
        <f t="shared" si="290"/>
        <v>-0.23225395518210878</v>
      </c>
      <c r="CI75" s="39">
        <f t="shared" si="290"/>
        <v>-1.3949793979910918E-2</v>
      </c>
      <c r="CJ75" s="39">
        <f>+IF(CF74&lt;0,1-CJ74/CF74,CJ74/CF74-1)</f>
        <v>1.5432718762406927</v>
      </c>
      <c r="CK75" s="39">
        <f>+IF(CG74&lt;0,1-CK74/CG74,CK74/CG74-1)</f>
        <v>2.0194428028200124</v>
      </c>
      <c r="CL75" s="39">
        <f>+IF(CH74&lt;0,1-CL74/CH74,CL74/CH74-1)</f>
        <v>4.0445990111455625</v>
      </c>
      <c r="CM75" s="40">
        <f t="shared" ref="CM75:DB75" si="291">+IF(CI74&lt;0,1-CM74/CI74,CM74/CI74-1)</f>
        <v>1.3382215232475194</v>
      </c>
      <c r="CN75" s="40">
        <f t="shared" si="291"/>
        <v>0.42074256867476922</v>
      </c>
      <c r="CO75" s="40">
        <f t="shared" si="291"/>
        <v>6.7755513487098851E-2</v>
      </c>
      <c r="CP75" s="40">
        <f t="shared" si="291"/>
        <v>-2.8076698934153099E-2</v>
      </c>
      <c r="CQ75" s="40">
        <f t="shared" si="291"/>
        <v>0.2963269734616607</v>
      </c>
      <c r="CR75" s="40">
        <f t="shared" si="291"/>
        <v>0.36616299988944734</v>
      </c>
      <c r="CS75" s="40">
        <f t="shared" si="291"/>
        <v>0.4650018872445596</v>
      </c>
      <c r="CT75" s="40">
        <f t="shared" si="291"/>
        <v>0.42114194375354441</v>
      </c>
      <c r="CU75" s="40">
        <f t="shared" si="291"/>
        <v>0.1534202951707615</v>
      </c>
      <c r="CV75" s="40">
        <f t="shared" si="291"/>
        <v>0.10632668670174028</v>
      </c>
      <c r="CW75" s="40">
        <f t="shared" si="291"/>
        <v>0.12636203702640403</v>
      </c>
      <c r="CX75" s="40">
        <f t="shared" si="291"/>
        <v>0.14217512518133391</v>
      </c>
      <c r="CY75" s="40">
        <f t="shared" si="291"/>
        <v>0.20415352383614782</v>
      </c>
      <c r="CZ75" s="40">
        <f t="shared" si="291"/>
        <v>0.21702363811295089</v>
      </c>
      <c r="DA75" s="40">
        <f t="shared" si="291"/>
        <v>0.19896346519705599</v>
      </c>
      <c r="DB75" s="40">
        <f t="shared" si="291"/>
        <v>0.19019526167784706</v>
      </c>
      <c r="DE75" s="122"/>
      <c r="DF75" s="39">
        <v>1.5461304409281285</v>
      </c>
    </row>
    <row r="76" spans="1:110" s="39" customFormat="1" x14ac:dyDescent="0.2">
      <c r="A76" s="39" t="s">
        <v>446</v>
      </c>
      <c r="AB76" s="40"/>
      <c r="AC76" s="40"/>
      <c r="AD76" s="40"/>
      <c r="AE76" s="40"/>
      <c r="AJ76" s="39">
        <f t="shared" ref="AJ76:AL76" si="292">+IF(AI74&lt;0,1-AJ74/AI74,AJ74/AI74-1)</f>
        <v>-0.50862787292393064</v>
      </c>
      <c r="AK76" s="39">
        <f t="shared" si="292"/>
        <v>0.13831311019279213</v>
      </c>
      <c r="AL76" s="39">
        <f t="shared" si="292"/>
        <v>0.75607463118310658</v>
      </c>
      <c r="AM76" s="39">
        <f t="shared" ref="AM76:CI76" si="293">+IF(AL74&lt;0,1-AM74/AL74,AM74/AL74-1)</f>
        <v>-0.43329901577235097</v>
      </c>
      <c r="AN76" s="39">
        <f t="shared" si="293"/>
        <v>-0.21410923465976806</v>
      </c>
      <c r="AO76" s="39">
        <f t="shared" si="293"/>
        <v>0.18626326885379307</v>
      </c>
      <c r="AP76" s="39">
        <f t="shared" si="293"/>
        <v>0.43056464939357086</v>
      </c>
      <c r="AQ76" s="39">
        <f t="shared" si="293"/>
        <v>-5.1190541055958105E-2</v>
      </c>
      <c r="AR76" s="39">
        <f t="shared" si="293"/>
        <v>0.23988859218422487</v>
      </c>
      <c r="AS76" s="39">
        <f t="shared" si="293"/>
        <v>-0.45351723882394357</v>
      </c>
      <c r="AT76" s="39">
        <f t="shared" si="293"/>
        <v>4.3724044410543339E-2</v>
      </c>
      <c r="AU76" s="39">
        <f t="shared" si="293"/>
        <v>6.0171012350892061E-2</v>
      </c>
      <c r="AV76" s="39">
        <f t="shared" si="293"/>
        <v>-0.41440268384408585</v>
      </c>
      <c r="AW76" s="39">
        <f t="shared" si="293"/>
        <v>1.5263880714145639E-2</v>
      </c>
      <c r="AX76" s="39">
        <f t="shared" si="293"/>
        <v>8.969106696555107E-2</v>
      </c>
      <c r="AY76" s="39">
        <f t="shared" si="293"/>
        <v>0.1229428733566631</v>
      </c>
      <c r="AZ76" s="39">
        <f t="shared" si="293"/>
        <v>-8.6762894412684477E-2</v>
      </c>
      <c r="BA76" s="39">
        <f t="shared" si="293"/>
        <v>0.37265684443522185</v>
      </c>
      <c r="BB76" s="39">
        <f t="shared" si="293"/>
        <v>-0.39172902651448338</v>
      </c>
      <c r="BC76" s="39">
        <f t="shared" si="293"/>
        <v>0.34771142561270296</v>
      </c>
      <c r="BD76" s="39">
        <f t="shared" si="293"/>
        <v>-0.2181890828620604</v>
      </c>
      <c r="BE76" s="39">
        <f t="shared" si="293"/>
        <v>0.56741492052259823</v>
      </c>
      <c r="BF76" s="39">
        <f t="shared" si="293"/>
        <v>-8.7976858315706785E-2</v>
      </c>
      <c r="BG76" s="39">
        <f t="shared" si="293"/>
        <v>0.23241786447638613</v>
      </c>
      <c r="BH76" s="39">
        <f t="shared" si="293"/>
        <v>-0.24726647922524214</v>
      </c>
      <c r="BI76" s="39">
        <f t="shared" si="293"/>
        <v>6.9921639541892677E-2</v>
      </c>
      <c r="BJ76" s="39">
        <f t="shared" si="293"/>
        <v>0.20446086354190718</v>
      </c>
      <c r="BK76" s="39">
        <f t="shared" si="293"/>
        <v>-3.0334399177996185E-2</v>
      </c>
      <c r="BL76" s="39">
        <f t="shared" si="293"/>
        <v>-0.55404603936515961</v>
      </c>
      <c r="BM76" s="39">
        <f t="shared" si="293"/>
        <v>0.50549703869205942</v>
      </c>
      <c r="BN76" s="39">
        <f t="shared" si="293"/>
        <v>0.2248030058538768</v>
      </c>
      <c r="BO76" s="39">
        <f t="shared" si="293"/>
        <v>-0.89796801523267333</v>
      </c>
      <c r="BP76" s="39">
        <f t="shared" si="293"/>
        <v>5.9462770970782284</v>
      </c>
      <c r="BQ76" s="39">
        <f t="shared" si="293"/>
        <v>2.062415196743661E-3</v>
      </c>
      <c r="BR76" s="39">
        <f t="shared" si="293"/>
        <v>0.2896739424795538</v>
      </c>
      <c r="BS76" s="39">
        <f t="shared" si="293"/>
        <v>4.7771536563598893E-3</v>
      </c>
      <c r="BT76" s="39">
        <f t="shared" si="293"/>
        <v>4.8275862068965392E-2</v>
      </c>
      <c r="BU76" s="39">
        <f t="shared" si="293"/>
        <v>0.67733253588516762</v>
      </c>
      <c r="BV76" s="39">
        <f t="shared" si="293"/>
        <v>0.98021037618113716</v>
      </c>
      <c r="BW76" s="39">
        <f t="shared" si="293"/>
        <v>1.528975721016776</v>
      </c>
      <c r="BX76" s="39">
        <f t="shared" si="293"/>
        <v>-0.20045568899226274</v>
      </c>
      <c r="BY76" s="39">
        <f t="shared" si="293"/>
        <v>0.48364402754690095</v>
      </c>
      <c r="BZ76" s="39">
        <f t="shared" si="293"/>
        <v>-0.12341689842140013</v>
      </c>
      <c r="CA76" s="39">
        <f t="shared" si="293"/>
        <v>1.2431041369472182</v>
      </c>
      <c r="CB76" s="39">
        <f t="shared" si="293"/>
        <v>-0.44477288452928487</v>
      </c>
      <c r="CC76" s="39">
        <f t="shared" si="293"/>
        <v>0.75233435045953945</v>
      </c>
      <c r="CD76" s="39">
        <f t="shared" si="293"/>
        <v>-0.18723135007373159</v>
      </c>
      <c r="CE76" s="39">
        <f t="shared" si="293"/>
        <v>0.55520527057370228</v>
      </c>
      <c r="CF76" s="39">
        <f t="shared" si="293"/>
        <v>-0.40606228591285931</v>
      </c>
      <c r="CG76" s="39">
        <f t="shared" si="293"/>
        <v>0.16680481162367933</v>
      </c>
      <c r="CH76" s="39">
        <f t="shared" si="293"/>
        <v>-0.28765438731591408</v>
      </c>
      <c r="CI76" s="39">
        <f t="shared" si="293"/>
        <v>0.9974189223162655</v>
      </c>
      <c r="CJ76" s="39">
        <f>+IF(CI74&lt;0,1-CJ74/CI74,CJ74/CI74-1)</f>
        <v>0.53191498288245942</v>
      </c>
      <c r="CK76" s="39">
        <f>+IF(CJ74&lt;0,1-CK74/CJ74,CK74/CJ74-1)</f>
        <v>0.38526298492338462</v>
      </c>
      <c r="CL76" s="39">
        <f>+IF(CK74&lt;0,1-CL74/CK74,CL74/CK74-1)</f>
        <v>0.19011957106253763</v>
      </c>
      <c r="CM76" s="40">
        <f t="shared" ref="CM76:DB76" si="294">+IF(CL74&lt;0,1-CM74/CL74,CM74/CL74-1)</f>
        <v>-7.4176578795869696E-2</v>
      </c>
      <c r="CN76" s="40">
        <f t="shared" si="294"/>
        <v>-6.9182792933603854E-2</v>
      </c>
      <c r="CO76" s="40">
        <f t="shared" si="294"/>
        <v>4.1090921320972029E-2</v>
      </c>
      <c r="CP76" s="40">
        <f t="shared" si="294"/>
        <v>8.330505210184258E-2</v>
      </c>
      <c r="CQ76" s="40">
        <f t="shared" si="294"/>
        <v>0.23484010749955275</v>
      </c>
      <c r="CR76" s="40">
        <f t="shared" si="294"/>
        <v>-1.903759314767195E-2</v>
      </c>
      <c r="CS76" s="40">
        <f t="shared" si="294"/>
        <v>0.11641155898075395</v>
      </c>
      <c r="CT76" s="40">
        <f t="shared" si="294"/>
        <v>5.0872535268650099E-2</v>
      </c>
      <c r="CU76" s="40">
        <f t="shared" si="294"/>
        <v>2.2149072027040084E-3</v>
      </c>
      <c r="CV76" s="40">
        <f t="shared" si="294"/>
        <v>-5.9089827103112169E-2</v>
      </c>
      <c r="CW76" s="40">
        <f t="shared" si="294"/>
        <v>0.1366295442825165</v>
      </c>
      <c r="CX76" s="40">
        <f t="shared" si="294"/>
        <v>6.56258201748674E-2</v>
      </c>
      <c r="CY76" s="40">
        <f t="shared" si="294"/>
        <v>5.6598577173230469E-2</v>
      </c>
      <c r="CZ76" s="40">
        <f t="shared" si="294"/>
        <v>-4.9033284303809377E-2</v>
      </c>
      <c r="DA76" s="40">
        <f t="shared" si="294"/>
        <v>0.11976238947286433</v>
      </c>
      <c r="DB76" s="40">
        <f t="shared" si="294"/>
        <v>5.7832735282925762E-2</v>
      </c>
      <c r="DE76" s="122"/>
    </row>
    <row r="77" spans="1:110" s="23" customFormat="1" outlineLevel="1" x14ac:dyDescent="0.2">
      <c r="A77" s="23" t="s">
        <v>2</v>
      </c>
      <c r="B77" s="23">
        <f>'Annual Raw'!C11</f>
        <v>-0.876</v>
      </c>
      <c r="C77" s="23">
        <f>'Annual Raw'!D11</f>
        <v>0.8327</v>
      </c>
      <c r="D77" s="23">
        <f>'Annual Raw'!E11</f>
        <v>-1.1713</v>
      </c>
      <c r="E77" s="23">
        <f>'Annual Raw'!F11</f>
        <v>-4.0016999999999996</v>
      </c>
      <c r="F77" s="23">
        <f>'Annual Raw'!G11</f>
        <v>6.6035000000000004</v>
      </c>
      <c r="G77" s="23">
        <f>'Annual Raw'!H11</f>
        <v>-21.546299999999999</v>
      </c>
      <c r="H77" s="23">
        <f>'Annual Raw'!I11</f>
        <v>62.954000000000001</v>
      </c>
      <c r="I77" s="23">
        <f>'Annual Raw'!J11</f>
        <v>35.1021</v>
      </c>
      <c r="J77" s="23">
        <f>'Annual Raw'!K11</f>
        <v>-0.20449999999999999</v>
      </c>
      <c r="K77" s="23">
        <f>'Annual Raw'!L11</f>
        <v>-0.56210000000000004</v>
      </c>
      <c r="L77" s="23">
        <f>'Annual Raw'!M11</f>
        <v>-2.3791000000000002</v>
      </c>
      <c r="M77" s="23">
        <f>'Annual Raw'!N11</f>
        <v>-2.9895</v>
      </c>
      <c r="N77" s="23">
        <f>'Annual Raw'!O11</f>
        <v>0.49730000000000002</v>
      </c>
      <c r="O77" s="23">
        <f>'Annual Raw'!P11</f>
        <v>-6.7732999999999999</v>
      </c>
      <c r="P77" s="23">
        <f>'Annual Raw'!Q11</f>
        <v>9.1358999999999995</v>
      </c>
      <c r="Q77" s="23">
        <f>'Annual Raw'!R11</f>
        <v>-24.4421</v>
      </c>
      <c r="R77" s="23">
        <f>'Annual Raw'!S11</f>
        <v>-7.7431999999999999</v>
      </c>
      <c r="S77" s="23">
        <f>'Annual Raw'!T11</f>
        <v>-6.9936999999999996</v>
      </c>
      <c r="T77" s="23">
        <f>'Annual Raw'!U11</f>
        <v>-3.1566999999999998</v>
      </c>
      <c r="U77" s="23">
        <f>'Annual Raw'!V11</f>
        <v>-9.7744</v>
      </c>
      <c r="V77" s="23">
        <f>'Annual Raw'!W11</f>
        <v>-14.450100000000001</v>
      </c>
      <c r="W77" s="23">
        <f>'Annual Raw'!X11</f>
        <v>-60.39</v>
      </c>
      <c r="X77" s="23">
        <f>'Annual Raw'!Y11</f>
        <v>35.770000000000003</v>
      </c>
      <c r="Y77" s="23">
        <f>'Annual Raw'!Z11</f>
        <v>-14.89</v>
      </c>
      <c r="Z77" s="23">
        <f>'Annual Raw'!AA11</f>
        <v>90.42</v>
      </c>
      <c r="AA77" s="23">
        <f>'Annual Raw'!AB11</f>
        <v>-719.66</v>
      </c>
      <c r="AB77" s="76">
        <f>+SUM(CM77:CP77)</f>
        <v>0</v>
      </c>
      <c r="AC77" s="76">
        <f>+SUM(CQ77:CT77)</f>
        <v>0</v>
      </c>
      <c r="AD77" s="76">
        <f>+SUM(CU77:CX77)</f>
        <v>0</v>
      </c>
      <c r="AE77" s="76">
        <f>+SUM(CY77:DB77)</f>
        <v>0</v>
      </c>
      <c r="AI77" s="23">
        <f>'QTR Raw'!C10</f>
        <v>1.27</v>
      </c>
      <c r="AJ77" s="23">
        <f>'QTR Raw'!D10</f>
        <v>-0.90600000000000003</v>
      </c>
      <c r="AK77" s="23">
        <f>'QTR Raw'!E10</f>
        <v>-3.7250000000000001</v>
      </c>
      <c r="AL77" s="23">
        <f>'QTR Raw'!F10</f>
        <v>3.8580000000000001</v>
      </c>
      <c r="AM77" s="23">
        <f>'QTR Raw'!G10</f>
        <v>2.4729999999999999</v>
      </c>
      <c r="AN77" s="23">
        <f>'QTR Raw'!H10</f>
        <v>-1.462</v>
      </c>
      <c r="AO77" s="23">
        <f>'QTR Raw'!I10</f>
        <v>0.66400000000000003</v>
      </c>
      <c r="AP77" s="23">
        <f>'QTR Raw'!J10</f>
        <v>-8.4480000000000004</v>
      </c>
      <c r="AQ77" s="23">
        <f>'QTR Raw'!K10</f>
        <v>10.462</v>
      </c>
      <c r="AR77" s="23">
        <f>'QTR Raw'!L10</f>
        <v>0.52900000000000003</v>
      </c>
      <c r="AS77" s="23">
        <f>'QTR Raw'!M10</f>
        <v>-4.1920000000000002</v>
      </c>
      <c r="AT77" s="23">
        <f>'QTR Raw'!N10</f>
        <v>2.3370000000000002</v>
      </c>
      <c r="AU77" s="23">
        <f>'QTR Raw'!O10</f>
        <v>0.182</v>
      </c>
      <c r="AV77" s="23">
        <f>'QTR Raw'!P10</f>
        <v>-1.8169999999999999</v>
      </c>
      <c r="AW77" s="23">
        <f>'QTR Raw'!Q10</f>
        <v>-1.0820000000000001</v>
      </c>
      <c r="AX77" s="23">
        <f>'QTR Raw'!R10</f>
        <v>-21.725000000000001</v>
      </c>
      <c r="AY77" s="23">
        <f>'QTR Raw'!S10</f>
        <v>16.02</v>
      </c>
      <c r="AZ77" s="23">
        <f>'QTR Raw'!T10</f>
        <v>-11.058</v>
      </c>
      <c r="BA77" s="23">
        <f>'QTR Raw'!U10</f>
        <v>-4.8079999999999998</v>
      </c>
      <c r="BB77" s="23">
        <f>'QTR Raw'!V10</f>
        <v>-7.8979999999999997</v>
      </c>
      <c r="BC77" s="23">
        <f>'QTR Raw'!W10</f>
        <v>2.6459999999999999</v>
      </c>
      <c r="BD77" s="23">
        <f>'QTR Raw'!X10</f>
        <v>1.3859999999999999</v>
      </c>
      <c r="BE77" s="23">
        <f>'QTR Raw'!Y10</f>
        <v>-2.9119999999999999</v>
      </c>
      <c r="BF77" s="23">
        <f>'QTR Raw'!Z10</f>
        <v>-8.1150000000000002</v>
      </c>
      <c r="BG77" s="23">
        <f>'QTR Raw'!AA10</f>
        <v>0.19900000000000001</v>
      </c>
      <c r="BH77" s="23">
        <f>'QTR Raw'!AB10</f>
        <v>-3.306</v>
      </c>
      <c r="BI77" s="23">
        <f>'QTR Raw'!AC10</f>
        <v>-7.1790000000000003</v>
      </c>
      <c r="BJ77" s="23">
        <f>'QTR Raw'!AD10</f>
        <v>7.1280000000000001</v>
      </c>
      <c r="BK77" s="23">
        <f>'QTR Raw'!AE10</f>
        <v>8.3740000000000006</v>
      </c>
      <c r="BL77" s="23">
        <f>'QTR Raw'!AF10</f>
        <v>-11.173999999999999</v>
      </c>
      <c r="BM77" s="23">
        <f>'QTR Raw'!AG10</f>
        <v>-1.3089999999999999</v>
      </c>
      <c r="BN77" s="23">
        <f>'QTR Raw'!AH10</f>
        <v>-5.6660000000000004</v>
      </c>
      <c r="BO77" s="23">
        <f>'QTR Raw'!AI10</f>
        <v>6.2050000000000001</v>
      </c>
      <c r="BP77" s="23">
        <f>'QTR Raw'!AJ10</f>
        <v>-3.9870000000000001</v>
      </c>
      <c r="BQ77" s="23">
        <f>'QTR Raw'!AK10</f>
        <v>-2.0659999999999998</v>
      </c>
      <c r="BR77" s="23">
        <f>'QTR Raw'!AL10</f>
        <v>-14.602</v>
      </c>
      <c r="BS77" s="23">
        <f>'QTR Raw'!AM10</f>
        <v>5.27</v>
      </c>
      <c r="BT77" s="23">
        <f>'QTR Raw'!AN10</f>
        <v>-4.72</v>
      </c>
      <c r="BU77" s="23">
        <f>'QTR Raw'!AO10</f>
        <v>-3.25</v>
      </c>
      <c r="BV77" s="23">
        <f>'QTR Raw'!AP10</f>
        <v>-57.7</v>
      </c>
      <c r="BW77" s="23">
        <f>'QTR Raw'!AQ10</f>
        <v>-12.37</v>
      </c>
      <c r="BX77" s="23">
        <f>'QTR Raw'!AR10</f>
        <v>18.89</v>
      </c>
      <c r="BY77" s="23">
        <f>'QTR Raw'!AS10</f>
        <v>27.59</v>
      </c>
      <c r="BZ77" s="23">
        <f>'QTR Raw'!AT10</f>
        <v>1.67</v>
      </c>
      <c r="CA77" s="23">
        <f>'QTR Raw'!AU10</f>
        <v>-51.51</v>
      </c>
      <c r="CB77" s="23">
        <f>'QTR Raw'!AV10</f>
        <v>-31.02</v>
      </c>
      <c r="CC77" s="23">
        <f>'QTR Raw'!AW10</f>
        <v>-24.69</v>
      </c>
      <c r="CD77" s="23">
        <f>'QTR Raw'!AX10</f>
        <v>92.33</v>
      </c>
      <c r="CE77" s="23">
        <f>'QTR Raw'!AY10</f>
        <v>-13.81</v>
      </c>
      <c r="CF77" s="23">
        <f>'QTR Raw'!AZ10</f>
        <v>35.74</v>
      </c>
      <c r="CG77" s="23">
        <f>'QTR Raw'!BA10</f>
        <v>-2.99</v>
      </c>
      <c r="CH77" s="23">
        <f>'QTR Raw'!BB10</f>
        <v>71.47</v>
      </c>
      <c r="CI77" s="23">
        <f>'QTR Raw'!BC10</f>
        <v>-67.28</v>
      </c>
      <c r="CJ77" s="23">
        <f>'QTR Raw'!BD10</f>
        <v>-39.119999999999997</v>
      </c>
      <c r="CK77" s="23">
        <f>'QTR Raw'!BE10</f>
        <v>-120.53</v>
      </c>
      <c r="CL77" s="23">
        <f>'QTR Raw'!BF10</f>
        <v>-492.72</v>
      </c>
      <c r="CM77" s="24"/>
      <c r="CN77" s="24"/>
      <c r="CO77" s="24"/>
      <c r="CP77" s="24"/>
      <c r="CQ77" s="24"/>
      <c r="CR77" s="24"/>
      <c r="CS77" s="24"/>
      <c r="CT77" s="24"/>
      <c r="CU77" s="24"/>
      <c r="CV77" s="24"/>
      <c r="CW77" s="24"/>
      <c r="CX77" s="24"/>
      <c r="CY77" s="24"/>
      <c r="CZ77" s="24"/>
      <c r="DA77" s="24"/>
      <c r="DB77" s="24"/>
      <c r="DE77" s="123"/>
      <c r="DF77" s="23">
        <v>-719.66</v>
      </c>
    </row>
    <row r="78" spans="1:110" s="23" customFormat="1" outlineLevel="1" x14ac:dyDescent="0.2">
      <c r="A78" s="23" t="s">
        <v>3</v>
      </c>
      <c r="B78" s="23">
        <v>0</v>
      </c>
      <c r="C78" s="23">
        <v>0</v>
      </c>
      <c r="D78" s="23">
        <v>0</v>
      </c>
      <c r="E78" s="23">
        <v>0</v>
      </c>
      <c r="F78" s="23">
        <v>0</v>
      </c>
      <c r="G78" s="23">
        <v>0</v>
      </c>
      <c r="H78" s="23">
        <v>0</v>
      </c>
      <c r="I78" s="23">
        <v>0</v>
      </c>
      <c r="J78" s="23">
        <v>0</v>
      </c>
      <c r="K78" s="23">
        <v>0</v>
      </c>
      <c r="L78" s="23">
        <v>0</v>
      </c>
      <c r="M78" s="23">
        <v>0</v>
      </c>
      <c r="N78" s="23">
        <v>0</v>
      </c>
      <c r="O78" s="23">
        <v>0</v>
      </c>
      <c r="P78" s="23">
        <v>0</v>
      </c>
      <c r="Q78" s="23">
        <v>0</v>
      </c>
      <c r="R78" s="23">
        <v>0</v>
      </c>
      <c r="S78" s="23">
        <v>0</v>
      </c>
      <c r="T78" s="23">
        <v>0</v>
      </c>
      <c r="U78" s="23">
        <v>0</v>
      </c>
      <c r="V78" s="23">
        <v>0</v>
      </c>
      <c r="W78" s="23">
        <v>0</v>
      </c>
      <c r="X78" s="23">
        <v>0</v>
      </c>
      <c r="Y78" s="23">
        <v>0</v>
      </c>
      <c r="Z78" s="23">
        <v>0</v>
      </c>
      <c r="AA78" s="23">
        <v>0</v>
      </c>
      <c r="AB78" s="76">
        <f>+SUM(CM78:CP78)</f>
        <v>0</v>
      </c>
      <c r="AC78" s="76">
        <f>+SUM(CQ78:CT78)</f>
        <v>0</v>
      </c>
      <c r="AD78" s="76">
        <f>+SUM(CU78:CX78)</f>
        <v>0</v>
      </c>
      <c r="AE78" s="76">
        <f>+SUM(CY78:DB78)</f>
        <v>0</v>
      </c>
      <c r="AI78" s="23">
        <f>'QTR Raw'!C12</f>
        <v>126.523</v>
      </c>
      <c r="AJ78" s="23">
        <f>'QTR Raw'!D12</f>
        <v>36.508000000000003</v>
      </c>
      <c r="AK78" s="23">
        <f>'QTR Raw'!E12</f>
        <v>46.561999999999998</v>
      </c>
      <c r="AL78" s="23">
        <f>'QTR Raw'!F12</f>
        <v>111.535</v>
      </c>
      <c r="AM78" s="23">
        <f>'QTR Raw'!G12</f>
        <v>45.612000000000002</v>
      </c>
      <c r="AN78" s="23">
        <f>'QTR Raw'!H12</f>
        <v>41.832999999999998</v>
      </c>
      <c r="AO78" s="23">
        <f>'QTR Raw'!I12</f>
        <v>30.952999999999999</v>
      </c>
      <c r="AP78" s="23">
        <f>'QTR Raw'!J12</f>
        <v>78.350999999999999</v>
      </c>
      <c r="AQ78" s="23">
        <f>'QTR Raw'!K12</f>
        <v>66.677000000000007</v>
      </c>
      <c r="AR78" s="23">
        <f>'QTR Raw'!L12</f>
        <v>144.23099999999999</v>
      </c>
      <c r="AS78" s="23">
        <f>'QTR Raw'!M12</f>
        <v>35.03</v>
      </c>
      <c r="AT78" s="23">
        <f>'QTR Raw'!N12</f>
        <v>41.161999999999999</v>
      </c>
      <c r="AU78" s="23">
        <f>'QTR Raw'!O12</f>
        <v>21.181999999999999</v>
      </c>
      <c r="AV78" s="23">
        <f>'QTR Raw'!P12</f>
        <v>26.942</v>
      </c>
      <c r="AW78" s="23">
        <f>'QTR Raw'!Q12</f>
        <v>9.3379999999999992</v>
      </c>
      <c r="AX78" s="23">
        <f>'QTR Raw'!R12</f>
        <v>14.750999999999999</v>
      </c>
      <c r="AY78" s="23">
        <f>'QTR Raw'!S12</f>
        <v>11.074</v>
      </c>
      <c r="AZ78" s="23">
        <f>'QTR Raw'!T12</f>
        <v>14.763999999999999</v>
      </c>
      <c r="BA78" s="23">
        <f>'QTR Raw'!U12</f>
        <v>20.475000000000001</v>
      </c>
      <c r="BB78" s="23">
        <f>'QTR Raw'!V12</f>
        <v>11.823</v>
      </c>
      <c r="BC78" s="23">
        <f>'QTR Raw'!W12</f>
        <v>0</v>
      </c>
      <c r="BD78" s="23">
        <f>'QTR Raw'!X12</f>
        <v>0</v>
      </c>
      <c r="BE78" s="23">
        <f>'QTR Raw'!Y12</f>
        <v>21.125</v>
      </c>
      <c r="BF78" s="23">
        <f>'QTR Raw'!Z12</f>
        <v>9.5820000000000007</v>
      </c>
      <c r="BG78" s="23">
        <f>'QTR Raw'!AA12</f>
        <v>3.8679999999999999</v>
      </c>
      <c r="BH78" s="23">
        <f>'QTR Raw'!AB12</f>
        <v>5.085</v>
      </c>
      <c r="BI78" s="23">
        <f>'QTR Raw'!AC12</f>
        <v>0</v>
      </c>
      <c r="BJ78" s="23">
        <f>'QTR Raw'!AD12</f>
        <v>0</v>
      </c>
      <c r="BK78" s="23">
        <f>'QTR Raw'!AE12</f>
        <v>0</v>
      </c>
      <c r="BL78" s="23">
        <f>'QTR Raw'!AF12</f>
        <v>0</v>
      </c>
      <c r="BM78" s="23">
        <f>'QTR Raw'!AG12</f>
        <v>0</v>
      </c>
      <c r="BN78" s="23">
        <f>'QTR Raw'!AH12</f>
        <v>0</v>
      </c>
      <c r="BO78" s="23">
        <f>'QTR Raw'!AI12</f>
        <v>0</v>
      </c>
      <c r="BP78" s="23">
        <f>'QTR Raw'!AJ12</f>
        <v>0</v>
      </c>
      <c r="BQ78" s="23">
        <f>'QTR Raw'!AK12</f>
        <v>0</v>
      </c>
      <c r="BR78" s="23">
        <f>'QTR Raw'!AL12</f>
        <v>0</v>
      </c>
      <c r="BS78" s="23">
        <f>'QTR Raw'!AM12</f>
        <v>0</v>
      </c>
      <c r="BT78" s="23">
        <f>'QTR Raw'!AN12</f>
        <v>0</v>
      </c>
      <c r="BU78" s="23">
        <f>'QTR Raw'!AO12</f>
        <v>0</v>
      </c>
      <c r="BV78" s="23">
        <f>'QTR Raw'!AP12</f>
        <v>0</v>
      </c>
      <c r="BW78" s="23">
        <f>'QTR Raw'!AQ12</f>
        <v>0</v>
      </c>
      <c r="BX78" s="23">
        <f>'QTR Raw'!AR12</f>
        <v>0</v>
      </c>
      <c r="BY78" s="23">
        <f>'QTR Raw'!AS12</f>
        <v>0</v>
      </c>
      <c r="BZ78" s="23">
        <f>'QTR Raw'!AT12</f>
        <v>0</v>
      </c>
      <c r="CA78" s="23">
        <f>'QTR Raw'!AU12</f>
        <v>0</v>
      </c>
      <c r="CB78" s="23">
        <f>'QTR Raw'!AV12</f>
        <v>0</v>
      </c>
      <c r="CC78" s="23">
        <f>'QTR Raw'!AW12</f>
        <v>273.88</v>
      </c>
      <c r="CD78" s="23">
        <f>'QTR Raw'!AX12</f>
        <v>96.35</v>
      </c>
      <c r="CE78" s="23">
        <f>'QTR Raw'!AY12</f>
        <v>134.55000000000001</v>
      </c>
      <c r="CF78" s="23">
        <f>'QTR Raw'!AZ12</f>
        <v>0</v>
      </c>
      <c r="CG78" s="23">
        <f>'QTR Raw'!BA12</f>
        <v>47.69</v>
      </c>
      <c r="CH78" s="23">
        <f>'QTR Raw'!BB12</f>
        <v>0</v>
      </c>
      <c r="CI78" s="23">
        <f>'QTR Raw'!BC12</f>
        <v>61.56</v>
      </c>
      <c r="CJ78" s="23">
        <f>'QTR Raw'!BD12</f>
        <v>177.84</v>
      </c>
      <c r="CK78" s="23">
        <f>'QTR Raw'!BE12</f>
        <v>228.86</v>
      </c>
      <c r="CL78" s="23">
        <f>'QTR Raw'!BF12</f>
        <v>10.51</v>
      </c>
      <c r="CM78" s="24"/>
      <c r="CN78" s="24"/>
      <c r="CO78" s="24"/>
      <c r="CP78" s="24"/>
      <c r="CQ78" s="24"/>
      <c r="CR78" s="24"/>
      <c r="CS78" s="24"/>
      <c r="CT78" s="24"/>
      <c r="CU78" s="24"/>
      <c r="CV78" s="24"/>
      <c r="CW78" s="24"/>
      <c r="CX78" s="24"/>
      <c r="CY78" s="24"/>
      <c r="CZ78" s="24"/>
      <c r="DA78" s="24"/>
      <c r="DB78" s="24"/>
      <c r="DE78" s="123"/>
      <c r="DF78" s="23">
        <v>0</v>
      </c>
    </row>
    <row r="79" spans="1:110" s="23" customFormat="1" outlineLevel="1" x14ac:dyDescent="0.2">
      <c r="A79" s="23" t="s">
        <v>4</v>
      </c>
      <c r="B79" s="23">
        <f>'Annual Raw'!C12</f>
        <v>76.140699999999995</v>
      </c>
      <c r="C79" s="23">
        <f>'Annual Raw'!D12</f>
        <v>79.691400000000002</v>
      </c>
      <c r="D79" s="23">
        <f>'Annual Raw'!E12</f>
        <v>110.4087</v>
      </c>
      <c r="E79" s="23">
        <f>'Annual Raw'!F12</f>
        <v>128.38849999999999</v>
      </c>
      <c r="F79" s="23">
        <f>'Annual Raw'!G12</f>
        <v>179.9905</v>
      </c>
      <c r="G79" s="23">
        <f>'Annual Raw'!H12</f>
        <v>224.977</v>
      </c>
      <c r="H79" s="23">
        <f>'Annual Raw'!I12</f>
        <v>222.04300000000001</v>
      </c>
      <c r="I79" s="23">
        <f>'Annual Raw'!J12</f>
        <v>267.99090000000001</v>
      </c>
      <c r="J79" s="23">
        <f>'Annual Raw'!K12</f>
        <v>552.12789999999995</v>
      </c>
      <c r="K79" s="23">
        <f>'Annual Raw'!L12</f>
        <v>497.13799999999998</v>
      </c>
      <c r="L79" s="23">
        <f>'Annual Raw'!M12</f>
        <v>622.15229999999997</v>
      </c>
      <c r="M79" s="23">
        <f>'Annual Raw'!N12</f>
        <v>934.80949999999996</v>
      </c>
      <c r="N79" s="23">
        <f>'Annual Raw'!O12</f>
        <v>684.21190000000001</v>
      </c>
      <c r="O79" s="23">
        <f>'Annual Raw'!P12</f>
        <v>551.23699999999997</v>
      </c>
      <c r="P79" s="23">
        <f>'Annual Raw'!Q12</f>
        <v>605.17729999999995</v>
      </c>
      <c r="Q79" s="23">
        <f>'Annual Raw'!R12</f>
        <v>340.84359999999998</v>
      </c>
      <c r="R79" s="23">
        <f>'Annual Raw'!S12</f>
        <v>303.89729999999997</v>
      </c>
      <c r="S79" s="23">
        <f>'Annual Raw'!T12</f>
        <v>334.06169999999997</v>
      </c>
      <c r="T79" s="23">
        <f>'Annual Raw'!U12</f>
        <v>387.3886</v>
      </c>
      <c r="U79" s="23">
        <f>'Annual Raw'!V12</f>
        <v>297.64909999999998</v>
      </c>
      <c r="V79" s="23">
        <f>'Annual Raw'!W12</f>
        <v>217.42740000000001</v>
      </c>
      <c r="W79" s="23">
        <f>'Annual Raw'!X12</f>
        <v>373.27</v>
      </c>
      <c r="X79" s="23">
        <f>'Annual Raw'!Y12</f>
        <v>504.35</v>
      </c>
      <c r="Y79" s="23">
        <f>'Annual Raw'!Z12</f>
        <v>906.85</v>
      </c>
      <c r="Z79" s="23">
        <f>'Annual Raw'!AA12</f>
        <v>715.65</v>
      </c>
      <c r="AA79" s="23">
        <f>'Annual Raw'!AB12</f>
        <v>2538.3000000000002</v>
      </c>
      <c r="AB79" s="24">
        <f>+SUM(CM79:CP79)</f>
        <v>2382.7361686491104</v>
      </c>
      <c r="AC79" s="24">
        <f>+SUM(CQ79:CT79)</f>
        <v>3032.7677742384485</v>
      </c>
      <c r="AD79" s="24">
        <f>+SUM(CU79:CX79)</f>
        <v>3401.332953326234</v>
      </c>
      <c r="AE79" s="24">
        <f>+SUM(CY79:DB79)</f>
        <v>4079.122642576036</v>
      </c>
      <c r="AI79" s="23">
        <f>'QTR Raw'!C11</f>
        <v>100.85599999999999</v>
      </c>
      <c r="AJ79" s="23">
        <f>'QTR Raw'!D11</f>
        <v>76.447000000000003</v>
      </c>
      <c r="AK79" s="23">
        <f>'QTR Raw'!E11</f>
        <v>83.287999999999997</v>
      </c>
      <c r="AL79" s="23">
        <f>'QTR Raw'!F11</f>
        <v>93.1</v>
      </c>
      <c r="AM79" s="23">
        <f>'QTR Raw'!G11</f>
        <v>87.046000000000006</v>
      </c>
      <c r="AN79" s="23">
        <f>'QTR Raw'!H11</f>
        <v>62.195999999999998</v>
      </c>
      <c r="AO79" s="23">
        <f>'QTR Raw'!I11</f>
        <v>86.789000000000001</v>
      </c>
      <c r="AP79" s="23">
        <f>'QTR Raw'!J11</f>
        <v>108.294</v>
      </c>
      <c r="AQ79" s="23">
        <f>'QTR Raw'!K11</f>
        <v>93.010999999999996</v>
      </c>
      <c r="AR79" s="23">
        <f>'QTR Raw'!L11</f>
        <v>68.094999999999999</v>
      </c>
      <c r="AS79" s="23">
        <f>'QTR Raw'!M11</f>
        <v>80.834000000000003</v>
      </c>
      <c r="AT79" s="23">
        <f>'QTR Raw'!N11</f>
        <v>68.402000000000001</v>
      </c>
      <c r="AU79" s="23">
        <f>'QTR Raw'!O11</f>
        <v>94.248999999999995</v>
      </c>
      <c r="AV79" s="23">
        <f>'QTR Raw'!P11</f>
        <v>40.805</v>
      </c>
      <c r="AW79" s="23">
        <f>'QTR Raw'!Q11</f>
        <v>55.539000000000001</v>
      </c>
      <c r="AX79" s="23">
        <f>'QTR Raw'!R11</f>
        <v>70.385999999999996</v>
      </c>
      <c r="AY79" s="23">
        <f>'QTR Raw'!S11</f>
        <v>54.061</v>
      </c>
      <c r="AZ79" s="23">
        <f>'QTR Raw'!T11</f>
        <v>70.83</v>
      </c>
      <c r="BA79" s="23">
        <f>'QTR Raw'!U11</f>
        <v>82.271000000000001</v>
      </c>
      <c r="BB79" s="23">
        <f>'QTR Raw'!V11</f>
        <v>38.603000000000002</v>
      </c>
      <c r="BC79" s="23">
        <f>'QTR Raw'!W11</f>
        <v>72.555000000000007</v>
      </c>
      <c r="BD79" s="23">
        <f>'QTR Raw'!X11</f>
        <v>60.576000000000001</v>
      </c>
      <c r="BE79" s="23">
        <f>'QTR Raw'!Y11</f>
        <v>83.71</v>
      </c>
      <c r="BF79" s="23">
        <f>'QTR Raw'!Z11</f>
        <v>80.058000000000007</v>
      </c>
      <c r="BG79" s="23">
        <f>'QTR Raw'!AA11</f>
        <v>106.58799999999999</v>
      </c>
      <c r="BH79" s="23">
        <f>'QTR Raw'!AB11</f>
        <v>77.97</v>
      </c>
      <c r="BI79" s="23">
        <f>'QTR Raw'!AC11</f>
        <v>92.727000000000004</v>
      </c>
      <c r="BJ79" s="23">
        <f>'QTR Raw'!AD11</f>
        <v>101.151</v>
      </c>
      <c r="BK79" s="23">
        <f>'QTR Raw'!AE11</f>
        <v>93.448999999999998</v>
      </c>
      <c r="BL79" s="23">
        <f>'QTR Raw'!AF11</f>
        <v>49.024000000000001</v>
      </c>
      <c r="BM79" s="23">
        <f>'QTR Raw'!AG11</f>
        <v>66.472999999999999</v>
      </c>
      <c r="BN79" s="23">
        <f>'QTR Raw'!AH11</f>
        <v>88.703000000000003</v>
      </c>
      <c r="BO79" s="23">
        <f>'QTR Raw'!AI11</f>
        <v>6.4740000000000002</v>
      </c>
      <c r="BP79" s="23">
        <f>'QTR Raw'!AJ11</f>
        <v>62.052999999999997</v>
      </c>
      <c r="BQ79" s="23">
        <f>'QTR Raw'!AK11</f>
        <v>57.518000000000001</v>
      </c>
      <c r="BR79" s="23">
        <f>'QTR Raw'!AL11</f>
        <v>91.382000000000005</v>
      </c>
      <c r="BS79" s="23">
        <f>'QTR Raw'!AM11</f>
        <v>77.06</v>
      </c>
      <c r="BT79" s="23">
        <f>'QTR Raw'!AN11</f>
        <v>93.32</v>
      </c>
      <c r="BU79" s="23">
        <f>'QTR Raw'!AO11</f>
        <v>112.53</v>
      </c>
      <c r="BV79" s="23">
        <f>'QTR Raw'!AP11</f>
        <v>90.36</v>
      </c>
      <c r="BW79" s="23">
        <f>'QTR Raw'!AQ11</f>
        <v>119.46</v>
      </c>
      <c r="BX79" s="23">
        <f>'QTR Raw'!AR11</f>
        <v>129.93</v>
      </c>
      <c r="BY79" s="23">
        <f>'QTR Raw'!AS11</f>
        <v>151.71</v>
      </c>
      <c r="BZ79" s="23">
        <f>'QTR Raw'!AT11</f>
        <v>103.25</v>
      </c>
      <c r="CA79" s="23">
        <f>'QTR Raw'!AU11</f>
        <v>154.66999999999999</v>
      </c>
      <c r="CB79" s="23">
        <f>'QTR Raw'!AV11</f>
        <v>94.61</v>
      </c>
      <c r="CC79" s="23">
        <f>'QTR Raw'!AW11</f>
        <v>154.87</v>
      </c>
      <c r="CD79" s="23">
        <f>'QTR Raw'!AX11</f>
        <v>132.47</v>
      </c>
      <c r="CE79" s="23">
        <f>'QTR Raw'!AY11</f>
        <v>122.55</v>
      </c>
      <c r="CF79" s="23">
        <f>'QTR Raw'!AZ11</f>
        <v>240.52</v>
      </c>
      <c r="CG79" s="23">
        <f>'QTR Raw'!BA11</f>
        <v>88.27</v>
      </c>
      <c r="CH79" s="23">
        <f>'QTR Raw'!BB11</f>
        <v>82.07</v>
      </c>
      <c r="CI79" s="23">
        <f>'QTR Raw'!BC11</f>
        <v>199.55</v>
      </c>
      <c r="CJ79" s="23">
        <f>'QTR Raw'!BD11</f>
        <v>483.72</v>
      </c>
      <c r="CK79" s="23">
        <f>'QTR Raw'!BE11</f>
        <v>550.72</v>
      </c>
      <c r="CL79" s="23">
        <f>'QTR Raw'!BF11</f>
        <v>855.07</v>
      </c>
      <c r="CM79" s="24">
        <f t="shared" ref="CM79:DB79" si="295">+CM74-CM80</f>
        <v>618.66061278109737</v>
      </c>
      <c r="CN79" s="24">
        <f t="shared" si="295"/>
        <v>614.35927290685595</v>
      </c>
      <c r="CO79" s="24">
        <f t="shared" si="295"/>
        <v>569.33862286394651</v>
      </c>
      <c r="CP79" s="24">
        <f t="shared" si="295"/>
        <v>580.37766009721054</v>
      </c>
      <c r="CQ79" s="24">
        <f t="shared" si="295"/>
        <v>747.84474750957634</v>
      </c>
      <c r="CR79" s="24">
        <f t="shared" si="295"/>
        <v>720.3298422820244</v>
      </c>
      <c r="CS79" s="24">
        <f t="shared" si="295"/>
        <v>770.97548672377252</v>
      </c>
      <c r="CT79" s="24">
        <f t="shared" si="295"/>
        <v>793.61769772307525</v>
      </c>
      <c r="CU79" s="24">
        <f t="shared" si="295"/>
        <v>829.22838747403239</v>
      </c>
      <c r="CV79" s="24">
        <f t="shared" si="295"/>
        <v>772.38436999690384</v>
      </c>
      <c r="CW79" s="24">
        <f t="shared" si="295"/>
        <v>870.94287769376933</v>
      </c>
      <c r="CX79" s="24">
        <f t="shared" si="295"/>
        <v>928.77731816152846</v>
      </c>
      <c r="CY79" s="24">
        <f t="shared" si="295"/>
        <v>987.24244215564067</v>
      </c>
      <c r="CZ79" s="24">
        <f t="shared" si="295"/>
        <v>936.1539650411396</v>
      </c>
      <c r="DA79" s="24">
        <f t="shared" si="295"/>
        <v>1047.1905300025846</v>
      </c>
      <c r="DB79" s="24">
        <f t="shared" si="295"/>
        <v>1108.5357053766711</v>
      </c>
      <c r="DE79" s="123"/>
      <c r="DF79" s="23">
        <v>2538.3000000000002</v>
      </c>
    </row>
    <row r="80" spans="1:110" s="31" customFormat="1" x14ac:dyDescent="0.2">
      <c r="A80" s="31" t="s">
        <v>5</v>
      </c>
      <c r="B80" s="31">
        <f t="shared" ref="B80:T80" si="296">B74-B77-B79-B78</f>
        <v>26.872900000000016</v>
      </c>
      <c r="C80" s="31">
        <f t="shared" si="296"/>
        <v>25.459100000000007</v>
      </c>
      <c r="D80" s="31">
        <f t="shared" si="296"/>
        <v>40.810099999999991</v>
      </c>
      <c r="E80" s="31">
        <f t="shared" si="296"/>
        <v>51.43640000000002</v>
      </c>
      <c r="F80" s="31">
        <f t="shared" si="296"/>
        <v>71.023000000000025</v>
      </c>
      <c r="G80" s="31">
        <f t="shared" si="296"/>
        <v>50.579300000000018</v>
      </c>
      <c r="H80" s="31">
        <f t="shared" si="296"/>
        <v>51.64349999999996</v>
      </c>
      <c r="I80" s="31">
        <f t="shared" si="296"/>
        <v>78.904999999999973</v>
      </c>
      <c r="J80" s="31">
        <f t="shared" si="296"/>
        <v>129.26030000000003</v>
      </c>
      <c r="K80" s="31">
        <f t="shared" si="296"/>
        <v>71.318300000000079</v>
      </c>
      <c r="L80" s="31">
        <f t="shared" si="296"/>
        <v>70.224100000000021</v>
      </c>
      <c r="M80" s="31">
        <f t="shared" si="296"/>
        <v>74.983899999999949</v>
      </c>
      <c r="N80" s="31">
        <f t="shared" si="296"/>
        <v>74.493000000000052</v>
      </c>
      <c r="O80" s="31">
        <f t="shared" si="296"/>
        <v>23.282400000000052</v>
      </c>
      <c r="P80" s="31">
        <f t="shared" si="296"/>
        <v>24.602600000000052</v>
      </c>
      <c r="Q80" s="31">
        <f t="shared" si="296"/>
        <v>60.468299999999999</v>
      </c>
      <c r="R80" s="31">
        <f t="shared" si="296"/>
        <v>72.789300000000026</v>
      </c>
      <c r="S80" s="31">
        <f t="shared" si="296"/>
        <v>75.549599999999998</v>
      </c>
      <c r="T80" s="31">
        <f t="shared" si="296"/>
        <v>93.049199999999985</v>
      </c>
      <c r="U80" s="31">
        <f t="shared" ref="U80:Z80" si="297">U74-U77-U79-U78</f>
        <v>83.863800000000026</v>
      </c>
      <c r="V80" s="31">
        <f t="shared" si="297"/>
        <v>50.429400000000015</v>
      </c>
      <c r="W80" s="31">
        <f t="shared" si="297"/>
        <v>384.62</v>
      </c>
      <c r="X80" s="31">
        <f t="shared" si="297"/>
        <v>2852.19</v>
      </c>
      <c r="Y80" s="31">
        <f t="shared" si="297"/>
        <v>5632.69</v>
      </c>
      <c r="Z80" s="31">
        <f t="shared" si="297"/>
        <v>5914.9800000000005</v>
      </c>
      <c r="AA80" s="31">
        <f t="shared" ref="AA80" si="298">AA74-AA77-AA79-AA78</f>
        <v>15294.029999999999</v>
      </c>
      <c r="AB80" s="32">
        <f t="shared" ref="AB80:AD80" si="299">AB74-AB77-AB79-AB78</f>
        <v>19629.588916123361</v>
      </c>
      <c r="AC80" s="32">
        <f t="shared" si="299"/>
        <v>27505.920307750945</v>
      </c>
      <c r="AD80" s="32">
        <f t="shared" si="299"/>
        <v>31181.260775052298</v>
      </c>
      <c r="AE80" s="32">
        <f t="shared" ref="AE80" si="300">AE74-AE77-AE79-AE78</f>
        <v>37485.727326724984</v>
      </c>
      <c r="AI80" s="31">
        <f t="shared" ref="AI80" si="301">AI74-AI77-AI79-AI78</f>
        <v>18.573000000000008</v>
      </c>
      <c r="AJ80" s="31">
        <f t="shared" ref="AJ80" si="302">AJ74-AJ77-AJ79-AJ78</f>
        <v>9.4290000000000092</v>
      </c>
      <c r="AK80" s="31">
        <f t="shared" ref="AK80:AM80" si="303">AK74-AK77-AK79-AK78</f>
        <v>12.155000000000001</v>
      </c>
      <c r="AL80" s="31">
        <f t="shared" si="303"/>
        <v>34.336999999999989</v>
      </c>
      <c r="AM80" s="31">
        <f t="shared" si="303"/>
        <v>2.4809999999999732</v>
      </c>
      <c r="AN80" s="31">
        <f t="shared" ref="AN80:AO80" si="304">AN74-AN77-AN79-AN78</f>
        <v>5.5810000000000031</v>
      </c>
      <c r="AO80" s="31">
        <f t="shared" si="304"/>
        <v>9.8859999999999992</v>
      </c>
      <c r="AP80" s="31">
        <f t="shared" ref="AP80:CD80" si="305">AP74-AP77-AP79-AP78</f>
        <v>5.3330000000000126</v>
      </c>
      <c r="AQ80" s="31">
        <f t="shared" si="305"/>
        <v>3.9850000000000279</v>
      </c>
      <c r="AR80" s="31">
        <f t="shared" si="305"/>
        <v>3.0530000000000257</v>
      </c>
      <c r="AS80" s="31">
        <f t="shared" si="305"/>
        <v>6.3179999999999836</v>
      </c>
      <c r="AT80" s="31">
        <f t="shared" si="305"/>
        <v>11.247999999999998</v>
      </c>
      <c r="AU80" s="31">
        <f t="shared" si="305"/>
        <v>14.946000000000016</v>
      </c>
      <c r="AV80" s="31">
        <f t="shared" si="305"/>
        <v>10.524999999999991</v>
      </c>
      <c r="AW80" s="31">
        <f t="shared" si="305"/>
        <v>13.826999999999993</v>
      </c>
      <c r="AX80" s="31">
        <f t="shared" si="305"/>
        <v>21.172000000000004</v>
      </c>
      <c r="AY80" s="31">
        <f t="shared" si="305"/>
        <v>13.828000000000008</v>
      </c>
      <c r="AZ80" s="31">
        <f t="shared" si="305"/>
        <v>12.205999999999985</v>
      </c>
      <c r="BA80" s="31">
        <f t="shared" si="305"/>
        <v>21.128999999999998</v>
      </c>
      <c r="BB80" s="31">
        <f t="shared" si="305"/>
        <v>29.896999999999991</v>
      </c>
      <c r="BC80" s="31">
        <f t="shared" si="305"/>
        <v>22.406999999999996</v>
      </c>
      <c r="BD80" s="31">
        <f t="shared" si="305"/>
        <v>14.349000000000011</v>
      </c>
      <c r="BE80" s="31">
        <f t="shared" si="305"/>
        <v>17.688000000000017</v>
      </c>
      <c r="BF80" s="31">
        <f t="shared" si="305"/>
        <v>27.562999999999981</v>
      </c>
      <c r="BG80" s="31">
        <f t="shared" si="305"/>
        <v>23.787000000000003</v>
      </c>
      <c r="BH80" s="31">
        <f t="shared" si="305"/>
        <v>21.449999999999996</v>
      </c>
      <c r="BI80" s="31">
        <f t="shared" si="305"/>
        <v>22.727000000000004</v>
      </c>
      <c r="BJ80" s="31">
        <f t="shared" si="305"/>
        <v>22.134000000000015</v>
      </c>
      <c r="BK80" s="31">
        <f t="shared" si="305"/>
        <v>24.634</v>
      </c>
      <c r="BL80" s="31">
        <f t="shared" si="305"/>
        <v>18.543999999999997</v>
      </c>
      <c r="BM80" s="31">
        <f t="shared" si="305"/>
        <v>19.736999999999995</v>
      </c>
      <c r="BN80" s="31">
        <f t="shared" si="305"/>
        <v>20.949999999999989</v>
      </c>
      <c r="BO80" s="31">
        <f t="shared" si="305"/>
        <v>-2.0690000000000008</v>
      </c>
      <c r="BP80" s="31">
        <f t="shared" si="305"/>
        <v>15.634</v>
      </c>
      <c r="BQ80" s="31">
        <f t="shared" si="305"/>
        <v>18.400000000000006</v>
      </c>
      <c r="BR80" s="31">
        <f t="shared" si="305"/>
        <v>18.465000000000003</v>
      </c>
      <c r="BS80" s="31">
        <f t="shared" si="305"/>
        <v>13.370000000000005</v>
      </c>
      <c r="BT80" s="31">
        <f t="shared" si="305"/>
        <v>11.719999999999999</v>
      </c>
      <c r="BU80" s="31">
        <f t="shared" si="305"/>
        <v>58.990000000000009</v>
      </c>
      <c r="BV80" s="31">
        <f t="shared" si="305"/>
        <v>300.54999999999995</v>
      </c>
      <c r="BW80" s="31">
        <f t="shared" si="305"/>
        <v>735.58999999999992</v>
      </c>
      <c r="BX80" s="31">
        <f t="shared" si="305"/>
        <v>524.94000000000005</v>
      </c>
      <c r="BY80" s="31">
        <f t="shared" si="305"/>
        <v>820.31999999999994</v>
      </c>
      <c r="BZ80" s="31">
        <f t="shared" si="305"/>
        <v>771.33</v>
      </c>
      <c r="CA80" s="31">
        <f t="shared" si="305"/>
        <v>1862.36</v>
      </c>
      <c r="CB80" s="31">
        <f t="shared" si="305"/>
        <v>1027.72</v>
      </c>
      <c r="CC80" s="31">
        <f t="shared" si="305"/>
        <v>1508.2799999999997</v>
      </c>
      <c r="CD80" s="31">
        <f t="shared" si="305"/>
        <v>1233.1400000000001</v>
      </c>
      <c r="CE80" s="31">
        <f t="shared" ref="CE80:CF80" si="306">CE74-CE77-CE79-CE78</f>
        <v>2173.9499999999994</v>
      </c>
      <c r="CF80" s="31">
        <f t="shared" si="306"/>
        <v>1159.4299999999998</v>
      </c>
      <c r="CG80" s="31">
        <f t="shared" ref="CG80:CH80" si="307">CG74-CG77-CG79-CG78</f>
        <v>1542.1999999999998</v>
      </c>
      <c r="CH80" s="31">
        <f t="shared" si="307"/>
        <v>1039.7600000000002</v>
      </c>
      <c r="CI80" s="31">
        <f t="shared" ref="CI80:CJ80" si="308">CI74-CI77-CI79-CI78</f>
        <v>2189.69</v>
      </c>
      <c r="CJ80" s="31">
        <f t="shared" si="308"/>
        <v>3028.91</v>
      </c>
      <c r="CK80" s="31">
        <f t="shared" ref="CK80:CL80" si="309">CK74-CK77-CK79-CK78</f>
        <v>4399.03</v>
      </c>
      <c r="CL80" s="31">
        <f t="shared" si="309"/>
        <v>5646.8600000000006</v>
      </c>
      <c r="CM80" s="32">
        <f t="shared" ref="CM80:DB80" si="310">+CM81*CM74</f>
        <v>4954.5371523098302</v>
      </c>
      <c r="CN80" s="32">
        <f t="shared" si="310"/>
        <v>4573.2691052237624</v>
      </c>
      <c r="CO80" s="32">
        <f t="shared" si="310"/>
        <v>4831.4541847948785</v>
      </c>
      <c r="CP80" s="32">
        <f t="shared" si="310"/>
        <v>5270.3284737948898</v>
      </c>
      <c r="CQ80" s="32">
        <f t="shared" si="310"/>
        <v>6476.841843814037</v>
      </c>
      <c r="CR80" s="32">
        <f t="shared" si="310"/>
        <v>6366.8161050965291</v>
      </c>
      <c r="CS80" s="32">
        <f t="shared" si="310"/>
        <v>7141.1961691132501</v>
      </c>
      <c r="CT80" s="32">
        <f t="shared" si="310"/>
        <v>7521.0661897271293</v>
      </c>
      <c r="CU80" s="32">
        <f t="shared" si="310"/>
        <v>7503.8717532066921</v>
      </c>
      <c r="CV80" s="32">
        <f t="shared" si="310"/>
        <v>7068.3143241380767</v>
      </c>
      <c r="CW80" s="32">
        <f t="shared" si="310"/>
        <v>8041.0269058773956</v>
      </c>
      <c r="CX80" s="32">
        <f t="shared" si="310"/>
        <v>8568.0477918301294</v>
      </c>
      <c r="CY80" s="32">
        <f t="shared" si="310"/>
        <v>9047.0894567245523</v>
      </c>
      <c r="CZ80" s="32">
        <f t="shared" si="310"/>
        <v>8606.161685042478</v>
      </c>
      <c r="DA80" s="32">
        <f t="shared" si="310"/>
        <v>9637.9356434393558</v>
      </c>
      <c r="DB80" s="32">
        <f t="shared" si="310"/>
        <v>10194.540541518598</v>
      </c>
      <c r="DE80" s="124"/>
      <c r="DF80" s="31">
        <v>15294.029999999999</v>
      </c>
    </row>
    <row r="81" spans="1:110" s="41" customFormat="1" x14ac:dyDescent="0.2">
      <c r="A81" s="41" t="s">
        <v>6</v>
      </c>
      <c r="B81" s="41">
        <f>B80/B74</f>
        <v>0.26310487029262497</v>
      </c>
      <c r="C81" s="41">
        <f t="shared" ref="C81:U81" si="311">C80/C74</f>
        <v>0.24021826100740498</v>
      </c>
      <c r="D81" s="41">
        <f t="shared" si="311"/>
        <v>0.2719812059514487</v>
      </c>
      <c r="E81" s="41">
        <f t="shared" si="311"/>
        <v>0.29254614863112499</v>
      </c>
      <c r="F81" s="41">
        <f t="shared" si="311"/>
        <v>0.27569220975323844</v>
      </c>
      <c r="G81" s="41">
        <f t="shared" si="311"/>
        <v>0.19912326286366683</v>
      </c>
      <c r="H81" s="41">
        <f t="shared" si="311"/>
        <v>0.15340845798411054</v>
      </c>
      <c r="I81" s="41">
        <f t="shared" si="311"/>
        <v>0.20655867308205794</v>
      </c>
      <c r="J81" s="41">
        <f t="shared" si="311"/>
        <v>0.18975835740050745</v>
      </c>
      <c r="K81" s="41">
        <f t="shared" si="311"/>
        <v>0.12558377951386027</v>
      </c>
      <c r="L81" s="41">
        <f t="shared" si="311"/>
        <v>0.10177445621888669</v>
      </c>
      <c r="M81" s="41">
        <f t="shared" si="311"/>
        <v>7.4477164818292779E-2</v>
      </c>
      <c r="N81" s="41">
        <f t="shared" si="311"/>
        <v>9.8120105552908093E-2</v>
      </c>
      <c r="O81" s="41">
        <f t="shared" si="311"/>
        <v>4.1008471920811168E-2</v>
      </c>
      <c r="P81" s="41">
        <f t="shared" si="311"/>
        <v>3.8506795418113082E-2</v>
      </c>
      <c r="Q81" s="41">
        <f t="shared" si="311"/>
        <v>0.16044878098483881</v>
      </c>
      <c r="R81" s="41">
        <f t="shared" si="311"/>
        <v>0.19729123762615086</v>
      </c>
      <c r="S81" s="41">
        <f t="shared" si="311"/>
        <v>0.18764604428619117</v>
      </c>
      <c r="T81" s="41">
        <f t="shared" si="311"/>
        <v>0.19495680847198849</v>
      </c>
      <c r="U81" s="41">
        <f t="shared" si="311"/>
        <v>0.22559890891043038</v>
      </c>
      <c r="V81" s="41">
        <f t="shared" ref="V81:AA81" si="312">V80/V74</f>
        <v>0.19900578792904849</v>
      </c>
      <c r="W81" s="41">
        <f t="shared" si="312"/>
        <v>0.55142652329749109</v>
      </c>
      <c r="X81" s="41">
        <f t="shared" si="312"/>
        <v>0.84078106069315606</v>
      </c>
      <c r="Y81" s="41">
        <f t="shared" si="312"/>
        <v>0.86329381652655701</v>
      </c>
      <c r="Z81" s="41">
        <f t="shared" si="312"/>
        <v>0.88006784654183501</v>
      </c>
      <c r="AA81" s="41">
        <f t="shared" ref="AA81" si="313">AA80/AA74</f>
        <v>0.8937255261744661</v>
      </c>
      <c r="AB81" s="42">
        <f t="shared" ref="AB81:AD81" si="314">AB80/AB74</f>
        <v>0.89175445304060941</v>
      </c>
      <c r="AC81" s="42">
        <f t="shared" si="314"/>
        <v>0.90069096072181754</v>
      </c>
      <c r="AD81" s="42">
        <f t="shared" si="314"/>
        <v>0.90164610034628223</v>
      </c>
      <c r="AE81" s="42">
        <f t="shared" ref="AE81" si="315">AE80/AE74</f>
        <v>0.90186124464327933</v>
      </c>
      <c r="AI81" s="41">
        <f t="shared" ref="AI81" si="316">AI80/AI74</f>
        <v>7.5126809102749784E-2</v>
      </c>
      <c r="AJ81" s="41">
        <f t="shared" ref="AJ81" si="317">AJ80/AJ74</f>
        <v>7.7618992739426143E-2</v>
      </c>
      <c r="AK81" s="41">
        <f t="shared" ref="AK81:AM81" si="318">AK80/AK74</f>
        <v>8.790135956031242E-2</v>
      </c>
      <c r="AL81" s="41">
        <f t="shared" si="318"/>
        <v>0.14140345097393234</v>
      </c>
      <c r="AM81" s="41">
        <f t="shared" si="318"/>
        <v>1.8028950963578563E-2</v>
      </c>
      <c r="AN81" s="41">
        <f t="shared" ref="AN81:AO81" si="319">AN80/AN74</f>
        <v>5.160520767836671E-2</v>
      </c>
      <c r="AO81" s="41">
        <f t="shared" si="319"/>
        <v>7.7058585102734375E-2</v>
      </c>
      <c r="AP81" s="41">
        <f t="shared" ref="AP81:CD81" si="320">AP80/AP74</f>
        <v>2.9057919686154919E-2</v>
      </c>
      <c r="AQ81" s="41">
        <f t="shared" si="320"/>
        <v>2.2884543601229088E-2</v>
      </c>
      <c r="AR81" s="41">
        <f t="shared" si="320"/>
        <v>1.4140281971951133E-2</v>
      </c>
      <c r="AS81" s="41">
        <f t="shared" si="320"/>
        <v>5.3546910755148606E-2</v>
      </c>
      <c r="AT81" s="41">
        <f t="shared" si="320"/>
        <v>9.1336511055712971E-2</v>
      </c>
      <c r="AU81" s="41">
        <f t="shared" si="320"/>
        <v>0.11447697975627889</v>
      </c>
      <c r="AV81" s="41">
        <f t="shared" si="320"/>
        <v>0.13766267739192978</v>
      </c>
      <c r="AW81" s="41">
        <f t="shared" si="320"/>
        <v>0.17813248821210473</v>
      </c>
      <c r="AX81" s="41">
        <f t="shared" si="320"/>
        <v>0.25030738673980901</v>
      </c>
      <c r="AY81" s="41">
        <f t="shared" si="320"/>
        <v>0.14558394660097079</v>
      </c>
      <c r="AZ81" s="41">
        <f t="shared" si="320"/>
        <v>0.1407161467339926</v>
      </c>
      <c r="BA81" s="41">
        <f t="shared" si="320"/>
        <v>0.17745471037315125</v>
      </c>
      <c r="BB81" s="41">
        <f t="shared" si="320"/>
        <v>0.41279944770452182</v>
      </c>
      <c r="BC81" s="41">
        <f t="shared" si="320"/>
        <v>0.22956110154905332</v>
      </c>
      <c r="BD81" s="41">
        <f t="shared" si="320"/>
        <v>0.18803318001336647</v>
      </c>
      <c r="BE81" s="41">
        <f t="shared" si="320"/>
        <v>0.14787937564270859</v>
      </c>
      <c r="BF81" s="41">
        <f t="shared" si="320"/>
        <v>0.25266757113523014</v>
      </c>
      <c r="BG81" s="41">
        <f t="shared" si="320"/>
        <v>0.17693131610657384</v>
      </c>
      <c r="BH81" s="41">
        <f t="shared" si="320"/>
        <v>0.21195861619185957</v>
      </c>
      <c r="BI81" s="41">
        <f t="shared" si="320"/>
        <v>0.20990071577003003</v>
      </c>
      <c r="BJ81" s="41">
        <f t="shared" si="320"/>
        <v>0.16972234363138655</v>
      </c>
      <c r="BK81" s="41">
        <f t="shared" si="320"/>
        <v>0.19480139494057269</v>
      </c>
      <c r="BL81" s="41">
        <f t="shared" si="320"/>
        <v>0.32882930808242006</v>
      </c>
      <c r="BM81" s="41">
        <f t="shared" si="320"/>
        <v>0.23247076006171888</v>
      </c>
      <c r="BN81" s="41">
        <f t="shared" si="320"/>
        <v>0.20146749112869869</v>
      </c>
      <c r="BO81" s="41">
        <f t="shared" si="320"/>
        <v>-0.1950047125353441</v>
      </c>
      <c r="BP81" s="41">
        <f t="shared" si="320"/>
        <v>0.21213025780189959</v>
      </c>
      <c r="BQ81" s="41">
        <f t="shared" si="320"/>
        <v>0.24914694253371614</v>
      </c>
      <c r="BR81" s="41">
        <f t="shared" si="320"/>
        <v>0.19386844453777105</v>
      </c>
      <c r="BS81" s="41">
        <f t="shared" si="320"/>
        <v>0.1397074190177639</v>
      </c>
      <c r="BT81" s="41">
        <f t="shared" si="320"/>
        <v>0.1168261562998405</v>
      </c>
      <c r="BU81" s="41">
        <f t="shared" si="320"/>
        <v>0.35056754026267312</v>
      </c>
      <c r="BV81" s="41">
        <f t="shared" si="320"/>
        <v>0.90198373398157305</v>
      </c>
      <c r="BW81" s="41">
        <f t="shared" si="320"/>
        <v>0.87291735890254896</v>
      </c>
      <c r="BX81" s="41">
        <f t="shared" si="320"/>
        <v>0.77912016148183338</v>
      </c>
      <c r="BY81" s="41">
        <f t="shared" si="320"/>
        <v>0.82063184009923762</v>
      </c>
      <c r="BZ81" s="41">
        <f t="shared" si="320"/>
        <v>0.88026248216833103</v>
      </c>
      <c r="CA81" s="41">
        <f t="shared" si="320"/>
        <v>0.94751516138222958</v>
      </c>
      <c r="CB81" s="41">
        <f t="shared" si="320"/>
        <v>0.94173058067826743</v>
      </c>
      <c r="CC81" s="41">
        <f t="shared" si="320"/>
        <v>0.78870912076304411</v>
      </c>
      <c r="CD81" s="41">
        <f t="shared" si="320"/>
        <v>0.79337832708181877</v>
      </c>
      <c r="CE81" s="41">
        <f t="shared" ref="CE81:CF81" si="321">CE80/CE74</f>
        <v>0.89935215369595056</v>
      </c>
      <c r="CF81" s="41">
        <f t="shared" si="321"/>
        <v>0.8075768445834407</v>
      </c>
      <c r="CG81" s="41">
        <f t="shared" ref="CG81:CH81" si="322">CG80/CG74</f>
        <v>0.92062298154814137</v>
      </c>
      <c r="CH81" s="41">
        <f t="shared" si="322"/>
        <v>0.87133160144138111</v>
      </c>
      <c r="CI81" s="41">
        <f t="shared" ref="CI81:CJ81" si="323">CI80/CI74</f>
        <v>0.918679096462375</v>
      </c>
      <c r="CJ81" s="41">
        <f t="shared" si="323"/>
        <v>0.82953154312788424</v>
      </c>
      <c r="CK81" s="41">
        <f t="shared" ref="CK81:CL81" si="324">CK80/CK74</f>
        <v>0.86970352386676364</v>
      </c>
      <c r="CL81" s="41">
        <f t="shared" si="324"/>
        <v>0.93806024200461158</v>
      </c>
      <c r="CM81" s="42">
        <f>AVERAGE(CI81:CL81)</f>
        <v>0.88899360136540861</v>
      </c>
      <c r="CN81" s="42">
        <f t="shared" ref="CN81:CP81" si="325">AVERAGE(CJ81:CM81)</f>
        <v>0.88157222759116705</v>
      </c>
      <c r="CO81" s="42">
        <f t="shared" si="325"/>
        <v>0.89458239870698775</v>
      </c>
      <c r="CP81" s="42">
        <f t="shared" si="325"/>
        <v>0.90080211741704375</v>
      </c>
      <c r="CQ81" s="42">
        <f>AVERAGE(CM81:CP81)+0.5%</f>
        <v>0.89648758627015179</v>
      </c>
      <c r="CR81" s="42">
        <f t="shared" ref="CR81:CT81" si="326">AVERAGE(CN81:CQ81)+0.5%</f>
        <v>0.89836108249633762</v>
      </c>
      <c r="CS81" s="42">
        <f t="shared" si="326"/>
        <v>0.90255829622263017</v>
      </c>
      <c r="CT81" s="42">
        <f t="shared" si="326"/>
        <v>0.90455227060154086</v>
      </c>
      <c r="CU81" s="42">
        <f t="shared" ref="CU81:DB81" si="327">AVERAGE(CQ81:CT81)</f>
        <v>0.90048980889766517</v>
      </c>
      <c r="CV81" s="42">
        <f t="shared" si="327"/>
        <v>0.90149036455454346</v>
      </c>
      <c r="CW81" s="42">
        <f t="shared" si="327"/>
        <v>0.90227268506909486</v>
      </c>
      <c r="CX81" s="42">
        <f t="shared" si="327"/>
        <v>0.90220128228071106</v>
      </c>
      <c r="CY81" s="42">
        <f t="shared" si="327"/>
        <v>0.90161353520050358</v>
      </c>
      <c r="CZ81" s="42">
        <f t="shared" si="327"/>
        <v>0.90189446677621321</v>
      </c>
      <c r="DA81" s="42">
        <f t="shared" si="327"/>
        <v>0.90199549233163068</v>
      </c>
      <c r="DB81" s="42">
        <f t="shared" si="327"/>
        <v>0.90192619414726471</v>
      </c>
      <c r="DE81" s="125"/>
      <c r="DF81" s="41">
        <v>0.8937255261744661</v>
      </c>
    </row>
    <row r="82" spans="1:110" s="39" customFormat="1" x14ac:dyDescent="0.2">
      <c r="A82" s="39" t="s">
        <v>447</v>
      </c>
      <c r="C82" s="39">
        <f t="shared" ref="C82:AE82" si="328">+IF(B80&lt;0,1-C80/B80,C80/B80-1)</f>
        <v>-5.2610622597486945E-2</v>
      </c>
      <c r="D82" s="39">
        <f t="shared" si="328"/>
        <v>0.60296711195603847</v>
      </c>
      <c r="E82" s="39">
        <f t="shared" si="328"/>
        <v>0.26038407159012178</v>
      </c>
      <c r="F82" s="39">
        <f t="shared" si="328"/>
        <v>0.38079259046122971</v>
      </c>
      <c r="G82" s="39">
        <f t="shared" si="328"/>
        <v>-0.28784619067062778</v>
      </c>
      <c r="H82" s="39">
        <f t="shared" si="328"/>
        <v>2.1040227919325583E-2</v>
      </c>
      <c r="I82" s="39">
        <f t="shared" si="328"/>
        <v>0.52787862944997976</v>
      </c>
      <c r="J82" s="39">
        <f t="shared" si="328"/>
        <v>0.63817628794119607</v>
      </c>
      <c r="K82" s="39">
        <f t="shared" si="328"/>
        <v>-0.44825828193188422</v>
      </c>
      <c r="L82" s="39">
        <f t="shared" si="328"/>
        <v>-1.5342485729469946E-2</v>
      </c>
      <c r="M82" s="39">
        <f t="shared" si="328"/>
        <v>6.7780149549797386E-2</v>
      </c>
      <c r="N82" s="39">
        <f t="shared" si="328"/>
        <v>-6.546738699906185E-3</v>
      </c>
      <c r="O82" s="39">
        <f t="shared" si="328"/>
        <v>-0.68745519713261594</v>
      </c>
      <c r="P82" s="39">
        <f t="shared" si="328"/>
        <v>5.6703776242998938E-2</v>
      </c>
      <c r="Q82" s="39">
        <f t="shared" si="328"/>
        <v>1.457801208002401</v>
      </c>
      <c r="R82" s="39">
        <f t="shared" si="328"/>
        <v>0.20375965588581169</v>
      </c>
      <c r="S82" s="39">
        <f t="shared" si="328"/>
        <v>3.792178245978417E-2</v>
      </c>
      <c r="T82" s="39">
        <f t="shared" si="328"/>
        <v>0.23163061088344583</v>
      </c>
      <c r="U82" s="39">
        <f t="shared" si="328"/>
        <v>-9.8715518241961897E-2</v>
      </c>
      <c r="V82" s="39">
        <f t="shared" si="328"/>
        <v>-0.39867499445529542</v>
      </c>
      <c r="W82" s="39">
        <f t="shared" si="328"/>
        <v>6.6269001812434789</v>
      </c>
      <c r="X82" s="39">
        <f t="shared" si="328"/>
        <v>6.4156050127398467</v>
      </c>
      <c r="Y82" s="39">
        <f t="shared" si="328"/>
        <v>0.97486492835330019</v>
      </c>
      <c r="Z82" s="39">
        <f t="shared" si="328"/>
        <v>5.0116374236821359E-2</v>
      </c>
      <c r="AA82" s="39">
        <f t="shared" si="328"/>
        <v>1.585643569378087</v>
      </c>
      <c r="AB82" s="40">
        <f t="shared" si="328"/>
        <v>0.2834804767692598</v>
      </c>
      <c r="AC82" s="40">
        <f t="shared" si="328"/>
        <v>0.4012479031162044</v>
      </c>
      <c r="AD82" s="40">
        <f t="shared" si="328"/>
        <v>0.1336199780330809</v>
      </c>
      <c r="AE82" s="40">
        <f t="shared" si="328"/>
        <v>0.2021876728190799</v>
      </c>
      <c r="AM82" s="39">
        <f>+IF(AI80&lt;0,1-AM80/AI80,AM80/AI80-1)</f>
        <v>-0.86641899531578248</v>
      </c>
      <c r="AN82" s="39">
        <f t="shared" ref="AN82" si="329">+IF(AJ80&lt;0,1-AN80/AJ80,AN80/AJ80-1)</f>
        <v>-0.40810266200021239</v>
      </c>
      <c r="AO82" s="39">
        <f t="shared" ref="AO82" si="330">+IF(AK80&lt;0,1-AO80/AK80,AO80/AK80-1)</f>
        <v>-0.18667215137803383</v>
      </c>
      <c r="AP82" s="39">
        <f t="shared" ref="AP82" si="331">+IF(AL80&lt;0,1-AP80/AL80,AP80/AL80-1)</f>
        <v>-0.84468648979235184</v>
      </c>
      <c r="AQ82" s="39">
        <f t="shared" ref="AQ82" si="332">+IF(AM80&lt;0,1-AQ80/AM80,AQ80/AM80-1)</f>
        <v>0.60620717452642925</v>
      </c>
      <c r="AR82" s="39">
        <f t="shared" ref="AR82" si="333">+IF(AN80&lt;0,1-AR80/AN80,AR80/AN80-1)</f>
        <v>-0.45296541838379789</v>
      </c>
      <c r="AS82" s="39">
        <f t="shared" ref="AS82" si="334">+IF(AO80&lt;0,1-AS80/AO80,AS80/AO80-1)</f>
        <v>-0.36091442443860167</v>
      </c>
      <c r="AT82" s="39">
        <f t="shared" ref="AT82" si="335">+IF(AP80&lt;0,1-AT80/AP80,AT80/AP80-1)</f>
        <v>1.1091318207387908</v>
      </c>
      <c r="AU82" s="39">
        <f t="shared" ref="AU82" si="336">+IF(AQ80&lt;0,1-AU80/AQ80,AU80/AQ80-1)</f>
        <v>2.7505646173149088</v>
      </c>
      <c r="AV82" s="39">
        <f t="shared" ref="AV82" si="337">+IF(AR80&lt;0,1-AV80/AR80,AV80/AR80-1)</f>
        <v>2.4474287585980683</v>
      </c>
      <c r="AW82" s="39">
        <f t="shared" ref="AW82" si="338">+IF(AS80&lt;0,1-AW80/AS80,AW80/AS80-1)</f>
        <v>1.1885090218423597</v>
      </c>
      <c r="AX82" s="39">
        <f t="shared" ref="AX82" si="339">+IF(AT80&lt;0,1-AX80/AT80,AX80/AT80-1)</f>
        <v>0.88229018492176459</v>
      </c>
      <c r="AY82" s="39">
        <f t="shared" ref="AY82" si="340">+IF(AU80&lt;0,1-AY80/AU80,AY80/AU80-1)</f>
        <v>-7.4802622775324901E-2</v>
      </c>
      <c r="AZ82" s="39">
        <f t="shared" ref="AZ82" si="341">+IF(AV80&lt;0,1-AZ80/AV80,AZ80/AV80-1)</f>
        <v>0.15971496437054578</v>
      </c>
      <c r="BA82" s="39">
        <f t="shared" ref="BA82" si="342">+IF(AW80&lt;0,1-BA80/AW80,BA80/AW80-1)</f>
        <v>0.52809720112822811</v>
      </c>
      <c r="BB82" s="39">
        <f t="shared" ref="BB82" si="343">+IF(AX80&lt;0,1-BB80/AX80,BB80/AX80-1)</f>
        <v>0.41210088796523636</v>
      </c>
      <c r="BC82" s="39">
        <f t="shared" ref="BC82" si="344">+IF(AY80&lt;0,1-BC80/AY80,BC80/AY80-1)</f>
        <v>0.62040786809372173</v>
      </c>
      <c r="BD82" s="39">
        <f t="shared" ref="BD82" si="345">+IF(AZ80&lt;0,1-BD80/AZ80,BD80/AZ80-1)</f>
        <v>0.1755693921022472</v>
      </c>
      <c r="BE82" s="39">
        <f t="shared" ref="BE82" si="346">+IF(BA80&lt;0,1-BE80/BA80,BE80/BA80-1)</f>
        <v>-0.16285673718585747</v>
      </c>
      <c r="BF82" s="39">
        <f t="shared" ref="BF82" si="347">+IF(BB80&lt;0,1-BF80/BB80,BF80/BB80-1)</f>
        <v>-7.8068033581965124E-2</v>
      </c>
      <c r="BG82" s="39">
        <f t="shared" ref="BG82" si="348">+IF(BC80&lt;0,1-BG80/BC80,BG80/BC80-1)</f>
        <v>6.1587896639443418E-2</v>
      </c>
      <c r="BH82" s="39">
        <f t="shared" ref="BH82" si="349">+IF(BD80&lt;0,1-BH80/BD80,BH80/BD80-1)</f>
        <v>0.49487769182521291</v>
      </c>
      <c r="BI82" s="39">
        <f t="shared" ref="BI82" si="350">+IF(BE80&lt;0,1-BI80/BE80,BI80/BE80-1)</f>
        <v>0.28488240615106197</v>
      </c>
      <c r="BJ82" s="39">
        <f t="shared" ref="BJ82" si="351">+IF(BF80&lt;0,1-BJ80/BF80,BJ80/BF80-1)</f>
        <v>-0.19696694844537854</v>
      </c>
      <c r="BK82" s="39">
        <f t="shared" ref="BK82" si="352">+IF(BG80&lt;0,1-BK80/BG80,BK80/BG80-1)</f>
        <v>3.5607684869886747E-2</v>
      </c>
      <c r="BL82" s="39">
        <f t="shared" ref="BL82" si="353">+IF(BH80&lt;0,1-BL80/BH80,BL80/BH80-1)</f>
        <v>-0.1354778554778554</v>
      </c>
      <c r="BM82" s="39">
        <f t="shared" ref="BM82" si="354">+IF(BI80&lt;0,1-BM80/BI80,BM80/BI80-1)</f>
        <v>-0.13156157873894525</v>
      </c>
      <c r="BN82" s="39">
        <f t="shared" ref="BN82" si="355">+IF(BJ80&lt;0,1-BN80/BJ80,BN80/BJ80-1)</f>
        <v>-5.3492364687811711E-2</v>
      </c>
      <c r="BO82" s="39">
        <f t="shared" ref="BO82" si="356">+IF(BK80&lt;0,1-BO80/BK80,BO80/BK80-1)</f>
        <v>-1.0839896078590567</v>
      </c>
      <c r="BP82" s="39">
        <f t="shared" ref="BP82" si="357">+IF(BL80&lt;0,1-BP80/BL80,BP80/BL80-1)</f>
        <v>-0.15692407247627249</v>
      </c>
      <c r="BQ82" s="39">
        <f t="shared" ref="BQ82" si="358">+IF(BM80&lt;0,1-BQ80/BM80,BQ80/BM80-1)</f>
        <v>-6.774079140700151E-2</v>
      </c>
      <c r="BR82" s="39">
        <f t="shared" ref="BR82" si="359">+IF(BN80&lt;0,1-BR80/BN80,BR80/BN80-1)</f>
        <v>-0.11861575178997552</v>
      </c>
      <c r="BS82" s="39">
        <f t="shared" ref="BS82" si="360">+IF(BO80&lt;0,1-BS80/BO80,BS80/BO80-1)</f>
        <v>7.4620589656839051</v>
      </c>
      <c r="BT82" s="39">
        <f t="shared" ref="BT82" si="361">+IF(BP80&lt;0,1-BT80/BP80,BT80/BP80-1)</f>
        <v>-0.25035179736471802</v>
      </c>
      <c r="BU82" s="39">
        <f t="shared" ref="BU82" si="362">+IF(BQ80&lt;0,1-BU80/BQ80,BU80/BQ80-1)</f>
        <v>2.2059782608695646</v>
      </c>
      <c r="BV82" s="39">
        <f t="shared" ref="BV82" si="363">+IF(BR80&lt;0,1-BV80/BR80,BV80/BR80-1)</f>
        <v>15.276739777958294</v>
      </c>
      <c r="BW82" s="39">
        <f t="shared" ref="BW82" si="364">+IF(BS80&lt;0,1-BW80/BS80,BW80/BS80-1)</f>
        <v>54.01795063575166</v>
      </c>
      <c r="BX82" s="39">
        <f t="shared" ref="BX82" si="365">+IF(BT80&lt;0,1-BX80/BT80,BX80/BT80-1)</f>
        <v>43.790102389078505</v>
      </c>
      <c r="BY82" s="39">
        <f t="shared" ref="BY82" si="366">+IF(BU80&lt;0,1-BY80/BU80,BY80/BU80-1)</f>
        <v>12.906085777250379</v>
      </c>
      <c r="BZ82" s="39">
        <f t="shared" ref="BZ82" si="367">+IF(BV80&lt;0,1-BZ80/BV80,BZ80/BV80-1)</f>
        <v>1.5663949426052244</v>
      </c>
      <c r="CA82" s="39">
        <f t="shared" ref="CA82" si="368">+IF(BW80&lt;0,1-CA80/BW80,CA80/BW80-1)</f>
        <v>1.5317908073791107</v>
      </c>
      <c r="CB82" s="39">
        <f t="shared" ref="CB82" si="369">+IF(BX80&lt;0,1-CB80/BX80,CB80/BX80-1)</f>
        <v>0.95778565169352681</v>
      </c>
      <c r="CC82" s="39">
        <f t="shared" ref="CC82" si="370">+IF(BY80&lt;0,1-CC80/BY80,CC80/BY80-1)</f>
        <v>0.83864833235810399</v>
      </c>
      <c r="CD82" s="39">
        <f t="shared" ref="CD82" si="371">+IF(BZ80&lt;0,1-CD80/BZ80,CD80/BZ80-1)</f>
        <v>0.59871909558814007</v>
      </c>
      <c r="CE82" s="39">
        <f t="shared" ref="CE82" si="372">+IF(CA80&lt;0,1-CE80/CA80,CE80/CA80-1)</f>
        <v>0.16730922055886044</v>
      </c>
      <c r="CF82" s="39">
        <f t="shared" ref="CF82" si="373">+IF(CB80&lt;0,1-CF80/CB80,CF80/CB80-1)</f>
        <v>0.12815747479858319</v>
      </c>
      <c r="CG82" s="39">
        <f t="shared" ref="CG82" si="374">+IF(CC80&lt;0,1-CG80/CC80,CG80/CC80-1)</f>
        <v>2.2489192988039308E-2</v>
      </c>
      <c r="CH82" s="39">
        <f t="shared" ref="CH82:CL82" si="375">+IF(CD80&lt;0,1-CH80/CD80,CH80/CD80-1)</f>
        <v>-0.15681917706018766</v>
      </c>
      <c r="CI82" s="39">
        <f t="shared" si="375"/>
        <v>7.2402769152928315E-3</v>
      </c>
      <c r="CJ82" s="39">
        <f t="shared" si="375"/>
        <v>1.6124129960411584</v>
      </c>
      <c r="CK82" s="39">
        <f t="shared" si="375"/>
        <v>1.8524380754765919</v>
      </c>
      <c r="CL82" s="39">
        <f t="shared" si="375"/>
        <v>4.4309263676232975</v>
      </c>
      <c r="CM82" s="40">
        <f t="shared" ref="CM82" si="376">+CM80/CI80-1</f>
        <v>1.2626660177056248</v>
      </c>
      <c r="CN82" s="40">
        <f t="shared" ref="CN82" si="377">+CN80/CJ80-1</f>
        <v>0.50987289329288843</v>
      </c>
      <c r="CO82" s="40">
        <f t="shared" ref="CO82" si="378">+CO80/CK80-1</f>
        <v>9.8299894475572858E-2</v>
      </c>
      <c r="CP82" s="40">
        <f t="shared" ref="CP82" si="379">+CP80/CL80-1</f>
        <v>-6.6679805450305274E-2</v>
      </c>
      <c r="CQ82" s="40">
        <f t="shared" ref="CQ82" si="380">+CQ80/CM80-1</f>
        <v>0.30725467277897001</v>
      </c>
      <c r="CR82" s="40">
        <f t="shared" ref="CR82" si="381">+CR80/CN80-1</f>
        <v>0.39218050777377367</v>
      </c>
      <c r="CS82" s="40">
        <f t="shared" ref="CS82" si="382">+CS80/CO80-1</f>
        <v>0.47806351793366586</v>
      </c>
      <c r="CT82" s="40">
        <f t="shared" ref="CT82" si="383">+CT80/CP80-1</f>
        <v>0.42705833746859434</v>
      </c>
      <c r="CU82" s="40">
        <f t="shared" ref="CU82" si="384">+CU80/CQ80-1</f>
        <v>0.15856955197594647</v>
      </c>
      <c r="CV82" s="40">
        <f t="shared" ref="CV82" si="385">+CV80/CR80-1</f>
        <v>0.11018038018720389</v>
      </c>
      <c r="CW82" s="40">
        <f t="shared" ref="CW82" si="386">+CW80/CS80-1</f>
        <v>0.12600560402696237</v>
      </c>
      <c r="CX82" s="40">
        <f t="shared" ref="CX82" si="387">+CX80/CT80-1</f>
        <v>0.13920654009574474</v>
      </c>
      <c r="CY82" s="40">
        <f t="shared" ref="CY82" si="388">+CY80/CU80-1</f>
        <v>0.2056561937986725</v>
      </c>
      <c r="CZ82" s="40">
        <f t="shared" ref="CZ82" si="389">+CZ80/CV80-1</f>
        <v>0.21756918133262682</v>
      </c>
      <c r="DA82" s="40">
        <f t="shared" ref="DA82" si="390">+DA80/CW80-1</f>
        <v>0.19859512426139725</v>
      </c>
      <c r="DB82" s="40">
        <f t="shared" ref="DB82" si="391">+DB80/CX80-1</f>
        <v>0.18983236195757147</v>
      </c>
      <c r="DE82" s="122"/>
      <c r="DF82" s="39">
        <v>1.585643569378087</v>
      </c>
    </row>
    <row r="83" spans="1:110" s="39" customFormat="1" x14ac:dyDescent="0.2">
      <c r="A83" s="39" t="s">
        <v>448</v>
      </c>
      <c r="AB83" s="40"/>
      <c r="AC83" s="40"/>
      <c r="AD83" s="40"/>
      <c r="AE83" s="40"/>
      <c r="AJ83" s="39">
        <f>+IF(AI80&lt;0,1-AJ80/AI80,AJ80/AI80-1)</f>
        <v>-0.49232757228234503</v>
      </c>
      <c r="AK83" s="39">
        <f t="shared" ref="AK83" si="392">+IF(AJ80&lt;0,1-AK80/AJ80,AK80/AJ80-1)</f>
        <v>0.28910807084526358</v>
      </c>
      <c r="AL83" s="39">
        <f t="shared" ref="AL83" si="393">+IF(AK80&lt;0,1-AL80/AK80,AL80/AK80-1)</f>
        <v>1.8249280131633063</v>
      </c>
      <c r="AM83" s="39">
        <f t="shared" ref="AM83" si="394">+IF(AL80&lt;0,1-AM80/AL80,AM80/AL80-1)</f>
        <v>-0.9277455805690662</v>
      </c>
      <c r="AN83" s="39">
        <f t="shared" ref="AN83" si="395">+IF(AM80&lt;0,1-AN80/AM80,AN80/AM80-1)</f>
        <v>1.2494961708988566</v>
      </c>
      <c r="AO83" s="39">
        <f t="shared" ref="AO83" si="396">+IF(AN80&lt;0,1-AO80/AN80,AO80/AN80-1)</f>
        <v>0.77136713850564309</v>
      </c>
      <c r="AP83" s="39">
        <f t="shared" ref="AP83" si="397">+IF(AO80&lt;0,1-AP80/AO80,AP80/AO80-1)</f>
        <v>-0.4605502731134925</v>
      </c>
      <c r="AQ83" s="39">
        <f t="shared" ref="AQ83" si="398">+IF(AP80&lt;0,1-AQ80/AP80,AQ80/AP80-1)</f>
        <v>-0.25276579786236297</v>
      </c>
      <c r="AR83" s="39">
        <f t="shared" ref="AR83" si="399">+IF(AQ80&lt;0,1-AR80/AQ80,AR80/AQ80-1)</f>
        <v>-0.23387703889585842</v>
      </c>
      <c r="AS83" s="39">
        <f t="shared" ref="AS83" si="400">+IF(AR80&lt;0,1-AS80/AR80,AS80/AR80-1)</f>
        <v>1.0694398951850412</v>
      </c>
      <c r="AT83" s="39">
        <f t="shared" ref="AT83" si="401">+IF(AS80&lt;0,1-AT80/AS80,AT80/AS80-1)</f>
        <v>0.78031022475467338</v>
      </c>
      <c r="AU83" s="39">
        <f t="shared" ref="AU83" si="402">+IF(AT80&lt;0,1-AU80/AT80,AU80/AT80-1)</f>
        <v>0.32876955903271865</v>
      </c>
      <c r="AV83" s="39">
        <f t="shared" ref="AV83" si="403">+IF(AU80&lt;0,1-AV80/AU80,AV80/AU80-1)</f>
        <v>-0.29579820687809577</v>
      </c>
      <c r="AW83" s="39">
        <f t="shared" ref="AW83" si="404">+IF(AV80&lt;0,1-AW80/AV80,AW80/AV80-1)</f>
        <v>0.31372921615201932</v>
      </c>
      <c r="AX83" s="39">
        <f t="shared" ref="AX83" si="405">+IF(AW80&lt;0,1-AX80/AW80,AX80/AW80-1)</f>
        <v>0.53120705865336038</v>
      </c>
      <c r="AY83" s="39">
        <f t="shared" ref="AY83" si="406">+IF(AX80&lt;0,1-AY80/AX80,AY80/AX80-1)</f>
        <v>-0.34687322879274485</v>
      </c>
      <c r="AZ83" s="39">
        <f t="shared" ref="AZ83" si="407">+IF(AY80&lt;0,1-AZ80/AY80,AZ80/AY80-1)</f>
        <v>-0.11729823546427698</v>
      </c>
      <c r="BA83" s="39">
        <f t="shared" ref="BA83" si="408">+IF(AZ80&lt;0,1-BA80/AZ80,BA80/AZ80-1)</f>
        <v>0.73103391774537307</v>
      </c>
      <c r="BB83" s="39">
        <f t="shared" ref="BB83" si="409">+IF(BA80&lt;0,1-BB80/BA80,BB80/BA80-1)</f>
        <v>0.41497467935065524</v>
      </c>
      <c r="BC83" s="39">
        <f t="shared" ref="BC83" si="410">+IF(BB80&lt;0,1-BC80/BB80,BC80/BB80-1)</f>
        <v>-0.25052680870990396</v>
      </c>
      <c r="BD83" s="39">
        <f t="shared" ref="BD83" si="411">+IF(BC80&lt;0,1-BD80/BC80,BD80/BC80-1)</f>
        <v>-0.3596197616816168</v>
      </c>
      <c r="BE83" s="39">
        <f t="shared" ref="BE83" si="412">+IF(BD80&lt;0,1-BE80/BD80,BE80/BD80-1)</f>
        <v>0.23269914279740767</v>
      </c>
      <c r="BF83" s="39">
        <f t="shared" ref="BF83" si="413">+IF(BE80&lt;0,1-BF80/BE80,BF80/BE80-1)</f>
        <v>0.55828810492989334</v>
      </c>
      <c r="BG83" s="39">
        <f t="shared" ref="BG83" si="414">+IF(BF80&lt;0,1-BG80/BF80,BG80/BF80-1)</f>
        <v>-0.13699524725174983</v>
      </c>
      <c r="BH83" s="39">
        <f t="shared" ref="BH83" si="415">+IF(BG80&lt;0,1-BH80/BG80,BH80/BG80-1)</f>
        <v>-9.8246941606760285E-2</v>
      </c>
      <c r="BI83" s="39">
        <f t="shared" ref="BI83" si="416">+IF(BH80&lt;0,1-BI80/BH80,BI80/BH80-1)</f>
        <v>5.9533799533799892E-2</v>
      </c>
      <c r="BJ83" s="39">
        <f t="shared" ref="BJ83" si="417">+IF(BI80&lt;0,1-BJ80/BI80,BJ80/BI80-1)</f>
        <v>-2.6092313107756837E-2</v>
      </c>
      <c r="BK83" s="39">
        <f t="shared" ref="BK83" si="418">+IF(BJ80&lt;0,1-BK80/BJ80,BK80/BJ80-1)</f>
        <v>0.11294840516851834</v>
      </c>
      <c r="BL83" s="39">
        <f t="shared" ref="BL83" si="419">+IF(BK80&lt;0,1-BL80/BK80,BL80/BK80-1)</f>
        <v>-0.24721929041162638</v>
      </c>
      <c r="BM83" s="39">
        <f t="shared" ref="BM83" si="420">+IF(BL80&lt;0,1-BM80/BL80,BM80/BL80-1)</f>
        <v>6.4333477135461559E-2</v>
      </c>
      <c r="BN83" s="39">
        <f t="shared" ref="BN83" si="421">+IF(BM80&lt;0,1-BN80/BM80,BN80/BM80-1)</f>
        <v>6.145817500126638E-2</v>
      </c>
      <c r="BO83" s="39">
        <f t="shared" ref="BO83" si="422">+IF(BN80&lt;0,1-BO80/BN80,BO80/BN80-1)</f>
        <v>-1.0987589498806685</v>
      </c>
      <c r="BP83" s="39">
        <f t="shared" ref="BP83" si="423">+IF(BO80&lt;0,1-BP80/BO80,BP80/BO80-1)</f>
        <v>8.5563073948767503</v>
      </c>
      <c r="BQ83" s="39">
        <f t="shared" ref="BQ83" si="424">+IF(BP80&lt;0,1-BQ80/BP80,BQ80/BP80-1)</f>
        <v>0.17692209287450456</v>
      </c>
      <c r="BR83" s="39">
        <f t="shared" ref="BR83" si="425">+IF(BQ80&lt;0,1-BR80/BQ80,BR80/BQ80-1)</f>
        <v>3.5326086956519731E-3</v>
      </c>
      <c r="BS83" s="39">
        <f t="shared" ref="BS83" si="426">+IF(BR80&lt;0,1-BS80/BR80,BS80/BR80-1)</f>
        <v>-0.27592743027349032</v>
      </c>
      <c r="BT83" s="39">
        <f t="shared" ref="BT83" si="427">+IF(BS80&lt;0,1-BT80/BS80,BT80/BS80-1)</f>
        <v>-0.12341062079282017</v>
      </c>
      <c r="BU83" s="39">
        <f t="shared" ref="BU83" si="428">+IF(BT80&lt;0,1-BU80/BT80,BU80/BT80-1)</f>
        <v>4.0332764505119467</v>
      </c>
      <c r="BV83" s="39">
        <f t="shared" ref="BV83" si="429">+IF(BU80&lt;0,1-BV80/BU80,BV80/BU80-1)</f>
        <v>4.0949313442956417</v>
      </c>
      <c r="BW83" s="39">
        <f t="shared" ref="BW83" si="430">+IF(BV80&lt;0,1-BW80/BV80,BW80/BV80-1)</f>
        <v>1.4474796206953919</v>
      </c>
      <c r="BX83" s="39">
        <f t="shared" ref="BX83" si="431">+IF(BW80&lt;0,1-BX80/BW80,BX80/BW80-1)</f>
        <v>-0.28636876520887977</v>
      </c>
      <c r="BY83" s="39">
        <f t="shared" ref="BY83" si="432">+IF(BX80&lt;0,1-BY80/BX80,BY80/BX80-1)</f>
        <v>0.56269287918619249</v>
      </c>
      <c r="BZ83" s="39">
        <f t="shared" ref="BZ83" si="433">+IF(BY80&lt;0,1-BZ80/BY80,BZ80/BY80-1)</f>
        <v>-5.9720596840257323E-2</v>
      </c>
      <c r="CA83" s="39">
        <f t="shared" ref="CA83" si="434">+IF(BZ80&lt;0,1-CA80/BZ80,CA80/BZ80-1)</f>
        <v>1.4144788871170575</v>
      </c>
      <c r="CB83" s="39">
        <f t="shared" ref="CB83" si="435">+IF(CA80&lt;0,1-CB80/CA80,CB80/CA80-1)</f>
        <v>-0.44816254644644427</v>
      </c>
      <c r="CC83" s="39">
        <f t="shared" ref="CC83" si="436">+IF(CB80&lt;0,1-CC80/CB80,CC80/CB80-1)</f>
        <v>0.46759817849219609</v>
      </c>
      <c r="CD83" s="39">
        <f t="shared" ref="CD83" si="437">+IF(CC80&lt;0,1-CD80/CC80,CD80/CC80-1)</f>
        <v>-0.182419709868194</v>
      </c>
      <c r="CE83" s="39">
        <f t="shared" ref="CE83" si="438">+IF(CD80&lt;0,1-CE80/CD80,CE80/CD80-1)</f>
        <v>0.7629385146860852</v>
      </c>
      <c r="CF83" s="39">
        <f t="shared" ref="CF83" si="439">+IF(CE80&lt;0,1-CF80/CE80,CF80/CE80-1)</f>
        <v>-0.46667126658846791</v>
      </c>
      <c r="CG83" s="39">
        <f t="shared" ref="CG83" si="440">+IF(CF80&lt;0,1-CG80/CF80,CG80/CF80-1)</f>
        <v>0.33013636010798408</v>
      </c>
      <c r="CH83" s="39">
        <f t="shared" ref="CH83:CL83" si="441">+IF(CG80&lt;0,1-CH80/CG80,CH80/CG80-1)</f>
        <v>-0.32579431980287876</v>
      </c>
      <c r="CI83" s="39">
        <f t="shared" si="441"/>
        <v>1.1059571439562972</v>
      </c>
      <c r="CJ83" s="39">
        <f t="shared" si="441"/>
        <v>0.38325973082947806</v>
      </c>
      <c r="CK83" s="39">
        <f t="shared" si="441"/>
        <v>0.45234754416605316</v>
      </c>
      <c r="CL83" s="39">
        <f t="shared" si="441"/>
        <v>0.28366026146673273</v>
      </c>
      <c r="CM83" s="40">
        <f t="shared" ref="CM83" si="442">+CM80/CL80-1</f>
        <v>-0.12260315426452406</v>
      </c>
      <c r="CN83" s="40">
        <f t="shared" ref="CN83" si="443">+CN80/CM80-1</f>
        <v>-7.6953312764708737E-2</v>
      </c>
      <c r="CO83" s="40">
        <f t="shared" ref="CO83" si="444">+CO80/CN80-1</f>
        <v>5.6455256323361125E-2</v>
      </c>
      <c r="CP83" s="40">
        <f t="shared" ref="CP83" si="445">+CP80/CO80-1</f>
        <v>9.0836893451498923E-2</v>
      </c>
      <c r="CQ83" s="40">
        <f t="shared" ref="CQ83" si="446">+CQ80/CP80-1</f>
        <v>0.22892564970441009</v>
      </c>
      <c r="CR83" s="40">
        <f t="shared" ref="CR83" si="447">+CR80/CQ80-1</f>
        <v>-1.6987559889638515E-2</v>
      </c>
      <c r="CS83" s="40">
        <f t="shared" ref="CS83" si="448">+CS80/CR80-1</f>
        <v>0.12162752170536906</v>
      </c>
      <c r="CT83" s="40">
        <f t="shared" ref="CT83" si="449">+CT80/CS80-1</f>
        <v>5.3194172463273626E-2</v>
      </c>
      <c r="CU83" s="40">
        <f t="shared" ref="CU83" si="450">+CU80/CT80-1</f>
        <v>-2.286170083694028E-3</v>
      </c>
      <c r="CV83" s="40">
        <f t="shared" ref="CV83" si="451">+CV80/CU80-1</f>
        <v>-5.8044359417854574E-2</v>
      </c>
      <c r="CW83" s="40">
        <f t="shared" ref="CW83" si="452">+CW80/CV80-1</f>
        <v>0.13761592044902926</v>
      </c>
      <c r="CX83" s="40">
        <f t="shared" ref="CX83" si="453">+CX80/CW80-1</f>
        <v>6.5541490175529793E-2</v>
      </c>
      <c r="CY83" s="40">
        <f t="shared" ref="CY83" si="454">+CY80/CX80-1</f>
        <v>5.591024659680377E-2</v>
      </c>
      <c r="CZ83" s="40">
        <f t="shared" ref="CZ83" si="455">+CZ80/CY80-1</f>
        <v>-4.8736974890232765E-2</v>
      </c>
      <c r="DA83" s="40">
        <f t="shared" ref="DA83" si="456">+DA80/CZ80-1</f>
        <v>0.11988781946661575</v>
      </c>
      <c r="DB83" s="40">
        <f t="shared" ref="DB83" si="457">+DB80/DA80-1</f>
        <v>5.7751464491063276E-2</v>
      </c>
      <c r="DE83" s="122"/>
    </row>
    <row r="84" spans="1:110" s="23" customFormat="1" outlineLevel="1" x14ac:dyDescent="0.2">
      <c r="A84" s="23" t="s">
        <v>535</v>
      </c>
      <c r="X84" s="23">
        <v>706.66</v>
      </c>
      <c r="Y84" s="23">
        <v>1495.52</v>
      </c>
      <c r="Z84" s="23">
        <v>1494.99</v>
      </c>
      <c r="AA84" s="23">
        <v>1494.99</v>
      </c>
      <c r="AB84" s="76">
        <f t="shared" ref="AB84:AB92" si="458">+SUM(CM84:CP84)</f>
        <v>0</v>
      </c>
      <c r="AC84" s="76">
        <f t="shared" ref="AC84:AC92" si="459">+SUM(CQ84:CT84)</f>
        <v>0</v>
      </c>
      <c r="AD84" s="76">
        <f t="shared" ref="AD84:AD92" si="460">+SUM(CU84:CX84)</f>
        <v>0</v>
      </c>
      <c r="AE84" s="76">
        <f t="shared" ref="AE84:AE92" si="461">+SUM(CY84:DB84)</f>
        <v>0</v>
      </c>
      <c r="CM84" s="24"/>
      <c r="CN84" s="24"/>
      <c r="CO84" s="24"/>
      <c r="CP84" s="24"/>
      <c r="CQ84" s="24"/>
      <c r="CR84" s="24"/>
      <c r="CS84" s="24"/>
      <c r="CT84" s="24"/>
      <c r="CU84" s="24"/>
      <c r="CV84" s="24"/>
      <c r="CW84" s="24"/>
      <c r="CX84" s="24"/>
      <c r="CY84" s="24"/>
      <c r="CZ84" s="24"/>
      <c r="DA84" s="24"/>
      <c r="DB84" s="24"/>
      <c r="DE84" s="123"/>
      <c r="DF84" s="23">
        <v>1494.99</v>
      </c>
    </row>
    <row r="85" spans="1:110" s="23" customFormat="1" outlineLevel="1" x14ac:dyDescent="0.2">
      <c r="A85" s="23" t="s">
        <v>534</v>
      </c>
      <c r="X85" s="23">
        <v>672.9</v>
      </c>
      <c r="Y85" s="23">
        <v>994</v>
      </c>
      <c r="Z85" s="23">
        <v>974.84</v>
      </c>
      <c r="AA85" s="23">
        <v>974.84</v>
      </c>
      <c r="AB85" s="76">
        <f t="shared" si="458"/>
        <v>0</v>
      </c>
      <c r="AC85" s="76">
        <f t="shared" si="459"/>
        <v>0</v>
      </c>
      <c r="AD85" s="76">
        <f t="shared" si="460"/>
        <v>0</v>
      </c>
      <c r="AE85" s="76">
        <f t="shared" si="461"/>
        <v>0</v>
      </c>
      <c r="CM85" s="24"/>
      <c r="CN85" s="24"/>
      <c r="CO85" s="24"/>
      <c r="CP85" s="24"/>
      <c r="CQ85" s="24"/>
      <c r="CR85" s="24"/>
      <c r="CS85" s="24"/>
      <c r="CT85" s="24"/>
      <c r="CU85" s="24"/>
      <c r="CV85" s="24"/>
      <c r="CW85" s="24"/>
      <c r="CX85" s="24"/>
      <c r="CY85" s="24"/>
      <c r="CZ85" s="24"/>
      <c r="DA85" s="24"/>
      <c r="DB85" s="24"/>
      <c r="DE85" s="123"/>
      <c r="DF85" s="23">
        <v>974.84</v>
      </c>
    </row>
    <row r="86" spans="1:110" s="23" customFormat="1" outlineLevel="1" x14ac:dyDescent="0.2">
      <c r="A86" s="23" t="s">
        <v>533</v>
      </c>
      <c r="X86" s="23">
        <v>372.06</v>
      </c>
      <c r="Y86" s="23">
        <v>750.2</v>
      </c>
      <c r="Z86" s="23">
        <v>854.13</v>
      </c>
      <c r="AA86" s="23">
        <v>854.13</v>
      </c>
      <c r="AB86" s="76">
        <f t="shared" si="458"/>
        <v>0</v>
      </c>
      <c r="AC86" s="76">
        <f t="shared" si="459"/>
        <v>0</v>
      </c>
      <c r="AD86" s="76">
        <f t="shared" si="460"/>
        <v>0</v>
      </c>
      <c r="AE86" s="76">
        <f t="shared" si="461"/>
        <v>0</v>
      </c>
      <c r="CM86" s="24"/>
      <c r="CN86" s="24"/>
      <c r="CO86" s="24"/>
      <c r="CP86" s="24"/>
      <c r="CQ86" s="24"/>
      <c r="CR86" s="24"/>
      <c r="CS86" s="24"/>
      <c r="CT86" s="24"/>
      <c r="CU86" s="24"/>
      <c r="CV86" s="24"/>
      <c r="CW86" s="24"/>
      <c r="CX86" s="24"/>
      <c r="CY86" s="24"/>
      <c r="CZ86" s="24"/>
      <c r="DA86" s="24"/>
      <c r="DB86" s="24"/>
      <c r="DE86" s="123"/>
      <c r="DF86" s="23">
        <v>854.13</v>
      </c>
    </row>
    <row r="87" spans="1:110" s="23" customFormat="1" outlineLevel="1" x14ac:dyDescent="0.2">
      <c r="A87" s="23" t="s">
        <v>12</v>
      </c>
      <c r="B87" s="23">
        <f>'Annual Raw'!C19-'Annual Raw'!C20</f>
        <v>1.7668999999999999</v>
      </c>
      <c r="C87" s="23">
        <f>'Annual Raw'!D19-'Annual Raw'!D20</f>
        <v>1.5673999999999999</v>
      </c>
      <c r="D87" s="23">
        <f>'Annual Raw'!E19-'Annual Raw'!E20</f>
        <v>4.3116000000000003</v>
      </c>
      <c r="E87" s="23">
        <f>'Annual Raw'!F19-'Annual Raw'!F20</f>
        <v>15.344200000000001</v>
      </c>
      <c r="F87" s="23">
        <f>'Annual Raw'!G19-'Annual Raw'!G20</f>
        <v>5.2389000000000001</v>
      </c>
      <c r="G87" s="23">
        <f>'Annual Raw'!H19-'Annual Raw'!H20</f>
        <v>1.4515</v>
      </c>
      <c r="H87" s="23">
        <f>'Annual Raw'!I19-'Annual Raw'!I20</f>
        <v>2.3900999999999999</v>
      </c>
      <c r="I87" s="23">
        <f>'Annual Raw'!J19-'Annual Raw'!J20</f>
        <v>1.5754999999999999</v>
      </c>
      <c r="J87" s="23">
        <f>'Annual Raw'!K19-'Annual Raw'!K20</f>
        <v>1.9522999999999999</v>
      </c>
      <c r="K87" s="23">
        <f>'Annual Raw'!L19-'Annual Raw'!L20</f>
        <v>0.93569999999999998</v>
      </c>
      <c r="L87" s="23">
        <f>'Annual Raw'!M19-'Annual Raw'!M20</f>
        <v>1.2319</v>
      </c>
      <c r="M87" s="23">
        <f>'Annual Raw'!N19-'Annual Raw'!N20</f>
        <v>1.1262000000000001</v>
      </c>
      <c r="N87" s="23">
        <f>'Annual Raw'!O19-'Annual Raw'!O20</f>
        <v>1.5630999999999999</v>
      </c>
      <c r="O87" s="23">
        <f>'Annual Raw'!P19-'Annual Raw'!P20</f>
        <v>1.2984</v>
      </c>
      <c r="P87" s="23">
        <f>'Annual Raw'!Q19-'Annual Raw'!Q20</f>
        <v>1.3951</v>
      </c>
      <c r="Q87" s="23">
        <f>'Annual Raw'!R19-'Annual Raw'!R20</f>
        <v>1.4060999999999999</v>
      </c>
      <c r="R87" s="23">
        <f>'Annual Raw'!S19-'Annual Raw'!S20</f>
        <v>2.8616000000000001</v>
      </c>
      <c r="S87" s="23">
        <f>'Annual Raw'!T19-'Annual Raw'!T20</f>
        <v>3.5105</v>
      </c>
      <c r="T87" s="23">
        <f>'Annual Raw'!U19-'Annual Raw'!U20</f>
        <v>3.9775</v>
      </c>
      <c r="U87" s="23">
        <f>'Annual Raw'!V19-'Annual Raw'!V20</f>
        <v>2.6966999999999999</v>
      </c>
      <c r="V87" s="23">
        <f>'Annual Raw'!W19-'Annual Raw'!W20</f>
        <v>1.8156000000000001</v>
      </c>
      <c r="W87" s="23">
        <f>'Annual Raw'!X19-'Annual Raw'!X20</f>
        <v>5.21</v>
      </c>
      <c r="X87" s="23">
        <f>'Annual Raw'!Y19-'Annual Raw'!Y20</f>
        <v>16.18</v>
      </c>
      <c r="Y87" s="23">
        <f>'Annual Raw'!Z19-'Annual Raw'!Z20</f>
        <v>122.75</v>
      </c>
      <c r="Z87" s="23">
        <f>'Annual Raw'!AA19-'Annual Raw'!AA20</f>
        <v>162.84</v>
      </c>
      <c r="AA87" s="23">
        <f>'Annual Raw'!AB19-'Annual Raw'!AB20</f>
        <v>600.20000000000005</v>
      </c>
      <c r="AB87" s="76">
        <f t="shared" si="458"/>
        <v>0</v>
      </c>
      <c r="AC87" s="76">
        <f t="shared" si="459"/>
        <v>0</v>
      </c>
      <c r="AD87" s="76">
        <f t="shared" si="460"/>
        <v>0</v>
      </c>
      <c r="AE87" s="76">
        <f t="shared" si="461"/>
        <v>0</v>
      </c>
      <c r="AI87" s="23">
        <f>+'QTR Raw'!C21</f>
        <v>0</v>
      </c>
      <c r="AJ87" s="23">
        <f>+'QTR Raw'!D21</f>
        <v>0</v>
      </c>
      <c r="AK87" s="23">
        <f>+'QTR Raw'!E21</f>
        <v>0</v>
      </c>
      <c r="AL87" s="23">
        <f>+'QTR Raw'!F21</f>
        <v>0</v>
      </c>
      <c r="AM87" s="23">
        <f>+'QTR Raw'!G21</f>
        <v>0</v>
      </c>
      <c r="AN87" s="23">
        <f>+'QTR Raw'!H21</f>
        <v>0</v>
      </c>
      <c r="AO87" s="23">
        <f>+'QTR Raw'!I21</f>
        <v>0</v>
      </c>
      <c r="AP87" s="23">
        <f>+'QTR Raw'!J21</f>
        <v>0</v>
      </c>
      <c r="AQ87" s="23">
        <f>+'QTR Raw'!K21</f>
        <v>0</v>
      </c>
      <c r="AR87" s="23">
        <f>+'QTR Raw'!L21</f>
        <v>0</v>
      </c>
      <c r="AS87" s="23">
        <f>+'QTR Raw'!M21</f>
        <v>0</v>
      </c>
      <c r="AT87" s="23">
        <f>+'QTR Raw'!N21</f>
        <v>0</v>
      </c>
      <c r="AU87" s="23">
        <f>+'QTR Raw'!O21</f>
        <v>0</v>
      </c>
      <c r="AV87" s="23">
        <f>+'QTR Raw'!P21</f>
        <v>0</v>
      </c>
      <c r="AW87" s="23">
        <f>+'QTR Raw'!Q21</f>
        <v>0</v>
      </c>
      <c r="AX87" s="23">
        <f>+'QTR Raw'!R21</f>
        <v>0</v>
      </c>
      <c r="AY87" s="23">
        <f>+'QTR Raw'!S21</f>
        <v>0</v>
      </c>
      <c r="AZ87" s="23">
        <f>+'QTR Raw'!T21</f>
        <v>0</v>
      </c>
      <c r="BA87" s="23">
        <f>+'QTR Raw'!U21</f>
        <v>0</v>
      </c>
      <c r="BB87" s="23">
        <f>+'QTR Raw'!V21</f>
        <v>0</v>
      </c>
      <c r="BC87" s="23">
        <f>+'QTR Raw'!W21</f>
        <v>0</v>
      </c>
      <c r="BD87" s="23">
        <f>+'QTR Raw'!X21</f>
        <v>0</v>
      </c>
      <c r="BE87" s="23">
        <f>+'QTR Raw'!Y21</f>
        <v>0</v>
      </c>
      <c r="BF87" s="23">
        <f>+'QTR Raw'!Z21</f>
        <v>0</v>
      </c>
      <c r="BG87" s="23">
        <f>+'QTR Raw'!AA21</f>
        <v>0</v>
      </c>
      <c r="BH87" s="23">
        <f>+'QTR Raw'!AB21</f>
        <v>0</v>
      </c>
      <c r="BI87" s="23">
        <f>+'QTR Raw'!AC21</f>
        <v>0</v>
      </c>
      <c r="BJ87" s="23">
        <f>+'QTR Raw'!AD21</f>
        <v>0</v>
      </c>
      <c r="BK87" s="23">
        <f>+'QTR Raw'!AE21</f>
        <v>0</v>
      </c>
      <c r="BL87" s="23">
        <f>+'QTR Raw'!AF21</f>
        <v>0</v>
      </c>
      <c r="BM87" s="23">
        <f>+'QTR Raw'!AG21</f>
        <v>0</v>
      </c>
      <c r="BN87" s="23">
        <f>+'QTR Raw'!AH21</f>
        <v>0</v>
      </c>
      <c r="BO87" s="23">
        <f>+'QTR Raw'!AI21</f>
        <v>0</v>
      </c>
      <c r="BP87" s="23">
        <f>+'QTR Raw'!AJ21</f>
        <v>0</v>
      </c>
      <c r="BQ87" s="23">
        <f>+'QTR Raw'!AK21</f>
        <v>0</v>
      </c>
      <c r="BR87" s="23">
        <f>+'QTR Raw'!AL21</f>
        <v>0</v>
      </c>
      <c r="BS87" s="23">
        <f>+'QTR Raw'!AM21</f>
        <v>0</v>
      </c>
      <c r="BT87" s="23">
        <f>+'QTR Raw'!AN21</f>
        <v>0</v>
      </c>
      <c r="BU87" s="23">
        <f>+'QTR Raw'!AO21</f>
        <v>0</v>
      </c>
      <c r="BV87" s="23">
        <f>+'QTR Raw'!AP21</f>
        <v>0</v>
      </c>
      <c r="BW87" s="23">
        <f>+'QTR Raw'!AQ21</f>
        <v>0</v>
      </c>
      <c r="BX87" s="23">
        <f>+'QTR Raw'!AR21</f>
        <v>0</v>
      </c>
      <c r="BY87" s="23">
        <f>+'QTR Raw'!AS21</f>
        <v>0</v>
      </c>
      <c r="BZ87" s="23">
        <f>+'QTR Raw'!AT21</f>
        <v>0</v>
      </c>
      <c r="CA87" s="23">
        <f>+'QTR Raw'!AU21</f>
        <v>0</v>
      </c>
      <c r="CB87" s="23">
        <f>+'QTR Raw'!AV21</f>
        <v>0</v>
      </c>
      <c r="CC87" s="23">
        <f>+'QTR Raw'!AW21</f>
        <v>0</v>
      </c>
      <c r="CD87" s="23">
        <f>+'QTR Raw'!AX21</f>
        <v>0</v>
      </c>
      <c r="CE87" s="23">
        <f>+'QTR Raw'!AY21</f>
        <v>0</v>
      </c>
      <c r="CF87" s="23">
        <f>+'QTR Raw'!AZ21</f>
        <v>0</v>
      </c>
      <c r="CG87" s="23">
        <f>+'QTR Raw'!BA21</f>
        <v>0</v>
      </c>
      <c r="CH87" s="23">
        <f>+'QTR Raw'!BB21</f>
        <v>0</v>
      </c>
      <c r="CI87" s="23">
        <f>+'QTR Raw'!BC21</f>
        <v>0</v>
      </c>
      <c r="CJ87" s="23">
        <f>+'QTR Raw'!BD21</f>
        <v>0</v>
      </c>
      <c r="CK87" s="23">
        <f>+'QTR Raw'!BE21</f>
        <v>0</v>
      </c>
      <c r="CL87" s="23">
        <f>+'QTR Raw'!BF21</f>
        <v>0</v>
      </c>
      <c r="CM87" s="24"/>
      <c r="CN87" s="24"/>
      <c r="CO87" s="24"/>
      <c r="CP87" s="24"/>
      <c r="CQ87" s="24"/>
      <c r="CR87" s="24"/>
      <c r="CS87" s="24"/>
      <c r="CT87" s="24"/>
      <c r="CU87" s="24"/>
      <c r="CV87" s="24"/>
      <c r="CW87" s="24"/>
      <c r="CX87" s="24"/>
      <c r="CY87" s="24"/>
      <c r="CZ87" s="24"/>
      <c r="DA87" s="24"/>
      <c r="DB87" s="24"/>
      <c r="DE87" s="123"/>
      <c r="DF87" s="23">
        <v>600.20000000000005</v>
      </c>
    </row>
    <row r="88" spans="1:110" s="23" customFormat="1" outlineLevel="1" x14ac:dyDescent="0.2">
      <c r="A88" s="23" t="s">
        <v>8</v>
      </c>
      <c r="B88" s="23">
        <f>'Annual Raw'!C14</f>
        <v>4.1955999999999998</v>
      </c>
      <c r="C88" s="23">
        <f>'Annual Raw'!D14</f>
        <v>3.6183999999999998</v>
      </c>
      <c r="D88" s="23">
        <f>'Annual Raw'!E14</f>
        <v>4.1628999999999996</v>
      </c>
      <c r="E88" s="23">
        <f>'Annual Raw'!F14</f>
        <v>4.8743999999999996</v>
      </c>
      <c r="F88" s="23">
        <f>'Annual Raw'!G14</f>
        <v>5.0217000000000001</v>
      </c>
      <c r="G88" s="23">
        <f>'Annual Raw'!H14</f>
        <v>7.4762000000000004</v>
      </c>
      <c r="H88" s="23">
        <f>'Annual Raw'!I14</f>
        <v>8.0661000000000005</v>
      </c>
      <c r="I88" s="23">
        <f>'Annual Raw'!J14</f>
        <v>8.3048000000000002</v>
      </c>
      <c r="J88" s="23">
        <f>'Annual Raw'!K14</f>
        <v>11.180400000000001</v>
      </c>
      <c r="K88" s="23">
        <f>'Annual Raw'!L14</f>
        <v>6.5389999999999997</v>
      </c>
      <c r="L88" s="23">
        <f>'Annual Raw'!M14</f>
        <v>9.6697000000000006</v>
      </c>
      <c r="M88" s="23">
        <f>'Annual Raw'!N14</f>
        <v>14.257199999999999</v>
      </c>
      <c r="N88" s="23">
        <f>'Annual Raw'!O14</f>
        <v>14.9093</v>
      </c>
      <c r="O88" s="23">
        <f>'Annual Raw'!P14</f>
        <v>14.934200000000001</v>
      </c>
      <c r="P88" s="23">
        <f>'Annual Raw'!Q14</f>
        <v>15.528</v>
      </c>
      <c r="Q88" s="23">
        <f>'Annual Raw'!R14</f>
        <v>13.181100000000001</v>
      </c>
      <c r="R88" s="23">
        <f>'Annual Raw'!S14</f>
        <v>15.107799999999999</v>
      </c>
      <c r="S88" s="23">
        <f>'Annual Raw'!T14</f>
        <v>15.459</v>
      </c>
      <c r="T88" s="23">
        <f>'Annual Raw'!U14</f>
        <v>21.1007</v>
      </c>
      <c r="U88" s="23">
        <f>'Annual Raw'!V14</f>
        <v>22.075299999999999</v>
      </c>
      <c r="V88" s="23">
        <f>'Annual Raw'!W14</f>
        <v>14.057499999999999</v>
      </c>
      <c r="W88" s="23">
        <f>'Annual Raw'!X14</f>
        <v>17.72</v>
      </c>
      <c r="X88" s="23">
        <f>'Annual Raw'!Y14</f>
        <v>53.62</v>
      </c>
      <c r="Y88" s="23">
        <f>'Annual Raw'!Z14</f>
        <v>114.02</v>
      </c>
      <c r="Z88" s="23">
        <f>'Annual Raw'!AA14</f>
        <v>156.76</v>
      </c>
      <c r="AA88" s="23">
        <f>'Annual Raw'!AB14</f>
        <v>1281.8</v>
      </c>
      <c r="AB88" s="76">
        <f t="shared" si="458"/>
        <v>1695.1584</v>
      </c>
      <c r="AC88" s="76">
        <f t="shared" si="459"/>
        <v>1813.8194880000001</v>
      </c>
      <c r="AD88" s="76">
        <f t="shared" si="460"/>
        <v>1940.7868521600003</v>
      </c>
      <c r="AE88" s="76">
        <f t="shared" si="461"/>
        <v>2076.6419318112003</v>
      </c>
      <c r="AI88" s="23">
        <f>'QTR Raw'!C16</f>
        <v>3.2810000000000001</v>
      </c>
      <c r="AJ88" s="23">
        <f>'QTR Raw'!D16</f>
        <v>3.2309999999999999</v>
      </c>
      <c r="AK88" s="23">
        <f>'QTR Raw'!E16</f>
        <v>4.4029999999999996</v>
      </c>
      <c r="AL88" s="23">
        <f>'QTR Raw'!F16</f>
        <v>4.234</v>
      </c>
      <c r="AM88" s="23">
        <f>'QTR Raw'!G16</f>
        <v>3.7189999999999999</v>
      </c>
      <c r="AN88" s="23">
        <f>'QTR Raw'!H16</f>
        <v>3.8370000000000002</v>
      </c>
      <c r="AO88" s="23">
        <f>'QTR Raw'!I16</f>
        <v>3.6640000000000001</v>
      </c>
      <c r="AP88" s="23">
        <f>'QTR Raw'!J16</f>
        <v>3.9540000000000002</v>
      </c>
      <c r="AQ88" s="23">
        <f>'QTR Raw'!K16</f>
        <v>3.7879999999999998</v>
      </c>
      <c r="AR88" s="23">
        <f>'QTR Raw'!L16</f>
        <v>3.6779999999999999</v>
      </c>
      <c r="AS88" s="23">
        <f>'QTR Raw'!M16</f>
        <v>3.718</v>
      </c>
      <c r="AT88" s="23">
        <f>'QTR Raw'!N16</f>
        <v>4.5839999999999996</v>
      </c>
      <c r="AU88" s="23">
        <f>'QTR Raw'!O16</f>
        <v>3.6619999999999999</v>
      </c>
      <c r="AV88" s="23">
        <f>'QTR Raw'!P16</f>
        <v>3.3839999999999999</v>
      </c>
      <c r="AW88" s="23">
        <f>'QTR Raw'!Q16</f>
        <v>3.3039999999999998</v>
      </c>
      <c r="AX88" s="23">
        <f>'QTR Raw'!R16</f>
        <v>3.0710000000000002</v>
      </c>
      <c r="AY88" s="23">
        <f>'QTR Raw'!S16</f>
        <v>3.7629999999999999</v>
      </c>
      <c r="AZ88" s="23">
        <f>'QTR Raw'!T16</f>
        <v>3.5790000000000002</v>
      </c>
      <c r="BA88" s="23">
        <f>'QTR Raw'!U16</f>
        <v>3.6339999999999999</v>
      </c>
      <c r="BB88" s="23">
        <f>'QTR Raw'!V16</f>
        <v>4.3719999999999999</v>
      </c>
      <c r="BC88" s="23">
        <f>'QTR Raw'!W16</f>
        <v>3.899</v>
      </c>
      <c r="BD88" s="23">
        <f>'QTR Raw'!X16</f>
        <v>3.984</v>
      </c>
      <c r="BE88" s="23">
        <f>'QTR Raw'!Y16</f>
        <v>3.8580000000000001</v>
      </c>
      <c r="BF88" s="23">
        <f>'QTR Raw'!Z16</f>
        <v>4.3529999999999998</v>
      </c>
      <c r="BG88" s="23">
        <f>'QTR Raw'!AA16</f>
        <v>4.3109999999999999</v>
      </c>
      <c r="BH88" s="23">
        <f>'QTR Raw'!AB16</f>
        <v>4.5190000000000001</v>
      </c>
      <c r="BI88" s="23">
        <f>'QTR Raw'!AC16</f>
        <v>4.5380000000000003</v>
      </c>
      <c r="BJ88" s="23">
        <f>'QTR Raw'!AD16</f>
        <v>8.3670000000000009</v>
      </c>
      <c r="BK88" s="23">
        <f>'QTR Raw'!AE16</f>
        <v>5.9859999999999998</v>
      </c>
      <c r="BL88" s="23">
        <f>'QTR Raw'!AF16</f>
        <v>6.0609999999999999</v>
      </c>
      <c r="BM88" s="23">
        <f>'QTR Raw'!AG16</f>
        <v>5.1710000000000003</v>
      </c>
      <c r="BN88" s="23">
        <f>'QTR Raw'!AH16</f>
        <v>5.4930000000000003</v>
      </c>
      <c r="BO88" s="23">
        <f>'QTR Raw'!AI16</f>
        <v>2.3239999999999998</v>
      </c>
      <c r="BP88" s="23">
        <f>'QTR Raw'!AJ16</f>
        <v>4.4539999999999997</v>
      </c>
      <c r="BQ88" s="23">
        <f>'QTR Raw'!AK16</f>
        <v>3.5960000000000001</v>
      </c>
      <c r="BR88" s="23">
        <f>'QTR Raw'!AL16</f>
        <v>4.3179999999999996</v>
      </c>
      <c r="BS88" s="23">
        <f>'QTR Raw'!AM16</f>
        <v>4.0199999999999996</v>
      </c>
      <c r="BT88" s="23">
        <f>'QTR Raw'!AN16</f>
        <v>4.34</v>
      </c>
      <c r="BU88" s="23">
        <f>'QTR Raw'!AO16</f>
        <v>4.93</v>
      </c>
      <c r="BV88" s="23">
        <f>'QTR Raw'!AP16</f>
        <v>5.0599999999999996</v>
      </c>
      <c r="BW88" s="23">
        <f>'QTR Raw'!AQ16</f>
        <v>7.18</v>
      </c>
      <c r="BX88" s="23">
        <f>'QTR Raw'!AR16</f>
        <v>10.66</v>
      </c>
      <c r="BY88" s="23">
        <f>'QTR Raw'!AS16</f>
        <v>12.76</v>
      </c>
      <c r="BZ88" s="23">
        <f>'QTR Raw'!AT16</f>
        <v>23.66</v>
      </c>
      <c r="CA88" s="23">
        <f>'QTR Raw'!AU16</f>
        <v>22.58</v>
      </c>
      <c r="CB88" s="23">
        <f>'QTR Raw'!AV16</f>
        <v>29.06</v>
      </c>
      <c r="CC88" s="23">
        <f>'QTR Raw'!AW16</f>
        <v>36.619999999999997</v>
      </c>
      <c r="CD88" s="23">
        <f>'QTR Raw'!AX16</f>
        <v>29.5</v>
      </c>
      <c r="CE88" s="23">
        <f>'QTR Raw'!AY16</f>
        <v>33.770000000000003</v>
      </c>
      <c r="CF88" s="23">
        <f>'QTR Raw'!AZ16</f>
        <v>34.67</v>
      </c>
      <c r="CG88" s="23">
        <f>'QTR Raw'!BA16</f>
        <v>40.83</v>
      </c>
      <c r="CH88" s="23">
        <f>'QTR Raw'!BB16</f>
        <v>54</v>
      </c>
      <c r="CI88" s="23">
        <f>'QTR Raw'!BC16</f>
        <v>63.8</v>
      </c>
      <c r="CJ88" s="23">
        <f>'QTR Raw'!BD16</f>
        <v>367.84</v>
      </c>
      <c r="CK88" s="23">
        <f>'QTR Raw'!BE16</f>
        <v>411.51</v>
      </c>
      <c r="CL88" s="23">
        <f>'QTR Raw'!BF16</f>
        <v>449.77</v>
      </c>
      <c r="CM88" s="24">
        <v>380</v>
      </c>
      <c r="CN88" s="24">
        <f t="shared" ref="CN88:DB88" si="462">CJ88*107%</f>
        <v>393.58879999999999</v>
      </c>
      <c r="CO88" s="24">
        <f t="shared" si="462"/>
        <v>440.31569999999999</v>
      </c>
      <c r="CP88" s="24">
        <f t="shared" si="462"/>
        <v>481.25389999999999</v>
      </c>
      <c r="CQ88" s="24">
        <f t="shared" si="462"/>
        <v>406.6</v>
      </c>
      <c r="CR88" s="24">
        <f t="shared" si="462"/>
        <v>421.140016</v>
      </c>
      <c r="CS88" s="24">
        <f t="shared" si="462"/>
        <v>471.13779900000003</v>
      </c>
      <c r="CT88" s="24">
        <f t="shared" si="462"/>
        <v>514.94167300000004</v>
      </c>
      <c r="CU88" s="24">
        <f t="shared" si="462"/>
        <v>435.06200000000007</v>
      </c>
      <c r="CV88" s="24">
        <f t="shared" si="462"/>
        <v>450.61981712000005</v>
      </c>
      <c r="CW88" s="24">
        <f t="shared" si="462"/>
        <v>504.11744493000003</v>
      </c>
      <c r="CX88" s="24">
        <f t="shared" si="462"/>
        <v>550.98759011000004</v>
      </c>
      <c r="CY88" s="24">
        <f t="shared" si="462"/>
        <v>465.51634000000013</v>
      </c>
      <c r="CZ88" s="24">
        <f t="shared" si="462"/>
        <v>482.16320431840006</v>
      </c>
      <c r="DA88" s="24">
        <f t="shared" si="462"/>
        <v>539.40566607510004</v>
      </c>
      <c r="DB88" s="24">
        <f t="shared" si="462"/>
        <v>589.55672141770003</v>
      </c>
      <c r="DE88" s="123"/>
      <c r="DF88" s="23">
        <v>1281.8</v>
      </c>
    </row>
    <row r="89" spans="1:110" s="23" customFormat="1" outlineLevel="1" x14ac:dyDescent="0.2">
      <c r="A89" s="23" t="s">
        <v>11</v>
      </c>
      <c r="B89" s="23">
        <f>'Annual Raw'!C18</f>
        <v>3.3502999999999998</v>
      </c>
      <c r="C89" s="23">
        <f>'Annual Raw'!D18</f>
        <v>5.5152000000000001</v>
      </c>
      <c r="D89" s="23">
        <f>'Annual Raw'!E18</f>
        <v>11.2133</v>
      </c>
      <c r="E89" s="23">
        <f>'Annual Raw'!F18</f>
        <v>10.3751</v>
      </c>
      <c r="F89" s="23">
        <f>'Annual Raw'!G18</f>
        <v>13.8767</v>
      </c>
      <c r="G89" s="23">
        <f>'Annual Raw'!H18</f>
        <v>20.5504</v>
      </c>
      <c r="H89" s="23">
        <f>'Annual Raw'!I18</f>
        <v>14.7865</v>
      </c>
      <c r="I89" s="23">
        <f>'Annual Raw'!J18</f>
        <v>4.9218999999999999</v>
      </c>
      <c r="J89" s="23">
        <f>'Annual Raw'!K18</f>
        <v>27.659800000000001</v>
      </c>
      <c r="K89" s="23">
        <f>'Annual Raw'!L18</f>
        <v>1.0994999999999999</v>
      </c>
      <c r="L89" s="23">
        <f>'Annual Raw'!M18</f>
        <v>2.2187999999999999</v>
      </c>
      <c r="M89" s="23">
        <f>'Annual Raw'!N18</f>
        <v>0.3009</v>
      </c>
      <c r="N89" s="23">
        <f>'Annual Raw'!O18</f>
        <v>0.73650000000000004</v>
      </c>
      <c r="O89" s="23">
        <f>'Annual Raw'!P18</f>
        <v>2.4226999999999999</v>
      </c>
      <c r="P89" s="23">
        <f>'Annual Raw'!Q18</f>
        <v>6.7538999999999998</v>
      </c>
      <c r="Q89" s="23">
        <f>'Annual Raw'!R18</f>
        <v>7.8974000000000002</v>
      </c>
      <c r="R89" s="23">
        <f>'Annual Raw'!S18</f>
        <v>7.6124000000000001</v>
      </c>
      <c r="S89" s="23">
        <f>'Annual Raw'!T18</f>
        <v>11.843400000000001</v>
      </c>
      <c r="T89" s="23">
        <f>'Annual Raw'!U18</f>
        <v>21.346900000000002</v>
      </c>
      <c r="U89" s="23">
        <f>'Annual Raw'!V18</f>
        <v>14.3086</v>
      </c>
      <c r="V89" s="23">
        <f>'Annual Raw'!W18</f>
        <v>8.1107999999999993</v>
      </c>
      <c r="W89" s="23">
        <f>'Annual Raw'!X18</f>
        <v>80.239999999999995</v>
      </c>
      <c r="X89" s="23">
        <f>('Annual Raw'!Y18)-706.66</f>
        <v>110.68000000000006</v>
      </c>
      <c r="Y89" s="23">
        <f>('Annual Raw'!Z18)-1495.52</f>
        <v>237.84999999999991</v>
      </c>
      <c r="Z89" s="23">
        <f>('Annual Raw'!AA18)-1494.99</f>
        <v>123.79999999999995</v>
      </c>
      <c r="AA89" s="23">
        <f>('Annual Raw'!AB18)-1494.99</f>
        <v>559.68000000000006</v>
      </c>
      <c r="AB89" s="76">
        <f t="shared" si="458"/>
        <v>0</v>
      </c>
      <c r="AC89" s="76">
        <f t="shared" si="459"/>
        <v>0</v>
      </c>
      <c r="AD89" s="76">
        <f t="shared" si="460"/>
        <v>0</v>
      </c>
      <c r="AE89" s="76">
        <f t="shared" si="461"/>
        <v>0</v>
      </c>
      <c r="AI89" s="23">
        <f>'QTR Raw'!C18</f>
        <v>0</v>
      </c>
      <c r="AJ89" s="23">
        <f>'QTR Raw'!D18</f>
        <v>0</v>
      </c>
      <c r="AK89" s="23">
        <f>'QTR Raw'!E18</f>
        <v>0</v>
      </c>
      <c r="AL89" s="23">
        <f>'QTR Raw'!F18</f>
        <v>0</v>
      </c>
      <c r="AM89" s="23">
        <f>'QTR Raw'!G18</f>
        <v>0</v>
      </c>
      <c r="AN89" s="23">
        <f>'QTR Raw'!H18</f>
        <v>0</v>
      </c>
      <c r="AO89" s="23">
        <f>'QTR Raw'!I18</f>
        <v>0</v>
      </c>
      <c r="AP89" s="23">
        <f>'QTR Raw'!J18</f>
        <v>0</v>
      </c>
      <c r="AQ89" s="23">
        <f>'QTR Raw'!K18</f>
        <v>0</v>
      </c>
      <c r="AR89" s="23">
        <f>'QTR Raw'!L18</f>
        <v>0</v>
      </c>
      <c r="AS89" s="23">
        <f>'QTR Raw'!M18</f>
        <v>0</v>
      </c>
      <c r="AT89" s="23">
        <f>'QTR Raw'!N18</f>
        <v>0</v>
      </c>
      <c r="AU89" s="23">
        <f>'QTR Raw'!O18</f>
        <v>0</v>
      </c>
      <c r="AV89" s="23">
        <f>'QTR Raw'!P18</f>
        <v>0</v>
      </c>
      <c r="AW89" s="23">
        <f>'QTR Raw'!Q18</f>
        <v>0</v>
      </c>
      <c r="AX89" s="23">
        <f>'QTR Raw'!R18</f>
        <v>0</v>
      </c>
      <c r="AY89" s="23">
        <f>'QTR Raw'!S18</f>
        <v>0</v>
      </c>
      <c r="AZ89" s="23">
        <f>'QTR Raw'!T18</f>
        <v>0</v>
      </c>
      <c r="BA89" s="23">
        <f>'QTR Raw'!U18</f>
        <v>0</v>
      </c>
      <c r="BB89" s="23">
        <f>'QTR Raw'!V18</f>
        <v>0</v>
      </c>
      <c r="BC89" s="23">
        <f>'QTR Raw'!W18</f>
        <v>0</v>
      </c>
      <c r="BD89" s="23">
        <f>'QTR Raw'!X18</f>
        <v>0</v>
      </c>
      <c r="BE89" s="23">
        <f>'QTR Raw'!Y18</f>
        <v>0</v>
      </c>
      <c r="BF89" s="23">
        <f>'QTR Raw'!Z18</f>
        <v>0</v>
      </c>
      <c r="BG89" s="23">
        <f>'QTR Raw'!AA18</f>
        <v>0</v>
      </c>
      <c r="BH89" s="23">
        <f>'QTR Raw'!AB18</f>
        <v>0</v>
      </c>
      <c r="BI89" s="23">
        <f>'QTR Raw'!AC18</f>
        <v>0</v>
      </c>
      <c r="BJ89" s="23">
        <f>'QTR Raw'!AD18</f>
        <v>0</v>
      </c>
      <c r="BK89" s="23">
        <f>'QTR Raw'!AE18</f>
        <v>0</v>
      </c>
      <c r="BL89" s="23">
        <f>'QTR Raw'!AF18</f>
        <v>0</v>
      </c>
      <c r="BM89" s="23">
        <f>'QTR Raw'!AG18</f>
        <v>0</v>
      </c>
      <c r="BN89" s="23">
        <f>'QTR Raw'!AH18</f>
        <v>0</v>
      </c>
      <c r="BO89" s="23">
        <f>'QTR Raw'!AI18</f>
        <v>0</v>
      </c>
      <c r="BP89" s="23">
        <f>'QTR Raw'!AJ18</f>
        <v>0</v>
      </c>
      <c r="BQ89" s="23">
        <f>'QTR Raw'!AK18</f>
        <v>0</v>
      </c>
      <c r="BR89" s="23">
        <f>'QTR Raw'!AL18</f>
        <v>0</v>
      </c>
      <c r="BS89" s="23">
        <f>'QTR Raw'!AM18</f>
        <v>0</v>
      </c>
      <c r="BT89" s="23">
        <f>'QTR Raw'!AN18</f>
        <v>0</v>
      </c>
      <c r="BU89" s="23">
        <f>'QTR Raw'!AO18</f>
        <v>0</v>
      </c>
      <c r="BV89" s="23">
        <f>'QTR Raw'!AP18</f>
        <v>0</v>
      </c>
      <c r="BW89" s="23">
        <f>'QTR Raw'!AQ18</f>
        <v>0</v>
      </c>
      <c r="BX89" s="23">
        <f>'QTR Raw'!AR18</f>
        <v>0</v>
      </c>
      <c r="BY89" s="23">
        <f>'QTR Raw'!AS18</f>
        <v>0</v>
      </c>
      <c r="BZ89" s="23">
        <f>'QTR Raw'!AT18</f>
        <v>0</v>
      </c>
      <c r="CA89" s="23">
        <f>'QTR Raw'!AU18</f>
        <v>0</v>
      </c>
      <c r="CB89" s="23">
        <f>'QTR Raw'!AV18</f>
        <v>0</v>
      </c>
      <c r="CC89" s="23">
        <f>'QTR Raw'!AW18</f>
        <v>0</v>
      </c>
      <c r="CD89" s="23">
        <f>'QTR Raw'!AX18</f>
        <v>0</v>
      </c>
      <c r="CE89" s="23">
        <f>'QTR Raw'!AY18</f>
        <v>0</v>
      </c>
      <c r="CF89" s="23">
        <f>'QTR Raw'!AZ18</f>
        <v>0</v>
      </c>
      <c r="CG89" s="23">
        <f>'QTR Raw'!BA18</f>
        <v>0</v>
      </c>
      <c r="CH89" s="23">
        <f>'QTR Raw'!BB18</f>
        <v>0</v>
      </c>
      <c r="CI89" s="23">
        <f>'QTR Raw'!BC18</f>
        <v>0</v>
      </c>
      <c r="CJ89" s="23">
        <f>'QTR Raw'!BD18</f>
        <v>0</v>
      </c>
      <c r="CK89" s="23">
        <f>'QTR Raw'!BE18</f>
        <v>0</v>
      </c>
      <c r="CL89" s="23">
        <f>'QTR Raw'!BF18</f>
        <v>0</v>
      </c>
      <c r="CM89" s="24"/>
      <c r="CN89" s="24"/>
      <c r="CO89" s="24"/>
      <c r="CP89" s="24"/>
      <c r="CQ89" s="24"/>
      <c r="CR89" s="24"/>
      <c r="CS89" s="24"/>
      <c r="CT89" s="24"/>
      <c r="CU89" s="24"/>
      <c r="CV89" s="24"/>
      <c r="CW89" s="24"/>
      <c r="CX89" s="24"/>
      <c r="CY89" s="24"/>
      <c r="CZ89" s="24"/>
      <c r="DA89" s="24"/>
      <c r="DB89" s="24"/>
      <c r="DE89" s="123"/>
      <c r="DF89" s="23">
        <v>559.68000000000006</v>
      </c>
    </row>
    <row r="90" spans="1:110" s="23" customFormat="1" outlineLevel="1" x14ac:dyDescent="0.2">
      <c r="A90" s="23" t="s">
        <v>9</v>
      </c>
      <c r="B90" s="23">
        <f>'Annual Raw'!C15+'Annual Raw'!C16</f>
        <v>4.3600000000000003</v>
      </c>
      <c r="C90" s="23">
        <f>'Annual Raw'!D15+'Annual Raw'!D16</f>
        <v>4.8002000000000002</v>
      </c>
      <c r="D90" s="23">
        <f>'Annual Raw'!E15+'Annual Raw'!E16</f>
        <v>6.7960000000000003</v>
      </c>
      <c r="E90" s="23">
        <f>'Annual Raw'!F15+'Annual Raw'!F16</f>
        <v>6.7952000000000004</v>
      </c>
      <c r="F90" s="23">
        <f>'Annual Raw'!G15+'Annual Raw'!G16</f>
        <v>13.9955</v>
      </c>
      <c r="G90" s="23">
        <f>'Annual Raw'!H15+'Annual Raw'!H16</f>
        <v>13.1343</v>
      </c>
      <c r="H90" s="23">
        <f>'Annual Raw'!I15+'Annual Raw'!I16</f>
        <v>12.464700000000001</v>
      </c>
      <c r="I90" s="23">
        <f>'Annual Raw'!J15+'Annual Raw'!J16</f>
        <v>14.868499999999999</v>
      </c>
      <c r="J90" s="23">
        <f>'Annual Raw'!K15+'Annual Raw'!K16</f>
        <v>19.538699999999999</v>
      </c>
      <c r="K90" s="23">
        <f>'Annual Raw'!L15+'Annual Raw'!L16</f>
        <v>15.839</v>
      </c>
      <c r="L90" s="23">
        <f>'Annual Raw'!M15+'Annual Raw'!M16</f>
        <v>17.8505</v>
      </c>
      <c r="M90" s="23">
        <f>'Annual Raw'!N15+'Annual Raw'!N16</f>
        <v>18.539200000000001</v>
      </c>
      <c r="N90" s="23">
        <f>'Annual Raw'!O15+'Annual Raw'!O16</f>
        <v>20.853100000000001</v>
      </c>
      <c r="O90" s="23">
        <f>'Annual Raw'!P15+'Annual Raw'!P16</f>
        <v>13.682600000000001</v>
      </c>
      <c r="P90" s="23">
        <f>'Annual Raw'!Q15+'Annual Raw'!Q16</f>
        <v>13.880699999999999</v>
      </c>
      <c r="Q90" s="23">
        <f>'Annual Raw'!R15+'Annual Raw'!R16</f>
        <v>11.670199999999999</v>
      </c>
      <c r="R90" s="23">
        <f>'Annual Raw'!S15+'Annual Raw'!S16</f>
        <v>16.238</v>
      </c>
      <c r="S90" s="23">
        <f>'Annual Raw'!T15+'Annual Raw'!T16</f>
        <v>19.819400000000002</v>
      </c>
      <c r="T90" s="23">
        <f>'Annual Raw'!U15+'Annual Raw'!U16</f>
        <v>22.3019</v>
      </c>
      <c r="U90" s="23">
        <f>'Annual Raw'!V15+'Annual Raw'!V16</f>
        <v>16.855599999999999</v>
      </c>
      <c r="V90" s="23">
        <f>'Annual Raw'!W15+'Annual Raw'!W16</f>
        <v>10.1684</v>
      </c>
      <c r="W90" s="23">
        <f>'Annual Raw'!X15+'Annual Raw'!X16</f>
        <v>126.51</v>
      </c>
      <c r="X90" s="23">
        <f>(('Annual Raw'!Y15+'Annual Raw'!Y16)-372.06)-672.9</f>
        <v>72.970000000000141</v>
      </c>
      <c r="Y90" s="23">
        <f>(('Annual Raw'!Z15+'Annual Raw'!Z16)-750.2)-994</f>
        <v>124.22000000000003</v>
      </c>
      <c r="Z90" s="23">
        <f>(('Annual Raw'!AA15+'Annual Raw'!AA16)-854.13)-974.84</f>
        <v>95.500000000000114</v>
      </c>
      <c r="AA90" s="23">
        <f>(('Annual Raw'!AB15+'Annual Raw'!AB16)-854.13)-974.84</f>
        <v>2507.8999999999996</v>
      </c>
      <c r="AB90" s="76">
        <f t="shared" si="458"/>
        <v>8879.4370161233601</v>
      </c>
      <c r="AC90" s="76">
        <f t="shared" si="459"/>
        <v>14780.061044773716</v>
      </c>
      <c r="AD90" s="76">
        <f t="shared" si="460"/>
        <v>16705.444406084942</v>
      </c>
      <c r="AE90" s="76">
        <f t="shared" si="461"/>
        <v>20663.156031246879</v>
      </c>
      <c r="AI90" s="23">
        <f>'QTR Raw'!C14</f>
        <v>8.6709999999999994</v>
      </c>
      <c r="AJ90" s="23">
        <f>'QTR Raw'!D14</f>
        <v>11.904</v>
      </c>
      <c r="AK90" s="23">
        <f>'QTR Raw'!E14</f>
        <v>8.3940000000000001</v>
      </c>
      <c r="AL90" s="23">
        <f>'QTR Raw'!F14</f>
        <v>9.7040000000000006</v>
      </c>
      <c r="AM90" s="23">
        <f>'QTR Raw'!G14</f>
        <v>8.2940000000000005</v>
      </c>
      <c r="AN90" s="23">
        <f>'QTR Raw'!H14</f>
        <v>7.8140000000000001</v>
      </c>
      <c r="AO90" s="23">
        <f>'QTR Raw'!I14</f>
        <v>7.9189999999999996</v>
      </c>
      <c r="AP90" s="23">
        <f>'QTR Raw'!J14</f>
        <v>9.3170000000000002</v>
      </c>
      <c r="AQ90" s="23">
        <f>'QTR Raw'!K14</f>
        <v>9.1020000000000003</v>
      </c>
      <c r="AR90" s="23">
        <f>'QTR Raw'!L14</f>
        <v>7.0460000000000003</v>
      </c>
      <c r="AS90" s="23">
        <f>'QTR Raw'!M14</f>
        <v>9.0909999999999993</v>
      </c>
      <c r="AT90" s="23">
        <f>'QTR Raw'!N14</f>
        <v>9.9700000000000006</v>
      </c>
      <c r="AU90" s="23">
        <f>'QTR Raw'!O14</f>
        <v>9.5749999999999993</v>
      </c>
      <c r="AV90" s="23">
        <f>'QTR Raw'!P14</f>
        <v>5.9020000000000001</v>
      </c>
      <c r="AW90" s="23">
        <f>'QTR Raw'!Q14</f>
        <v>9.3480000000000008</v>
      </c>
      <c r="AX90" s="23">
        <f>'QTR Raw'!R14</f>
        <v>9.0370000000000008</v>
      </c>
      <c r="AY90" s="23">
        <f>'QTR Raw'!S14</f>
        <v>9.4749999999999996</v>
      </c>
      <c r="AZ90" s="23">
        <f>'QTR Raw'!T14</f>
        <v>8.73</v>
      </c>
      <c r="BA90" s="23">
        <f>'QTR Raw'!U14</f>
        <v>11.186999999999999</v>
      </c>
      <c r="BB90" s="23">
        <f>'QTR Raw'!V14</f>
        <v>13.260999999999999</v>
      </c>
      <c r="BC90" s="23">
        <f>'QTR Raw'!W14</f>
        <v>11.404999999999999</v>
      </c>
      <c r="BD90" s="23">
        <f>'QTR Raw'!X14</f>
        <v>11.412000000000001</v>
      </c>
      <c r="BE90" s="23">
        <f>'QTR Raw'!Y14</f>
        <v>11.641999999999999</v>
      </c>
      <c r="BF90" s="23">
        <f>'QTR Raw'!Z14</f>
        <v>15.01</v>
      </c>
      <c r="BG90" s="23">
        <f>'QTR Raw'!AA14</f>
        <v>11.994999999999999</v>
      </c>
      <c r="BH90" s="23">
        <f>'QTR Raw'!AB14</f>
        <v>12.151999999999999</v>
      </c>
      <c r="BI90" s="23">
        <f>'QTR Raw'!AC14</f>
        <v>10.672000000000001</v>
      </c>
      <c r="BJ90" s="23">
        <f>'QTR Raw'!AD14</f>
        <v>17.786999999999999</v>
      </c>
      <c r="BK90" s="23">
        <f>'QTR Raw'!AE14</f>
        <v>10.522</v>
      </c>
      <c r="BL90" s="23">
        <f>'QTR Raw'!AF14</f>
        <v>9.7910000000000004</v>
      </c>
      <c r="BM90" s="23">
        <f>'QTR Raw'!AG14</f>
        <v>7.9139999999999997</v>
      </c>
      <c r="BN90" s="23">
        <f>'QTR Raw'!AH14</f>
        <v>11.798999999999999</v>
      </c>
      <c r="BO90" s="23">
        <f>'QTR Raw'!AI14</f>
        <v>3.2919999999999998</v>
      </c>
      <c r="BP90" s="23">
        <f>'QTR Raw'!AJ14</f>
        <v>7.5469999999999997</v>
      </c>
      <c r="BQ90" s="23">
        <f>'QTR Raw'!AK14</f>
        <v>7.25</v>
      </c>
      <c r="BR90" s="23">
        <f>'QTR Raw'!AL14</f>
        <v>6.7759999999999998</v>
      </c>
      <c r="BS90" s="23">
        <f>'QTR Raw'!AM14</f>
        <v>7.44</v>
      </c>
      <c r="BT90" s="23">
        <f>'QTR Raw'!AN14</f>
        <v>7.98</v>
      </c>
      <c r="BU90" s="23">
        <f>'QTR Raw'!AO14</f>
        <v>21.97</v>
      </c>
      <c r="BV90" s="23">
        <f>'QTR Raw'!AP14</f>
        <v>183.35</v>
      </c>
      <c r="BW90" s="23">
        <f>'QTR Raw'!AQ14</f>
        <v>466.55</v>
      </c>
      <c r="BX90" s="23">
        <f>'QTR Raw'!AR14</f>
        <v>357.36</v>
      </c>
      <c r="BY90" s="23">
        <f>'QTR Raw'!AS14</f>
        <v>580.6</v>
      </c>
      <c r="BZ90" s="23">
        <f>'QTR Raw'!AT14</f>
        <v>583.12</v>
      </c>
      <c r="CA90" s="23">
        <f>'QTR Raw'!AU14</f>
        <v>1303.9100000000001</v>
      </c>
      <c r="CB90" s="23">
        <f>'QTR Raw'!AV14</f>
        <v>712.34</v>
      </c>
      <c r="CC90" s="23">
        <f>'QTR Raw'!AW14</f>
        <v>1022.19</v>
      </c>
      <c r="CD90" s="23">
        <f>'QTR Raw'!AX14</f>
        <v>745.23</v>
      </c>
      <c r="CE90" s="23">
        <f>'QTR Raw'!AY14</f>
        <v>1421.51</v>
      </c>
      <c r="CF90" s="23">
        <f>'QTR Raw'!AZ14</f>
        <v>714.05</v>
      </c>
      <c r="CG90" s="23">
        <f>'QTR Raw'!BA14</f>
        <v>964.94</v>
      </c>
      <c r="CH90" s="23">
        <f>'QTR Raw'!BB14</f>
        <v>724.66</v>
      </c>
      <c r="CI90" s="23">
        <f>'QTR Raw'!BC14</f>
        <v>1331.7</v>
      </c>
      <c r="CJ90" s="23">
        <f>'QTR Raw'!BD14</f>
        <v>1617.98</v>
      </c>
      <c r="CK90" s="23">
        <f>'QTR Raw'!BE14</f>
        <v>2228.31</v>
      </c>
      <c r="CL90" s="23">
        <f>'QTR Raw'!BF14</f>
        <v>2651.79</v>
      </c>
      <c r="CM90" s="24">
        <f t="shared" ref="CM90:DB90" si="463">+CM80-CM88-CM67</f>
        <v>2272.0944723098301</v>
      </c>
      <c r="CN90" s="24">
        <f t="shared" si="463"/>
        <v>1981.7760512237628</v>
      </c>
      <c r="CO90" s="24">
        <f t="shared" si="463"/>
        <v>2160.2937887948783</v>
      </c>
      <c r="CP90" s="24">
        <f t="shared" si="463"/>
        <v>2465.2727037948898</v>
      </c>
      <c r="CQ90" s="24">
        <f t="shared" si="463"/>
        <v>3594.6072405230207</v>
      </c>
      <c r="CR90" s="24">
        <f t="shared" si="463"/>
        <v>3387.6118576429399</v>
      </c>
      <c r="CS90" s="24">
        <f t="shared" si="463"/>
        <v>3816.8295727028617</v>
      </c>
      <c r="CT90" s="24">
        <f t="shared" si="463"/>
        <v>3981.012373904894</v>
      </c>
      <c r="CU90" s="24">
        <f t="shared" si="463"/>
        <v>4054.5538879143237</v>
      </c>
      <c r="CV90" s="24">
        <f t="shared" si="463"/>
        <v>3743.2390657522251</v>
      </c>
      <c r="CW90" s="24">
        <f t="shared" si="463"/>
        <v>4308.1775415027623</v>
      </c>
      <c r="CX90" s="24">
        <f t="shared" si="463"/>
        <v>4599.4739109156289</v>
      </c>
      <c r="CY90" s="24">
        <f t="shared" si="463"/>
        <v>5019.6379165872377</v>
      </c>
      <c r="CZ90" s="24">
        <f t="shared" si="463"/>
        <v>4711.704339329759</v>
      </c>
      <c r="DA90" s="24">
        <f t="shared" si="463"/>
        <v>5314.2985264186891</v>
      </c>
      <c r="DB90" s="24">
        <f t="shared" si="463"/>
        <v>5617.5152489111933</v>
      </c>
      <c r="DE90" s="123"/>
      <c r="DF90" s="23">
        <v>2507.8999999999996</v>
      </c>
    </row>
    <row r="91" spans="1:110" s="23" customFormat="1" outlineLevel="1" x14ac:dyDescent="0.2">
      <c r="A91" s="23" t="s">
        <v>10</v>
      </c>
      <c r="B91" s="23">
        <f>'Annual Raw'!C17</f>
        <v>0.85870000000000002</v>
      </c>
      <c r="C91" s="23">
        <f>'Annual Raw'!D17</f>
        <v>1.5423</v>
      </c>
      <c r="D91" s="23">
        <f>'Annual Raw'!E17</f>
        <v>1.7326999999999999</v>
      </c>
      <c r="E91" s="23">
        <f>'Annual Raw'!F17</f>
        <v>2.0072000000000001</v>
      </c>
      <c r="F91" s="23">
        <f>'Annual Raw'!G17</f>
        <v>1.8207</v>
      </c>
      <c r="G91" s="23">
        <f>'Annual Raw'!H17</f>
        <v>2.4184000000000001</v>
      </c>
      <c r="H91" s="23">
        <f>'Annual Raw'!I17</f>
        <v>2.0554999999999999</v>
      </c>
      <c r="I91" s="23">
        <f>'Annual Raw'!J17</f>
        <v>3.8814000000000002</v>
      </c>
      <c r="J91" s="23">
        <f>'Annual Raw'!K17</f>
        <v>5.0137</v>
      </c>
      <c r="K91" s="23">
        <f>'Annual Raw'!L17</f>
        <v>2.9340999999999999</v>
      </c>
      <c r="L91" s="23">
        <f>'Annual Raw'!M17</f>
        <v>5.9926000000000004</v>
      </c>
      <c r="M91" s="23">
        <f>'Annual Raw'!N17</f>
        <v>2.8416000000000001</v>
      </c>
      <c r="N91" s="23">
        <f>'Annual Raw'!O17</f>
        <v>3.6070000000000002</v>
      </c>
      <c r="O91" s="23">
        <f>'Annual Raw'!P17</f>
        <v>4.3334000000000001</v>
      </c>
      <c r="P91" s="23">
        <f>'Annual Raw'!Q17</f>
        <v>4.2508999999999997</v>
      </c>
      <c r="Q91" s="23">
        <f>'Annual Raw'!R17</f>
        <v>4.6687000000000003</v>
      </c>
      <c r="R91" s="23">
        <f>'Annual Raw'!S17</f>
        <v>6.0862999999999996</v>
      </c>
      <c r="S91" s="23">
        <f>'Annual Raw'!T17</f>
        <v>6.8883999999999999</v>
      </c>
      <c r="T91" s="23">
        <f>'Annual Raw'!U17</f>
        <v>5.9419000000000004</v>
      </c>
      <c r="U91" s="23">
        <f>'Annual Raw'!V17</f>
        <v>4.3381999999999996</v>
      </c>
      <c r="V91" s="23">
        <f>'Annual Raw'!W17</f>
        <v>3.1522999999999999</v>
      </c>
      <c r="W91" s="23">
        <f>'Annual Raw'!X17</f>
        <v>5.77</v>
      </c>
      <c r="X91" s="23">
        <f>'Annual Raw'!Y17</f>
        <v>31.35</v>
      </c>
      <c r="Y91" s="23">
        <f>'Annual Raw'!Z17</f>
        <v>52.27</v>
      </c>
      <c r="Z91" s="23">
        <f>'Annual Raw'!AA17</f>
        <v>84.88</v>
      </c>
      <c r="AA91" s="23">
        <f>'Annual Raw'!AB17</f>
        <v>662.32</v>
      </c>
      <c r="AB91" s="76">
        <f t="shared" si="458"/>
        <v>0</v>
      </c>
      <c r="AC91" s="76">
        <f t="shared" si="459"/>
        <v>0</v>
      </c>
      <c r="AD91" s="76">
        <f t="shared" si="460"/>
        <v>0</v>
      </c>
      <c r="AE91" s="76">
        <f t="shared" si="461"/>
        <v>0</v>
      </c>
      <c r="AI91" s="23">
        <f>'QTR Raw'!C17</f>
        <v>0</v>
      </c>
      <c r="AJ91" s="23">
        <f>'QTR Raw'!D17</f>
        <v>0</v>
      </c>
      <c r="AK91" s="23">
        <f>'QTR Raw'!E17</f>
        <v>0</v>
      </c>
      <c r="AL91" s="23">
        <f>'QTR Raw'!F17</f>
        <v>0</v>
      </c>
      <c r="AM91" s="23">
        <f>'QTR Raw'!G17</f>
        <v>0</v>
      </c>
      <c r="AN91" s="23">
        <f>'QTR Raw'!H17</f>
        <v>0</v>
      </c>
      <c r="AO91" s="23">
        <f>'QTR Raw'!I17</f>
        <v>0</v>
      </c>
      <c r="AP91" s="23">
        <f>'QTR Raw'!J17</f>
        <v>0</v>
      </c>
      <c r="AQ91" s="23">
        <f>'QTR Raw'!K17</f>
        <v>0</v>
      </c>
      <c r="AR91" s="23">
        <f>'QTR Raw'!L17</f>
        <v>0</v>
      </c>
      <c r="AS91" s="23">
        <f>'QTR Raw'!M17</f>
        <v>0</v>
      </c>
      <c r="AT91" s="23">
        <f>'QTR Raw'!N17</f>
        <v>0</v>
      </c>
      <c r="AU91" s="23">
        <f>'QTR Raw'!O17</f>
        <v>0</v>
      </c>
      <c r="AV91" s="23">
        <f>'QTR Raw'!P17</f>
        <v>0</v>
      </c>
      <c r="AW91" s="23">
        <f>'QTR Raw'!Q17</f>
        <v>0</v>
      </c>
      <c r="AX91" s="23">
        <f>'QTR Raw'!R17</f>
        <v>0</v>
      </c>
      <c r="AY91" s="23">
        <f>'QTR Raw'!S17</f>
        <v>0</v>
      </c>
      <c r="AZ91" s="23">
        <f>'QTR Raw'!T17</f>
        <v>0</v>
      </c>
      <c r="BA91" s="23">
        <f>'QTR Raw'!U17</f>
        <v>0</v>
      </c>
      <c r="BB91" s="23">
        <f>'QTR Raw'!V17</f>
        <v>0</v>
      </c>
      <c r="BC91" s="23">
        <f>'QTR Raw'!W17</f>
        <v>0</v>
      </c>
      <c r="BD91" s="23">
        <f>'QTR Raw'!X17</f>
        <v>0</v>
      </c>
      <c r="BE91" s="23">
        <f>'QTR Raw'!Y17</f>
        <v>0</v>
      </c>
      <c r="BF91" s="23">
        <f>'QTR Raw'!Z17</f>
        <v>0</v>
      </c>
      <c r="BG91" s="23">
        <f>'QTR Raw'!AA17</f>
        <v>0</v>
      </c>
      <c r="BH91" s="23">
        <f>'QTR Raw'!AB17</f>
        <v>0</v>
      </c>
      <c r="BI91" s="23">
        <f>'QTR Raw'!AC17</f>
        <v>0</v>
      </c>
      <c r="BJ91" s="23">
        <f>'QTR Raw'!AD17</f>
        <v>0</v>
      </c>
      <c r="BK91" s="23">
        <f>'QTR Raw'!AE17</f>
        <v>0</v>
      </c>
      <c r="BL91" s="23">
        <f>'QTR Raw'!AF17</f>
        <v>0</v>
      </c>
      <c r="BM91" s="23">
        <f>'QTR Raw'!AG17</f>
        <v>0</v>
      </c>
      <c r="BN91" s="23">
        <f>'QTR Raw'!AH17</f>
        <v>0</v>
      </c>
      <c r="BO91" s="23">
        <f>'QTR Raw'!AI17</f>
        <v>0</v>
      </c>
      <c r="BP91" s="23">
        <f>'QTR Raw'!AJ17</f>
        <v>0</v>
      </c>
      <c r="BQ91" s="23">
        <f>'QTR Raw'!AK17</f>
        <v>0</v>
      </c>
      <c r="BR91" s="23">
        <f>'QTR Raw'!AL17</f>
        <v>0</v>
      </c>
      <c r="BS91" s="23">
        <f>'QTR Raw'!AM17</f>
        <v>0</v>
      </c>
      <c r="BT91" s="23">
        <f>'QTR Raw'!AN17</f>
        <v>0</v>
      </c>
      <c r="BU91" s="23">
        <f>'QTR Raw'!AO17</f>
        <v>0</v>
      </c>
      <c r="BV91" s="23">
        <f>'QTR Raw'!AP17</f>
        <v>0</v>
      </c>
      <c r="BW91" s="23">
        <f>'QTR Raw'!AQ17</f>
        <v>0</v>
      </c>
      <c r="BX91" s="23">
        <f>'QTR Raw'!AR17</f>
        <v>0</v>
      </c>
      <c r="BY91" s="23">
        <f>'QTR Raw'!AS17</f>
        <v>0</v>
      </c>
      <c r="BZ91" s="23">
        <f>'QTR Raw'!AT17</f>
        <v>0</v>
      </c>
      <c r="CA91" s="23">
        <f>'QTR Raw'!AU17</f>
        <v>0</v>
      </c>
      <c r="CB91" s="23">
        <f>'QTR Raw'!AV17</f>
        <v>0</v>
      </c>
      <c r="CC91" s="23">
        <f>'QTR Raw'!AW17</f>
        <v>0</v>
      </c>
      <c r="CD91" s="23">
        <f>'QTR Raw'!AX17</f>
        <v>0</v>
      </c>
      <c r="CE91" s="23">
        <f>'QTR Raw'!AY17</f>
        <v>0</v>
      </c>
      <c r="CF91" s="23">
        <f>'QTR Raw'!AZ17</f>
        <v>0</v>
      </c>
      <c r="CG91" s="23">
        <f>'QTR Raw'!BA17</f>
        <v>0</v>
      </c>
      <c r="CH91" s="23">
        <f>'QTR Raw'!BB17</f>
        <v>0</v>
      </c>
      <c r="CI91" s="23">
        <f>'QTR Raw'!BC17</f>
        <v>0</v>
      </c>
      <c r="CJ91" s="23">
        <f>'QTR Raw'!BD17</f>
        <v>0</v>
      </c>
      <c r="CK91" s="23">
        <f>'QTR Raw'!BE17</f>
        <v>0</v>
      </c>
      <c r="CL91" s="23">
        <f>'QTR Raw'!BF17</f>
        <v>0</v>
      </c>
      <c r="CM91" s="24"/>
      <c r="CN91" s="24"/>
      <c r="CO91" s="24"/>
      <c r="CP91" s="24"/>
      <c r="CQ91" s="24"/>
      <c r="CR91" s="24"/>
      <c r="CS91" s="24"/>
      <c r="CT91" s="24"/>
      <c r="CU91" s="24"/>
      <c r="CV91" s="24"/>
      <c r="CW91" s="24"/>
      <c r="CX91" s="24"/>
      <c r="CY91" s="24"/>
      <c r="CZ91" s="24"/>
      <c r="DA91" s="24"/>
      <c r="DB91" s="24"/>
      <c r="DE91" s="123"/>
      <c r="DF91" s="23">
        <v>662.32</v>
      </c>
    </row>
    <row r="92" spans="1:110" s="23" customFormat="1" outlineLevel="1" x14ac:dyDescent="0.2">
      <c r="A92" s="23" t="s">
        <v>7</v>
      </c>
      <c r="B92" s="23">
        <f>'Annual Raw'!C13</f>
        <v>5.8521999999999998</v>
      </c>
      <c r="C92" s="23">
        <f>'Annual Raw'!D13</f>
        <v>5.3826000000000001</v>
      </c>
      <c r="D92" s="23">
        <f>'Annual Raw'!E13</f>
        <v>5.5084</v>
      </c>
      <c r="E92" s="23">
        <f>'Annual Raw'!F13</f>
        <v>5.4717000000000002</v>
      </c>
      <c r="F92" s="23">
        <f>'Annual Raw'!G13</f>
        <v>5.7164999999999999</v>
      </c>
      <c r="G92" s="23">
        <f>'Annual Raw'!H13</f>
        <v>6.2518000000000002</v>
      </c>
      <c r="H92" s="23">
        <f>'Annual Raw'!I13</f>
        <v>10.408799999999999</v>
      </c>
      <c r="I92" s="23">
        <f>'Annual Raw'!J13</f>
        <v>10.662100000000001</v>
      </c>
      <c r="J92" s="23">
        <f>'Annual Raw'!K13</f>
        <v>13.129</v>
      </c>
      <c r="K92" s="23">
        <f>'Annual Raw'!L13</f>
        <v>9.6302000000000003</v>
      </c>
      <c r="L92" s="23">
        <f>'Annual Raw'!M13</f>
        <v>11.099399999999999</v>
      </c>
      <c r="M92" s="23">
        <f>'Annual Raw'!N13</f>
        <v>10.4278</v>
      </c>
      <c r="N92" s="23">
        <f>'Annual Raw'!O13</f>
        <v>12.153600000000001</v>
      </c>
      <c r="O92" s="23">
        <f>'Annual Raw'!P13</f>
        <v>11.847300000000001</v>
      </c>
      <c r="P92" s="23">
        <f>'Annual Raw'!Q13</f>
        <v>9.1687999999999992</v>
      </c>
      <c r="Q92" s="23">
        <f>'Annual Raw'!R13</f>
        <v>8.4591999999999992</v>
      </c>
      <c r="R92" s="23">
        <f>'Annual Raw'!S13</f>
        <v>10.0951</v>
      </c>
      <c r="S92" s="23">
        <f>'Annual Raw'!T13</f>
        <v>1.5843</v>
      </c>
      <c r="T92" s="23">
        <f>'Annual Raw'!U13</f>
        <v>2.6236000000000002</v>
      </c>
      <c r="U92" s="23">
        <f>'Annual Raw'!V13</f>
        <v>2.4615</v>
      </c>
      <c r="V92" s="23">
        <f>'Annual Raw'!W13</f>
        <v>2.2530000000000001</v>
      </c>
      <c r="W92" s="23">
        <f>'Annual Raw'!X13</f>
        <v>3.64</v>
      </c>
      <c r="X92" s="23">
        <f>'Annual Raw'!Y13</f>
        <v>5.48</v>
      </c>
      <c r="Y92" s="23">
        <f>'Annual Raw'!Z13</f>
        <v>10.61</v>
      </c>
      <c r="Z92" s="23">
        <f>'Annual Raw'!AA13</f>
        <v>11.5</v>
      </c>
      <c r="AA92" s="23">
        <f>'Annual Raw'!AB13</f>
        <v>206.01</v>
      </c>
      <c r="AB92" s="76">
        <f t="shared" si="458"/>
        <v>0</v>
      </c>
      <c r="AC92" s="76">
        <f t="shared" si="459"/>
        <v>0</v>
      </c>
      <c r="AD92" s="76">
        <f t="shared" si="460"/>
        <v>0</v>
      </c>
      <c r="AE92" s="76">
        <f t="shared" si="461"/>
        <v>0</v>
      </c>
      <c r="AI92" s="23">
        <f>'QTR Raw'!C15</f>
        <v>0</v>
      </c>
      <c r="AJ92" s="23">
        <f>'QTR Raw'!D15</f>
        <v>0</v>
      </c>
      <c r="AK92" s="23">
        <f>'QTR Raw'!E15</f>
        <v>0</v>
      </c>
      <c r="AL92" s="23">
        <f>'QTR Raw'!F15</f>
        <v>0</v>
      </c>
      <c r="AM92" s="23">
        <f>'QTR Raw'!G15</f>
        <v>0</v>
      </c>
      <c r="AN92" s="23">
        <f>'QTR Raw'!H15</f>
        <v>0</v>
      </c>
      <c r="AO92" s="23">
        <f>'QTR Raw'!I15</f>
        <v>0</v>
      </c>
      <c r="AP92" s="23">
        <f>'QTR Raw'!J15</f>
        <v>0</v>
      </c>
      <c r="AQ92" s="23">
        <f>'QTR Raw'!K15</f>
        <v>0</v>
      </c>
      <c r="AR92" s="23">
        <f>'QTR Raw'!L15</f>
        <v>0</v>
      </c>
      <c r="AS92" s="23">
        <f>'QTR Raw'!M15</f>
        <v>0</v>
      </c>
      <c r="AT92" s="23">
        <f>'QTR Raw'!N15</f>
        <v>0</v>
      </c>
      <c r="AU92" s="23">
        <f>'QTR Raw'!O15</f>
        <v>0</v>
      </c>
      <c r="AV92" s="23">
        <f>'QTR Raw'!P15</f>
        <v>0</v>
      </c>
      <c r="AW92" s="23">
        <f>'QTR Raw'!Q15</f>
        <v>0</v>
      </c>
      <c r="AX92" s="23">
        <f>'QTR Raw'!R15</f>
        <v>0</v>
      </c>
      <c r="AY92" s="23">
        <f>'QTR Raw'!S15</f>
        <v>0</v>
      </c>
      <c r="AZ92" s="23">
        <f>'QTR Raw'!T15</f>
        <v>0</v>
      </c>
      <c r="BA92" s="23">
        <f>'QTR Raw'!U15</f>
        <v>0</v>
      </c>
      <c r="BB92" s="23">
        <f>'QTR Raw'!V15</f>
        <v>0</v>
      </c>
      <c r="BC92" s="23">
        <f>'QTR Raw'!W15</f>
        <v>0</v>
      </c>
      <c r="BD92" s="23">
        <f>'QTR Raw'!X15</f>
        <v>0</v>
      </c>
      <c r="BE92" s="23">
        <f>'QTR Raw'!Y15</f>
        <v>0</v>
      </c>
      <c r="BF92" s="23">
        <f>'QTR Raw'!Z15</f>
        <v>0</v>
      </c>
      <c r="BG92" s="23">
        <f>'QTR Raw'!AA15</f>
        <v>0</v>
      </c>
      <c r="BH92" s="23">
        <f>'QTR Raw'!AB15</f>
        <v>0</v>
      </c>
      <c r="BI92" s="23">
        <f>'QTR Raw'!AC15</f>
        <v>0</v>
      </c>
      <c r="BJ92" s="23">
        <f>'QTR Raw'!AD15</f>
        <v>0</v>
      </c>
      <c r="BK92" s="23">
        <f>'QTR Raw'!AE15</f>
        <v>0</v>
      </c>
      <c r="BL92" s="23">
        <f>'QTR Raw'!AF15</f>
        <v>0</v>
      </c>
      <c r="BM92" s="23">
        <f>'QTR Raw'!AG15</f>
        <v>0</v>
      </c>
      <c r="BN92" s="23">
        <f>'QTR Raw'!AH15</f>
        <v>0</v>
      </c>
      <c r="BO92" s="23">
        <f>'QTR Raw'!AI15</f>
        <v>0</v>
      </c>
      <c r="BP92" s="23">
        <f>'QTR Raw'!AJ15</f>
        <v>0</v>
      </c>
      <c r="BQ92" s="23">
        <f>'QTR Raw'!AK15</f>
        <v>0</v>
      </c>
      <c r="BR92" s="23">
        <f>'QTR Raw'!AL15</f>
        <v>0</v>
      </c>
      <c r="BS92" s="23">
        <f>'QTR Raw'!AM15</f>
        <v>0</v>
      </c>
      <c r="BT92" s="23">
        <f>'QTR Raw'!AN15</f>
        <v>0</v>
      </c>
      <c r="BU92" s="23">
        <f>'QTR Raw'!AO15</f>
        <v>0</v>
      </c>
      <c r="BV92" s="23">
        <f>'QTR Raw'!AP15</f>
        <v>0</v>
      </c>
      <c r="BW92" s="23">
        <f>'QTR Raw'!AQ15</f>
        <v>0</v>
      </c>
      <c r="BX92" s="23">
        <f>'QTR Raw'!AR15</f>
        <v>0</v>
      </c>
      <c r="BY92" s="23">
        <f>'QTR Raw'!AS15</f>
        <v>0</v>
      </c>
      <c r="BZ92" s="23">
        <f>'QTR Raw'!AT15</f>
        <v>0</v>
      </c>
      <c r="CA92" s="23">
        <f>'QTR Raw'!AU15</f>
        <v>0</v>
      </c>
      <c r="CB92" s="23">
        <f>'QTR Raw'!AV15</f>
        <v>0</v>
      </c>
      <c r="CC92" s="23">
        <f>'QTR Raw'!AW15</f>
        <v>0</v>
      </c>
      <c r="CD92" s="23">
        <f>'QTR Raw'!AX15</f>
        <v>0</v>
      </c>
      <c r="CE92" s="23">
        <f>'QTR Raw'!AY15</f>
        <v>0</v>
      </c>
      <c r="CF92" s="23">
        <f>'QTR Raw'!AZ15</f>
        <v>0</v>
      </c>
      <c r="CG92" s="23">
        <f>'QTR Raw'!BA15</f>
        <v>0</v>
      </c>
      <c r="CH92" s="23">
        <f>'QTR Raw'!BB15</f>
        <v>0</v>
      </c>
      <c r="CI92" s="23">
        <f>'QTR Raw'!BC15</f>
        <v>0</v>
      </c>
      <c r="CJ92" s="23">
        <f>'QTR Raw'!BD15</f>
        <v>0</v>
      </c>
      <c r="CK92" s="23">
        <f>'QTR Raw'!BE15</f>
        <v>0</v>
      </c>
      <c r="CL92" s="23">
        <f>'QTR Raw'!BF15</f>
        <v>0</v>
      </c>
      <c r="CM92" s="24"/>
      <c r="CN92" s="24"/>
      <c r="CO92" s="24"/>
      <c r="CP92" s="24"/>
      <c r="CQ92" s="24"/>
      <c r="CR92" s="24"/>
      <c r="CS92" s="24"/>
      <c r="CT92" s="24"/>
      <c r="CU92" s="24"/>
      <c r="CV92" s="24"/>
      <c r="CW92" s="24"/>
      <c r="CX92" s="24"/>
      <c r="CY92" s="24"/>
      <c r="CZ92" s="24"/>
      <c r="DA92" s="24"/>
      <c r="DB92" s="24"/>
      <c r="DE92" s="123"/>
      <c r="DF92" s="23">
        <v>206.01</v>
      </c>
    </row>
    <row r="93" spans="1:110" s="22" customFormat="1" x14ac:dyDescent="0.2">
      <c r="A93" s="33" t="s">
        <v>348</v>
      </c>
      <c r="B93" s="22">
        <f t="shared" ref="B93:Y93" si="464">+SUM(B84:B92)</f>
        <v>20.383699999999997</v>
      </c>
      <c r="C93" s="22">
        <f t="shared" si="464"/>
        <v>22.426100000000002</v>
      </c>
      <c r="D93" s="22">
        <f t="shared" si="464"/>
        <v>33.724899999999998</v>
      </c>
      <c r="E93" s="22">
        <f t="shared" si="464"/>
        <v>44.867799999999995</v>
      </c>
      <c r="F93" s="22">
        <f t="shared" si="464"/>
        <v>45.67</v>
      </c>
      <c r="G93" s="22">
        <f t="shared" si="464"/>
        <v>51.282599999999995</v>
      </c>
      <c r="H93" s="22">
        <f t="shared" si="464"/>
        <v>50.171700000000001</v>
      </c>
      <c r="I93" s="22">
        <f t="shared" si="464"/>
        <v>44.214199999999998</v>
      </c>
      <c r="J93" s="22">
        <f t="shared" si="464"/>
        <v>78.4739</v>
      </c>
      <c r="K93" s="22">
        <f t="shared" si="464"/>
        <v>36.977499999999999</v>
      </c>
      <c r="L93" s="22">
        <f t="shared" si="464"/>
        <v>48.062899999999999</v>
      </c>
      <c r="M93" s="22">
        <f t="shared" si="464"/>
        <v>47.492899999999999</v>
      </c>
      <c r="N93" s="22">
        <f t="shared" si="464"/>
        <v>53.822599999999994</v>
      </c>
      <c r="O93" s="22">
        <f t="shared" si="464"/>
        <v>48.518600000000006</v>
      </c>
      <c r="P93" s="22">
        <f t="shared" si="464"/>
        <v>50.977399999999996</v>
      </c>
      <c r="Q93" s="22">
        <f t="shared" si="464"/>
        <v>47.282700000000006</v>
      </c>
      <c r="R93" s="22">
        <f t="shared" si="464"/>
        <v>58.001200000000004</v>
      </c>
      <c r="S93" s="22">
        <f t="shared" si="464"/>
        <v>59.104999999999997</v>
      </c>
      <c r="T93" s="22">
        <f t="shared" si="464"/>
        <v>77.292500000000004</v>
      </c>
      <c r="U93" s="22">
        <f t="shared" si="464"/>
        <v>62.735900000000001</v>
      </c>
      <c r="V93" s="22">
        <f t="shared" si="464"/>
        <v>39.557599999999994</v>
      </c>
      <c r="W93" s="22">
        <f t="shared" si="464"/>
        <v>239.09</v>
      </c>
      <c r="X93" s="22">
        <f t="shared" si="464"/>
        <v>2041.9</v>
      </c>
      <c r="Y93" s="22">
        <f t="shared" si="464"/>
        <v>3901.4400000000005</v>
      </c>
      <c r="Z93" s="22">
        <f>+SUM(Z84:Z92)</f>
        <v>3959.2400000000007</v>
      </c>
      <c r="AA93" s="22">
        <f>+SUM(AA84:AA92)</f>
        <v>9141.8700000000008</v>
      </c>
      <c r="AB93" s="21">
        <f t="shared" ref="AB93:AE93" si="465">+SUM(AB84:AB92)</f>
        <v>10574.59541612336</v>
      </c>
      <c r="AC93" s="21">
        <f t="shared" si="465"/>
        <v>16593.880532773717</v>
      </c>
      <c r="AD93" s="21">
        <f t="shared" si="465"/>
        <v>18646.231258244941</v>
      </c>
      <c r="AE93" s="21">
        <f t="shared" si="465"/>
        <v>22739.797963058081</v>
      </c>
      <c r="AI93" s="22">
        <f t="shared" ref="AI93:BN93" si="466">+SUM(AI84:AI91)</f>
        <v>11.952</v>
      </c>
      <c r="AJ93" s="22">
        <f t="shared" si="466"/>
        <v>15.135</v>
      </c>
      <c r="AK93" s="22">
        <f t="shared" si="466"/>
        <v>12.797000000000001</v>
      </c>
      <c r="AL93" s="22">
        <f t="shared" si="466"/>
        <v>13.938000000000001</v>
      </c>
      <c r="AM93" s="22">
        <f t="shared" si="466"/>
        <v>12.013</v>
      </c>
      <c r="AN93" s="22">
        <f t="shared" si="466"/>
        <v>11.651</v>
      </c>
      <c r="AO93" s="22">
        <f t="shared" si="466"/>
        <v>11.583</v>
      </c>
      <c r="AP93" s="22">
        <f t="shared" si="466"/>
        <v>13.271000000000001</v>
      </c>
      <c r="AQ93" s="22">
        <f t="shared" si="466"/>
        <v>12.89</v>
      </c>
      <c r="AR93" s="22">
        <f t="shared" si="466"/>
        <v>10.724</v>
      </c>
      <c r="AS93" s="22">
        <f t="shared" si="466"/>
        <v>12.808999999999999</v>
      </c>
      <c r="AT93" s="22">
        <f t="shared" si="466"/>
        <v>14.554</v>
      </c>
      <c r="AU93" s="22">
        <f t="shared" si="466"/>
        <v>13.236999999999998</v>
      </c>
      <c r="AV93" s="22">
        <f t="shared" si="466"/>
        <v>9.2859999999999996</v>
      </c>
      <c r="AW93" s="22">
        <f t="shared" si="466"/>
        <v>12.652000000000001</v>
      </c>
      <c r="AX93" s="22">
        <f t="shared" si="466"/>
        <v>12.108000000000001</v>
      </c>
      <c r="AY93" s="22">
        <f t="shared" si="466"/>
        <v>13.238</v>
      </c>
      <c r="AZ93" s="22">
        <f t="shared" si="466"/>
        <v>12.309000000000001</v>
      </c>
      <c r="BA93" s="22">
        <f t="shared" si="466"/>
        <v>14.821</v>
      </c>
      <c r="BB93" s="22">
        <f t="shared" si="466"/>
        <v>17.632999999999999</v>
      </c>
      <c r="BC93" s="22">
        <f t="shared" si="466"/>
        <v>15.303999999999998</v>
      </c>
      <c r="BD93" s="22">
        <f t="shared" si="466"/>
        <v>15.396000000000001</v>
      </c>
      <c r="BE93" s="22">
        <f t="shared" si="466"/>
        <v>15.5</v>
      </c>
      <c r="BF93" s="22">
        <f t="shared" si="466"/>
        <v>19.363</v>
      </c>
      <c r="BG93" s="22">
        <f t="shared" si="466"/>
        <v>16.305999999999997</v>
      </c>
      <c r="BH93" s="22">
        <f t="shared" si="466"/>
        <v>16.670999999999999</v>
      </c>
      <c r="BI93" s="22">
        <f t="shared" si="466"/>
        <v>15.21</v>
      </c>
      <c r="BJ93" s="22">
        <f t="shared" si="466"/>
        <v>26.154</v>
      </c>
      <c r="BK93" s="22">
        <f t="shared" si="466"/>
        <v>16.507999999999999</v>
      </c>
      <c r="BL93" s="22">
        <f t="shared" si="466"/>
        <v>15.852</v>
      </c>
      <c r="BM93" s="22">
        <f t="shared" si="466"/>
        <v>13.085000000000001</v>
      </c>
      <c r="BN93" s="22">
        <f t="shared" si="466"/>
        <v>17.292000000000002</v>
      </c>
      <c r="BO93" s="22">
        <f t="shared" ref="BO93:CH93" si="467">+SUM(BO84:BO91)</f>
        <v>5.6159999999999997</v>
      </c>
      <c r="BP93" s="22">
        <f t="shared" si="467"/>
        <v>12.000999999999999</v>
      </c>
      <c r="BQ93" s="22">
        <f t="shared" si="467"/>
        <v>10.846</v>
      </c>
      <c r="BR93" s="22">
        <f t="shared" si="467"/>
        <v>11.093999999999999</v>
      </c>
      <c r="BS93" s="22">
        <f t="shared" si="467"/>
        <v>11.46</v>
      </c>
      <c r="BT93" s="22">
        <f t="shared" si="467"/>
        <v>12.32</v>
      </c>
      <c r="BU93" s="22">
        <f t="shared" si="467"/>
        <v>26.9</v>
      </c>
      <c r="BV93" s="22">
        <f t="shared" si="467"/>
        <v>188.41</v>
      </c>
      <c r="BW93" s="22">
        <f t="shared" si="467"/>
        <v>473.73</v>
      </c>
      <c r="BX93" s="22">
        <f t="shared" si="467"/>
        <v>368.02000000000004</v>
      </c>
      <c r="BY93" s="22">
        <f t="shared" si="467"/>
        <v>593.36</v>
      </c>
      <c r="BZ93" s="22">
        <f t="shared" si="467"/>
        <v>606.78</v>
      </c>
      <c r="CA93" s="22">
        <f t="shared" si="467"/>
        <v>1326.49</v>
      </c>
      <c r="CB93" s="22">
        <f t="shared" si="467"/>
        <v>741.4</v>
      </c>
      <c r="CC93" s="22">
        <f t="shared" si="467"/>
        <v>1058.81</v>
      </c>
      <c r="CD93" s="22">
        <f t="shared" si="467"/>
        <v>774.73</v>
      </c>
      <c r="CE93" s="22">
        <f t="shared" si="467"/>
        <v>1455.28</v>
      </c>
      <c r="CF93" s="22">
        <f t="shared" si="467"/>
        <v>748.71999999999991</v>
      </c>
      <c r="CG93" s="22">
        <f t="shared" si="467"/>
        <v>1005.7700000000001</v>
      </c>
      <c r="CH93" s="22">
        <f t="shared" si="467"/>
        <v>778.66</v>
      </c>
      <c r="CI93" s="22">
        <f t="shared" ref="CI93:CJ93" si="468">+SUM(CI84:CI91)</f>
        <v>1395.5</v>
      </c>
      <c r="CJ93" s="22">
        <f t="shared" si="468"/>
        <v>1985.82</v>
      </c>
      <c r="CK93" s="22">
        <f t="shared" ref="CK93:DB93" si="469">+SUM(CK84:CK91)</f>
        <v>2639.8199999999997</v>
      </c>
      <c r="CL93" s="22">
        <f t="shared" si="469"/>
        <v>3101.56</v>
      </c>
      <c r="CM93" s="21">
        <f t="shared" si="469"/>
        <v>2652.0944723098301</v>
      </c>
      <c r="CN93" s="21">
        <f t="shared" si="469"/>
        <v>2375.3648512237628</v>
      </c>
      <c r="CO93" s="21">
        <f t="shared" si="469"/>
        <v>2600.6094887948784</v>
      </c>
      <c r="CP93" s="21">
        <f t="shared" si="469"/>
        <v>2946.52660379489</v>
      </c>
      <c r="CQ93" s="21">
        <f t="shared" si="469"/>
        <v>4001.2072405230206</v>
      </c>
      <c r="CR93" s="21">
        <f t="shared" si="469"/>
        <v>3808.7518736429397</v>
      </c>
      <c r="CS93" s="21">
        <f t="shared" si="469"/>
        <v>4287.9673717028618</v>
      </c>
      <c r="CT93" s="21">
        <f t="shared" si="469"/>
        <v>4495.9540469048943</v>
      </c>
      <c r="CU93" s="21">
        <f t="shared" si="469"/>
        <v>4489.615887914324</v>
      </c>
      <c r="CV93" s="21">
        <f t="shared" si="469"/>
        <v>4193.858882872225</v>
      </c>
      <c r="CW93" s="21">
        <f t="shared" si="469"/>
        <v>4812.294986432762</v>
      </c>
      <c r="CX93" s="21">
        <f t="shared" si="469"/>
        <v>5150.4615010256293</v>
      </c>
      <c r="CY93" s="21">
        <f t="shared" si="469"/>
        <v>5485.1542565872378</v>
      </c>
      <c r="CZ93" s="21">
        <f t="shared" si="469"/>
        <v>5193.867543648159</v>
      </c>
      <c r="DA93" s="21">
        <f t="shared" si="469"/>
        <v>5853.7041924937894</v>
      </c>
      <c r="DB93" s="21">
        <f t="shared" si="469"/>
        <v>6207.0719703288933</v>
      </c>
      <c r="DE93" s="126"/>
      <c r="DF93" s="22">
        <v>9141.8700000000008</v>
      </c>
    </row>
    <row r="94" spans="1:110" s="44" customFormat="1" x14ac:dyDescent="0.2">
      <c r="A94" s="43" t="s">
        <v>349</v>
      </c>
      <c r="B94" s="44">
        <f t="shared" ref="B94:E94" si="470">B93/B74</f>
        <v>0.19957097092549655</v>
      </c>
      <c r="C94" s="44">
        <f t="shared" si="470"/>
        <v>0.2116005178179183</v>
      </c>
      <c r="D94" s="44">
        <f t="shared" si="470"/>
        <v>0.22476149219413855</v>
      </c>
      <c r="E94" s="44">
        <f t="shared" si="470"/>
        <v>0.25518702878800975</v>
      </c>
      <c r="F94" s="44">
        <f t="shared" ref="F94:AE94" si="471">F93/F74</f>
        <v>0.17727867337947417</v>
      </c>
      <c r="G94" s="44">
        <f t="shared" si="471"/>
        <v>0.20189205149403563</v>
      </c>
      <c r="H94" s="44">
        <f t="shared" si="471"/>
        <v>0.14903643501004782</v>
      </c>
      <c r="I94" s="44">
        <f t="shared" si="471"/>
        <v>0.11574458505018351</v>
      </c>
      <c r="J94" s="44">
        <f t="shared" si="471"/>
        <v>0.11520225748208597</v>
      </c>
      <c r="K94" s="44">
        <f t="shared" si="471"/>
        <v>6.5113360904196588E-2</v>
      </c>
      <c r="L94" s="44">
        <f t="shared" si="471"/>
        <v>6.9656649381091784E-2</v>
      </c>
      <c r="M94" s="44">
        <f t="shared" si="471"/>
        <v>4.7171946791227173E-2</v>
      </c>
      <c r="N94" s="44">
        <f t="shared" si="471"/>
        <v>7.0893630181788181E-2</v>
      </c>
      <c r="O94" s="44">
        <f t="shared" si="471"/>
        <v>8.5458270871433553E-2</v>
      </c>
      <c r="P94" s="44">
        <f t="shared" si="471"/>
        <v>7.9787352261440389E-2</v>
      </c>
      <c r="Q94" s="44">
        <f t="shared" si="471"/>
        <v>0.12546163157674084</v>
      </c>
      <c r="R94" s="44">
        <f t="shared" si="471"/>
        <v>0.15720893773950151</v>
      </c>
      <c r="S94" s="44">
        <f t="shared" si="471"/>
        <v>0.14680182883212259</v>
      </c>
      <c r="T94" s="44">
        <f t="shared" si="471"/>
        <v>0.16194334952714451</v>
      </c>
      <c r="U94" s="44">
        <f t="shared" si="471"/>
        <v>0.16876352597323119</v>
      </c>
      <c r="V94" s="44">
        <f t="shared" si="471"/>
        <v>0.15610321274062602</v>
      </c>
      <c r="W94" s="44">
        <f t="shared" si="471"/>
        <v>0.34278136200716847</v>
      </c>
      <c r="X94" s="44">
        <f t="shared" si="471"/>
        <v>0.6019202254510938</v>
      </c>
      <c r="Y94" s="44">
        <f t="shared" si="471"/>
        <v>0.59795391323672542</v>
      </c>
      <c r="Z94" s="44">
        <f t="shared" ref="Z94:AA94" si="472">Z93/Z74</f>
        <v>0.58908057520774293</v>
      </c>
      <c r="AA94" s="44">
        <f t="shared" si="472"/>
        <v>0.53421646066920014</v>
      </c>
      <c r="AB94" s="52">
        <f t="shared" si="471"/>
        <v>0.48039429616813079</v>
      </c>
      <c r="AC94" s="52">
        <f t="shared" si="471"/>
        <v>0.5433724097192042</v>
      </c>
      <c r="AD94" s="52">
        <f t="shared" si="471"/>
        <v>0.53917966375505877</v>
      </c>
      <c r="AE94" s="52">
        <f t="shared" si="471"/>
        <v>0.5470920255902102</v>
      </c>
      <c r="AI94" s="44">
        <f t="shared" ref="AI94:BN94" si="473">AI93/AI74</f>
        <v>4.8345211995696177E-2</v>
      </c>
      <c r="AJ94" s="44">
        <f t="shared" si="473"/>
        <v>0.12459046082418214</v>
      </c>
      <c r="AK94" s="44">
        <f t="shared" si="473"/>
        <v>9.2544113393115426E-2</v>
      </c>
      <c r="AL94" s="44">
        <f t="shared" si="473"/>
        <v>5.7398179796565502E-2</v>
      </c>
      <c r="AM94" s="44">
        <f t="shared" si="473"/>
        <v>8.7296166032032094E-2</v>
      </c>
      <c r="AN94" s="44">
        <f t="shared" si="473"/>
        <v>0.10773199689314643</v>
      </c>
      <c r="AO94" s="44">
        <f t="shared" si="473"/>
        <v>9.0286222055934895E-2</v>
      </c>
      <c r="AP94" s="44">
        <f t="shared" si="473"/>
        <v>7.2309704135563674E-2</v>
      </c>
      <c r="AQ94" s="44">
        <f t="shared" si="473"/>
        <v>7.4023028110374131E-2</v>
      </c>
      <c r="AR94" s="44">
        <f t="shared" si="473"/>
        <v>4.9669303592270779E-2</v>
      </c>
      <c r="AS94" s="44">
        <f t="shared" si="473"/>
        <v>0.10856004746164929</v>
      </c>
      <c r="AT94" s="44">
        <f t="shared" si="473"/>
        <v>0.11818203964303405</v>
      </c>
      <c r="AU94" s="44">
        <f t="shared" si="473"/>
        <v>0.10138711234001485</v>
      </c>
      <c r="AV94" s="44">
        <f t="shared" si="473"/>
        <v>0.1214570662481198</v>
      </c>
      <c r="AW94" s="44">
        <f t="shared" si="473"/>
        <v>0.16299502718301515</v>
      </c>
      <c r="AX94" s="44">
        <f t="shared" si="473"/>
        <v>0.14314764021564363</v>
      </c>
      <c r="AY94" s="44">
        <f t="shared" si="473"/>
        <v>0.13937230872893042</v>
      </c>
      <c r="AZ94" s="44">
        <f t="shared" si="473"/>
        <v>0.14190357612229373</v>
      </c>
      <c r="BA94" s="44">
        <f t="shared" si="473"/>
        <v>0.12447613528517558</v>
      </c>
      <c r="BB94" s="44">
        <f t="shared" si="473"/>
        <v>0.24346565412495685</v>
      </c>
      <c r="BC94" s="44">
        <f t="shared" si="473"/>
        <v>0.15679042701417914</v>
      </c>
      <c r="BD94" s="44">
        <f t="shared" si="473"/>
        <v>0.20175335141722686</v>
      </c>
      <c r="BE94" s="44">
        <f t="shared" si="473"/>
        <v>0.12958674369414183</v>
      </c>
      <c r="BF94" s="44">
        <f t="shared" si="473"/>
        <v>0.1774988999706659</v>
      </c>
      <c r="BG94" s="44">
        <f t="shared" si="473"/>
        <v>0.12128650272980167</v>
      </c>
      <c r="BH94" s="44">
        <f t="shared" si="473"/>
        <v>0.16473482939554737</v>
      </c>
      <c r="BI94" s="44">
        <f t="shared" si="473"/>
        <v>0.14047564072962365</v>
      </c>
      <c r="BJ94" s="44">
        <f t="shared" si="473"/>
        <v>0.20054749143106898</v>
      </c>
      <c r="BK94" s="44">
        <f t="shared" si="473"/>
        <v>0.13054239781111365</v>
      </c>
      <c r="BL94" s="44">
        <f t="shared" si="473"/>
        <v>0.28109373337589105</v>
      </c>
      <c r="BM94" s="44">
        <f t="shared" si="473"/>
        <v>0.1541206817351975</v>
      </c>
      <c r="BN94" s="44">
        <f t="shared" si="473"/>
        <v>0.16629001702135845</v>
      </c>
      <c r="BO94" s="44">
        <f t="shared" ref="BO94:CH94" si="474">BO93/BO74</f>
        <v>0.5293119698397738</v>
      </c>
      <c r="BP94" s="44">
        <f t="shared" si="474"/>
        <v>0.16283582089552237</v>
      </c>
      <c r="BQ94" s="44">
        <f t="shared" si="474"/>
        <v>0.14686129014786328</v>
      </c>
      <c r="BR94" s="44">
        <f t="shared" si="474"/>
        <v>0.1164785553047404</v>
      </c>
      <c r="BS94" s="44">
        <f t="shared" si="474"/>
        <v>0.11974921630094044</v>
      </c>
      <c r="BT94" s="44">
        <f t="shared" si="474"/>
        <v>0.12280701754385966</v>
      </c>
      <c r="BU94" s="44">
        <f t="shared" si="474"/>
        <v>0.15986212634456526</v>
      </c>
      <c r="BV94" s="44">
        <f t="shared" si="474"/>
        <v>0.56543921250862816</v>
      </c>
      <c r="BW94" s="44">
        <f t="shared" si="474"/>
        <v>0.56217069350168514</v>
      </c>
      <c r="BX94" s="44">
        <f t="shared" si="474"/>
        <v>0.54621823794823088</v>
      </c>
      <c r="BY94" s="44">
        <f t="shared" si="474"/>
        <v>0.59358556251375527</v>
      </c>
      <c r="BZ94" s="44">
        <f t="shared" si="474"/>
        <v>0.69247360912981448</v>
      </c>
      <c r="CA94" s="44">
        <f t="shared" si="474"/>
        <v>0.67487992999308077</v>
      </c>
      <c r="CB94" s="44">
        <f t="shared" si="474"/>
        <v>0.67936699929442601</v>
      </c>
      <c r="CC94" s="44">
        <f t="shared" si="474"/>
        <v>0.55367246410157189</v>
      </c>
      <c r="CD94" s="44">
        <f t="shared" si="474"/>
        <v>0.49844623590192311</v>
      </c>
      <c r="CE94" s="44">
        <f t="shared" si="474"/>
        <v>0.60204199831212457</v>
      </c>
      <c r="CF94" s="44">
        <f t="shared" si="474"/>
        <v>0.52150533889627981</v>
      </c>
      <c r="CG94" s="44">
        <f t="shared" si="474"/>
        <v>0.60039876549842719</v>
      </c>
      <c r="CH94" s="44">
        <f t="shared" si="474"/>
        <v>0.65252660688846043</v>
      </c>
      <c r="CI94" s="44">
        <f t="shared" ref="CI94:CJ94" si="475">CI93/CI74</f>
        <v>0.58547861985634697</v>
      </c>
      <c r="CJ94" s="44">
        <f t="shared" si="475"/>
        <v>0.54385912059923047</v>
      </c>
      <c r="CK94" s="44">
        <f t="shared" ref="CK94:DB94" si="476">CK93/CK74</f>
        <v>0.52190159111757817</v>
      </c>
      <c r="CL94" s="44">
        <f t="shared" si="476"/>
        <v>0.51523326666356573</v>
      </c>
      <c r="CM94" s="52">
        <f t="shared" si="476"/>
        <v>0.47586584652026265</v>
      </c>
      <c r="CN94" s="52">
        <f t="shared" si="476"/>
        <v>0.45789032638450761</v>
      </c>
      <c r="CO94" s="52">
        <f t="shared" si="476"/>
        <v>0.48152365428775068</v>
      </c>
      <c r="CP94" s="52">
        <f t="shared" si="476"/>
        <v>0.50361897117446819</v>
      </c>
      <c r="CQ94" s="52">
        <f t="shared" si="476"/>
        <v>0.55382433410027987</v>
      </c>
      <c r="CR94" s="52">
        <f t="shared" si="476"/>
        <v>0.5374168814812893</v>
      </c>
      <c r="CS94" s="52">
        <f t="shared" si="476"/>
        <v>0.54194569559667127</v>
      </c>
      <c r="CT94" s="52">
        <f t="shared" si="476"/>
        <v>0.54072459130898254</v>
      </c>
      <c r="CU94" s="52">
        <f t="shared" si="476"/>
        <v>0.53876898298591314</v>
      </c>
      <c r="CV94" s="52">
        <f t="shared" si="476"/>
        <v>0.5348833116121815</v>
      </c>
      <c r="CW94" s="52">
        <f t="shared" si="476"/>
        <v>0.53998107077337965</v>
      </c>
      <c r="CX94" s="52">
        <f t="shared" si="476"/>
        <v>0.54233509002990932</v>
      </c>
      <c r="CY94" s="52">
        <f t="shared" si="476"/>
        <v>0.54663871116315854</v>
      </c>
      <c r="CZ94" s="52">
        <f t="shared" si="476"/>
        <v>0.54429844223426482</v>
      </c>
      <c r="DA94" s="52">
        <f t="shared" si="476"/>
        <v>0.54783669350047259</v>
      </c>
      <c r="DB94" s="52">
        <f t="shared" si="476"/>
        <v>0.54914890731926658</v>
      </c>
      <c r="DE94" s="128"/>
      <c r="DF94" s="44">
        <v>0.53421646066920014</v>
      </c>
    </row>
    <row r="95" spans="1:110" s="26" customFormat="1" x14ac:dyDescent="0.2">
      <c r="A95" s="34" t="s">
        <v>13</v>
      </c>
      <c r="B95" s="26">
        <f t="shared" ref="B95:E95" si="477">B80-B93</f>
        <v>6.4892000000000181</v>
      </c>
      <c r="C95" s="26">
        <f t="shared" si="477"/>
        <v>3.0330000000000048</v>
      </c>
      <c r="D95" s="26">
        <f t="shared" si="477"/>
        <v>7.0851999999999933</v>
      </c>
      <c r="E95" s="26">
        <f t="shared" si="477"/>
        <v>6.5686000000000249</v>
      </c>
      <c r="F95" s="26">
        <f t="shared" ref="F95:AE95" si="478">F80-F93</f>
        <v>25.353000000000023</v>
      </c>
      <c r="G95" s="26">
        <f t="shared" si="478"/>
        <v>-0.70329999999997739</v>
      </c>
      <c r="H95" s="26">
        <f t="shared" si="478"/>
        <v>1.4717999999999591</v>
      </c>
      <c r="I95" s="26">
        <f t="shared" si="478"/>
        <v>34.690799999999975</v>
      </c>
      <c r="J95" s="26">
        <f t="shared" si="478"/>
        <v>50.786400000000029</v>
      </c>
      <c r="K95" s="26">
        <f t="shared" si="478"/>
        <v>34.34080000000008</v>
      </c>
      <c r="L95" s="26">
        <f t="shared" si="478"/>
        <v>22.161200000000022</v>
      </c>
      <c r="M95" s="26">
        <f t="shared" si="478"/>
        <v>27.49099999999995</v>
      </c>
      <c r="N95" s="26">
        <f t="shared" si="478"/>
        <v>20.670400000000058</v>
      </c>
      <c r="O95" s="26">
        <f t="shared" si="478"/>
        <v>-25.236199999999954</v>
      </c>
      <c r="P95" s="26">
        <f t="shared" si="478"/>
        <v>-26.374799999999944</v>
      </c>
      <c r="Q95" s="26">
        <f t="shared" si="478"/>
        <v>13.185599999999994</v>
      </c>
      <c r="R95" s="26">
        <f t="shared" si="478"/>
        <v>14.788100000000021</v>
      </c>
      <c r="S95" s="26">
        <f t="shared" si="478"/>
        <v>16.444600000000001</v>
      </c>
      <c r="T95" s="26">
        <f t="shared" si="478"/>
        <v>15.756699999999981</v>
      </c>
      <c r="U95" s="26">
        <f t="shared" si="478"/>
        <v>21.127900000000025</v>
      </c>
      <c r="V95" s="26">
        <f t="shared" si="478"/>
        <v>10.871800000000022</v>
      </c>
      <c r="W95" s="26">
        <f t="shared" si="478"/>
        <v>145.53</v>
      </c>
      <c r="X95" s="26">
        <f t="shared" si="478"/>
        <v>810.29</v>
      </c>
      <c r="Y95" s="26">
        <f t="shared" si="478"/>
        <v>1731.2499999999991</v>
      </c>
      <c r="Z95" s="26">
        <f t="shared" ref="Z95:AA95" si="479">Z80-Z93</f>
        <v>1955.7399999999998</v>
      </c>
      <c r="AA95" s="26">
        <f t="shared" si="479"/>
        <v>6152.159999999998</v>
      </c>
      <c r="AB95" s="27">
        <f t="shared" si="478"/>
        <v>9054.9935000000005</v>
      </c>
      <c r="AC95" s="27">
        <f t="shared" si="478"/>
        <v>10912.039774977227</v>
      </c>
      <c r="AD95" s="27">
        <f t="shared" si="478"/>
        <v>12535.029516807357</v>
      </c>
      <c r="AE95" s="27">
        <f t="shared" si="478"/>
        <v>14745.929363666903</v>
      </c>
      <c r="AI95" s="26">
        <f t="shared" ref="AI95:BN95" si="480">AI80-AI93</f>
        <v>6.6210000000000075</v>
      </c>
      <c r="AJ95" s="26">
        <f t="shared" si="480"/>
        <v>-5.7059999999999906</v>
      </c>
      <c r="AK95" s="26">
        <f t="shared" si="480"/>
        <v>-0.64199999999999946</v>
      </c>
      <c r="AL95" s="26">
        <f t="shared" si="480"/>
        <v>20.398999999999987</v>
      </c>
      <c r="AM95" s="26">
        <f t="shared" si="480"/>
        <v>-9.5320000000000267</v>
      </c>
      <c r="AN95" s="26">
        <f t="shared" si="480"/>
        <v>-6.0699999999999967</v>
      </c>
      <c r="AO95" s="26">
        <f t="shared" si="480"/>
        <v>-1.697000000000001</v>
      </c>
      <c r="AP95" s="26">
        <f t="shared" si="480"/>
        <v>-7.9379999999999882</v>
      </c>
      <c r="AQ95" s="26">
        <f t="shared" si="480"/>
        <v>-8.9049999999999727</v>
      </c>
      <c r="AR95" s="26">
        <f t="shared" si="480"/>
        <v>-7.6709999999999745</v>
      </c>
      <c r="AS95" s="26">
        <f t="shared" si="480"/>
        <v>-6.4910000000000156</v>
      </c>
      <c r="AT95" s="26">
        <f t="shared" si="480"/>
        <v>-3.3060000000000027</v>
      </c>
      <c r="AU95" s="26">
        <f t="shared" si="480"/>
        <v>1.7090000000000174</v>
      </c>
      <c r="AV95" s="26">
        <f t="shared" si="480"/>
        <v>1.2389999999999919</v>
      </c>
      <c r="AW95" s="26">
        <f t="shared" si="480"/>
        <v>1.1749999999999918</v>
      </c>
      <c r="AX95" s="26">
        <f t="shared" si="480"/>
        <v>9.0640000000000036</v>
      </c>
      <c r="AY95" s="26">
        <f t="shared" si="480"/>
        <v>0.59000000000000874</v>
      </c>
      <c r="AZ95" s="26">
        <f t="shared" si="480"/>
        <v>-0.10300000000001575</v>
      </c>
      <c r="BA95" s="26">
        <f t="shared" si="480"/>
        <v>6.3079999999999981</v>
      </c>
      <c r="BB95" s="26">
        <f t="shared" si="480"/>
        <v>12.263999999999992</v>
      </c>
      <c r="BC95" s="26">
        <f t="shared" si="480"/>
        <v>7.102999999999998</v>
      </c>
      <c r="BD95" s="26">
        <f t="shared" si="480"/>
        <v>-1.0469999999999899</v>
      </c>
      <c r="BE95" s="26">
        <f t="shared" si="480"/>
        <v>2.1880000000000166</v>
      </c>
      <c r="BF95" s="26">
        <f t="shared" si="480"/>
        <v>8.1999999999999815</v>
      </c>
      <c r="BG95" s="26">
        <f t="shared" si="480"/>
        <v>7.4810000000000052</v>
      </c>
      <c r="BH95" s="26">
        <f t="shared" si="480"/>
        <v>4.7789999999999964</v>
      </c>
      <c r="BI95" s="26">
        <f t="shared" si="480"/>
        <v>7.517000000000003</v>
      </c>
      <c r="BJ95" s="26">
        <f t="shared" si="480"/>
        <v>-4.0199999999999854</v>
      </c>
      <c r="BK95" s="26">
        <f t="shared" si="480"/>
        <v>8.1260000000000012</v>
      </c>
      <c r="BL95" s="26">
        <f t="shared" si="480"/>
        <v>2.6919999999999966</v>
      </c>
      <c r="BM95" s="26">
        <f t="shared" si="480"/>
        <v>6.6519999999999939</v>
      </c>
      <c r="BN95" s="26">
        <f t="shared" si="480"/>
        <v>3.657999999999987</v>
      </c>
      <c r="BO95" s="26">
        <f t="shared" ref="BO95:CH95" si="481">BO80-BO93</f>
        <v>-7.6850000000000005</v>
      </c>
      <c r="BP95" s="26">
        <f t="shared" si="481"/>
        <v>3.6330000000000009</v>
      </c>
      <c r="BQ95" s="26">
        <f t="shared" si="481"/>
        <v>7.5540000000000056</v>
      </c>
      <c r="BR95" s="26">
        <f t="shared" si="481"/>
        <v>7.371000000000004</v>
      </c>
      <c r="BS95" s="26">
        <f t="shared" si="481"/>
        <v>1.9100000000000037</v>
      </c>
      <c r="BT95" s="26">
        <f t="shared" si="481"/>
        <v>-0.60000000000000142</v>
      </c>
      <c r="BU95" s="26">
        <f t="shared" si="481"/>
        <v>32.090000000000011</v>
      </c>
      <c r="BV95" s="26">
        <f t="shared" si="481"/>
        <v>112.13999999999996</v>
      </c>
      <c r="BW95" s="26">
        <f t="shared" si="481"/>
        <v>261.8599999999999</v>
      </c>
      <c r="BX95" s="26">
        <f t="shared" si="481"/>
        <v>156.92000000000002</v>
      </c>
      <c r="BY95" s="26">
        <f t="shared" si="481"/>
        <v>226.95999999999992</v>
      </c>
      <c r="BZ95" s="26">
        <f t="shared" si="481"/>
        <v>164.55000000000007</v>
      </c>
      <c r="CA95" s="26">
        <f t="shared" si="481"/>
        <v>535.86999999999989</v>
      </c>
      <c r="CB95" s="26">
        <f t="shared" si="481"/>
        <v>286.32000000000005</v>
      </c>
      <c r="CC95" s="26">
        <f t="shared" si="481"/>
        <v>449.4699999999998</v>
      </c>
      <c r="CD95" s="26">
        <f t="shared" si="481"/>
        <v>458.41000000000008</v>
      </c>
      <c r="CE95" s="26">
        <f t="shared" si="481"/>
        <v>718.66999999999939</v>
      </c>
      <c r="CF95" s="26">
        <f t="shared" si="481"/>
        <v>410.70999999999992</v>
      </c>
      <c r="CG95" s="26">
        <f t="shared" si="481"/>
        <v>536.42999999999972</v>
      </c>
      <c r="CH95" s="26">
        <f t="shared" si="481"/>
        <v>261.10000000000025</v>
      </c>
      <c r="CI95" s="26">
        <f t="shared" ref="CI95:CJ95" si="482">CI80-CI93</f>
        <v>794.19</v>
      </c>
      <c r="CJ95" s="26">
        <f t="shared" si="482"/>
        <v>1043.0899999999999</v>
      </c>
      <c r="CK95" s="26">
        <f t="shared" ref="CK95:DB95" si="483">CK80-CK93</f>
        <v>1759.21</v>
      </c>
      <c r="CL95" s="26">
        <f t="shared" si="483"/>
        <v>2545.3000000000006</v>
      </c>
      <c r="CM95" s="27">
        <f>CM80-CM93</f>
        <v>2302.4426800000001</v>
      </c>
      <c r="CN95" s="27">
        <f t="shared" si="483"/>
        <v>2197.9042539999996</v>
      </c>
      <c r="CO95" s="27">
        <f t="shared" si="483"/>
        <v>2230.8446960000001</v>
      </c>
      <c r="CP95" s="27">
        <f t="shared" si="483"/>
        <v>2323.8018699999998</v>
      </c>
      <c r="CQ95" s="27">
        <f t="shared" si="483"/>
        <v>2475.6346032910164</v>
      </c>
      <c r="CR95" s="27">
        <f t="shared" si="483"/>
        <v>2558.0642314535894</v>
      </c>
      <c r="CS95" s="27">
        <f t="shared" si="483"/>
        <v>2853.2287974103883</v>
      </c>
      <c r="CT95" s="27">
        <f t="shared" si="483"/>
        <v>3025.112142822235</v>
      </c>
      <c r="CU95" s="27">
        <f t="shared" si="483"/>
        <v>3014.2558652923681</v>
      </c>
      <c r="CV95" s="27">
        <f t="shared" si="483"/>
        <v>2874.4554412658517</v>
      </c>
      <c r="CW95" s="27">
        <f t="shared" si="483"/>
        <v>3228.7319194446336</v>
      </c>
      <c r="CX95" s="27">
        <f t="shared" si="483"/>
        <v>3417.5862908045001</v>
      </c>
      <c r="CY95" s="27">
        <f t="shared" si="483"/>
        <v>3561.9352001373145</v>
      </c>
      <c r="CZ95" s="27">
        <f t="shared" si="483"/>
        <v>3412.294141394319</v>
      </c>
      <c r="DA95" s="27">
        <f t="shared" si="483"/>
        <v>3784.2314509455664</v>
      </c>
      <c r="DB95" s="27">
        <f t="shared" si="483"/>
        <v>3987.4685711897046</v>
      </c>
      <c r="DE95" s="121"/>
      <c r="DF95" s="26">
        <v>6152.159999999998</v>
      </c>
    </row>
    <row r="96" spans="1:110" s="167" customFormat="1" x14ac:dyDescent="0.2">
      <c r="A96" s="164" t="s">
        <v>14</v>
      </c>
      <c r="B96" s="165">
        <f t="shared" ref="B96:E96" si="484">B95/B74</f>
        <v>6.3533899367128444E-2</v>
      </c>
      <c r="C96" s="165">
        <f t="shared" si="484"/>
        <v>2.8617743189486677E-2</v>
      </c>
      <c r="D96" s="165">
        <f t="shared" si="484"/>
        <v>4.7219713757310142E-2</v>
      </c>
      <c r="E96" s="165">
        <f t="shared" si="484"/>
        <v>3.7359119843115268E-2</v>
      </c>
      <c r="F96" s="165">
        <f t="shared" ref="F96:AE96" si="485">F95/F74</f>
        <v>9.8413536373764238E-2</v>
      </c>
      <c r="G96" s="165">
        <f t="shared" si="485"/>
        <v>-2.7687886303687939E-3</v>
      </c>
      <c r="H96" s="165">
        <f t="shared" si="485"/>
        <v>4.3720229740627147E-3</v>
      </c>
      <c r="I96" s="165">
        <f t="shared" si="485"/>
        <v>9.0814088031874449E-2</v>
      </c>
      <c r="J96" s="165">
        <f t="shared" si="485"/>
        <v>7.4556099918421465E-2</v>
      </c>
      <c r="K96" s="165">
        <f t="shared" si="485"/>
        <v>6.0470418609663693E-2</v>
      </c>
      <c r="L96" s="165">
        <f t="shared" si="485"/>
        <v>3.2117806837794902E-2</v>
      </c>
      <c r="M96" s="165">
        <f t="shared" si="485"/>
        <v>2.7305218027065602E-2</v>
      </c>
      <c r="N96" s="165">
        <f t="shared" si="485"/>
        <v>2.7226475371119916E-2</v>
      </c>
      <c r="O96" s="165">
        <f t="shared" si="485"/>
        <v>-4.4449798950622385E-2</v>
      </c>
      <c r="P96" s="165">
        <f t="shared" si="485"/>
        <v>-4.1280556843327314E-2</v>
      </c>
      <c r="Q96" s="165">
        <f t="shared" si="485"/>
        <v>3.4987149408097953E-2</v>
      </c>
      <c r="R96" s="165">
        <f t="shared" si="485"/>
        <v>4.0082299886649339E-2</v>
      </c>
      <c r="S96" s="165">
        <f t="shared" si="485"/>
        <v>4.0844215454068578E-2</v>
      </c>
      <c r="T96" s="165">
        <f t="shared" si="485"/>
        <v>3.3013458944843997E-2</v>
      </c>
      <c r="U96" s="165">
        <f t="shared" si="485"/>
        <v>5.6835382937199204E-2</v>
      </c>
      <c r="V96" s="165">
        <f t="shared" si="485"/>
        <v>4.2902575188422491E-2</v>
      </c>
      <c r="W96" s="165">
        <f t="shared" si="485"/>
        <v>0.20864516129032259</v>
      </c>
      <c r="X96" s="165">
        <f t="shared" si="485"/>
        <v>0.2388608352420622</v>
      </c>
      <c r="Y96" s="165">
        <f t="shared" si="485"/>
        <v>0.26533990328983154</v>
      </c>
      <c r="Z96" s="165">
        <f t="shared" ref="Z96:AA96" si="486">Z95/Z74</f>
        <v>0.29098727133409208</v>
      </c>
      <c r="AA96" s="165">
        <f t="shared" si="486"/>
        <v>0.3595090655052659</v>
      </c>
      <c r="AB96" s="166">
        <f t="shared" si="485"/>
        <v>0.41136015687247868</v>
      </c>
      <c r="AC96" s="166">
        <f t="shared" si="485"/>
        <v>0.35731855100261334</v>
      </c>
      <c r="AD96" s="166">
        <f t="shared" si="485"/>
        <v>0.36246643659122341</v>
      </c>
      <c r="AE96" s="166">
        <f t="shared" si="485"/>
        <v>0.35476921905306907</v>
      </c>
      <c r="AI96" s="165">
        <f t="shared" ref="AI96:BN96" si="487">AI95/AI74</f>
        <v>2.678159710705361E-2</v>
      </c>
      <c r="AJ96" s="165">
        <f t="shared" si="487"/>
        <v>-4.697146808475601E-2</v>
      </c>
      <c r="AK96" s="165">
        <f t="shared" si="487"/>
        <v>-4.6427538328030048E-3</v>
      </c>
      <c r="AL96" s="165">
        <f t="shared" si="487"/>
        <v>8.4005271177366836E-2</v>
      </c>
      <c r="AM96" s="165">
        <f t="shared" si="487"/>
        <v>-6.9267215068453528E-2</v>
      </c>
      <c r="AN96" s="165">
        <f t="shared" si="487"/>
        <v>-5.6126789214779718E-2</v>
      </c>
      <c r="AO96" s="165">
        <f t="shared" si="487"/>
        <v>-1.3227636953200518E-2</v>
      </c>
      <c r="AP96" s="165">
        <f t="shared" si="487"/>
        <v>-4.3251784449408755E-2</v>
      </c>
      <c r="AQ96" s="165">
        <f t="shared" si="487"/>
        <v>-5.1138484509145044E-2</v>
      </c>
      <c r="AR96" s="165">
        <f t="shared" si="487"/>
        <v>-3.5529021620319644E-2</v>
      </c>
      <c r="AS96" s="165">
        <f t="shared" si="487"/>
        <v>-5.5013136706500688E-2</v>
      </c>
      <c r="AT96" s="165">
        <f t="shared" si="487"/>
        <v>-2.6845528587321071E-2</v>
      </c>
      <c r="AU96" s="165">
        <f t="shared" si="487"/>
        <v>1.3089867416264046E-2</v>
      </c>
      <c r="AV96" s="165">
        <f t="shared" si="487"/>
        <v>1.620561114380998E-2</v>
      </c>
      <c r="AW96" s="165">
        <f t="shared" si="487"/>
        <v>1.5137461029089586E-2</v>
      </c>
      <c r="AX96" s="165">
        <f t="shared" si="487"/>
        <v>0.10715974652416536</v>
      </c>
      <c r="AY96" s="165">
        <f t="shared" si="487"/>
        <v>6.2116378720403513E-3</v>
      </c>
      <c r="AZ96" s="165">
        <f t="shared" si="487"/>
        <v>-1.18742938830112E-3</v>
      </c>
      <c r="BA96" s="165">
        <f t="shared" si="487"/>
        <v>5.2978575087975661E-2</v>
      </c>
      <c r="BB96" s="165">
        <f t="shared" si="487"/>
        <v>0.16933379357956496</v>
      </c>
      <c r="BC96" s="165">
        <f t="shared" si="487"/>
        <v>7.2770674534874166E-2</v>
      </c>
      <c r="BD96" s="165">
        <f t="shared" si="487"/>
        <v>-1.3720171403860386E-2</v>
      </c>
      <c r="BE96" s="165">
        <f t="shared" si="487"/>
        <v>1.8292631948566743E-2</v>
      </c>
      <c r="BF96" s="165">
        <f t="shared" si="487"/>
        <v>7.516867116456423E-2</v>
      </c>
      <c r="BG96" s="165">
        <f t="shared" si="487"/>
        <v>5.5644813376772177E-2</v>
      </c>
      <c r="BH96" s="165">
        <f t="shared" si="487"/>
        <v>4.722378679631218E-2</v>
      </c>
      <c r="BI96" s="165">
        <f t="shared" si="487"/>
        <v>6.9425075040406403E-2</v>
      </c>
      <c r="BJ96" s="165">
        <f t="shared" si="487"/>
        <v>-3.0825147799682432E-2</v>
      </c>
      <c r="BK96" s="165">
        <f t="shared" si="487"/>
        <v>6.4258997129459039E-2</v>
      </c>
      <c r="BL96" s="165">
        <f t="shared" si="487"/>
        <v>4.7735574706529005E-2</v>
      </c>
      <c r="BM96" s="165">
        <f t="shared" si="487"/>
        <v>7.8350078326521411E-2</v>
      </c>
      <c r="BN96" s="165">
        <f t="shared" si="487"/>
        <v>3.517747410734022E-2</v>
      </c>
      <c r="BO96" s="165">
        <f t="shared" ref="BO96:CH96" si="488">BO95/BO74</f>
        <v>-0.72431668237511793</v>
      </c>
      <c r="BP96" s="165">
        <f t="shared" si="488"/>
        <v>4.9294436906377213E-2</v>
      </c>
      <c r="BQ96" s="165">
        <f t="shared" si="488"/>
        <v>0.10228565238585285</v>
      </c>
      <c r="BR96" s="165">
        <f t="shared" si="488"/>
        <v>7.738988923303064E-2</v>
      </c>
      <c r="BS96" s="165">
        <f t="shared" si="488"/>
        <v>1.9958202716823446E-2</v>
      </c>
      <c r="BT96" s="165">
        <f t="shared" si="488"/>
        <v>-5.9808612440191535E-3</v>
      </c>
      <c r="BU96" s="165">
        <f t="shared" si="488"/>
        <v>0.19070541391810786</v>
      </c>
      <c r="BV96" s="165">
        <f t="shared" si="488"/>
        <v>0.33654452147294489</v>
      </c>
      <c r="BW96" s="165">
        <f t="shared" si="488"/>
        <v>0.31074666540086382</v>
      </c>
      <c r="BX96" s="165">
        <f t="shared" si="488"/>
        <v>0.23290192353360251</v>
      </c>
      <c r="BY96" s="165">
        <f t="shared" si="488"/>
        <v>0.2270462775854824</v>
      </c>
      <c r="BZ96" s="165">
        <f t="shared" si="488"/>
        <v>0.18778887303851649</v>
      </c>
      <c r="CA96" s="165">
        <f t="shared" si="488"/>
        <v>0.27263523138914886</v>
      </c>
      <c r="CB96" s="165">
        <f t="shared" si="488"/>
        <v>0.26236358138384147</v>
      </c>
      <c r="CC96" s="165">
        <f t="shared" si="488"/>
        <v>0.23503665666147225</v>
      </c>
      <c r="CD96" s="165">
        <f t="shared" si="488"/>
        <v>0.29493209117989572</v>
      </c>
      <c r="CE96" s="165">
        <f t="shared" si="488"/>
        <v>0.29731015538382594</v>
      </c>
      <c r="CF96" s="165">
        <f t="shared" si="488"/>
        <v>0.28607150568716083</v>
      </c>
      <c r="CG96" s="165">
        <f t="shared" si="488"/>
        <v>0.32022421604971424</v>
      </c>
      <c r="CH96" s="165">
        <f t="shared" si="488"/>
        <v>0.21880499455292066</v>
      </c>
      <c r="CI96" s="165">
        <f t="shared" ref="CI96:CJ96" si="489">CI95/CI74</f>
        <v>0.33320047660602808</v>
      </c>
      <c r="CJ96" s="165">
        <f t="shared" si="489"/>
        <v>0.28567242252865377</v>
      </c>
      <c r="CK96" s="165">
        <f t="shared" ref="CK96:DB96" si="490">CK95/CK74</f>
        <v>0.34780193274918547</v>
      </c>
      <c r="CL96" s="165">
        <f t="shared" si="490"/>
        <v>0.42282697534104585</v>
      </c>
      <c r="CM96" s="166">
        <f t="shared" si="490"/>
        <v>0.41312775484514597</v>
      </c>
      <c r="CN96" s="166">
        <f t="shared" si="490"/>
        <v>0.42368190120665944</v>
      </c>
      <c r="CO96" s="166">
        <f t="shared" si="490"/>
        <v>0.41305874441923701</v>
      </c>
      <c r="CP96" s="166">
        <f t="shared" si="490"/>
        <v>0.39718314624257556</v>
      </c>
      <c r="CQ96" s="166">
        <f t="shared" si="490"/>
        <v>0.34266325216987203</v>
      </c>
      <c r="CR96" s="166">
        <f t="shared" si="490"/>
        <v>0.36094420101504826</v>
      </c>
      <c r="CS96" s="166">
        <f t="shared" si="490"/>
        <v>0.3606126006259589</v>
      </c>
      <c r="CT96" s="166">
        <f t="shared" si="490"/>
        <v>0.36382767929255833</v>
      </c>
      <c r="CU96" s="166">
        <f t="shared" si="490"/>
        <v>0.36172082591175198</v>
      </c>
      <c r="CV96" s="166">
        <f t="shared" si="490"/>
        <v>0.36660705294236207</v>
      </c>
      <c r="CW96" s="166">
        <f t="shared" si="490"/>
        <v>0.36229161429571527</v>
      </c>
      <c r="CX96" s="166">
        <f t="shared" si="490"/>
        <v>0.3598661922508018</v>
      </c>
      <c r="CY96" s="166">
        <f t="shared" si="490"/>
        <v>0.35497482403734498</v>
      </c>
      <c r="CZ96" s="166">
        <f t="shared" si="490"/>
        <v>0.35759602454194833</v>
      </c>
      <c r="DA96" s="166">
        <f t="shared" si="490"/>
        <v>0.35415879883115808</v>
      </c>
      <c r="DB96" s="166">
        <f t="shared" si="490"/>
        <v>0.35277728682799808</v>
      </c>
      <c r="DE96" s="168"/>
      <c r="DF96" s="167">
        <v>0.3595090655052659</v>
      </c>
    </row>
    <row r="97" spans="1:110" s="38" customFormat="1" x14ac:dyDescent="0.2">
      <c r="A97" s="39" t="s">
        <v>449</v>
      </c>
      <c r="B97" s="39"/>
      <c r="C97" s="39">
        <f t="shared" ref="C97:E97" si="491">+IF(B95&lt;0,1-C95/B95,C95/B95-1)</f>
        <v>-0.53260802564260668</v>
      </c>
      <c r="D97" s="39">
        <f t="shared" si="491"/>
        <v>1.336036927134844</v>
      </c>
      <c r="E97" s="39">
        <f t="shared" si="491"/>
        <v>-7.2912550104438645E-2</v>
      </c>
      <c r="F97" s="39">
        <f t="shared" ref="F97:Y97" si="492">+IF(E95&lt;0,1-F95/E95,F95/E95-1)</f>
        <v>2.8597265779618071</v>
      </c>
      <c r="G97" s="39">
        <f t="shared" si="492"/>
        <v>-1.0277403068670365</v>
      </c>
      <c r="H97" s="39">
        <f t="shared" si="492"/>
        <v>3.0927058154414993</v>
      </c>
      <c r="I97" s="39">
        <f t="shared" si="492"/>
        <v>22.570322054627624</v>
      </c>
      <c r="J97" s="39">
        <f t="shared" si="492"/>
        <v>0.46397315714829479</v>
      </c>
      <c r="K97" s="39">
        <f t="shared" si="492"/>
        <v>-0.32381897515870273</v>
      </c>
      <c r="L97" s="39">
        <f t="shared" si="492"/>
        <v>-0.35466849927782784</v>
      </c>
      <c r="M97" s="39">
        <f t="shared" si="492"/>
        <v>0.24050141689077864</v>
      </c>
      <c r="N97" s="39">
        <f t="shared" si="492"/>
        <v>-0.24810301553235259</v>
      </c>
      <c r="O97" s="39">
        <f t="shared" si="492"/>
        <v>-2.2208859044817655</v>
      </c>
      <c r="P97" s="39">
        <f t="shared" si="492"/>
        <v>-4.5117727708608779E-2</v>
      </c>
      <c r="Q97" s="39">
        <f t="shared" si="492"/>
        <v>1.4999317530369907</v>
      </c>
      <c r="R97" s="39">
        <f t="shared" si="492"/>
        <v>0.12153409780366675</v>
      </c>
      <c r="S97" s="39">
        <f t="shared" si="492"/>
        <v>0.11201574238745859</v>
      </c>
      <c r="T97" s="39">
        <f t="shared" si="492"/>
        <v>-4.1831361054693983E-2</v>
      </c>
      <c r="U97" s="39">
        <f t="shared" si="492"/>
        <v>0.34088356064404679</v>
      </c>
      <c r="V97" s="39">
        <f t="shared" si="492"/>
        <v>-0.48542921918411164</v>
      </c>
      <c r="W97" s="39">
        <f t="shared" si="492"/>
        <v>12.38600783678873</v>
      </c>
      <c r="X97" s="39">
        <f t="shared" si="492"/>
        <v>4.5678554249982817</v>
      </c>
      <c r="Y97" s="39">
        <f t="shared" si="492"/>
        <v>1.1365807303557975</v>
      </c>
      <c r="Z97" s="39">
        <f t="shared" ref="Z97:AE97" si="493">+IF(Y95&lt;0,1-Z95/Y95,Z95/Y95-1)</f>
        <v>0.12966931407942295</v>
      </c>
      <c r="AA97" s="39">
        <f t="shared" si="493"/>
        <v>2.1456942129321885</v>
      </c>
      <c r="AB97" s="40">
        <f t="shared" si="493"/>
        <v>0.47183972783542738</v>
      </c>
      <c r="AC97" s="40">
        <f t="shared" si="493"/>
        <v>0.20508532391295775</v>
      </c>
      <c r="AD97" s="40">
        <f t="shared" si="493"/>
        <v>0.14873385501690195</v>
      </c>
      <c r="AE97" s="40">
        <f t="shared" si="493"/>
        <v>0.17637771366195043</v>
      </c>
      <c r="AI97" s="39"/>
      <c r="AJ97" s="39"/>
      <c r="AK97" s="39"/>
      <c r="AL97" s="39"/>
      <c r="AM97" s="39">
        <f>+IF(AI95&lt;0,1-AM95/AI95,AM95/AI95-1)</f>
        <v>-2.4396616825253004</v>
      </c>
      <c r="AN97" s="39">
        <f t="shared" ref="AN97" si="494">+IF(AJ95&lt;0,1-AN95/AJ95,AN95/AJ95-1)</f>
        <v>-6.3792499123730639E-2</v>
      </c>
      <c r="AO97" s="39">
        <f t="shared" ref="AO97" si="495">+IF(AK95&lt;0,1-AO95/AK95,AO95/AK95-1)</f>
        <v>-1.643302180685362</v>
      </c>
      <c r="AP97" s="39">
        <f t="shared" ref="AP97" si="496">+IF(AL95&lt;0,1-AP95/AL95,AP95/AL95-1)</f>
        <v>-1.389136722388352</v>
      </c>
      <c r="AQ97" s="39">
        <f t="shared" ref="AQ97" si="497">+IF(AM95&lt;0,1-AQ95/AM95,AQ95/AM95-1)</f>
        <v>6.5778430549732758E-2</v>
      </c>
      <c r="AR97" s="39">
        <f t="shared" ref="AR97" si="498">+IF(AN95&lt;0,1-AR95/AN95,AR95/AN95-1)</f>
        <v>-0.26375617792421391</v>
      </c>
      <c r="AS97" s="39">
        <f t="shared" ref="AS97" si="499">+IF(AO95&lt;0,1-AS95/AO95,AS95/AO95-1)</f>
        <v>-2.8249852681202192</v>
      </c>
      <c r="AT97" s="39">
        <f t="shared" ref="AT97" si="500">+IF(AP95&lt;0,1-AT95/AP95,AT95/AP95-1)</f>
        <v>0.58352229780801113</v>
      </c>
      <c r="AU97" s="39">
        <f t="shared" ref="AU97" si="501">+IF(AQ95&lt;0,1-AU95/AQ95,AU95/AQ95-1)</f>
        <v>1.1919146546883799</v>
      </c>
      <c r="AV97" s="39">
        <f t="shared" ref="AV97" si="502">+IF(AR95&lt;0,1-AV95/AR95,AV95/AR95-1)</f>
        <v>1.1615174032068825</v>
      </c>
      <c r="AW97" s="39">
        <f t="shared" ref="AW97" si="503">+IF(AS95&lt;0,1-AW95/AS95,AW95/AS95-1)</f>
        <v>1.1810198736712354</v>
      </c>
      <c r="AX97" s="39">
        <f t="shared" ref="AX97" si="504">+IF(AT95&lt;0,1-AX95/AT95,AX95/AT95-1)</f>
        <v>3.7416817906836046</v>
      </c>
      <c r="AY97" s="39">
        <f t="shared" ref="AY97" si="505">+IF(AU95&lt;0,1-AY95/AU95,AY95/AU95-1)</f>
        <v>-0.65476887068460932</v>
      </c>
      <c r="AZ97" s="39">
        <f t="shared" ref="AZ97" si="506">+IF(AV95&lt;0,1-AZ95/AV95,AZ95/AV95-1)</f>
        <v>-1.0831315577078422</v>
      </c>
      <c r="BA97" s="39">
        <f t="shared" ref="BA97" si="507">+IF(AW95&lt;0,1-BA95/AW95,BA95/AW95-1)</f>
        <v>4.3685106382979084</v>
      </c>
      <c r="BB97" s="39">
        <f t="shared" ref="BB97" si="508">+IF(AX95&lt;0,1-BB95/AX95,BB95/AX95-1)</f>
        <v>0.35304501323918669</v>
      </c>
      <c r="BC97" s="39">
        <f t="shared" ref="BC97" si="509">+IF(AY95&lt;0,1-BC95/AY95,BC95/AY95-1)</f>
        <v>11.038983050847277</v>
      </c>
      <c r="BD97" s="39">
        <f t="shared" ref="BD97" si="510">+IF(AZ95&lt;0,1-BD95/AZ95,BD95/AZ95-1)</f>
        <v>-9.1650485436876696</v>
      </c>
      <c r="BE97" s="39">
        <f t="shared" ref="BE97" si="511">+IF(BA95&lt;0,1-BE95/BA95,BE95/BA95-1)</f>
        <v>-0.65313887127456915</v>
      </c>
      <c r="BF97" s="39">
        <f t="shared" ref="BF97" si="512">+IF(BB95&lt;0,1-BF95/BB95,BF95/BB95-1)</f>
        <v>-0.33137638617090781</v>
      </c>
      <c r="BG97" s="39">
        <f t="shared" ref="BG97" si="513">+IF(BC95&lt;0,1-BG95/BC95,BG95/BC95-1)</f>
        <v>5.3216950584261236E-2</v>
      </c>
      <c r="BH97" s="39">
        <f t="shared" ref="BH97" si="514">+IF(BD95&lt;0,1-BH95/BD95,BH95/BD95-1)</f>
        <v>5.5644699140401546</v>
      </c>
      <c r="BI97" s="39">
        <f t="shared" ref="BI97" si="515">+IF(BE95&lt;0,1-BI95/BE95,BI95/BE95-1)</f>
        <v>2.4355575868372696</v>
      </c>
      <c r="BJ97" s="39">
        <f t="shared" ref="BJ97" si="516">+IF(BF95&lt;0,1-BJ95/BF95,BJ95/BF95-1)</f>
        <v>-1.4902439024390237</v>
      </c>
      <c r="BK97" s="39">
        <f t="shared" ref="BK97" si="517">+IF(BG95&lt;0,1-BK95/BG95,BK95/BG95-1)</f>
        <v>8.6218419997325935E-2</v>
      </c>
      <c r="BL97" s="39">
        <f t="shared" ref="BL97" si="518">+IF(BH95&lt;0,1-BL95/BH95,BL95/BH95-1)</f>
        <v>-0.43670223896212623</v>
      </c>
      <c r="BM97" s="39">
        <f t="shared" ref="BM97" si="519">+IF(BI95&lt;0,1-BM95/BI95,BM95/BI95-1)</f>
        <v>-0.11507250232805755</v>
      </c>
      <c r="BN97" s="39">
        <f t="shared" ref="BN97" si="520">+IF(BJ95&lt;0,1-BN95/BJ95,BN95/BJ95-1)</f>
        <v>1.909950248756219</v>
      </c>
      <c r="BO97" s="39">
        <f t="shared" ref="BO97" si="521">+IF(BK95&lt;0,1-BO95/BK95,BO95/BK95-1)</f>
        <v>-1.9457297563376814</v>
      </c>
      <c r="BP97" s="39">
        <f t="shared" ref="BP97" si="522">+IF(BL95&lt;0,1-BP95/BL95,BP95/BL95-1)</f>
        <v>0.34955423476969005</v>
      </c>
      <c r="BQ97" s="39">
        <f t="shared" ref="BQ97" si="523">+IF(BM95&lt;0,1-BQ95/BM95,BQ95/BM95-1)</f>
        <v>0.13559831629585273</v>
      </c>
      <c r="BR97" s="39">
        <f t="shared" ref="BR97" si="524">+IF(BN95&lt;0,1-BR95/BN95,BR95/BN95-1)</f>
        <v>1.0150355385456615</v>
      </c>
      <c r="BS97" s="39">
        <f t="shared" ref="BS97" si="525">+IF(BO95&lt;0,1-BS95/BO95,BS95/BO95-1)</f>
        <v>1.2485361093038392</v>
      </c>
      <c r="BT97" s="39">
        <f t="shared" ref="BT97" si="526">+IF(BP95&lt;0,1-BT95/BP95,BT95/BP95-1)</f>
        <v>-1.1651527663088359</v>
      </c>
      <c r="BU97" s="39">
        <f t="shared" ref="BU97" si="527">+IF(BQ95&lt;0,1-BU95/BQ95,BU95/BQ95-1)</f>
        <v>3.2480804871591191</v>
      </c>
      <c r="BV97" s="39">
        <f t="shared" ref="BV97" si="528">+IF(BR95&lt;0,1-BV95/BR95,BV95/BR95-1)</f>
        <v>14.2136752136752</v>
      </c>
      <c r="BW97" s="39">
        <f t="shared" ref="BW97" si="529">+IF(BS95&lt;0,1-BW95/BS95,BW95/BS95-1)</f>
        <v>136.09947643979027</v>
      </c>
      <c r="BX97" s="39">
        <f t="shared" ref="BX97" si="530">+IF(BT95&lt;0,1-BX95/BT95,BX95/BT95-1)</f>
        <v>262.53333333333273</v>
      </c>
      <c r="BY97" s="39">
        <f t="shared" ref="BY97" si="531">+IF(BU95&lt;0,1-BY95/BU95,BY95/BU95-1)</f>
        <v>6.0726082891866575</v>
      </c>
      <c r="BZ97" s="39">
        <f t="shared" ref="BZ97" si="532">+IF(BV95&lt;0,1-BZ95/BV95,BZ95/BV95-1)</f>
        <v>0.46736222578919318</v>
      </c>
      <c r="CA97" s="39">
        <f t="shared" ref="CA97" si="533">+IF(BW95&lt;0,1-CA95/BW95,CA95/BW95-1)</f>
        <v>1.0463988390743149</v>
      </c>
      <c r="CB97" s="39">
        <f t="shared" ref="CB97" si="534">+IF(BX95&lt;0,1-CB95/BX95,CB95/BX95-1)</f>
        <v>0.82462401223553417</v>
      </c>
      <c r="CC97" s="39">
        <f t="shared" ref="CC97" si="535">+IF(BY95&lt;0,1-CC95/BY95,CC95/BY95-1)</f>
        <v>0.98039302079661583</v>
      </c>
      <c r="CD97" s="39">
        <f t="shared" ref="CD97" si="536">+IF(BZ95&lt;0,1-CD95/BZ95,CD95/BZ95-1)</f>
        <v>1.7858401701610447</v>
      </c>
      <c r="CE97" s="39">
        <f t="shared" ref="CE97" si="537">+IF(CA95&lt;0,1-CE95/CA95,CE95/CA95-1)</f>
        <v>0.34112751226976612</v>
      </c>
      <c r="CF97" s="39">
        <f t="shared" ref="CF97" si="538">+IF(CB95&lt;0,1-CF95/CB95,CF95/CB95-1)</f>
        <v>0.43444397876501761</v>
      </c>
      <c r="CG97" s="39">
        <f t="shared" ref="CG97" si="539">+IF(CC95&lt;0,1-CG95/CC95,CG95/CC95-1)</f>
        <v>0.19347231183393765</v>
      </c>
      <c r="CH97" s="39">
        <f t="shared" ref="CH97:CL97" si="540">+IF(CD95&lt;0,1-CH95/CD95,CH95/CD95-1)</f>
        <v>-0.43042254750114484</v>
      </c>
      <c r="CI97" s="39">
        <f t="shared" si="540"/>
        <v>0.10508300054267017</v>
      </c>
      <c r="CJ97" s="39">
        <f t="shared" si="540"/>
        <v>1.5397238927710553</v>
      </c>
      <c r="CK97" s="39">
        <f t="shared" si="540"/>
        <v>2.2794772850138898</v>
      </c>
      <c r="CL97" s="39">
        <f t="shared" si="540"/>
        <v>8.7483722711604681</v>
      </c>
      <c r="CM97" s="40">
        <f t="shared" ref="CM97" si="541">+IF(CI95&lt;0,1-CM95/CI95,CM95/CI95-1)</f>
        <v>1.8991081227414095</v>
      </c>
      <c r="CN97" s="40">
        <f t="shared" ref="CN97" si="542">+IF(CJ95&lt;0,1-CN95/CJ95,CN95/CJ95-1)</f>
        <v>1.1071089301977777</v>
      </c>
      <c r="CO97" s="40">
        <f t="shared" ref="CO97" si="543">+IF(CK95&lt;0,1-CO95/CK95,CO95/CK95-1)</f>
        <v>0.26809459700661087</v>
      </c>
      <c r="CP97" s="40">
        <f t="shared" ref="CP97" si="544">+IF(CL95&lt;0,1-CP95/CL95,CP95/CL95-1)</f>
        <v>-8.7022406003221975E-2</v>
      </c>
      <c r="CQ97" s="40">
        <f t="shared" ref="CQ97" si="545">+IF(CM95&lt;0,1-CQ95/CM95,CQ95/CM95-1)</f>
        <v>7.5220948949320299E-2</v>
      </c>
      <c r="CR97" s="40">
        <f t="shared" ref="CR97" si="546">+IF(CN95&lt;0,1-CR95/CN95,CR95/CN95-1)</f>
        <v>0.16386518056832045</v>
      </c>
      <c r="CS97" s="40">
        <f t="shared" ref="CS97" si="547">+IF(CO95&lt;0,1-CS95/CO95,CS95/CO95-1)</f>
        <v>0.27899033156649122</v>
      </c>
      <c r="CT97" s="40">
        <f t="shared" ref="CT97" si="548">+IF(CP95&lt;0,1-CT95/CP95,CT95/CP95-1)</f>
        <v>0.30179434911214487</v>
      </c>
      <c r="CU97" s="40">
        <f t="shared" ref="CU97" si="549">+IF(CQ95&lt;0,1-CU95/CQ95,CU95/CQ95-1)</f>
        <v>0.21756896647240609</v>
      </c>
      <c r="CV97" s="40">
        <f t="shared" ref="CV97" si="550">+IF(CR95&lt;0,1-CV95/CR95,CV95/CR95-1)</f>
        <v>0.12368384105526431</v>
      </c>
      <c r="CW97" s="40">
        <f t="shared" ref="CW97" si="551">+IF(CS95&lt;0,1-CW95/CS95,CW95/CS95-1)</f>
        <v>0.13160638304753358</v>
      </c>
      <c r="CX97" s="40">
        <f t="shared" ref="CX97" si="552">+IF(CT95&lt;0,1-CX95/CT95,CX95/CT95-1)</f>
        <v>0.12973871031971451</v>
      </c>
      <c r="CY97" s="40">
        <f t="shared" ref="CY97" si="553">+IF(CU95&lt;0,1-CY95/CU95,CY95/CU95-1)</f>
        <v>0.18169636531231381</v>
      </c>
      <c r="CZ97" s="40">
        <f t="shared" ref="CZ97" si="554">+IF(CV95&lt;0,1-CZ95/CV95,CZ95/CV95-1)</f>
        <v>0.1871097712656189</v>
      </c>
      <c r="DA97" s="40">
        <f t="shared" ref="DA97" si="555">+IF(CW95&lt;0,1-DA95/CW95,DA95/CW95-1)</f>
        <v>0.17204882454176706</v>
      </c>
      <c r="DB97" s="40">
        <f t="shared" ref="DB97" si="556">+IF(CX95&lt;0,1-DB95/CX95,DB95/CX95-1)</f>
        <v>0.16674993164577989</v>
      </c>
      <c r="DE97" s="122"/>
      <c r="DF97" s="38">
        <v>2.1456942129321885</v>
      </c>
    </row>
    <row r="98" spans="1:110" s="38" customFormat="1" x14ac:dyDescent="0.2">
      <c r="A98" s="39" t="s">
        <v>450</v>
      </c>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40"/>
      <c r="AC98" s="40"/>
      <c r="AD98" s="40"/>
      <c r="AE98" s="40"/>
      <c r="AI98" s="39"/>
      <c r="AJ98" s="39">
        <f>+IF(AI95&lt;0,1-AJ95/AI95,AJ95/AI95-1)</f>
        <v>-1.8618033529678273</v>
      </c>
      <c r="AK98" s="39">
        <f t="shared" ref="AK98:AM98" si="557">+IF(AJ95&lt;0,1-AK95/AJ95,AK95/AJ95-1)</f>
        <v>0.88748685594111454</v>
      </c>
      <c r="AL98" s="39">
        <f t="shared" si="557"/>
        <v>32.77414330218069</v>
      </c>
      <c r="AM98" s="39">
        <f t="shared" si="557"/>
        <v>-1.467277807735675</v>
      </c>
      <c r="AN98" s="39">
        <f t="shared" ref="AN98" si="558">+IF(AM95&lt;0,1-AN95/AM95,AN95/AM95-1)</f>
        <v>0.36319765002098403</v>
      </c>
      <c r="AO98" s="39">
        <f t="shared" ref="AO98" si="559">+IF(AN95&lt;0,1-AO95/AN95,AO95/AN95-1)</f>
        <v>0.72042833607907708</v>
      </c>
      <c r="AP98" s="39">
        <f t="shared" ref="AP98" si="560">+IF(AO95&lt;0,1-AP95/AO95,AP95/AO95-1)</f>
        <v>-3.6776664702415935</v>
      </c>
      <c r="AQ98" s="39">
        <f t="shared" ref="AQ98" si="561">+IF(AP95&lt;0,1-AQ95/AP95,AQ95/AP95-1)</f>
        <v>-0.12181909800957236</v>
      </c>
      <c r="AR98" s="39">
        <f t="shared" ref="AR98" si="562">+IF(AQ95&lt;0,1-AR95/AQ95,AR95/AQ95-1)</f>
        <v>0.13857383492420006</v>
      </c>
      <c r="AS98" s="39">
        <f t="shared" ref="AS98" si="563">+IF(AR95&lt;0,1-AS95/AR95,AS95/AR95-1)</f>
        <v>0.15382609829226479</v>
      </c>
      <c r="AT98" s="39">
        <f t="shared" ref="AT98" si="564">+IF(AS95&lt;0,1-AT95/AS95,AT95/AS95-1)</f>
        <v>0.49067940224926898</v>
      </c>
      <c r="AU98" s="39">
        <f t="shared" ref="AU98" si="565">+IF(AT95&lt;0,1-AU95/AT95,AU95/AT95-1)</f>
        <v>1.5169388989715715</v>
      </c>
      <c r="AV98" s="39">
        <f t="shared" ref="AV98" si="566">+IF(AU95&lt;0,1-AV95/AU95,AV95/AU95-1)</f>
        <v>-0.27501462843769497</v>
      </c>
      <c r="AW98" s="39">
        <f t="shared" ref="AW98" si="567">+IF(AV95&lt;0,1-AW95/AV95,AW95/AV95-1)</f>
        <v>-5.1654560129136828E-2</v>
      </c>
      <c r="AX98" s="39">
        <f t="shared" ref="AX98" si="568">+IF(AW95&lt;0,1-AX95/AW95,AX95/AW95-1)</f>
        <v>6.714042553191546</v>
      </c>
      <c r="AY98" s="39">
        <f t="shared" ref="AY98" si="569">+IF(AX95&lt;0,1-AY95/AX95,AY95/AX95-1)</f>
        <v>-0.93490732568402379</v>
      </c>
      <c r="AZ98" s="39">
        <f t="shared" ref="AZ98" si="570">+IF(AY95&lt;0,1-AZ95/AY95,AZ95/AY95-1)</f>
        <v>-1.1745762711864649</v>
      </c>
      <c r="BA98" s="39">
        <f t="shared" ref="BA98" si="571">+IF(AZ95&lt;0,1-BA95/AZ95,BA95/AZ95-1)</f>
        <v>62.242718446592562</v>
      </c>
      <c r="BB98" s="39">
        <f t="shared" ref="BB98" si="572">+IF(BA95&lt;0,1-BB95/BA95,BB95/BA95-1)</f>
        <v>0.94419784400760864</v>
      </c>
      <c r="BC98" s="39">
        <f t="shared" ref="BC98" si="573">+IF(BB95&lt;0,1-BC95/BB95,BC95/BB95-1)</f>
        <v>-0.42082517938682307</v>
      </c>
      <c r="BD98" s="39">
        <f t="shared" ref="BD98" si="574">+IF(BC95&lt;0,1-BD95/BC95,BD95/BC95-1)</f>
        <v>-1.1474025059833859</v>
      </c>
      <c r="BE98" s="39">
        <f t="shared" ref="BE98" si="575">+IF(BD95&lt;0,1-BE95/BD95,BE95/BD95-1)</f>
        <v>3.0897803247373807</v>
      </c>
      <c r="BF98" s="39">
        <f t="shared" ref="BF98" si="576">+IF(BE95&lt;0,1-BF95/BE95,BF95/BE95-1)</f>
        <v>2.7477148080438387</v>
      </c>
      <c r="BG98" s="39">
        <f t="shared" ref="BG98" si="577">+IF(BF95&lt;0,1-BG95/BF95,BG95/BF95-1)</f>
        <v>-8.7682926829265595E-2</v>
      </c>
      <c r="BH98" s="39">
        <f t="shared" ref="BH98" si="578">+IF(BG95&lt;0,1-BH95/BG95,BH95/BG95-1)</f>
        <v>-0.36118166020585574</v>
      </c>
      <c r="BI98" s="39">
        <f t="shared" ref="BI98" si="579">+IF(BH95&lt;0,1-BI95/BH95,BI95/BH95-1)</f>
        <v>0.57292320569156918</v>
      </c>
      <c r="BJ98" s="39">
        <f t="shared" ref="BJ98" si="580">+IF(BI95&lt;0,1-BJ95/BI95,BJ95/BI95-1)</f>
        <v>-1.5347878142876126</v>
      </c>
      <c r="BK98" s="39">
        <f t="shared" ref="BK98" si="581">+IF(BJ95&lt;0,1-BK95/BJ95,BK95/BJ95-1)</f>
        <v>3.0213930348258784</v>
      </c>
      <c r="BL98" s="39">
        <f t="shared" ref="BL98" si="582">+IF(BK95&lt;0,1-BL95/BK95,BL95/BK95-1)</f>
        <v>-0.66871769628353483</v>
      </c>
      <c r="BM98" s="39">
        <f t="shared" ref="BM98" si="583">+IF(BL95&lt;0,1-BM95/BL95,BM95/BL95-1)</f>
        <v>1.4710252600297187</v>
      </c>
      <c r="BN98" s="39">
        <f t="shared" ref="BN98" si="584">+IF(BM95&lt;0,1-BN95/BM95,BN95/BM95-1)</f>
        <v>-0.45009019843656184</v>
      </c>
      <c r="BO98" s="39">
        <f t="shared" ref="BO98" si="585">+IF(BN95&lt;0,1-BO95/BN95,BO95/BN95-1)</f>
        <v>-3.1008747949699367</v>
      </c>
      <c r="BP98" s="39">
        <f t="shared" ref="BP98" si="586">+IF(BO95&lt;0,1-BP95/BO95,BP95/BO95-1)</f>
        <v>1.4727391021470397</v>
      </c>
      <c r="BQ98" s="39">
        <f t="shared" ref="BQ98" si="587">+IF(BP95&lt;0,1-BQ95/BP95,BQ95/BP95-1)</f>
        <v>1.079273327828242</v>
      </c>
      <c r="BR98" s="39">
        <f t="shared" ref="BR98" si="588">+IF(BQ95&lt;0,1-BR95/BQ95,BR95/BQ95-1)</f>
        <v>-2.4225575853852432E-2</v>
      </c>
      <c r="BS98" s="39">
        <f t="shared" ref="BS98" si="589">+IF(BR95&lt;0,1-BS95/BR95,BS95/BR95-1)</f>
        <v>-0.74087640754307382</v>
      </c>
      <c r="BT98" s="39">
        <f t="shared" ref="BT98" si="590">+IF(BS95&lt;0,1-BT95/BS95,BT95/BS95-1)</f>
        <v>-1.3141361256544504</v>
      </c>
      <c r="BU98" s="39">
        <f t="shared" ref="BU98" si="591">+IF(BT95&lt;0,1-BU95/BT95,BU95/BT95-1)</f>
        <v>54.483333333333228</v>
      </c>
      <c r="BV98" s="39">
        <f t="shared" ref="BV98" si="592">+IF(BU95&lt;0,1-BV95/BU95,BV95/BU95-1)</f>
        <v>2.4945465877220294</v>
      </c>
      <c r="BW98" s="39">
        <f t="shared" ref="BW98" si="593">+IF(BV95&lt;0,1-BW95/BV95,BW95/BV95-1)</f>
        <v>1.3351168182628856</v>
      </c>
      <c r="BX98" s="39">
        <f t="shared" ref="BX98" si="594">+IF(BW95&lt;0,1-BX95/BW95,BX95/BW95-1)</f>
        <v>-0.40074849156037551</v>
      </c>
      <c r="BY98" s="39">
        <f t="shared" ref="BY98" si="595">+IF(BX95&lt;0,1-BY95/BX95,BY95/BX95-1)</f>
        <v>0.44634208513892371</v>
      </c>
      <c r="BZ98" s="39">
        <f t="shared" ref="BZ98" si="596">+IF(BY95&lt;0,1-BZ95/BY95,BZ95/BY95-1)</f>
        <v>-0.27498237574903017</v>
      </c>
      <c r="CA98" s="39">
        <f t="shared" ref="CA98" si="597">+IF(BZ95&lt;0,1-CA95/BZ95,CA95/BZ95-1)</f>
        <v>2.2565785475539331</v>
      </c>
      <c r="CB98" s="39">
        <f t="shared" ref="CB98" si="598">+IF(CA95&lt;0,1-CB95/CA95,CB95/CA95-1)</f>
        <v>-0.46569130572713513</v>
      </c>
      <c r="CC98" s="39">
        <f t="shared" ref="CC98" si="599">+IF(CB95&lt;0,1-CC95/CB95,CC95/CB95-1)</f>
        <v>0.56981698798546976</v>
      </c>
      <c r="CD98" s="39">
        <f t="shared" ref="CD98" si="600">+IF(CC95&lt;0,1-CD95/CC95,CD95/CC95-1)</f>
        <v>1.9890092775936674E-2</v>
      </c>
      <c r="CE98" s="39">
        <f t="shared" ref="CE98" si="601">+IF(CD95&lt;0,1-CE95/CD95,CE95/CD95-1)</f>
        <v>0.56774503174014357</v>
      </c>
      <c r="CF98" s="39">
        <f t="shared" ref="CF98" si="602">+IF(CE95&lt;0,1-CF95/CE95,CF95/CE95-1)</f>
        <v>-0.42851378240360627</v>
      </c>
      <c r="CG98" s="39">
        <f t="shared" ref="CG98" si="603">+IF(CF95&lt;0,1-CG95/CF95,CG95/CF95-1)</f>
        <v>0.30610406369457732</v>
      </c>
      <c r="CH98" s="39">
        <f t="shared" ref="CH98:CI98" si="604">+IF(CG95&lt;0,1-CH95/CG95,CH95/CG95-1)</f>
        <v>-0.51326361314616931</v>
      </c>
      <c r="CI98" s="39">
        <f t="shared" si="604"/>
        <v>2.0417081577939458</v>
      </c>
      <c r="CJ98" s="39">
        <f>+IF(CI95&gt;1,CJ95/CI95-1,1-CJ95/CI95)</f>
        <v>0.31340107530943451</v>
      </c>
      <c r="CK98" s="39">
        <f>+IF(CJ95&gt;1,CK95/CJ95-1,1-CK95/CJ95)</f>
        <v>0.6865371156851281</v>
      </c>
      <c r="CL98" s="39">
        <f>+IF(CK95&gt;1,CL95/CK95-1,1-CL95/CK95)</f>
        <v>0.44684261685643012</v>
      </c>
      <c r="CM98" s="40">
        <f t="shared" ref="CM98:DB98" si="605">+IF(CL95&gt;1,CM95/CL95-1,1-CM95/CL95)</f>
        <v>-9.5414025851569773E-2</v>
      </c>
      <c r="CN98" s="40">
        <f t="shared" si="605"/>
        <v>-4.5403269713537697E-2</v>
      </c>
      <c r="CO98" s="40">
        <f t="shared" si="605"/>
        <v>1.4987205170585494E-2</v>
      </c>
      <c r="CP98" s="40">
        <f t="shared" si="605"/>
        <v>4.1669047678072779E-2</v>
      </c>
      <c r="CQ98" s="40">
        <f t="shared" si="605"/>
        <v>6.5338071739746262E-2</v>
      </c>
      <c r="CR98" s="40">
        <f t="shared" si="605"/>
        <v>3.3296362901453325E-2</v>
      </c>
      <c r="CS98" s="40">
        <f t="shared" si="605"/>
        <v>0.11538590873813792</v>
      </c>
      <c r="CT98" s="40">
        <f t="shared" si="605"/>
        <v>6.0241697254650228E-2</v>
      </c>
      <c r="CU98" s="40">
        <f t="shared" si="605"/>
        <v>-3.5887190349706E-3</v>
      </c>
      <c r="CV98" s="40">
        <f t="shared" si="605"/>
        <v>-4.6379746867625804E-2</v>
      </c>
      <c r="CW98" s="40">
        <f t="shared" si="605"/>
        <v>0.12324994609162054</v>
      </c>
      <c r="CX98" s="40">
        <f t="shared" si="605"/>
        <v>5.8491809190634569E-2</v>
      </c>
      <c r="CY98" s="40">
        <f t="shared" si="605"/>
        <v>4.2237092804709997E-2</v>
      </c>
      <c r="CZ98" s="40">
        <f t="shared" si="605"/>
        <v>-4.201116818105699E-2</v>
      </c>
      <c r="DA98" s="40">
        <f t="shared" si="605"/>
        <v>0.10899919354527499</v>
      </c>
      <c r="DB98" s="40">
        <f t="shared" si="605"/>
        <v>5.3706313389831228E-2</v>
      </c>
      <c r="DE98" s="122"/>
    </row>
    <row r="99" spans="1:110" s="23" customFormat="1" x14ac:dyDescent="0.2">
      <c r="A99" s="23" t="s">
        <v>15</v>
      </c>
      <c r="B99" s="23">
        <f>'Annual Raw'!C27</f>
        <v>15.932</v>
      </c>
      <c r="C99" s="23">
        <f>'Annual Raw'!D27</f>
        <v>15.9398</v>
      </c>
      <c r="D99" s="23">
        <f>'Annual Raw'!E27</f>
        <v>15.901400000000001</v>
      </c>
      <c r="E99" s="23">
        <f>'Annual Raw'!F27</f>
        <v>15.9565</v>
      </c>
      <c r="F99" s="23">
        <f>'Annual Raw'!G27</f>
        <v>16.0655</v>
      </c>
      <c r="G99" s="23">
        <f>'Annual Raw'!H27</f>
        <v>15.8018</v>
      </c>
      <c r="H99" s="23">
        <f>'Annual Raw'!I27</f>
        <v>20.636399999999998</v>
      </c>
      <c r="I99" s="23">
        <f>'Annual Raw'!J27</f>
        <v>21.239000000000001</v>
      </c>
      <c r="J99" s="23">
        <f>'Annual Raw'!K27</f>
        <v>19.5686</v>
      </c>
      <c r="K99" s="23">
        <f>'Annual Raw'!L27</f>
        <v>16.8005</v>
      </c>
      <c r="L99" s="23">
        <f>'Annual Raw'!M27</f>
        <v>19.917999999999999</v>
      </c>
      <c r="M99" s="23">
        <f>'Annual Raw'!N27</f>
        <v>26.011500000000002</v>
      </c>
      <c r="N99" s="23">
        <f>'Annual Raw'!O27</f>
        <v>26.5185</v>
      </c>
      <c r="O99" s="23">
        <f>'Annual Raw'!P27</f>
        <v>26.727499999999999</v>
      </c>
      <c r="P99" s="23">
        <f>'Annual Raw'!Q27</f>
        <v>10.671900000000001</v>
      </c>
      <c r="Q99" s="23">
        <f>'Annual Raw'!R27</f>
        <v>10.647399999999999</v>
      </c>
      <c r="R99" s="23">
        <f>'Annual Raw'!S27</f>
        <v>12.9734</v>
      </c>
      <c r="S99" s="23">
        <f>'Annual Raw'!T27</f>
        <v>13.680099999999999</v>
      </c>
      <c r="T99" s="23">
        <f>'Annual Raw'!U27</f>
        <v>15.078200000000001</v>
      </c>
      <c r="U99" s="23">
        <f>'Annual Raw'!V27</f>
        <v>17.553999999999998</v>
      </c>
      <c r="V99" s="23">
        <f>'Annual Raw'!W27</f>
        <v>13.8253</v>
      </c>
      <c r="W99" s="23">
        <f>'Annual Raw'!X27</f>
        <v>17.98</v>
      </c>
      <c r="X99" s="23">
        <f>'Annual Raw'!Y27</f>
        <v>22.99</v>
      </c>
      <c r="Y99" s="23">
        <f>'Annual Raw'!Z27</f>
        <v>48.99</v>
      </c>
      <c r="Z99" s="23">
        <f>'Annual Raw'!AA27</f>
        <v>80.8</v>
      </c>
      <c r="AA99" s="23">
        <f>'Annual Raw'!AB27</f>
        <v>607.16</v>
      </c>
      <c r="AB99" s="76">
        <f>+SUM(CM99:CP99)</f>
        <v>730.63072959954945</v>
      </c>
      <c r="AC99" s="76">
        <f>+SUM(CQ99:CT99)</f>
        <v>784.94919847698486</v>
      </c>
      <c r="AD99" s="76">
        <f>+SUM(CU99:CX99)</f>
        <v>835.87383212048144</v>
      </c>
      <c r="AE99" s="76">
        <f>+SUM(CY99:DB99)</f>
        <v>883.61667843626958</v>
      </c>
      <c r="AI99" s="23">
        <f>'QTR Raw'!C28</f>
        <v>6.5659999999999998</v>
      </c>
      <c r="AJ99" s="23">
        <f>'QTR Raw'!D28</f>
        <v>6.6580000000000004</v>
      </c>
      <c r="AK99" s="23">
        <f>'QTR Raw'!E28</f>
        <v>6.6769999999999996</v>
      </c>
      <c r="AL99" s="23">
        <f>'QTR Raw'!F28</f>
        <v>6.617</v>
      </c>
      <c r="AM99" s="23">
        <f>'QTR Raw'!G28</f>
        <v>6.6719999999999997</v>
      </c>
      <c r="AN99" s="23">
        <f>'QTR Raw'!H28</f>
        <v>6.7469999999999999</v>
      </c>
      <c r="AO99" s="23">
        <f>'QTR Raw'!I28</f>
        <v>6.7149999999999999</v>
      </c>
      <c r="AP99" s="23">
        <f>'QTR Raw'!J28</f>
        <v>6.5949999999999998</v>
      </c>
      <c r="AQ99" s="23">
        <f>'QTR Raw'!K28</f>
        <v>2.6579999999999999</v>
      </c>
      <c r="AR99" s="23">
        <f>'QTR Raw'!L28</f>
        <v>2.6459999999999999</v>
      </c>
      <c r="AS99" s="23">
        <f>'QTR Raw'!M28</f>
        <v>2.6560000000000001</v>
      </c>
      <c r="AT99" s="23">
        <f>'QTR Raw'!N28</f>
        <v>2.7109999999999999</v>
      </c>
      <c r="AU99" s="23">
        <f>'QTR Raw'!O28</f>
        <v>2.7320000000000002</v>
      </c>
      <c r="AV99" s="23">
        <f>'QTR Raw'!P28</f>
        <v>2.7429999999999999</v>
      </c>
      <c r="AW99" s="23">
        <f>'QTR Raw'!Q28</f>
        <v>2.722</v>
      </c>
      <c r="AX99" s="23">
        <f>'QTR Raw'!R28</f>
        <v>2.4510000000000001</v>
      </c>
      <c r="AY99" s="23">
        <f>'QTR Raw'!S28</f>
        <v>2.968</v>
      </c>
      <c r="AZ99" s="23">
        <f>'QTR Raw'!T28</f>
        <v>3.0009999999999999</v>
      </c>
      <c r="BA99" s="23">
        <f>'QTR Raw'!U28</f>
        <v>3.1859999999999999</v>
      </c>
      <c r="BB99" s="23">
        <f>'QTR Raw'!V28</f>
        <v>3.8180000000000001</v>
      </c>
      <c r="BC99" s="23">
        <f>'QTR Raw'!W28</f>
        <v>3.7120000000000002</v>
      </c>
      <c r="BD99" s="23">
        <f>'QTR Raw'!X28</f>
        <v>3.754</v>
      </c>
      <c r="BE99" s="23">
        <f>'QTR Raw'!Y28</f>
        <v>3.7949999999999999</v>
      </c>
      <c r="BF99" s="23">
        <f>'QTR Raw'!Z28</f>
        <v>2.419</v>
      </c>
      <c r="BG99" s="23">
        <f>'QTR Raw'!AA28</f>
        <v>3.8170000000000002</v>
      </c>
      <c r="BH99" s="23">
        <f>'QTR Raw'!AB28</f>
        <v>3.81</v>
      </c>
      <c r="BI99" s="23">
        <f>'QTR Raw'!AC28</f>
        <v>3.694</v>
      </c>
      <c r="BJ99" s="23">
        <f>'QTR Raw'!AD28</f>
        <v>3.758</v>
      </c>
      <c r="BK99" s="23">
        <f>'QTR Raw'!AE28</f>
        <v>3.976</v>
      </c>
      <c r="BL99" s="23">
        <f>'QTR Raw'!AF28</f>
        <v>4.3079999999999998</v>
      </c>
      <c r="BM99" s="23">
        <f>'QTR Raw'!AG28</f>
        <v>4.673</v>
      </c>
      <c r="BN99" s="23">
        <f>'QTR Raw'!AH28</f>
        <v>4.5970000000000004</v>
      </c>
      <c r="BO99" s="23">
        <f>'QTR Raw'!AI28</f>
        <v>0.23300000000000001</v>
      </c>
      <c r="BP99" s="23">
        <f>'QTR Raw'!AJ28</f>
        <v>4.6520000000000001</v>
      </c>
      <c r="BQ99" s="23">
        <f>'QTR Raw'!AK28</f>
        <v>4.5149999999999997</v>
      </c>
      <c r="BR99" s="23">
        <f>'QTR Raw'!AL28</f>
        <v>4.4260000000000002</v>
      </c>
      <c r="BS99" s="23">
        <f>'QTR Raw'!AM28</f>
        <v>4.5</v>
      </c>
      <c r="BT99" s="23">
        <f>'QTR Raw'!AN28</f>
        <v>4.57</v>
      </c>
      <c r="BU99" s="23">
        <f>'QTR Raw'!AO28</f>
        <v>4.57</v>
      </c>
      <c r="BV99" s="23">
        <f>'QTR Raw'!AP28</f>
        <v>4.34</v>
      </c>
      <c r="BW99" s="23">
        <f>'QTR Raw'!AQ28</f>
        <v>5.0199999999999996</v>
      </c>
      <c r="BX99" s="23">
        <f>'QTR Raw'!AR28</f>
        <v>5.46</v>
      </c>
      <c r="BY99" s="23">
        <f>'QTR Raw'!AS28</f>
        <v>5.69</v>
      </c>
      <c r="BZ99" s="23">
        <f>'QTR Raw'!AT28</f>
        <v>6.83</v>
      </c>
      <c r="CA99" s="23">
        <f>'QTR Raw'!AU28</f>
        <v>7.57</v>
      </c>
      <c r="CB99" s="23">
        <f>'QTR Raw'!AV28</f>
        <v>10.199999999999999</v>
      </c>
      <c r="CC99" s="23">
        <f>'QTR Raw'!AW28</f>
        <v>14.7</v>
      </c>
      <c r="CD99" s="23">
        <f>'QTR Raw'!AX28</f>
        <v>16.52</v>
      </c>
      <c r="CE99" s="23">
        <f>'QTR Raw'!AY28</f>
        <v>18.73</v>
      </c>
      <c r="CF99" s="23">
        <f>'QTR Raw'!AZ28</f>
        <v>17.68</v>
      </c>
      <c r="CG99" s="23">
        <f>'QTR Raw'!BA28</f>
        <v>22.06</v>
      </c>
      <c r="CH99" s="23">
        <f>'QTR Raw'!BB28</f>
        <v>22.34</v>
      </c>
      <c r="CI99" s="23">
        <f>'QTR Raw'!BC28</f>
        <v>30.73</v>
      </c>
      <c r="CJ99" s="23">
        <f>'QTR Raw'!BD28</f>
        <v>166.53</v>
      </c>
      <c r="CK99" s="23">
        <f>'QTR Raw'!BE28</f>
        <v>185.55</v>
      </c>
      <c r="CL99" s="23">
        <f>'QTR Raw'!BF28</f>
        <v>224.35</v>
      </c>
      <c r="CM99" s="24">
        <f t="shared" ref="CM99:DB99" si="606">CM100*CL200</f>
        <v>177.37135999999998</v>
      </c>
      <c r="CN99" s="24">
        <f t="shared" si="606"/>
        <v>180.93341823999998</v>
      </c>
      <c r="CO99" s="24">
        <f t="shared" si="606"/>
        <v>184.43848354815998</v>
      </c>
      <c r="CP99" s="24">
        <f t="shared" si="606"/>
        <v>187.88746781138943</v>
      </c>
      <c r="CQ99" s="24">
        <f t="shared" si="606"/>
        <v>191.28126832640717</v>
      </c>
      <c r="CR99" s="24">
        <f t="shared" si="606"/>
        <v>194.62076803318467</v>
      </c>
      <c r="CS99" s="24">
        <f t="shared" si="606"/>
        <v>197.9068357446537</v>
      </c>
      <c r="CT99" s="24">
        <f t="shared" si="606"/>
        <v>201.14032637273928</v>
      </c>
      <c r="CU99" s="24">
        <f t="shared" si="606"/>
        <v>204.32208115077543</v>
      </c>
      <c r="CV99" s="24">
        <f t="shared" si="606"/>
        <v>207.45292785236305</v>
      </c>
      <c r="CW99" s="24">
        <f t="shared" si="606"/>
        <v>210.5336810067252</v>
      </c>
      <c r="CX99" s="24">
        <f t="shared" si="606"/>
        <v>213.56514211061761</v>
      </c>
      <c r="CY99" s="24">
        <f t="shared" si="606"/>
        <v>216.54809983684774</v>
      </c>
      <c r="CZ99" s="24">
        <f t="shared" si="606"/>
        <v>219.48333023945818</v>
      </c>
      <c r="DA99" s="24">
        <f t="shared" si="606"/>
        <v>222.37159695562687</v>
      </c>
      <c r="DB99" s="24">
        <f t="shared" si="606"/>
        <v>225.21365140433679</v>
      </c>
      <c r="DE99" s="123"/>
      <c r="DF99" s="23">
        <v>607.16</v>
      </c>
    </row>
    <row r="100" spans="1:110" s="46" customFormat="1" x14ac:dyDescent="0.2">
      <c r="A100" s="46" t="s">
        <v>483</v>
      </c>
      <c r="B100" s="46">
        <f t="shared" ref="B100:AE100" si="607">+B99/B200</f>
        <v>6.9445231459404705E-2</v>
      </c>
      <c r="C100" s="46">
        <f t="shared" si="607"/>
        <v>7.479292095358886E-2</v>
      </c>
      <c r="D100" s="46">
        <f t="shared" si="607"/>
        <v>8.0449343383725266E-2</v>
      </c>
      <c r="E100" s="46">
        <f t="shared" si="607"/>
        <v>8.6855253582068206E-2</v>
      </c>
      <c r="F100" s="46">
        <f t="shared" si="607"/>
        <v>9.5610845913916623E-2</v>
      </c>
      <c r="G100" s="46">
        <f t="shared" si="607"/>
        <v>6.7723780167935829E-2</v>
      </c>
      <c r="H100" s="46">
        <f t="shared" si="607"/>
        <v>9.2299558951197472E-2</v>
      </c>
      <c r="I100" s="46">
        <f t="shared" si="607"/>
        <v>0.10767570242185412</v>
      </c>
      <c r="J100" s="46">
        <f t="shared" si="607"/>
        <v>0.10254671528333112</v>
      </c>
      <c r="K100" s="46">
        <f t="shared" si="607"/>
        <v>0.10406485029354084</v>
      </c>
      <c r="L100" s="46">
        <f t="shared" si="607"/>
        <v>5.9568491802827632E-2</v>
      </c>
      <c r="M100" s="46">
        <f t="shared" si="607"/>
        <v>8.2104804637501846E-2</v>
      </c>
      <c r="N100" s="46">
        <f t="shared" si="607"/>
        <v>8.992007443578913E-2</v>
      </c>
      <c r="O100" s="46">
        <f t="shared" si="607"/>
        <v>9.70603893382644E-2</v>
      </c>
      <c r="P100" s="46">
        <f t="shared" si="607"/>
        <v>3.9376479122374478E-2</v>
      </c>
      <c r="Q100" s="46">
        <f t="shared" si="607"/>
        <v>3.6381541136214994E-2</v>
      </c>
      <c r="R100" s="46">
        <f t="shared" si="607"/>
        <v>4.0556018911595416E-2</v>
      </c>
      <c r="S100" s="46">
        <f t="shared" si="607"/>
        <v>3.9284081563265287E-2</v>
      </c>
      <c r="T100" s="46">
        <f t="shared" si="607"/>
        <v>4.2097122508037238E-2</v>
      </c>
      <c r="U100" s="46">
        <f t="shared" si="607"/>
        <v>4.6944954273196948E-2</v>
      </c>
      <c r="V100" s="46">
        <f t="shared" si="607"/>
        <v>3.8225797443337192E-2</v>
      </c>
      <c r="W100" s="46">
        <f t="shared" si="607"/>
        <v>4.4988240004003394E-2</v>
      </c>
      <c r="X100" s="46">
        <f t="shared" si="607"/>
        <v>4.3184251554370078E-2</v>
      </c>
      <c r="Y100" s="46">
        <f t="shared" si="607"/>
        <v>3.9677654490969466E-2</v>
      </c>
      <c r="Z100" s="46">
        <f t="shared" si="607"/>
        <v>4.7795944443129922E-2</v>
      </c>
      <c r="AA100" s="46">
        <f t="shared" ref="AA100" si="608">+AA99/AA200</f>
        <v>5.2917219013454163E-2</v>
      </c>
      <c r="AB100" s="110">
        <f t="shared" si="607"/>
        <v>6.1114670432049434E-2</v>
      </c>
      <c r="AC100" s="110">
        <f t="shared" si="607"/>
        <v>6.1467596183909047E-2</v>
      </c>
      <c r="AD100" s="110">
        <f t="shared" si="607"/>
        <v>6.1759864547432944E-2</v>
      </c>
      <c r="AE100" s="110">
        <f t="shared" si="607"/>
        <v>6.2005405064888608E-2</v>
      </c>
      <c r="AI100" s="46" t="e">
        <f t="shared" ref="AI100:BN100" si="609">+AI99/AH200</f>
        <v>#DIV/0!</v>
      </c>
      <c r="AJ100" s="46" t="e">
        <f t="shared" si="609"/>
        <v>#DIV/0!</v>
      </c>
      <c r="AK100" s="46">
        <f t="shared" si="609"/>
        <v>2.1742599147489518E-2</v>
      </c>
      <c r="AL100" s="46">
        <f t="shared" si="609"/>
        <v>2.1547218595018448E-2</v>
      </c>
      <c r="AM100" s="46">
        <f t="shared" si="609"/>
        <v>2.2325357282677434E-2</v>
      </c>
      <c r="AN100" s="46">
        <f t="shared" si="609"/>
        <v>2.2576316784506095E-2</v>
      </c>
      <c r="AO100" s="46">
        <f t="shared" si="609"/>
        <v>2.3148547139956493E-2</v>
      </c>
      <c r="AP100" s="46">
        <f t="shared" si="609"/>
        <v>2.2734872433062259E-2</v>
      </c>
      <c r="AQ100" s="46">
        <f t="shared" si="609"/>
        <v>9.4907217304677875E-3</v>
      </c>
      <c r="AR100" s="46">
        <f t="shared" si="609"/>
        <v>9.4478742282986337E-3</v>
      </c>
      <c r="AS100" s="46">
        <f t="shared" si="609"/>
        <v>9.4421119615489893E-3</v>
      </c>
      <c r="AT100" s="46">
        <f t="shared" si="609"/>
        <v>9.6376376234033542E-3</v>
      </c>
      <c r="AU100" s="46">
        <f t="shared" si="609"/>
        <v>9.8833318259925838E-3</v>
      </c>
      <c r="AV100" s="46">
        <f t="shared" si="609"/>
        <v>9.9231256217780575E-3</v>
      </c>
      <c r="AW100" s="46">
        <f t="shared" si="609"/>
        <v>9.6141280353200884E-3</v>
      </c>
      <c r="AX100" s="46">
        <f t="shared" si="609"/>
        <v>8.6569536423841062E-3</v>
      </c>
      <c r="AY100" s="46">
        <f t="shared" si="609"/>
        <v>1.0141495733942917E-2</v>
      </c>
      <c r="AZ100" s="46">
        <f t="shared" si="609"/>
        <v>1.0254254952008993E-2</v>
      </c>
      <c r="BA100" s="46">
        <f t="shared" si="609"/>
        <v>1.0794877007521854E-2</v>
      </c>
      <c r="BB100" s="46">
        <f t="shared" si="609"/>
        <v>1.2936233651826253E-2</v>
      </c>
      <c r="BC100" s="46">
        <f t="shared" si="609"/>
        <v>1.1604061421497525E-2</v>
      </c>
      <c r="BD100" s="46">
        <f t="shared" si="609"/>
        <v>1.1735357375081279E-2</v>
      </c>
      <c r="BE100" s="46">
        <f t="shared" si="609"/>
        <v>1.2068307574890288E-2</v>
      </c>
      <c r="BF100" s="46">
        <f t="shared" si="609"/>
        <v>7.6925523118997656E-3</v>
      </c>
      <c r="BG100" s="46">
        <f t="shared" si="609"/>
        <v>1.096098898732178E-2</v>
      </c>
      <c r="BH100" s="46">
        <f t="shared" si="609"/>
        <v>1.0940887618992921E-2</v>
      </c>
      <c r="BI100" s="46">
        <f t="shared" si="609"/>
        <v>9.7423576294475549E-3</v>
      </c>
      <c r="BJ100" s="46">
        <f t="shared" si="609"/>
        <v>9.9111477995300259E-3</v>
      </c>
      <c r="BK100" s="46">
        <f t="shared" si="609"/>
        <v>1.110065693777099E-2</v>
      </c>
      <c r="BL100" s="46">
        <f t="shared" si="609"/>
        <v>1.2027572959737783E-2</v>
      </c>
      <c r="BM100" s="46">
        <f t="shared" si="609"/>
        <v>1.26213382453828E-2</v>
      </c>
      <c r="BN100" s="46">
        <f t="shared" si="609"/>
        <v>1.2416069316076341E-2</v>
      </c>
      <c r="BO100" s="46">
        <f t="shared" ref="BO100:CL100" si="610">+BO99/BN200</f>
        <v>6.2812377003660909E-4</v>
      </c>
      <c r="BP100" s="46">
        <f t="shared" si="610"/>
        <v>1.2540908919357534E-2</v>
      </c>
      <c r="BQ100" s="46">
        <f t="shared" si="610"/>
        <v>1.2320513450234948E-2</v>
      </c>
      <c r="BR100" s="46">
        <f t="shared" si="610"/>
        <v>1.2077650615889234E-2</v>
      </c>
      <c r="BS100" s="46">
        <f t="shared" si="610"/>
        <v>1.2469311638578387E-2</v>
      </c>
      <c r="BT100" s="46">
        <f t="shared" si="610"/>
        <v>1.2663278708511829E-2</v>
      </c>
      <c r="BU100" s="46">
        <f t="shared" si="610"/>
        <v>1.2872260419630058E-2</v>
      </c>
      <c r="BV100" s="46">
        <f t="shared" si="610"/>
        <v>1.2224422367876246E-2</v>
      </c>
      <c r="BW100" s="46">
        <f t="shared" si="610"/>
        <v>1.2579561970630981E-2</v>
      </c>
      <c r="BX100" s="46">
        <f t="shared" si="610"/>
        <v>1.3682153059690273E-2</v>
      </c>
      <c r="BY100" s="46">
        <f t="shared" si="610"/>
        <v>1.4099164952796294E-2</v>
      </c>
      <c r="BZ100" s="46">
        <f t="shared" si="610"/>
        <v>1.6923953713110489E-2</v>
      </c>
      <c r="CA100" s="46">
        <f t="shared" si="610"/>
        <v>1.5713870552580229E-2</v>
      </c>
      <c r="CB100" s="46">
        <f t="shared" si="610"/>
        <v>2.1173246979698589E-2</v>
      </c>
      <c r="CC100" s="46">
        <f t="shared" si="610"/>
        <v>1.6381933068102036E-2</v>
      </c>
      <c r="CD100" s="46">
        <f t="shared" si="610"/>
        <v>1.841017240034324E-2</v>
      </c>
      <c r="CE100" s="46">
        <f t="shared" si="610"/>
        <v>1.6191917008861034E-2</v>
      </c>
      <c r="CF100" s="46">
        <f t="shared" si="610"/>
        <v>1.5284201426410201E-2</v>
      </c>
      <c r="CG100" s="46">
        <f t="shared" si="610"/>
        <v>1.5237226907588912E-2</v>
      </c>
      <c r="CH100" s="46">
        <f t="shared" si="610"/>
        <v>1.5430627793088682E-2</v>
      </c>
      <c r="CI100" s="46">
        <f t="shared" si="610"/>
        <v>1.817783877150226E-2</v>
      </c>
      <c r="CJ100" s="46">
        <f t="shared" si="610"/>
        <v>0.10033196970701114</v>
      </c>
      <c r="CK100" s="46">
        <f t="shared" si="610"/>
        <v>2.8829794672198011E-2</v>
      </c>
      <c r="CL100" s="46">
        <f t="shared" si="610"/>
        <v>3.5893128549716019E-2</v>
      </c>
      <c r="CM100" s="47">
        <v>1.6E-2</v>
      </c>
      <c r="CN100" s="47">
        <f t="shared" ref="CN100:DB100" si="611">+CM100</f>
        <v>1.6E-2</v>
      </c>
      <c r="CO100" s="47">
        <f t="shared" si="611"/>
        <v>1.6E-2</v>
      </c>
      <c r="CP100" s="47">
        <f t="shared" si="611"/>
        <v>1.6E-2</v>
      </c>
      <c r="CQ100" s="47">
        <f>+CP100</f>
        <v>1.6E-2</v>
      </c>
      <c r="CR100" s="47">
        <f>+CQ100</f>
        <v>1.6E-2</v>
      </c>
      <c r="CS100" s="47">
        <f t="shared" si="611"/>
        <v>1.6E-2</v>
      </c>
      <c r="CT100" s="47">
        <f t="shared" si="611"/>
        <v>1.6E-2</v>
      </c>
      <c r="CU100" s="47">
        <f t="shared" si="611"/>
        <v>1.6E-2</v>
      </c>
      <c r="CV100" s="47">
        <f t="shared" si="611"/>
        <v>1.6E-2</v>
      </c>
      <c r="CW100" s="47">
        <f t="shared" si="611"/>
        <v>1.6E-2</v>
      </c>
      <c r="CX100" s="47">
        <f t="shared" si="611"/>
        <v>1.6E-2</v>
      </c>
      <c r="CY100" s="47">
        <f t="shared" si="611"/>
        <v>1.6E-2</v>
      </c>
      <c r="CZ100" s="47">
        <f t="shared" si="611"/>
        <v>1.6E-2</v>
      </c>
      <c r="DA100" s="47">
        <f t="shared" si="611"/>
        <v>1.6E-2</v>
      </c>
      <c r="DB100" s="47">
        <f t="shared" si="611"/>
        <v>1.6E-2</v>
      </c>
      <c r="DE100" s="130"/>
      <c r="DF100" s="46">
        <v>5.2917219013454163E-2</v>
      </c>
    </row>
    <row r="101" spans="1:110" s="26" customFormat="1" x14ac:dyDescent="0.2">
      <c r="A101" s="34" t="s">
        <v>16</v>
      </c>
      <c r="B101" s="26">
        <f>B95-B99</f>
        <v>-9.4427999999999823</v>
      </c>
      <c r="C101" s="26">
        <f t="shared" ref="C101:T101" si="612">C95-C99</f>
        <v>-12.906799999999995</v>
      </c>
      <c r="D101" s="26">
        <f>D95-D99</f>
        <v>-8.8162000000000074</v>
      </c>
      <c r="E101" s="26">
        <f t="shared" si="612"/>
        <v>-9.3878999999999753</v>
      </c>
      <c r="F101" s="26">
        <f t="shared" si="612"/>
        <v>9.2875000000000227</v>
      </c>
      <c r="G101" s="26">
        <f t="shared" si="612"/>
        <v>-16.505099999999977</v>
      </c>
      <c r="H101" s="26">
        <f t="shared" si="612"/>
        <v>-19.164600000000039</v>
      </c>
      <c r="I101" s="26">
        <f t="shared" si="612"/>
        <v>13.451799999999974</v>
      </c>
      <c r="J101" s="26">
        <f t="shared" si="612"/>
        <v>31.217800000000029</v>
      </c>
      <c r="K101" s="26">
        <f t="shared" si="612"/>
        <v>17.54030000000008</v>
      </c>
      <c r="L101" s="26">
        <f t="shared" si="612"/>
        <v>2.243200000000023</v>
      </c>
      <c r="M101" s="26">
        <f t="shared" si="612"/>
        <v>1.4794999999999483</v>
      </c>
      <c r="N101" s="26">
        <f t="shared" si="612"/>
        <v>-5.8480999999999419</v>
      </c>
      <c r="O101" s="26">
        <f t="shared" si="612"/>
        <v>-51.963699999999953</v>
      </c>
      <c r="P101" s="26">
        <f t="shared" si="612"/>
        <v>-37.046699999999944</v>
      </c>
      <c r="Q101" s="26">
        <f t="shared" si="612"/>
        <v>2.5381999999999945</v>
      </c>
      <c r="R101" s="26">
        <f t="shared" si="612"/>
        <v>1.8147000000000215</v>
      </c>
      <c r="S101" s="26">
        <f t="shared" si="612"/>
        <v>2.7645000000000017</v>
      </c>
      <c r="T101" s="26">
        <f t="shared" si="612"/>
        <v>0.67849999999998012</v>
      </c>
      <c r="U101" s="26">
        <f t="shared" ref="U101:Z101" si="613">U95-U99</f>
        <v>3.5739000000000267</v>
      </c>
      <c r="V101" s="26">
        <f t="shared" si="613"/>
        <v>-2.9534999999999787</v>
      </c>
      <c r="W101" s="26">
        <f t="shared" si="613"/>
        <v>127.55</v>
      </c>
      <c r="X101" s="26">
        <f t="shared" si="613"/>
        <v>787.3</v>
      </c>
      <c r="Y101" s="26">
        <f t="shared" si="613"/>
        <v>1682.2599999999991</v>
      </c>
      <c r="Z101" s="26">
        <f t="shared" si="613"/>
        <v>1874.9399999999998</v>
      </c>
      <c r="AA101" s="26">
        <f t="shared" ref="AA101" si="614">AA95-AA99</f>
        <v>5544.9999999999982</v>
      </c>
      <c r="AB101" s="27">
        <f t="shared" ref="AB101:AD101" si="615">AB95-AB99</f>
        <v>8324.3627704004502</v>
      </c>
      <c r="AC101" s="27">
        <f t="shared" si="615"/>
        <v>10127.090576500243</v>
      </c>
      <c r="AD101" s="27">
        <f t="shared" si="615"/>
        <v>11699.155684686875</v>
      </c>
      <c r="AE101" s="27">
        <f t="shared" ref="AE101" si="616">AE95-AE99</f>
        <v>13862.312685230632</v>
      </c>
      <c r="AI101" s="26">
        <f t="shared" ref="AI101" si="617">AI95-AI99</f>
        <v>5.5000000000007709E-2</v>
      </c>
      <c r="AJ101" s="26">
        <f t="shared" ref="AJ101" si="618">AJ95-AJ99</f>
        <v>-12.36399999999999</v>
      </c>
      <c r="AK101" s="26">
        <f t="shared" ref="AK101:AM101" si="619">AK95-AK99</f>
        <v>-7.3189999999999991</v>
      </c>
      <c r="AL101" s="26">
        <f t="shared" si="619"/>
        <v>13.781999999999986</v>
      </c>
      <c r="AM101" s="26">
        <f t="shared" si="619"/>
        <v>-16.204000000000025</v>
      </c>
      <c r="AN101" s="26">
        <f t="shared" ref="AN101:AO101" si="620">AN95-AN99</f>
        <v>-12.816999999999997</v>
      </c>
      <c r="AO101" s="26">
        <f t="shared" si="620"/>
        <v>-8.4120000000000008</v>
      </c>
      <c r="AP101" s="26">
        <f t="shared" ref="AP101:CD101" si="621">AP95-AP99</f>
        <v>-14.532999999999987</v>
      </c>
      <c r="AQ101" s="26">
        <f t="shared" si="621"/>
        <v>-11.562999999999972</v>
      </c>
      <c r="AR101" s="26">
        <f t="shared" si="621"/>
        <v>-10.316999999999975</v>
      </c>
      <c r="AS101" s="26">
        <f t="shared" si="621"/>
        <v>-9.1470000000000162</v>
      </c>
      <c r="AT101" s="26">
        <f t="shared" si="621"/>
        <v>-6.017000000000003</v>
      </c>
      <c r="AU101" s="26">
        <f t="shared" si="621"/>
        <v>-1.0229999999999828</v>
      </c>
      <c r="AV101" s="26">
        <f t="shared" si="621"/>
        <v>-1.504000000000008</v>
      </c>
      <c r="AW101" s="26">
        <f t="shared" si="621"/>
        <v>-1.5470000000000081</v>
      </c>
      <c r="AX101" s="26">
        <f t="shared" si="621"/>
        <v>6.6130000000000031</v>
      </c>
      <c r="AY101" s="26">
        <f t="shared" si="621"/>
        <v>-2.3779999999999912</v>
      </c>
      <c r="AZ101" s="26">
        <f t="shared" si="621"/>
        <v>-3.1040000000000156</v>
      </c>
      <c r="BA101" s="26">
        <f t="shared" si="621"/>
        <v>3.1219999999999981</v>
      </c>
      <c r="BB101" s="26">
        <f t="shared" si="621"/>
        <v>8.4459999999999926</v>
      </c>
      <c r="BC101" s="26">
        <f t="shared" si="621"/>
        <v>3.3909999999999978</v>
      </c>
      <c r="BD101" s="26">
        <f t="shared" si="621"/>
        <v>-4.8009999999999895</v>
      </c>
      <c r="BE101" s="26">
        <f t="shared" si="621"/>
        <v>-1.6069999999999833</v>
      </c>
      <c r="BF101" s="26">
        <f t="shared" si="621"/>
        <v>5.780999999999981</v>
      </c>
      <c r="BG101" s="26">
        <f t="shared" si="621"/>
        <v>3.664000000000005</v>
      </c>
      <c r="BH101" s="26">
        <f t="shared" si="621"/>
        <v>0.96899999999999631</v>
      </c>
      <c r="BI101" s="26">
        <f t="shared" si="621"/>
        <v>3.8230000000000031</v>
      </c>
      <c r="BJ101" s="26">
        <f t="shared" si="621"/>
        <v>-7.7779999999999854</v>
      </c>
      <c r="BK101" s="26">
        <f t="shared" si="621"/>
        <v>4.1500000000000012</v>
      </c>
      <c r="BL101" s="26">
        <f t="shared" si="621"/>
        <v>-1.6160000000000032</v>
      </c>
      <c r="BM101" s="26">
        <f t="shared" si="621"/>
        <v>1.9789999999999939</v>
      </c>
      <c r="BN101" s="26">
        <f t="shared" si="621"/>
        <v>-0.93900000000001338</v>
      </c>
      <c r="BO101" s="26">
        <f t="shared" si="621"/>
        <v>-7.9180000000000001</v>
      </c>
      <c r="BP101" s="26">
        <f t="shared" si="621"/>
        <v>-1.0189999999999992</v>
      </c>
      <c r="BQ101" s="26">
        <f t="shared" si="621"/>
        <v>3.0390000000000059</v>
      </c>
      <c r="BR101" s="26">
        <f t="shared" si="621"/>
        <v>2.9450000000000038</v>
      </c>
      <c r="BS101" s="26">
        <f t="shared" si="621"/>
        <v>-2.5899999999999963</v>
      </c>
      <c r="BT101" s="26">
        <f t="shared" si="621"/>
        <v>-5.1700000000000017</v>
      </c>
      <c r="BU101" s="26">
        <f t="shared" si="621"/>
        <v>27.52000000000001</v>
      </c>
      <c r="BV101" s="26">
        <f t="shared" si="621"/>
        <v>107.79999999999995</v>
      </c>
      <c r="BW101" s="26">
        <f t="shared" si="621"/>
        <v>256.83999999999992</v>
      </c>
      <c r="BX101" s="26">
        <f t="shared" si="621"/>
        <v>151.46</v>
      </c>
      <c r="BY101" s="26">
        <f t="shared" si="621"/>
        <v>221.26999999999992</v>
      </c>
      <c r="BZ101" s="26">
        <f t="shared" si="621"/>
        <v>157.72000000000006</v>
      </c>
      <c r="CA101" s="26">
        <f t="shared" si="621"/>
        <v>528.29999999999984</v>
      </c>
      <c r="CB101" s="26">
        <f t="shared" si="621"/>
        <v>276.12000000000006</v>
      </c>
      <c r="CC101" s="26">
        <f t="shared" si="621"/>
        <v>434.76999999999981</v>
      </c>
      <c r="CD101" s="26">
        <f t="shared" si="621"/>
        <v>441.8900000000001</v>
      </c>
      <c r="CE101" s="26">
        <f t="shared" ref="CE101:CF101" si="622">CE95-CE99</f>
        <v>699.93999999999937</v>
      </c>
      <c r="CF101" s="26">
        <f t="shared" si="622"/>
        <v>393.02999999999992</v>
      </c>
      <c r="CG101" s="26">
        <f t="shared" ref="CG101:CH101" si="623">CG95-CG99</f>
        <v>514.36999999999978</v>
      </c>
      <c r="CH101" s="26">
        <f t="shared" si="623"/>
        <v>238.76000000000025</v>
      </c>
      <c r="CI101" s="26">
        <f t="shared" ref="CI101:CJ101" si="624">CI95-CI99</f>
        <v>763.46</v>
      </c>
      <c r="CJ101" s="26">
        <f t="shared" si="624"/>
        <v>876.56</v>
      </c>
      <c r="CK101" s="26">
        <f t="shared" ref="CK101:CL101" si="625">CK95-CK99</f>
        <v>1573.66</v>
      </c>
      <c r="CL101" s="26">
        <f t="shared" si="625"/>
        <v>2320.9500000000007</v>
      </c>
      <c r="CM101" s="27">
        <f t="shared" ref="CM101:DB101" si="626">CM95-CM99</f>
        <v>2125.07132</v>
      </c>
      <c r="CN101" s="27">
        <f t="shared" si="626"/>
        <v>2016.9708357599995</v>
      </c>
      <c r="CO101" s="27">
        <f t="shared" si="626"/>
        <v>2046.40621245184</v>
      </c>
      <c r="CP101" s="27">
        <f t="shared" si="626"/>
        <v>2135.9144021886104</v>
      </c>
      <c r="CQ101" s="27">
        <f t="shared" si="626"/>
        <v>2284.3533349646091</v>
      </c>
      <c r="CR101" s="27">
        <f t="shared" si="626"/>
        <v>2363.4434634204049</v>
      </c>
      <c r="CS101" s="27">
        <f t="shared" si="626"/>
        <v>2655.3219616657348</v>
      </c>
      <c r="CT101" s="27">
        <f t="shared" si="626"/>
        <v>2823.9718164494957</v>
      </c>
      <c r="CU101" s="27">
        <f t="shared" si="626"/>
        <v>2809.9337841415927</v>
      </c>
      <c r="CV101" s="27">
        <f t="shared" si="626"/>
        <v>2667.0025134134885</v>
      </c>
      <c r="CW101" s="27">
        <f t="shared" si="626"/>
        <v>3018.1982384379085</v>
      </c>
      <c r="CX101" s="27">
        <f t="shared" si="626"/>
        <v>3204.0211486938824</v>
      </c>
      <c r="CY101" s="27">
        <f t="shared" si="626"/>
        <v>3345.387100300467</v>
      </c>
      <c r="CZ101" s="27">
        <f t="shared" si="626"/>
        <v>3192.8108111548609</v>
      </c>
      <c r="DA101" s="27">
        <f t="shared" si="626"/>
        <v>3561.8598539899394</v>
      </c>
      <c r="DB101" s="27">
        <f t="shared" si="626"/>
        <v>3762.2549197853677</v>
      </c>
      <c r="DE101" s="121"/>
      <c r="DF101" s="26">
        <v>5544.9999999999982</v>
      </c>
    </row>
    <row r="102" spans="1:110" s="23" customFormat="1" x14ac:dyDescent="0.2">
      <c r="A102" s="23" t="s">
        <v>17</v>
      </c>
      <c r="B102" s="23">
        <f>'Annual Raw'!C23</f>
        <v>2.4842</v>
      </c>
      <c r="C102" s="23">
        <f>'Annual Raw'!D23</f>
        <v>1.4049</v>
      </c>
      <c r="D102" s="23">
        <f>'Annual Raw'!E23</f>
        <v>1.2411000000000001</v>
      </c>
      <c r="E102" s="23">
        <f>'Annual Raw'!F23</f>
        <v>1.6714</v>
      </c>
      <c r="F102" s="23">
        <f>'Annual Raw'!G23</f>
        <v>0.46060000000000001</v>
      </c>
      <c r="G102" s="23">
        <f>'Annual Raw'!H23</f>
        <v>1.681</v>
      </c>
      <c r="H102" s="23">
        <f>'Annual Raw'!I23</f>
        <v>0.97040000000000004</v>
      </c>
      <c r="I102" s="23">
        <f>'Annual Raw'!J23</f>
        <v>1.8049999999999999</v>
      </c>
      <c r="J102" s="23">
        <f>'Annual Raw'!K23</f>
        <v>5.2752999999999997</v>
      </c>
      <c r="K102" s="23">
        <f>'Annual Raw'!L23</f>
        <v>9.6310000000000002</v>
      </c>
      <c r="L102" s="23">
        <f>'Annual Raw'!M23</f>
        <v>23.687999999999999</v>
      </c>
      <c r="M102" s="23">
        <f>'Annual Raw'!N23</f>
        <v>17.198699999999999</v>
      </c>
      <c r="N102" s="23">
        <f>'Annual Raw'!O23</f>
        <v>16.262899999999998</v>
      </c>
      <c r="O102" s="23">
        <f>'Annual Raw'!P23</f>
        <v>16.676600000000001</v>
      </c>
      <c r="P102" s="23">
        <f>'Annual Raw'!Q23</f>
        <v>22.424600000000002</v>
      </c>
      <c r="Q102" s="23">
        <f>'Annual Raw'!R23</f>
        <v>14.1121</v>
      </c>
      <c r="R102" s="23">
        <f>'Annual Raw'!S23</f>
        <v>13.921200000000001</v>
      </c>
      <c r="S102" s="23">
        <f>'Annual Raw'!T23</f>
        <v>24.683399999999999</v>
      </c>
      <c r="T102" s="23">
        <f>'Annual Raw'!U23</f>
        <v>30.841999999999999</v>
      </c>
      <c r="U102" s="23">
        <f>'Annual Raw'!V23</f>
        <v>25.623100000000001</v>
      </c>
      <c r="V102" s="23">
        <f>'Annual Raw'!W23</f>
        <v>19.9025</v>
      </c>
      <c r="W102" s="23">
        <f>'Annual Raw'!X23</f>
        <v>29.75</v>
      </c>
      <c r="X102" s="23">
        <f>'Annual Raw'!Y23</f>
        <v>74.459999999999994</v>
      </c>
      <c r="Y102" s="23">
        <f>'Annual Raw'!Z23</f>
        <v>49.95</v>
      </c>
      <c r="Z102" s="23">
        <f>'Annual Raw'!AA23</f>
        <v>53.71</v>
      </c>
      <c r="AA102" s="23">
        <f>'Annual Raw'!AB23</f>
        <v>193.73</v>
      </c>
      <c r="AB102" s="76">
        <f t="shared" ref="AB102:AB103" si="627">+SUM(CM102:CP102)</f>
        <v>0</v>
      </c>
      <c r="AC102" s="76">
        <f t="shared" ref="AC102:AC103" si="628">+SUM(CQ102:CT102)</f>
        <v>0</v>
      </c>
      <c r="AD102" s="76">
        <f t="shared" ref="AD102:AD103" si="629">+SUM(CU102:CX102)</f>
        <v>0</v>
      </c>
      <c r="AE102" s="76">
        <f t="shared" ref="AE102:AE103" si="630">+SUM(CY102:DB102)</f>
        <v>0</v>
      </c>
      <c r="AI102" s="23">
        <f>'QTR Raw'!C23</f>
        <v>3.6070000000000002</v>
      </c>
      <c r="AJ102" s="23">
        <f>'QTR Raw'!D23</f>
        <v>12.914999999999999</v>
      </c>
      <c r="AK102" s="23">
        <f>'QTR Raw'!E23</f>
        <v>2.38</v>
      </c>
      <c r="AL102" s="23">
        <f>'QTR Raw'!F23</f>
        <v>-2.6389999999999998</v>
      </c>
      <c r="AM102" s="23">
        <f>'QTR Raw'!G23</f>
        <v>5.21</v>
      </c>
      <c r="AN102" s="23">
        <f>'QTR Raw'!H23</f>
        <v>3.7149999999999999</v>
      </c>
      <c r="AO102" s="23">
        <f>'QTR Raw'!I23</f>
        <v>4.1710000000000003</v>
      </c>
      <c r="AP102" s="23">
        <f>'QTR Raw'!J23</f>
        <v>3.581</v>
      </c>
      <c r="AQ102" s="23">
        <f>'QTR Raw'!K23</f>
        <v>4.3929999999999998</v>
      </c>
      <c r="AR102" s="23">
        <f>'QTR Raw'!L23</f>
        <v>8.8970000000000002</v>
      </c>
      <c r="AS102" s="23">
        <f>'QTR Raw'!M23</f>
        <v>4.0110000000000001</v>
      </c>
      <c r="AT102" s="23">
        <f>'QTR Raw'!N23</f>
        <v>5.1230000000000002</v>
      </c>
      <c r="AU102" s="23">
        <f>'QTR Raw'!O23</f>
        <v>4.78</v>
      </c>
      <c r="AV102" s="23">
        <f>'QTR Raw'!P23</f>
        <v>3.2679999999999998</v>
      </c>
      <c r="AW102" s="23">
        <f>'QTR Raw'!Q23</f>
        <v>3.2360000000000002</v>
      </c>
      <c r="AX102" s="23">
        <f>'QTR Raw'!R23</f>
        <v>2.8279999999999998</v>
      </c>
      <c r="AY102" s="23">
        <f>'QTR Raw'!S23</f>
        <v>3.67</v>
      </c>
      <c r="AZ102" s="23">
        <f>'QTR Raw'!T23</f>
        <v>4.3090000000000002</v>
      </c>
      <c r="BA102" s="23">
        <f>'QTR Raw'!U23</f>
        <v>0</v>
      </c>
      <c r="BB102" s="23">
        <f>'QTR Raw'!V23</f>
        <v>1.6719999999999999</v>
      </c>
      <c r="BC102" s="23">
        <f>'QTR Raw'!W23</f>
        <v>4.2039999999999997</v>
      </c>
      <c r="BD102" s="23">
        <f>'QTR Raw'!X23</f>
        <v>6.0039999999999996</v>
      </c>
      <c r="BE102" s="23">
        <f>'QTR Raw'!Y23</f>
        <v>6.9169999999999998</v>
      </c>
      <c r="BF102" s="23">
        <f>'QTR Raw'!Z23</f>
        <v>7.5590000000000002</v>
      </c>
      <c r="BG102" s="23">
        <f>'QTR Raw'!AA23</f>
        <v>8.3810000000000002</v>
      </c>
      <c r="BH102" s="23">
        <f>'QTR Raw'!AB23</f>
        <v>1.6319999999999999</v>
      </c>
      <c r="BI102" s="23">
        <f>'QTR Raw'!AC23</f>
        <v>0.27700000000000002</v>
      </c>
      <c r="BJ102" s="23">
        <f>'QTR Raw'!AD23</f>
        <v>20.552</v>
      </c>
      <c r="BK102" s="23">
        <f>'QTR Raw'!AE23</f>
        <v>7.2370000000000001</v>
      </c>
      <c r="BL102" s="23">
        <f>'QTR Raw'!AF23</f>
        <v>5.0990000000000002</v>
      </c>
      <c r="BM102" s="23">
        <f>'QTR Raw'!AG23</f>
        <v>5.55</v>
      </c>
      <c r="BN102" s="23">
        <f>'QTR Raw'!AH23</f>
        <v>7.7359999999999998</v>
      </c>
      <c r="BO102" s="23">
        <f>'QTR Raw'!AI23</f>
        <v>0.70199999999999996</v>
      </c>
      <c r="BP102" s="23">
        <f>'QTR Raw'!AJ23</f>
        <v>5.7030000000000003</v>
      </c>
      <c r="BQ102" s="23">
        <f>'QTR Raw'!AK23</f>
        <v>6.2160000000000002</v>
      </c>
      <c r="BR102" s="23">
        <f>'QTR Raw'!AL23</f>
        <v>7.2809999999999997</v>
      </c>
      <c r="BS102" s="23">
        <f>'QTR Raw'!AM23</f>
        <v>8.09</v>
      </c>
      <c r="BT102" s="23">
        <f>'QTR Raw'!AN23</f>
        <v>8.19</v>
      </c>
      <c r="BU102" s="23">
        <f>'QTR Raw'!AO23</f>
        <v>3.07</v>
      </c>
      <c r="BV102" s="23">
        <f>'QTR Raw'!AP23</f>
        <v>10.4</v>
      </c>
      <c r="BW102" s="23">
        <f>'QTR Raw'!AQ23</f>
        <v>12.62</v>
      </c>
      <c r="BX102" s="23">
        <f>'QTR Raw'!AR23</f>
        <v>12.6</v>
      </c>
      <c r="BY102" s="23">
        <f>'QTR Raw'!AS23</f>
        <v>29.78</v>
      </c>
      <c r="BZ102" s="23">
        <f>'QTR Raw'!AT23</f>
        <v>19.46</v>
      </c>
      <c r="CA102" s="23">
        <f>'QTR Raw'!AU23</f>
        <v>11.87</v>
      </c>
      <c r="CB102" s="23">
        <f>'QTR Raw'!AV23</f>
        <v>19.920000000000002</v>
      </c>
      <c r="CC102" s="23">
        <f>'QTR Raw'!AW23</f>
        <v>11.28</v>
      </c>
      <c r="CD102" s="23">
        <f>'QTR Raw'!AX23</f>
        <v>8.06</v>
      </c>
      <c r="CE102" s="23">
        <f>'QTR Raw'!AY23</f>
        <v>5.82</v>
      </c>
      <c r="CF102" s="23">
        <f>'QTR Raw'!AZ23</f>
        <v>34.11</v>
      </c>
      <c r="CG102" s="23">
        <f>'QTR Raw'!BA23</f>
        <v>18.02</v>
      </c>
      <c r="CH102" s="23">
        <f>'QTR Raw'!BB23</f>
        <v>19.260000000000002</v>
      </c>
      <c r="CI102" s="23">
        <f>'QTR Raw'!BC23</f>
        <v>28.19</v>
      </c>
      <c r="CJ102" s="23">
        <f>'QTR Raw'!BD23</f>
        <v>55.47</v>
      </c>
      <c r="CK102" s="23">
        <f>'QTR Raw'!BE23</f>
        <v>97.23</v>
      </c>
      <c r="CL102" s="23">
        <f>'QTR Raw'!BF23</f>
        <v>11.21</v>
      </c>
      <c r="CM102" s="24"/>
      <c r="CN102" s="24"/>
      <c r="CO102" s="24"/>
      <c r="CP102" s="24"/>
      <c r="CQ102" s="24"/>
      <c r="CR102" s="24"/>
      <c r="CS102" s="24"/>
      <c r="CT102" s="24"/>
      <c r="CU102" s="24"/>
      <c r="CV102" s="24"/>
      <c r="CW102" s="24"/>
      <c r="CX102" s="24"/>
      <c r="CY102" s="24"/>
      <c r="CZ102" s="24"/>
      <c r="DA102" s="24"/>
      <c r="DB102" s="24"/>
      <c r="DE102" s="123"/>
      <c r="DF102" s="23">
        <v>193.73</v>
      </c>
    </row>
    <row r="103" spans="1:110" s="23" customFormat="1" x14ac:dyDescent="0.2">
      <c r="A103" s="23" t="s">
        <v>18</v>
      </c>
      <c r="B103" s="23">
        <f>'Annual Raw'!C25</f>
        <v>65.359899999999996</v>
      </c>
      <c r="C103" s="23">
        <f>'Annual Raw'!D25</f>
        <v>74.803600000000003</v>
      </c>
      <c r="D103" s="23">
        <f>'Annual Raw'!E25</f>
        <v>24.838999999999999</v>
      </c>
      <c r="E103" s="23">
        <f>'Annual Raw'!F25</f>
        <v>7.1647999999999996</v>
      </c>
      <c r="F103" s="23">
        <f>'Annual Raw'!G25</f>
        <v>4.1778000000000004</v>
      </c>
      <c r="G103" s="23">
        <f>'Annual Raw'!H25</f>
        <v>5.1315999999999997</v>
      </c>
      <c r="H103" s="23">
        <f>'Annual Raw'!I25</f>
        <v>12.3703</v>
      </c>
      <c r="I103" s="23">
        <f>'Annual Raw'!J25</f>
        <v>21.2317</v>
      </c>
      <c r="J103" s="23">
        <f>'Annual Raw'!K25</f>
        <v>7.8893000000000004</v>
      </c>
      <c r="K103" s="23">
        <f>'Annual Raw'!L25</f>
        <v>9.2826000000000004</v>
      </c>
      <c r="L103" s="23">
        <f>'Annual Raw'!M25</f>
        <v>7.3263999999999996</v>
      </c>
      <c r="M103" s="23">
        <f>'Annual Raw'!N25</f>
        <v>14.9459</v>
      </c>
      <c r="N103" s="23">
        <f>'Annual Raw'!O25</f>
        <v>8.4992999999999999</v>
      </c>
      <c r="O103" s="23">
        <f>'Annual Raw'!P25</f>
        <v>7.1585999999999999</v>
      </c>
      <c r="P103" s="23">
        <f>'Annual Raw'!Q25</f>
        <v>6.1962999999999999</v>
      </c>
      <c r="Q103" s="23">
        <f>'Annual Raw'!R25</f>
        <v>9.6997999999999998</v>
      </c>
      <c r="R103" s="23">
        <f>'Annual Raw'!S25</f>
        <v>10.1639</v>
      </c>
      <c r="S103" s="23">
        <f>'Annual Raw'!T25</f>
        <v>10.4138</v>
      </c>
      <c r="T103" s="23">
        <f>'Annual Raw'!U25</f>
        <v>10.8872</v>
      </c>
      <c r="U103" s="23">
        <f>'Annual Raw'!V25</f>
        <v>16.1038</v>
      </c>
      <c r="V103" s="23">
        <f>'Annual Raw'!W25</f>
        <v>16.822199999999999</v>
      </c>
      <c r="W103" s="23">
        <f>'Annual Raw'!X25</f>
        <v>18.14</v>
      </c>
      <c r="X103" s="23">
        <f>'Annual Raw'!Y25</f>
        <v>65.040000000000006</v>
      </c>
      <c r="Y103" s="23">
        <f>'Annual Raw'!Z25</f>
        <v>5.68</v>
      </c>
      <c r="Z103" s="23">
        <f>'Annual Raw'!AA25</f>
        <v>27.22</v>
      </c>
      <c r="AA103" s="23">
        <f>'Annual Raw'!AB25</f>
        <v>522.36</v>
      </c>
      <c r="AB103" s="76">
        <f t="shared" si="627"/>
        <v>163.75878925317596</v>
      </c>
      <c r="AC103" s="76">
        <f t="shared" si="628"/>
        <v>298.78939683843282</v>
      </c>
      <c r="AD103" s="76">
        <f t="shared" si="629"/>
        <v>198.29023257169391</v>
      </c>
      <c r="AE103" s="76">
        <f t="shared" si="630"/>
        <v>79.355154084202027</v>
      </c>
      <c r="AI103" s="23">
        <f>'QTR Raw'!C25</f>
        <v>2.1269999999999998</v>
      </c>
      <c r="AJ103" s="23">
        <f>'QTR Raw'!D25</f>
        <v>1.897</v>
      </c>
      <c r="AK103" s="23">
        <f>'QTR Raw'!E25</f>
        <v>1.32</v>
      </c>
      <c r="AL103" s="23">
        <f>'QTR Raw'!F25</f>
        <v>3.1560000000000001</v>
      </c>
      <c r="AM103" s="23">
        <f>'QTR Raw'!G25</f>
        <v>1.7150000000000001</v>
      </c>
      <c r="AN103" s="23">
        <f>'QTR Raw'!H25</f>
        <v>1.7030000000000001</v>
      </c>
      <c r="AO103" s="23">
        <f>'QTR Raw'!I25</f>
        <v>1.6719999999999999</v>
      </c>
      <c r="AP103" s="23">
        <f>'QTR Raw'!J25</f>
        <v>2.0680000000000001</v>
      </c>
      <c r="AQ103" s="23">
        <f>'QTR Raw'!K25</f>
        <v>1.397</v>
      </c>
      <c r="AR103" s="23">
        <f>'QTR Raw'!L25</f>
        <v>1.6240000000000001</v>
      </c>
      <c r="AS103" s="23">
        <f>'QTR Raw'!M25</f>
        <v>1.5069999999999999</v>
      </c>
      <c r="AT103" s="23">
        <f>'QTR Raw'!N25</f>
        <v>1.6679999999999999</v>
      </c>
      <c r="AU103" s="23">
        <f>'QTR Raw'!O25</f>
        <v>1.0169999999999999</v>
      </c>
      <c r="AV103" s="23">
        <f>'QTR Raw'!P25</f>
        <v>1.4059999999999999</v>
      </c>
      <c r="AW103" s="23">
        <f>'QTR Raw'!Q25</f>
        <v>1.4339999999999999</v>
      </c>
      <c r="AX103" s="23">
        <f>'QTR Raw'!R25</f>
        <v>5.843</v>
      </c>
      <c r="AY103" s="23">
        <f>'QTR Raw'!S25</f>
        <v>1.153</v>
      </c>
      <c r="AZ103" s="23">
        <f>'QTR Raw'!T25</f>
        <v>0.89600000000000002</v>
      </c>
      <c r="BA103" s="23">
        <f>'QTR Raw'!U25</f>
        <v>2.6930000000000001</v>
      </c>
      <c r="BB103" s="23">
        <f>'QTR Raw'!V25</f>
        <v>5.4219999999999997</v>
      </c>
      <c r="BC103" s="23">
        <f>'QTR Raw'!W25</f>
        <v>2.3130000000000002</v>
      </c>
      <c r="BD103" s="23">
        <f>'QTR Raw'!X25</f>
        <v>1.022</v>
      </c>
      <c r="BE103" s="23">
        <f>'QTR Raw'!Y25</f>
        <v>3.7370000000000001</v>
      </c>
      <c r="BF103" s="23">
        <f>'QTR Raw'!Z25</f>
        <v>3.3420000000000001</v>
      </c>
      <c r="BG103" s="23">
        <f>'QTR Raw'!AA25</f>
        <v>1.784</v>
      </c>
      <c r="BH103" s="23">
        <f>'QTR Raw'!AB25</f>
        <v>1.901</v>
      </c>
      <c r="BI103" s="23">
        <f>'QTR Raw'!AC25</f>
        <v>2.2519999999999998</v>
      </c>
      <c r="BJ103" s="23">
        <f>'QTR Raw'!AD25</f>
        <v>4.95</v>
      </c>
      <c r="BK103" s="23">
        <f>'QTR Raw'!AE25</f>
        <v>3.8980000000000001</v>
      </c>
      <c r="BL103" s="23">
        <f>'QTR Raw'!AF25</f>
        <v>3.47</v>
      </c>
      <c r="BM103" s="23">
        <f>'QTR Raw'!AG25</f>
        <v>4.4459999999999997</v>
      </c>
      <c r="BN103" s="23">
        <f>'QTR Raw'!AH25</f>
        <v>4.29</v>
      </c>
      <c r="BO103" s="23">
        <f>'QTR Raw'!AI25</f>
        <v>2.2200000000000002</v>
      </c>
      <c r="BP103" s="23">
        <f>'QTR Raw'!AJ25</f>
        <v>3.0659999999999998</v>
      </c>
      <c r="BQ103" s="23">
        <f>'QTR Raw'!AK25</f>
        <v>6.6589999999999998</v>
      </c>
      <c r="BR103" s="23">
        <f>'QTR Raw'!AL25</f>
        <v>4.8769999999999998</v>
      </c>
      <c r="BS103" s="23">
        <f>'QTR Raw'!AM25</f>
        <v>5.68</v>
      </c>
      <c r="BT103" s="23">
        <f>'QTR Raw'!AN25</f>
        <v>2.71</v>
      </c>
      <c r="BU103" s="23">
        <f>'QTR Raw'!AO25</f>
        <v>5.42</v>
      </c>
      <c r="BV103" s="23">
        <f>'QTR Raw'!AP25</f>
        <v>4.34</v>
      </c>
      <c r="BW103" s="23">
        <f>'QTR Raw'!AQ25</f>
        <v>5.39</v>
      </c>
      <c r="BX103" s="23">
        <f>'QTR Raw'!AR25</f>
        <v>21.35</v>
      </c>
      <c r="BY103" s="23">
        <f>'QTR Raw'!AS25</f>
        <v>21.02</v>
      </c>
      <c r="BZ103" s="23">
        <f>'QTR Raw'!AT25</f>
        <v>17.28</v>
      </c>
      <c r="CA103" s="23">
        <f>'QTR Raw'!AU25</f>
        <v>0.51</v>
      </c>
      <c r="CB103" s="23">
        <f>'QTR Raw'!AV25</f>
        <v>0.99</v>
      </c>
      <c r="CC103" s="23">
        <f>'QTR Raw'!AW25</f>
        <v>1.86</v>
      </c>
      <c r="CD103" s="23">
        <f>'QTR Raw'!AX25</f>
        <v>2.3199999999999998</v>
      </c>
      <c r="CE103" s="23">
        <f>'QTR Raw'!AY25</f>
        <v>1.89</v>
      </c>
      <c r="CF103" s="23">
        <f>'QTR Raw'!AZ25</f>
        <v>3.62</v>
      </c>
      <c r="CG103" s="23">
        <f>'QTR Raw'!BA25</f>
        <v>8.31</v>
      </c>
      <c r="CH103" s="23">
        <f>'QTR Raw'!BB25</f>
        <v>13.4</v>
      </c>
      <c r="CI103" s="23">
        <f>'QTR Raw'!BC25</f>
        <v>14.63</v>
      </c>
      <c r="CJ103" s="23">
        <f>'QTR Raw'!BD25</f>
        <v>175.8</v>
      </c>
      <c r="CK103" s="23">
        <f>'QTR Raw'!BE25</f>
        <v>152.37</v>
      </c>
      <c r="CL103" s="23">
        <f>'QTR Raw'!BF25</f>
        <v>167.56</v>
      </c>
      <c r="CM103" s="24">
        <f t="shared" ref="CM103:DB103" si="631">CM104*CL234</f>
        <v>44.809722000000008</v>
      </c>
      <c r="CN103" s="24">
        <f t="shared" si="631"/>
        <v>42.718091037855736</v>
      </c>
      <c r="CO103" s="24">
        <f t="shared" si="631"/>
        <v>38.42387196395039</v>
      </c>
      <c r="CP103" s="24">
        <f t="shared" si="631"/>
        <v>37.807104251369829</v>
      </c>
      <c r="CQ103" s="24">
        <f t="shared" si="631"/>
        <v>74.426206357701247</v>
      </c>
      <c r="CR103" s="24">
        <f t="shared" si="631"/>
        <v>81.734460931717535</v>
      </c>
      <c r="CS103" s="24">
        <f t="shared" si="631"/>
        <v>72.858104743290895</v>
      </c>
      <c r="CT103" s="24">
        <f t="shared" si="631"/>
        <v>69.770624805723145</v>
      </c>
      <c r="CU103" s="24">
        <f t="shared" si="631"/>
        <v>62.903759951077475</v>
      </c>
      <c r="CV103" s="24">
        <f t="shared" si="631"/>
        <v>53.939873406049564</v>
      </c>
      <c r="CW103" s="24">
        <f t="shared" si="631"/>
        <v>41.776173401322204</v>
      </c>
      <c r="CX103" s="24">
        <f t="shared" si="631"/>
        <v>39.670425813244655</v>
      </c>
      <c r="CY103" s="24">
        <f t="shared" si="631"/>
        <v>33.37034494087775</v>
      </c>
      <c r="CZ103" s="24">
        <f t="shared" si="631"/>
        <v>26.079158995314721</v>
      </c>
      <c r="DA103" s="24">
        <f t="shared" si="631"/>
        <v>11.836552923488435</v>
      </c>
      <c r="DB103" s="24">
        <f t="shared" si="631"/>
        <v>8.0690972245211192</v>
      </c>
      <c r="DE103" s="123"/>
      <c r="DF103" s="23">
        <v>522.36</v>
      </c>
    </row>
    <row r="104" spans="1:110" s="46" customFormat="1" x14ac:dyDescent="0.2">
      <c r="A104" s="46" t="s">
        <v>482</v>
      </c>
      <c r="B104" s="46">
        <f t="shared" ref="B104:AE104" si="632">+B103/B194</f>
        <v>0.16139908726404667</v>
      </c>
      <c r="C104" s="46">
        <f t="shared" si="632"/>
        <v>0.15620691073726742</v>
      </c>
      <c r="D104" s="46">
        <f t="shared" si="632"/>
        <v>4.899494191676166E-2</v>
      </c>
      <c r="E104" s="46">
        <f t="shared" si="632"/>
        <v>1.475028399978754E-2</v>
      </c>
      <c r="F104" s="46">
        <f t="shared" si="632"/>
        <v>1.345948960383456E-2</v>
      </c>
      <c r="G104" s="46">
        <f t="shared" si="632"/>
        <v>2.4392527851336582E-2</v>
      </c>
      <c r="H104" s="46">
        <f t="shared" si="632"/>
        <v>6.4067963221634036E-2</v>
      </c>
      <c r="I104" s="46">
        <f t="shared" si="632"/>
        <v>0.15711159802186955</v>
      </c>
      <c r="J104" s="46">
        <f t="shared" si="632"/>
        <v>0.12026060300266611</v>
      </c>
      <c r="K104" s="46">
        <f t="shared" si="632"/>
        <v>0.20440087462593889</v>
      </c>
      <c r="L104" s="46">
        <f t="shared" si="632"/>
        <v>0.19294064357439503</v>
      </c>
      <c r="M104" s="46">
        <f t="shared" si="632"/>
        <v>0.46217190708260147</v>
      </c>
      <c r="N104" s="46">
        <f t="shared" si="632"/>
        <v>0.32406927265240132</v>
      </c>
      <c r="O104" s="46">
        <f t="shared" si="632"/>
        <v>0.33435465338950593</v>
      </c>
      <c r="P104" s="46">
        <f t="shared" si="632"/>
        <v>0.26828803630112963</v>
      </c>
      <c r="Q104" s="46">
        <f t="shared" si="632"/>
        <v>0.79574391284373558</v>
      </c>
      <c r="R104" s="46">
        <f t="shared" si="632"/>
        <v>0.39039819932628378</v>
      </c>
      <c r="S104" s="46">
        <f t="shared" si="632"/>
        <v>0.35295393615254522</v>
      </c>
      <c r="T104" s="46">
        <f t="shared" si="632"/>
        <v>0.11768915370654029</v>
      </c>
      <c r="U104" s="46">
        <f t="shared" si="632"/>
        <v>0.13356202160208405</v>
      </c>
      <c r="V104" s="46">
        <f t="shared" si="632"/>
        <v>9.6761947272210616E-2</v>
      </c>
      <c r="W104" s="46">
        <f t="shared" si="632"/>
        <v>0.19010689582896667</v>
      </c>
      <c r="X104" s="46">
        <f t="shared" si="632"/>
        <v>41.426751592356688</v>
      </c>
      <c r="Y104" s="46" t="e">
        <f t="shared" si="632"/>
        <v>#DIV/0!</v>
      </c>
      <c r="Z104" s="46">
        <f t="shared" si="632"/>
        <v>2.6328771098321806E-2</v>
      </c>
      <c r="AA104" s="46">
        <f t="shared" ref="AA104" si="633">+AA103/AA194</f>
        <v>2.5630457438602892E-2</v>
      </c>
      <c r="AB104" s="110">
        <f t="shared" si="632"/>
        <v>8.0350998115925887E-3</v>
      </c>
      <c r="AC104" s="110">
        <f t="shared" si="632"/>
        <v>1.466060317856065E-2</v>
      </c>
      <c r="AD104" s="110">
        <f t="shared" si="632"/>
        <v>9.729443028027078E-3</v>
      </c>
      <c r="AE104" s="110">
        <f t="shared" si="632"/>
        <v>3.8936938074516595E-3</v>
      </c>
      <c r="AI104" s="46" t="e">
        <f t="shared" ref="AI104:BN104" si="634">(AI103-AI102)/AH234</f>
        <v>#DIV/0!</v>
      </c>
      <c r="AJ104" s="46" t="e">
        <f t="shared" si="634"/>
        <v>#DIV/0!</v>
      </c>
      <c r="AK104" s="46">
        <f t="shared" si="634"/>
        <v>-5.8843122016209608E-2</v>
      </c>
      <c r="AL104" s="46">
        <f t="shared" si="634"/>
        <v>0.17665191884738665</v>
      </c>
      <c r="AM104" s="46">
        <f t="shared" si="634"/>
        <v>-0.27454831107619798</v>
      </c>
      <c r="AN104" s="46">
        <f t="shared" si="634"/>
        <v>-2.0788551683133049E-2</v>
      </c>
      <c r="AO104" s="46">
        <f t="shared" si="634"/>
        <v>-0.23813607775871934</v>
      </c>
      <c r="AP104" s="46">
        <f t="shared" si="634"/>
        <v>0.32376984697896061</v>
      </c>
      <c r="AQ104" s="46">
        <f t="shared" si="634"/>
        <v>-0.51601791250430573</v>
      </c>
      <c r="AR104" s="46">
        <f t="shared" si="634"/>
        <v>-0.35484478268674252</v>
      </c>
      <c r="AS104" s="46">
        <f t="shared" si="634"/>
        <v>-0.57616198803497476</v>
      </c>
      <c r="AT104" s="46">
        <f t="shared" si="634"/>
        <v>-2.9842549438484297E-2</v>
      </c>
      <c r="AU104" s="46">
        <f t="shared" si="634"/>
        <v>-0.49702813366794352</v>
      </c>
      <c r="AV104" s="46">
        <f t="shared" si="634"/>
        <v>-0.44943880174834205</v>
      </c>
      <c r="AW104" s="46">
        <f t="shared" si="634"/>
        <v>-0.68621477532368624</v>
      </c>
      <c r="AX104" s="46">
        <f t="shared" si="634"/>
        <v>1.3475215395822009</v>
      </c>
      <c r="AY104" s="46">
        <f t="shared" si="634"/>
        <v>-0.55871254162042161</v>
      </c>
      <c r="AZ104" s="46">
        <f t="shared" si="634"/>
        <v>-0.55848515379294494</v>
      </c>
      <c r="BA104" s="46">
        <f t="shared" si="634"/>
        <v>0.16875548314325106</v>
      </c>
      <c r="BB104" s="46">
        <f t="shared" si="634"/>
        <v>0.16167754703730494</v>
      </c>
      <c r="BC104" s="46">
        <f t="shared" si="634"/>
        <v>-0.10579612845473869</v>
      </c>
      <c r="BD104" s="46">
        <f t="shared" si="634"/>
        <v>-0.31054077449181783</v>
      </c>
      <c r="BE104" s="46">
        <f t="shared" si="634"/>
        <v>-0.42610210371164403</v>
      </c>
      <c r="BF104" s="46">
        <f t="shared" si="634"/>
        <v>-0.28556518252382346</v>
      </c>
      <c r="BG104" s="46">
        <f t="shared" si="634"/>
        <v>-0.29921081277213352</v>
      </c>
      <c r="BH104" s="46">
        <f t="shared" si="634"/>
        <v>1.7402208924043545E-2</v>
      </c>
      <c r="BI104" s="46">
        <f t="shared" si="634"/>
        <v>9.7767437255581388E-2</v>
      </c>
      <c r="BJ104" s="46">
        <f t="shared" si="634"/>
        <v>-0.77137304616669033</v>
      </c>
      <c r="BK104" s="46">
        <f t="shared" si="634"/>
        <v>-4.3455626846441164E-2</v>
      </c>
      <c r="BL104" s="46">
        <f t="shared" si="634"/>
        <v>-2.3831244779677803E-2</v>
      </c>
      <c r="BM104" s="46">
        <f t="shared" si="634"/>
        <v>-1.1493056278498408E-2</v>
      </c>
      <c r="BN104" s="46">
        <f t="shared" si="634"/>
        <v>-3.3070675067482062E-2</v>
      </c>
      <c r="BO104" s="46">
        <f t="shared" ref="BO104:CL104" si="635">(BO103-BO102)/BN234</f>
        <v>1.8907170525738912E-2</v>
      </c>
      <c r="BP104" s="46">
        <f t="shared" si="635"/>
        <v>-4.2537163751018937E-2</v>
      </c>
      <c r="BQ104" s="46">
        <f t="shared" si="635"/>
        <v>4.7795783613490675E-3</v>
      </c>
      <c r="BR104" s="46">
        <f t="shared" si="635"/>
        <v>-2.6665272185613691E-2</v>
      </c>
      <c r="BS104" s="46">
        <f t="shared" si="635"/>
        <v>-2.541604269051486E-2</v>
      </c>
      <c r="BT104" s="46">
        <f t="shared" si="635"/>
        <v>-5.7430684198947098E-2</v>
      </c>
      <c r="BU104" s="46">
        <f t="shared" si="635"/>
        <v>4.1537781705700397E-2</v>
      </c>
      <c r="BV104" s="46">
        <f t="shared" si="635"/>
        <v>-4.3731380923214873E-2</v>
      </c>
      <c r="BW104" s="46">
        <f t="shared" si="635"/>
        <v>-0.20746054519368726</v>
      </c>
      <c r="BX104" s="46">
        <f t="shared" si="635"/>
        <v>7.0944277328892167E-3</v>
      </c>
      <c r="BY104" s="46">
        <f t="shared" si="635"/>
        <v>-0.31308077197998574</v>
      </c>
      <c r="BZ104" s="46">
        <f t="shared" si="635"/>
        <v>1.4490327754209586E-2</v>
      </c>
      <c r="CA104" s="46">
        <f t="shared" si="635"/>
        <v>3.7700783220496477E-2</v>
      </c>
      <c r="CB104" s="46">
        <f t="shared" si="635"/>
        <v>4.3875796503456875E-2</v>
      </c>
      <c r="CC104" s="46">
        <f t="shared" si="635"/>
        <v>2.0661066391770667E-2</v>
      </c>
      <c r="CD104" s="46">
        <f t="shared" si="635"/>
        <v>1.0278319699402133E-2</v>
      </c>
      <c r="CE104" s="46">
        <f t="shared" si="635"/>
        <v>1.2430414979757089E-2</v>
      </c>
      <c r="CF104" s="46">
        <f t="shared" si="635"/>
        <v>3.3132601308408616E-2</v>
      </c>
      <c r="CG104" s="46">
        <f t="shared" si="635"/>
        <v>8.8460101852104907E-3</v>
      </c>
      <c r="CH104" s="46">
        <f t="shared" si="635"/>
        <v>4.1557935743485302E-3</v>
      </c>
      <c r="CI104" s="46">
        <f t="shared" si="635"/>
        <v>-6.2224669603524276E-2</v>
      </c>
      <c r="CJ104" s="46">
        <f t="shared" si="635"/>
        <v>0.35468768503938042</v>
      </c>
      <c r="CK104" s="46">
        <f t="shared" si="635"/>
        <v>7.9288160842519387E-3</v>
      </c>
      <c r="CL104" s="46">
        <f t="shared" si="635"/>
        <v>2.1559863917237278E-2</v>
      </c>
      <c r="CM104" s="47">
        <v>2.5500000000000002E-3</v>
      </c>
      <c r="CN104" s="47">
        <f t="shared" ref="CN104" si="636">+CM104</f>
        <v>2.5500000000000002E-3</v>
      </c>
      <c r="CO104" s="47">
        <f t="shared" ref="CO104" si="637">+CN104</f>
        <v>2.5500000000000002E-3</v>
      </c>
      <c r="CP104" s="47">
        <f t="shared" ref="CP104" si="638">+CO104</f>
        <v>2.5500000000000002E-3</v>
      </c>
      <c r="CQ104" s="47">
        <v>5.0000000000000001E-3</v>
      </c>
      <c r="CR104" s="47">
        <f t="shared" ref="CR104" si="639">+CQ104</f>
        <v>5.0000000000000001E-3</v>
      </c>
      <c r="CS104" s="47">
        <f t="shared" ref="CS104" si="640">+CR104</f>
        <v>5.0000000000000001E-3</v>
      </c>
      <c r="CT104" s="47">
        <f t="shared" ref="CT104" si="641">+CS104</f>
        <v>5.0000000000000001E-3</v>
      </c>
      <c r="CU104" s="47">
        <f t="shared" ref="CU104" si="642">+CT104</f>
        <v>5.0000000000000001E-3</v>
      </c>
      <c r="CV104" s="47">
        <f t="shared" ref="CV104" si="643">+CU104</f>
        <v>5.0000000000000001E-3</v>
      </c>
      <c r="CW104" s="47">
        <f t="shared" ref="CW104" si="644">+CV104</f>
        <v>5.0000000000000001E-3</v>
      </c>
      <c r="CX104" s="47">
        <f t="shared" ref="CX104" si="645">+CW104</f>
        <v>5.0000000000000001E-3</v>
      </c>
      <c r="CY104" s="47">
        <f t="shared" ref="CY104" si="646">+CX104</f>
        <v>5.0000000000000001E-3</v>
      </c>
      <c r="CZ104" s="47">
        <f t="shared" ref="CZ104" si="647">+CY104</f>
        <v>5.0000000000000001E-3</v>
      </c>
      <c r="DA104" s="47">
        <f t="shared" ref="DA104" si="648">+CZ104</f>
        <v>5.0000000000000001E-3</v>
      </c>
      <c r="DB104" s="47">
        <f t="shared" ref="DB104" si="649">+DA104</f>
        <v>5.0000000000000001E-3</v>
      </c>
      <c r="DE104" s="130"/>
      <c r="DF104" s="46">
        <v>2.5630457438602892E-2</v>
      </c>
    </row>
    <row r="105" spans="1:110" s="26" customFormat="1" x14ac:dyDescent="0.2">
      <c r="A105" s="26" t="s">
        <v>20</v>
      </c>
      <c r="B105" s="26">
        <f>B101+B102-B103</f>
        <v>-72.318499999999972</v>
      </c>
      <c r="C105" s="26">
        <f t="shared" ref="C105:T105" si="650">C101+C102-C103</f>
        <v>-86.305499999999995</v>
      </c>
      <c r="D105" s="26">
        <f>D101+D102-D103</f>
        <v>-32.414100000000005</v>
      </c>
      <c r="E105" s="26">
        <f t="shared" si="650"/>
        <v>-14.881299999999975</v>
      </c>
      <c r="F105" s="26">
        <f t="shared" si="650"/>
        <v>5.5703000000000218</v>
      </c>
      <c r="G105" s="26">
        <f t="shared" si="650"/>
        <v>-19.955699999999975</v>
      </c>
      <c r="H105" s="26">
        <f t="shared" si="650"/>
        <v>-30.564500000000038</v>
      </c>
      <c r="I105" s="26">
        <f t="shared" si="650"/>
        <v>-5.9749000000000265</v>
      </c>
      <c r="J105" s="26">
        <f t="shared" si="650"/>
        <v>28.603800000000028</v>
      </c>
      <c r="K105" s="26">
        <f t="shared" si="650"/>
        <v>17.888700000000078</v>
      </c>
      <c r="L105" s="26">
        <f t="shared" si="650"/>
        <v>18.604800000000022</v>
      </c>
      <c r="M105" s="26">
        <f t="shared" si="650"/>
        <v>3.7322999999999471</v>
      </c>
      <c r="N105" s="26">
        <f t="shared" si="650"/>
        <v>1.9155000000000566</v>
      </c>
      <c r="O105" s="26">
        <f t="shared" si="650"/>
        <v>-42.445699999999952</v>
      </c>
      <c r="P105" s="26">
        <f t="shared" si="650"/>
        <v>-20.818399999999944</v>
      </c>
      <c r="Q105" s="26">
        <f t="shared" si="650"/>
        <v>6.9504999999999946</v>
      </c>
      <c r="R105" s="26">
        <f t="shared" si="650"/>
        <v>5.5720000000000223</v>
      </c>
      <c r="S105" s="26">
        <f t="shared" si="650"/>
        <v>17.034100000000002</v>
      </c>
      <c r="T105" s="26">
        <f t="shared" si="650"/>
        <v>20.633299999999977</v>
      </c>
      <c r="U105" s="26">
        <f t="shared" ref="U105:Z105" si="651">U101+U102-U103</f>
        <v>13.093200000000028</v>
      </c>
      <c r="V105" s="26">
        <f t="shared" si="651"/>
        <v>0.12680000000002067</v>
      </c>
      <c r="W105" s="26">
        <f t="shared" si="651"/>
        <v>139.16000000000003</v>
      </c>
      <c r="X105" s="26">
        <f t="shared" si="651"/>
        <v>796.72</v>
      </c>
      <c r="Y105" s="26">
        <f t="shared" si="651"/>
        <v>1726.5299999999991</v>
      </c>
      <c r="Z105" s="26">
        <f t="shared" si="651"/>
        <v>1901.4299999999998</v>
      </c>
      <c r="AA105" s="26">
        <f t="shared" ref="AA105" si="652">AA101+AA102-AA103</f>
        <v>5216.3699999999981</v>
      </c>
      <c r="AB105" s="27">
        <f t="shared" ref="AB105:AD105" si="653">AB101+AB102-AB103</f>
        <v>8160.6039811472747</v>
      </c>
      <c r="AC105" s="27">
        <f t="shared" si="653"/>
        <v>9828.3011796618102</v>
      </c>
      <c r="AD105" s="27">
        <f t="shared" si="653"/>
        <v>11500.865452115182</v>
      </c>
      <c r="AE105" s="27">
        <f t="shared" ref="AE105" si="654">AE101+AE102-AE103</f>
        <v>13782.95753114643</v>
      </c>
      <c r="AI105" s="26">
        <f>AI101+AI102-AI103</f>
        <v>1.5350000000000081</v>
      </c>
      <c r="AJ105" s="26">
        <f t="shared" ref="AJ105" si="655">AJ101+AJ102-AJ103</f>
        <v>-1.345999999999991</v>
      </c>
      <c r="AK105" s="26">
        <f t="shared" ref="AK105:AM105" si="656">AK101+AK102-AK103</f>
        <v>-6.2589999999999995</v>
      </c>
      <c r="AL105" s="26">
        <f t="shared" si="656"/>
        <v>7.9869999999999859</v>
      </c>
      <c r="AM105" s="26">
        <f t="shared" si="656"/>
        <v>-12.709000000000024</v>
      </c>
      <c r="AN105" s="26">
        <f t="shared" ref="AN105:AO105" si="657">AN101+AN102-AN103</f>
        <v>-10.804999999999996</v>
      </c>
      <c r="AO105" s="26">
        <f t="shared" si="657"/>
        <v>-5.9130000000000003</v>
      </c>
      <c r="AP105" s="26">
        <f t="shared" ref="AP105:CD105" si="658">AP101+AP102-AP103</f>
        <v>-13.019999999999987</v>
      </c>
      <c r="AQ105" s="26">
        <f t="shared" si="658"/>
        <v>-8.5669999999999717</v>
      </c>
      <c r="AR105" s="26">
        <f t="shared" si="658"/>
        <v>-3.0439999999999752</v>
      </c>
      <c r="AS105" s="26">
        <f t="shared" si="658"/>
        <v>-6.6430000000000158</v>
      </c>
      <c r="AT105" s="26">
        <f t="shared" si="658"/>
        <v>-2.5620000000000029</v>
      </c>
      <c r="AU105" s="26">
        <f t="shared" si="658"/>
        <v>2.7400000000000175</v>
      </c>
      <c r="AV105" s="26">
        <f t="shared" si="658"/>
        <v>0.35799999999999188</v>
      </c>
      <c r="AW105" s="26">
        <f t="shared" si="658"/>
        <v>0.25499999999999212</v>
      </c>
      <c r="AX105" s="26">
        <f t="shared" si="658"/>
        <v>3.5980000000000025</v>
      </c>
      <c r="AY105" s="26">
        <f t="shared" si="658"/>
        <v>0.13900000000000867</v>
      </c>
      <c r="AZ105" s="26">
        <f t="shared" si="658"/>
        <v>0.30899999999998451</v>
      </c>
      <c r="BA105" s="26">
        <f t="shared" si="658"/>
        <v>0.42899999999999805</v>
      </c>
      <c r="BB105" s="26">
        <f t="shared" si="658"/>
        <v>4.6959999999999935</v>
      </c>
      <c r="BC105" s="26">
        <f t="shared" si="658"/>
        <v>5.2819999999999965</v>
      </c>
      <c r="BD105" s="26">
        <f t="shared" si="658"/>
        <v>0.18100000000001004</v>
      </c>
      <c r="BE105" s="26">
        <f t="shared" si="658"/>
        <v>1.5730000000000164</v>
      </c>
      <c r="BF105" s="26">
        <f t="shared" si="658"/>
        <v>9.9979999999999816</v>
      </c>
      <c r="BG105" s="26">
        <f t="shared" si="658"/>
        <v>10.261000000000005</v>
      </c>
      <c r="BH105" s="26">
        <f t="shared" si="658"/>
        <v>0.6999999999999964</v>
      </c>
      <c r="BI105" s="26">
        <f t="shared" si="658"/>
        <v>1.8480000000000034</v>
      </c>
      <c r="BJ105" s="26">
        <f t="shared" si="658"/>
        <v>7.8240000000000149</v>
      </c>
      <c r="BK105" s="26">
        <f t="shared" si="658"/>
        <v>7.4890000000000008</v>
      </c>
      <c r="BL105" s="26">
        <f t="shared" si="658"/>
        <v>1.2999999999996792E-2</v>
      </c>
      <c r="BM105" s="26">
        <f t="shared" si="658"/>
        <v>3.082999999999994</v>
      </c>
      <c r="BN105" s="26">
        <f t="shared" si="658"/>
        <v>2.5069999999999864</v>
      </c>
      <c r="BO105" s="26">
        <f t="shared" si="658"/>
        <v>-9.4359999999999999</v>
      </c>
      <c r="BP105" s="26">
        <f t="shared" si="658"/>
        <v>1.6180000000000012</v>
      </c>
      <c r="BQ105" s="26">
        <f t="shared" si="658"/>
        <v>2.5960000000000063</v>
      </c>
      <c r="BR105" s="26">
        <f t="shared" si="658"/>
        <v>5.3490000000000029</v>
      </c>
      <c r="BS105" s="26">
        <f t="shared" si="658"/>
        <v>-0.17999999999999616</v>
      </c>
      <c r="BT105" s="26">
        <f t="shared" si="658"/>
        <v>0.30999999999999783</v>
      </c>
      <c r="BU105" s="26">
        <f t="shared" si="658"/>
        <v>25.170000000000009</v>
      </c>
      <c r="BV105" s="26">
        <f t="shared" si="658"/>
        <v>113.85999999999996</v>
      </c>
      <c r="BW105" s="26">
        <f t="shared" si="658"/>
        <v>264.06999999999994</v>
      </c>
      <c r="BX105" s="26">
        <f t="shared" si="658"/>
        <v>142.71</v>
      </c>
      <c r="BY105" s="26">
        <f t="shared" si="658"/>
        <v>230.02999999999992</v>
      </c>
      <c r="BZ105" s="26">
        <f t="shared" si="658"/>
        <v>159.90000000000006</v>
      </c>
      <c r="CA105" s="26">
        <f t="shared" si="658"/>
        <v>539.65999999999985</v>
      </c>
      <c r="CB105" s="26">
        <f t="shared" si="658"/>
        <v>295.05000000000007</v>
      </c>
      <c r="CC105" s="26">
        <f t="shared" si="658"/>
        <v>444.18999999999977</v>
      </c>
      <c r="CD105" s="26">
        <f t="shared" si="658"/>
        <v>447.63000000000011</v>
      </c>
      <c r="CE105" s="26">
        <f t="shared" ref="CE105:CF105" si="659">CE101+CE102-CE103</f>
        <v>703.86999999999944</v>
      </c>
      <c r="CF105" s="26">
        <f t="shared" si="659"/>
        <v>423.51999999999992</v>
      </c>
      <c r="CG105" s="26">
        <f t="shared" ref="CG105:CH105" si="660">CG101+CG102-CG103</f>
        <v>524.07999999999981</v>
      </c>
      <c r="CH105" s="26">
        <f t="shared" si="660"/>
        <v>244.62000000000026</v>
      </c>
      <c r="CI105" s="26">
        <f t="shared" ref="CI105:CJ105" si="661">CI101+CI102-CI103</f>
        <v>777.0200000000001</v>
      </c>
      <c r="CJ105" s="26">
        <f t="shared" si="661"/>
        <v>756.23</v>
      </c>
      <c r="CK105" s="26">
        <f t="shared" ref="CK105:CL105" si="662">CK101+CK102-CK103</f>
        <v>1518.52</v>
      </c>
      <c r="CL105" s="26">
        <f t="shared" si="662"/>
        <v>2164.6000000000008</v>
      </c>
      <c r="CM105" s="27">
        <f t="shared" ref="CM105:DB105" si="663">CM101+CM102-CM103</f>
        <v>2080.261598</v>
      </c>
      <c r="CN105" s="27">
        <f t="shared" si="663"/>
        <v>1974.2527447221439</v>
      </c>
      <c r="CO105" s="27">
        <f t="shared" si="663"/>
        <v>2007.9823404878896</v>
      </c>
      <c r="CP105" s="27">
        <f t="shared" si="663"/>
        <v>2098.1072979372407</v>
      </c>
      <c r="CQ105" s="27">
        <f t="shared" si="663"/>
        <v>2209.9271286069079</v>
      </c>
      <c r="CR105" s="27">
        <f t="shared" si="663"/>
        <v>2281.7090024886875</v>
      </c>
      <c r="CS105" s="27">
        <f t="shared" si="663"/>
        <v>2582.4638569224439</v>
      </c>
      <c r="CT105" s="27">
        <f t="shared" si="663"/>
        <v>2754.2011916437727</v>
      </c>
      <c r="CU105" s="27">
        <f t="shared" si="663"/>
        <v>2747.0300241905152</v>
      </c>
      <c r="CV105" s="27">
        <f t="shared" si="663"/>
        <v>2613.0626400074389</v>
      </c>
      <c r="CW105" s="27">
        <f t="shared" si="663"/>
        <v>2976.4220650365864</v>
      </c>
      <c r="CX105" s="27">
        <f t="shared" si="663"/>
        <v>3164.3507228806379</v>
      </c>
      <c r="CY105" s="27">
        <f t="shared" si="663"/>
        <v>3312.0167553595893</v>
      </c>
      <c r="CZ105" s="27">
        <f t="shared" si="663"/>
        <v>3166.7316521595462</v>
      </c>
      <c r="DA105" s="27">
        <f t="shared" si="663"/>
        <v>3550.023301066451</v>
      </c>
      <c r="DB105" s="27">
        <f t="shared" si="663"/>
        <v>3754.1858225608466</v>
      </c>
      <c r="DE105" s="121"/>
      <c r="DF105" s="26">
        <v>5216.3699999999981</v>
      </c>
    </row>
    <row r="106" spans="1:110" s="23" customFormat="1" x14ac:dyDescent="0.2">
      <c r="A106" s="23" t="s">
        <v>21</v>
      </c>
      <c r="B106" s="23">
        <f>'Annual Raw'!C30</f>
        <v>0</v>
      </c>
      <c r="C106" s="23">
        <f>'Annual Raw'!D30</f>
        <v>0</v>
      </c>
      <c r="D106" s="23">
        <f>'Annual Raw'!E30</f>
        <v>0</v>
      </c>
      <c r="E106" s="23">
        <f>'Annual Raw'!F30</f>
        <v>0</v>
      </c>
      <c r="F106" s="23">
        <f>'Annual Raw'!G30</f>
        <v>0</v>
      </c>
      <c r="G106" s="23">
        <f>'Annual Raw'!H30</f>
        <v>6.2799999999999995E-2</v>
      </c>
      <c r="H106" s="23">
        <f>'Annual Raw'!I30</f>
        <v>9.1600000000000001E-2</v>
      </c>
      <c r="I106" s="23">
        <f>'Annual Raw'!J30</f>
        <v>0.14099999999999999</v>
      </c>
      <c r="J106" s="23">
        <f>'Annual Raw'!K30</f>
        <v>0.18890000000000001</v>
      </c>
      <c r="K106" s="23">
        <f>'Annual Raw'!L30</f>
        <v>0</v>
      </c>
      <c r="L106" s="23">
        <f>'Annual Raw'!M30</f>
        <v>0</v>
      </c>
      <c r="M106" s="23">
        <f>'Annual Raw'!N30</f>
        <v>0</v>
      </c>
      <c r="N106" s="23">
        <f>'Annual Raw'!O30</f>
        <v>0</v>
      </c>
      <c r="O106" s="23">
        <f>'Annual Raw'!P30</f>
        <v>0</v>
      </c>
      <c r="P106" s="23">
        <f>'Annual Raw'!Q30</f>
        <v>0</v>
      </c>
      <c r="Q106" s="23">
        <f>'Annual Raw'!R30</f>
        <v>0</v>
      </c>
      <c r="R106" s="23">
        <f>'Annual Raw'!S30</f>
        <v>0</v>
      </c>
      <c r="S106" s="23">
        <f>'Annual Raw'!T30</f>
        <v>0</v>
      </c>
      <c r="T106" s="23">
        <f>'Annual Raw'!U30</f>
        <v>0</v>
      </c>
      <c r="U106" s="23">
        <f>'Annual Raw'!V30</f>
        <v>-18.7332</v>
      </c>
      <c r="V106" s="23">
        <f>'Annual Raw'!W30</f>
        <v>0</v>
      </c>
      <c r="W106" s="23">
        <f>'Annual Raw'!X30</f>
        <v>-9.5</v>
      </c>
      <c r="X106" s="23">
        <f>'Annual Raw'!Y30</f>
        <v>-109.14</v>
      </c>
      <c r="Y106" s="23">
        <f>'Annual Raw'!Z30</f>
        <v>483.6</v>
      </c>
      <c r="Z106" s="23">
        <f>'Annual Raw'!AA30</f>
        <v>446.19</v>
      </c>
      <c r="AA106" s="23">
        <f>'Annual Raw'!AB30</f>
        <v>1408.34</v>
      </c>
      <c r="AB106" s="24">
        <f>+SUM(CM106:CP106)</f>
        <v>1632.1207962294548</v>
      </c>
      <c r="AC106" s="24">
        <f>+SUM(CQ106:CT106)</f>
        <v>1965.6602359323626</v>
      </c>
      <c r="AD106" s="24">
        <f>+SUM(CU106:CX106)</f>
        <v>2928.6516115721001</v>
      </c>
      <c r="AE106" s="24">
        <f>+SUM(CY106:DB106)</f>
        <v>3524.250534829855</v>
      </c>
      <c r="AI106" s="23">
        <f>'QTR Raw'!C29</f>
        <v>0</v>
      </c>
      <c r="AJ106" s="23">
        <f>'QTR Raw'!D29</f>
        <v>0</v>
      </c>
      <c r="AK106" s="23">
        <f>'QTR Raw'!E29</f>
        <v>0</v>
      </c>
      <c r="AL106" s="23">
        <f>'QTR Raw'!F29</f>
        <v>0</v>
      </c>
      <c r="AM106" s="23">
        <f>'QTR Raw'!G29</f>
        <v>0</v>
      </c>
      <c r="AN106" s="23">
        <f>'QTR Raw'!H29</f>
        <v>0</v>
      </c>
      <c r="AO106" s="23">
        <f>'QTR Raw'!I29</f>
        <v>0</v>
      </c>
      <c r="AP106" s="23">
        <f>'QTR Raw'!J29</f>
        <v>0</v>
      </c>
      <c r="AQ106" s="23">
        <f>'QTR Raw'!K29</f>
        <v>0</v>
      </c>
      <c r="AR106" s="23">
        <f>'QTR Raw'!L29</f>
        <v>0</v>
      </c>
      <c r="AS106" s="23">
        <f>'QTR Raw'!M29</f>
        <v>0</v>
      </c>
      <c r="AT106" s="23">
        <f>'QTR Raw'!N29</f>
        <v>0</v>
      </c>
      <c r="AU106" s="23">
        <f>'QTR Raw'!O29</f>
        <v>0</v>
      </c>
      <c r="AV106" s="23">
        <f>'QTR Raw'!P29</f>
        <v>0</v>
      </c>
      <c r="AW106" s="23">
        <f>'QTR Raw'!Q29</f>
        <v>0</v>
      </c>
      <c r="AX106" s="23">
        <f>'QTR Raw'!R29</f>
        <v>0</v>
      </c>
      <c r="AY106" s="23">
        <f>'QTR Raw'!S29</f>
        <v>0</v>
      </c>
      <c r="AZ106" s="23">
        <f>'QTR Raw'!T29</f>
        <v>0</v>
      </c>
      <c r="BA106" s="23">
        <f>'QTR Raw'!U29</f>
        <v>0</v>
      </c>
      <c r="BB106" s="23">
        <f>'QTR Raw'!V29</f>
        <v>0</v>
      </c>
      <c r="BC106" s="23">
        <f>'QTR Raw'!W29</f>
        <v>0</v>
      </c>
      <c r="BD106" s="23">
        <f>'QTR Raw'!X29</f>
        <v>0</v>
      </c>
      <c r="BE106" s="23">
        <f>'QTR Raw'!Y29</f>
        <v>0</v>
      </c>
      <c r="BF106" s="23">
        <f>'QTR Raw'!Z29</f>
        <v>0</v>
      </c>
      <c r="BG106" s="23">
        <f>'QTR Raw'!AA29</f>
        <v>0</v>
      </c>
      <c r="BH106" s="23">
        <f>'QTR Raw'!AB29</f>
        <v>0</v>
      </c>
      <c r="BI106" s="23">
        <f>'QTR Raw'!AC29</f>
        <v>0</v>
      </c>
      <c r="BJ106" s="23">
        <f>'QTR Raw'!AD29</f>
        <v>0</v>
      </c>
      <c r="BK106" s="23">
        <f>'QTR Raw'!AE29</f>
        <v>0</v>
      </c>
      <c r="BL106" s="23">
        <f>'QTR Raw'!AF29</f>
        <v>0</v>
      </c>
      <c r="BM106" s="23">
        <f>'QTR Raw'!AG29</f>
        <v>0</v>
      </c>
      <c r="BN106" s="23">
        <f>'QTR Raw'!AH29</f>
        <v>-18.733000000000001</v>
      </c>
      <c r="BO106" s="23">
        <f>'QTR Raw'!AI29</f>
        <v>0</v>
      </c>
      <c r="BP106" s="23">
        <f>'QTR Raw'!AJ29</f>
        <v>0</v>
      </c>
      <c r="BQ106" s="23">
        <f>'QTR Raw'!AK29</f>
        <v>0</v>
      </c>
      <c r="BR106" s="23">
        <f>'QTR Raw'!AL29</f>
        <v>0</v>
      </c>
      <c r="BS106" s="23">
        <f>'QTR Raw'!AM29</f>
        <v>0</v>
      </c>
      <c r="BT106" s="23">
        <f>'QTR Raw'!AN29</f>
        <v>0</v>
      </c>
      <c r="BU106" s="23">
        <f>'QTR Raw'!AO29</f>
        <v>0</v>
      </c>
      <c r="BV106" s="23">
        <f>'QTR Raw'!AP29</f>
        <v>-9.51</v>
      </c>
      <c r="BW106" s="23">
        <f>'QTR Raw'!AQ29</f>
        <v>0</v>
      </c>
      <c r="BX106" s="23">
        <f>'QTR Raw'!AR29</f>
        <v>0</v>
      </c>
      <c r="BY106" s="23">
        <f>'QTR Raw'!AS29</f>
        <v>0</v>
      </c>
      <c r="BZ106" s="23">
        <f>'QTR Raw'!AT29</f>
        <v>-109.14</v>
      </c>
      <c r="CA106" s="23">
        <f>'QTR Raw'!AU29</f>
        <v>136.4</v>
      </c>
      <c r="CB106" s="23">
        <f>'QTR Raw'!AV29</f>
        <v>63.79</v>
      </c>
      <c r="CC106" s="23">
        <f>'QTR Raw'!AW29</f>
        <v>112.69</v>
      </c>
      <c r="CD106" s="23">
        <f>'QTR Raw'!AX29</f>
        <v>170.72</v>
      </c>
      <c r="CE106" s="23">
        <f>'QTR Raw'!AY29</f>
        <v>146.47</v>
      </c>
      <c r="CF106" s="23">
        <f>'QTR Raw'!AZ29</f>
        <v>122.2</v>
      </c>
      <c r="CG106" s="23">
        <f>'QTR Raw'!BA29</f>
        <v>134.79</v>
      </c>
      <c r="CH106" s="23">
        <f>'QTR Raw'!BB29</f>
        <v>42.74</v>
      </c>
      <c r="CI106" s="23">
        <f>'QTR Raw'!BC29</f>
        <v>135.43</v>
      </c>
      <c r="CJ106" s="23">
        <f>'QTR Raw'!BD29</f>
        <v>188.84</v>
      </c>
      <c r="CK106" s="23">
        <f>'QTR Raw'!BE29</f>
        <v>427.01</v>
      </c>
      <c r="CL106" s="23">
        <f>'QTR Raw'!BF29</f>
        <v>657.06</v>
      </c>
      <c r="CM106" s="24">
        <f t="shared" ref="CM106:DB106" si="664">+CM105*CM107</f>
        <v>416.05231960000003</v>
      </c>
      <c r="CN106" s="24">
        <f t="shared" si="664"/>
        <v>394.85054894442879</v>
      </c>
      <c r="CO106" s="24">
        <f t="shared" si="664"/>
        <v>401.59646809757794</v>
      </c>
      <c r="CP106" s="24">
        <f t="shared" si="664"/>
        <v>419.62145958744816</v>
      </c>
      <c r="CQ106" s="24">
        <f t="shared" si="664"/>
        <v>441.9854257213816</v>
      </c>
      <c r="CR106" s="24">
        <f t="shared" si="664"/>
        <v>456.34180049773749</v>
      </c>
      <c r="CS106" s="24">
        <f t="shared" si="664"/>
        <v>516.49277138448883</v>
      </c>
      <c r="CT106" s="24">
        <f t="shared" si="664"/>
        <v>550.84023832875459</v>
      </c>
      <c r="CU106" s="24">
        <f t="shared" si="664"/>
        <v>686.75750604762879</v>
      </c>
      <c r="CV106" s="24">
        <f t="shared" si="664"/>
        <v>659.79831660187835</v>
      </c>
      <c r="CW106" s="24">
        <f t="shared" si="664"/>
        <v>760.8478903749774</v>
      </c>
      <c r="CX106" s="24">
        <f t="shared" si="664"/>
        <v>821.24789854761559</v>
      </c>
      <c r="CY106" s="24">
        <f t="shared" si="664"/>
        <v>842.62363779910174</v>
      </c>
      <c r="CZ106" s="24">
        <f t="shared" si="664"/>
        <v>809.15560233158715</v>
      </c>
      <c r="DA106" s="24">
        <f t="shared" si="664"/>
        <v>909.77147433995196</v>
      </c>
      <c r="DB106" s="24">
        <f t="shared" si="664"/>
        <v>962.69982035921419</v>
      </c>
      <c r="DE106" s="123"/>
      <c r="DF106" s="23">
        <v>1408.34</v>
      </c>
    </row>
    <row r="107" spans="1:110" s="90" customFormat="1" x14ac:dyDescent="0.2">
      <c r="A107" s="90" t="s">
        <v>106</v>
      </c>
      <c r="B107" s="90">
        <f t="shared" ref="B107:E107" si="665">B106/B105</f>
        <v>0</v>
      </c>
      <c r="C107" s="90">
        <f t="shared" si="665"/>
        <v>0</v>
      </c>
      <c r="D107" s="90">
        <f t="shared" si="665"/>
        <v>0</v>
      </c>
      <c r="E107" s="90">
        <f t="shared" si="665"/>
        <v>0</v>
      </c>
      <c r="F107" s="90">
        <f t="shared" ref="F107:T107" si="666">F106/F105</f>
        <v>0</v>
      </c>
      <c r="G107" s="90">
        <f t="shared" si="666"/>
        <v>-3.1469705397455402E-3</v>
      </c>
      <c r="H107" s="90">
        <f t="shared" si="666"/>
        <v>-2.9969408954833186E-3</v>
      </c>
      <c r="I107" s="90">
        <f t="shared" si="666"/>
        <v>-2.3598721317511482E-2</v>
      </c>
      <c r="J107" s="90">
        <f t="shared" si="666"/>
        <v>6.6040176480048045E-3</v>
      </c>
      <c r="K107" s="90">
        <f t="shared" si="666"/>
        <v>0</v>
      </c>
      <c r="L107" s="90">
        <f t="shared" si="666"/>
        <v>0</v>
      </c>
      <c r="M107" s="90">
        <f t="shared" si="666"/>
        <v>0</v>
      </c>
      <c r="N107" s="90">
        <f t="shared" si="666"/>
        <v>0</v>
      </c>
      <c r="O107" s="90">
        <f t="shared" si="666"/>
        <v>0</v>
      </c>
      <c r="P107" s="90">
        <f t="shared" si="666"/>
        <v>0</v>
      </c>
      <c r="Q107" s="90">
        <f t="shared" si="666"/>
        <v>0</v>
      </c>
      <c r="R107" s="90">
        <f t="shared" si="666"/>
        <v>0</v>
      </c>
      <c r="S107" s="90">
        <f t="shared" si="666"/>
        <v>0</v>
      </c>
      <c r="T107" s="90">
        <f t="shared" si="666"/>
        <v>0</v>
      </c>
      <c r="U107" s="90">
        <f t="shared" ref="U107:Z107" si="667">U106/U105</f>
        <v>-1.4307579506919592</v>
      </c>
      <c r="V107" s="90">
        <f t="shared" si="667"/>
        <v>0</v>
      </c>
      <c r="W107" s="90">
        <f t="shared" si="667"/>
        <v>-6.8266743317045117E-2</v>
      </c>
      <c r="X107" s="90">
        <f t="shared" si="667"/>
        <v>-0.13698664524550658</v>
      </c>
      <c r="Y107" s="90">
        <f t="shared" si="667"/>
        <v>0.28009939010616686</v>
      </c>
      <c r="Z107" s="90">
        <f t="shared" si="667"/>
        <v>0.23466022940628897</v>
      </c>
      <c r="AA107" s="90">
        <f t="shared" ref="AA107" si="668">AA106/AA105</f>
        <v>0.26998468283499838</v>
      </c>
      <c r="AB107" s="91">
        <f t="shared" ref="AB107:AD107" si="669">AB106/AB105</f>
        <v>0.19999999999999998</v>
      </c>
      <c r="AC107" s="91">
        <f t="shared" si="669"/>
        <v>0.20000000000000007</v>
      </c>
      <c r="AD107" s="91">
        <f t="shared" si="669"/>
        <v>0.25464619369436037</v>
      </c>
      <c r="AE107" s="91">
        <f t="shared" ref="AE107" si="670">AE106/AE105</f>
        <v>0.2556962485639116</v>
      </c>
      <c r="AI107" s="90">
        <f t="shared" ref="AI107" si="671">AI106/AI105</f>
        <v>0</v>
      </c>
      <c r="AJ107" s="90">
        <f t="shared" ref="AJ107" si="672">AJ106/AJ105</f>
        <v>0</v>
      </c>
      <c r="AK107" s="90">
        <f t="shared" ref="AK107:AM107" si="673">AK106/AK105</f>
        <v>0</v>
      </c>
      <c r="AL107" s="90">
        <f t="shared" si="673"/>
        <v>0</v>
      </c>
      <c r="AM107" s="90">
        <f t="shared" si="673"/>
        <v>0</v>
      </c>
      <c r="AN107" s="90">
        <f t="shared" ref="AN107:AO107" si="674">AN106/AN105</f>
        <v>0</v>
      </c>
      <c r="AO107" s="90">
        <f t="shared" si="674"/>
        <v>0</v>
      </c>
      <c r="AP107" s="90">
        <f t="shared" ref="AP107:CD107" si="675">AP106/AP105</f>
        <v>0</v>
      </c>
      <c r="AQ107" s="90">
        <f t="shared" si="675"/>
        <v>0</v>
      </c>
      <c r="AR107" s="90">
        <f t="shared" si="675"/>
        <v>0</v>
      </c>
      <c r="AS107" s="90">
        <f t="shared" si="675"/>
        <v>0</v>
      </c>
      <c r="AT107" s="90">
        <f t="shared" si="675"/>
        <v>0</v>
      </c>
      <c r="AU107" s="90">
        <f t="shared" si="675"/>
        <v>0</v>
      </c>
      <c r="AV107" s="90">
        <f t="shared" si="675"/>
        <v>0</v>
      </c>
      <c r="AW107" s="90">
        <f t="shared" si="675"/>
        <v>0</v>
      </c>
      <c r="AX107" s="90">
        <f t="shared" si="675"/>
        <v>0</v>
      </c>
      <c r="AY107" s="90">
        <f t="shared" si="675"/>
        <v>0</v>
      </c>
      <c r="AZ107" s="90">
        <f t="shared" si="675"/>
        <v>0</v>
      </c>
      <c r="BA107" s="90">
        <f t="shared" si="675"/>
        <v>0</v>
      </c>
      <c r="BB107" s="90">
        <f t="shared" si="675"/>
        <v>0</v>
      </c>
      <c r="BC107" s="90">
        <f t="shared" si="675"/>
        <v>0</v>
      </c>
      <c r="BD107" s="90">
        <f t="shared" si="675"/>
        <v>0</v>
      </c>
      <c r="BE107" s="90">
        <f t="shared" si="675"/>
        <v>0</v>
      </c>
      <c r="BF107" s="90">
        <f t="shared" si="675"/>
        <v>0</v>
      </c>
      <c r="BG107" s="90">
        <f t="shared" si="675"/>
        <v>0</v>
      </c>
      <c r="BH107" s="90">
        <f t="shared" si="675"/>
        <v>0</v>
      </c>
      <c r="BI107" s="90">
        <f t="shared" si="675"/>
        <v>0</v>
      </c>
      <c r="BJ107" s="90">
        <f t="shared" si="675"/>
        <v>0</v>
      </c>
      <c r="BK107" s="90">
        <f t="shared" si="675"/>
        <v>0</v>
      </c>
      <c r="BL107" s="90">
        <f t="shared" si="675"/>
        <v>0</v>
      </c>
      <c r="BM107" s="90">
        <f t="shared" si="675"/>
        <v>0</v>
      </c>
      <c r="BN107" s="90">
        <f t="shared" si="675"/>
        <v>-7.4722776226566028</v>
      </c>
      <c r="BO107" s="90">
        <f t="shared" si="675"/>
        <v>0</v>
      </c>
      <c r="BP107" s="90">
        <f t="shared" si="675"/>
        <v>0</v>
      </c>
      <c r="BQ107" s="90">
        <f t="shared" si="675"/>
        <v>0</v>
      </c>
      <c r="BR107" s="90">
        <f t="shared" si="675"/>
        <v>0</v>
      </c>
      <c r="BS107" s="90">
        <f t="shared" si="675"/>
        <v>0</v>
      </c>
      <c r="BT107" s="90">
        <f t="shared" si="675"/>
        <v>0</v>
      </c>
      <c r="BU107" s="90">
        <f t="shared" si="675"/>
        <v>0</v>
      </c>
      <c r="BV107" s="90">
        <f t="shared" si="675"/>
        <v>-8.352362550500618E-2</v>
      </c>
      <c r="BW107" s="90">
        <f t="shared" si="675"/>
        <v>0</v>
      </c>
      <c r="BX107" s="90">
        <f t="shared" si="675"/>
        <v>0</v>
      </c>
      <c r="BY107" s="90">
        <f t="shared" si="675"/>
        <v>0</v>
      </c>
      <c r="BZ107" s="90">
        <f t="shared" si="675"/>
        <v>-0.68255159474671645</v>
      </c>
      <c r="CA107" s="90">
        <f t="shared" si="675"/>
        <v>0.25275173257236044</v>
      </c>
      <c r="CB107" s="90">
        <f t="shared" si="675"/>
        <v>0.21620064395865102</v>
      </c>
      <c r="CC107" s="90">
        <f t="shared" si="675"/>
        <v>0.25369774195727068</v>
      </c>
      <c r="CD107" s="90">
        <f t="shared" si="675"/>
        <v>0.38138641288564207</v>
      </c>
      <c r="CE107" s="90">
        <f t="shared" ref="CE107:CF107" si="676">CE106/CE105</f>
        <v>0.20809240342676932</v>
      </c>
      <c r="CF107" s="90">
        <f t="shared" si="676"/>
        <v>0.2885341896486589</v>
      </c>
      <c r="CG107" s="90">
        <f t="shared" ref="CG107:CH107" si="677">CG106/CG105</f>
        <v>0.25719355823538398</v>
      </c>
      <c r="CH107" s="90">
        <f t="shared" si="677"/>
        <v>0.17471997383697146</v>
      </c>
      <c r="CI107" s="90">
        <f t="shared" ref="CI107:CJ107" si="678">CI106/CI105</f>
        <v>0.17429409796401635</v>
      </c>
      <c r="CJ107" s="90">
        <f t="shared" si="678"/>
        <v>0.24971238908797588</v>
      </c>
      <c r="CK107" s="90">
        <f t="shared" ref="CK107:CL107" si="679">CK106/CK105</f>
        <v>0.28120143297421174</v>
      </c>
      <c r="CL107" s="90">
        <f t="shared" si="679"/>
        <v>0.30354799963041657</v>
      </c>
      <c r="CM107" s="91">
        <v>0.2</v>
      </c>
      <c r="CN107" s="91">
        <f>+CM107</f>
        <v>0.2</v>
      </c>
      <c r="CO107" s="91">
        <f t="shared" ref="CO107:CT107" si="680">+CN107</f>
        <v>0.2</v>
      </c>
      <c r="CP107" s="91">
        <f t="shared" si="680"/>
        <v>0.2</v>
      </c>
      <c r="CQ107" s="91">
        <f t="shared" si="680"/>
        <v>0.2</v>
      </c>
      <c r="CR107" s="91">
        <f t="shared" si="680"/>
        <v>0.2</v>
      </c>
      <c r="CS107" s="91">
        <f t="shared" si="680"/>
        <v>0.2</v>
      </c>
      <c r="CT107" s="91">
        <f t="shared" si="680"/>
        <v>0.2</v>
      </c>
      <c r="CU107" s="91">
        <f>AVERAGE(CQ107:CT107)+5%</f>
        <v>0.25</v>
      </c>
      <c r="CV107" s="91">
        <f>AVERAGE(CR107:CU107)+4%</f>
        <v>0.2525</v>
      </c>
      <c r="CW107" s="91">
        <f>AVERAGE(CS107:CV107)+3%</f>
        <v>0.25562499999999999</v>
      </c>
      <c r="CX107" s="91">
        <f>AVERAGE(CT107:CW107)+2%</f>
        <v>0.25953124999999999</v>
      </c>
      <c r="CY107" s="91">
        <f t="shared" ref="CY107:DB107" si="681">AVERAGE(CU107:CX107)</f>
        <v>0.25441406249999998</v>
      </c>
      <c r="CZ107" s="91">
        <f t="shared" si="681"/>
        <v>0.25551757812499998</v>
      </c>
      <c r="DA107" s="91">
        <f t="shared" si="681"/>
        <v>0.25627197265625001</v>
      </c>
      <c r="DB107" s="91">
        <f t="shared" si="681"/>
        <v>0.25643371582031249</v>
      </c>
      <c r="DE107" s="127"/>
      <c r="DF107" s="90">
        <v>0.26998468283499838</v>
      </c>
    </row>
    <row r="108" spans="1:110" s="26" customFormat="1" x14ac:dyDescent="0.2">
      <c r="A108" s="26" t="s">
        <v>22</v>
      </c>
      <c r="B108" s="26">
        <f t="shared" ref="B108:E108" si="682">B105-B106</f>
        <v>-72.318499999999972</v>
      </c>
      <c r="C108" s="26">
        <f t="shared" si="682"/>
        <v>-86.305499999999995</v>
      </c>
      <c r="D108" s="26">
        <f t="shared" si="682"/>
        <v>-32.414100000000005</v>
      </c>
      <c r="E108" s="26">
        <f t="shared" si="682"/>
        <v>-14.881299999999975</v>
      </c>
      <c r="F108" s="26">
        <f t="shared" ref="F108:T108" si="683">F105-F106</f>
        <v>5.5703000000000218</v>
      </c>
      <c r="G108" s="26">
        <f t="shared" si="683"/>
        <v>-20.018499999999975</v>
      </c>
      <c r="H108" s="26">
        <f t="shared" si="683"/>
        <v>-30.656100000000038</v>
      </c>
      <c r="I108" s="26">
        <f t="shared" si="683"/>
        <v>-6.1159000000000265</v>
      </c>
      <c r="J108" s="26">
        <f t="shared" si="683"/>
        <v>28.414900000000028</v>
      </c>
      <c r="K108" s="26">
        <f t="shared" si="683"/>
        <v>17.888700000000078</v>
      </c>
      <c r="L108" s="26">
        <f t="shared" si="683"/>
        <v>18.604800000000022</v>
      </c>
      <c r="M108" s="26">
        <f t="shared" si="683"/>
        <v>3.7322999999999471</v>
      </c>
      <c r="N108" s="26">
        <f t="shared" si="683"/>
        <v>1.9155000000000566</v>
      </c>
      <c r="O108" s="26">
        <f t="shared" si="683"/>
        <v>-42.445699999999952</v>
      </c>
      <c r="P108" s="26">
        <f t="shared" si="683"/>
        <v>-20.818399999999944</v>
      </c>
      <c r="Q108" s="26">
        <f t="shared" si="683"/>
        <v>6.9504999999999946</v>
      </c>
      <c r="R108" s="26">
        <f t="shared" si="683"/>
        <v>5.5720000000000223</v>
      </c>
      <c r="S108" s="26">
        <f t="shared" si="683"/>
        <v>17.034100000000002</v>
      </c>
      <c r="T108" s="26">
        <f t="shared" si="683"/>
        <v>20.633299999999977</v>
      </c>
      <c r="U108" s="26">
        <f t="shared" ref="U108:Z108" si="684">U105-U106</f>
        <v>31.826400000000028</v>
      </c>
      <c r="V108" s="26">
        <f t="shared" si="684"/>
        <v>0.12680000000002067</v>
      </c>
      <c r="W108" s="26">
        <f t="shared" si="684"/>
        <v>148.66000000000003</v>
      </c>
      <c r="X108" s="26">
        <f t="shared" si="684"/>
        <v>905.86</v>
      </c>
      <c r="Y108" s="26">
        <f t="shared" si="684"/>
        <v>1242.9299999999989</v>
      </c>
      <c r="Z108" s="26">
        <f t="shared" si="684"/>
        <v>1455.2399999999998</v>
      </c>
      <c r="AA108" s="26">
        <f t="shared" ref="AA108" si="685">AA105-AA106</f>
        <v>3808.0299999999979</v>
      </c>
      <c r="AB108" s="27">
        <f t="shared" ref="AB108:AD108" si="686">AB105-AB106</f>
        <v>6528.4831849178199</v>
      </c>
      <c r="AC108" s="27">
        <f t="shared" si="686"/>
        <v>7862.6409437294478</v>
      </c>
      <c r="AD108" s="27">
        <f t="shared" si="686"/>
        <v>8572.2138405430815</v>
      </c>
      <c r="AE108" s="27">
        <f t="shared" ref="AE108" si="687">AE105-AE106</f>
        <v>10258.706996316576</v>
      </c>
      <c r="AI108" s="26">
        <f>AI105-AI106</f>
        <v>1.5350000000000081</v>
      </c>
      <c r="AJ108" s="26">
        <f t="shared" ref="AJ108" si="688">AJ105-AJ106</f>
        <v>-1.345999999999991</v>
      </c>
      <c r="AK108" s="26">
        <f t="shared" ref="AK108:AM108" si="689">AK105-AK106</f>
        <v>-6.2589999999999995</v>
      </c>
      <c r="AL108" s="26">
        <f t="shared" si="689"/>
        <v>7.9869999999999859</v>
      </c>
      <c r="AM108" s="26">
        <f t="shared" si="689"/>
        <v>-12.709000000000024</v>
      </c>
      <c r="AN108" s="26">
        <f t="shared" ref="AN108:AO108" si="690">AN105-AN106</f>
        <v>-10.804999999999996</v>
      </c>
      <c r="AO108" s="26">
        <f t="shared" si="690"/>
        <v>-5.9130000000000003</v>
      </c>
      <c r="AP108" s="26">
        <f t="shared" ref="AP108:CD108" si="691">AP105-AP106</f>
        <v>-13.019999999999987</v>
      </c>
      <c r="AQ108" s="26">
        <f t="shared" si="691"/>
        <v>-8.5669999999999717</v>
      </c>
      <c r="AR108" s="26">
        <f t="shared" si="691"/>
        <v>-3.0439999999999752</v>
      </c>
      <c r="AS108" s="26">
        <f t="shared" si="691"/>
        <v>-6.6430000000000158</v>
      </c>
      <c r="AT108" s="26">
        <f t="shared" si="691"/>
        <v>-2.5620000000000029</v>
      </c>
      <c r="AU108" s="26">
        <f t="shared" si="691"/>
        <v>2.7400000000000175</v>
      </c>
      <c r="AV108" s="26">
        <f t="shared" si="691"/>
        <v>0.35799999999999188</v>
      </c>
      <c r="AW108" s="26">
        <f t="shared" si="691"/>
        <v>0.25499999999999212</v>
      </c>
      <c r="AX108" s="26">
        <f t="shared" si="691"/>
        <v>3.5980000000000025</v>
      </c>
      <c r="AY108" s="26">
        <f t="shared" si="691"/>
        <v>0.13900000000000867</v>
      </c>
      <c r="AZ108" s="26">
        <f t="shared" si="691"/>
        <v>0.30899999999998451</v>
      </c>
      <c r="BA108" s="26">
        <f t="shared" si="691"/>
        <v>0.42899999999999805</v>
      </c>
      <c r="BB108" s="26">
        <f t="shared" si="691"/>
        <v>4.6959999999999935</v>
      </c>
      <c r="BC108" s="26">
        <f t="shared" si="691"/>
        <v>5.2819999999999965</v>
      </c>
      <c r="BD108" s="26">
        <f t="shared" si="691"/>
        <v>0.18100000000001004</v>
      </c>
      <c r="BE108" s="26">
        <f t="shared" si="691"/>
        <v>1.5730000000000164</v>
      </c>
      <c r="BF108" s="26">
        <f t="shared" si="691"/>
        <v>9.9979999999999816</v>
      </c>
      <c r="BG108" s="26">
        <f t="shared" si="691"/>
        <v>10.261000000000005</v>
      </c>
      <c r="BH108" s="26">
        <f t="shared" si="691"/>
        <v>0.6999999999999964</v>
      </c>
      <c r="BI108" s="26">
        <f t="shared" si="691"/>
        <v>1.8480000000000034</v>
      </c>
      <c r="BJ108" s="26">
        <f t="shared" si="691"/>
        <v>7.8240000000000149</v>
      </c>
      <c r="BK108" s="26">
        <f t="shared" si="691"/>
        <v>7.4890000000000008</v>
      </c>
      <c r="BL108" s="26">
        <f t="shared" si="691"/>
        <v>1.2999999999996792E-2</v>
      </c>
      <c r="BM108" s="26">
        <f t="shared" si="691"/>
        <v>3.082999999999994</v>
      </c>
      <c r="BN108" s="26">
        <f t="shared" si="691"/>
        <v>21.239999999999988</v>
      </c>
      <c r="BO108" s="26">
        <f t="shared" si="691"/>
        <v>-9.4359999999999999</v>
      </c>
      <c r="BP108" s="26">
        <f t="shared" si="691"/>
        <v>1.6180000000000012</v>
      </c>
      <c r="BQ108" s="26">
        <f t="shared" si="691"/>
        <v>2.5960000000000063</v>
      </c>
      <c r="BR108" s="26">
        <f t="shared" si="691"/>
        <v>5.3490000000000029</v>
      </c>
      <c r="BS108" s="26">
        <f t="shared" si="691"/>
        <v>-0.17999999999999616</v>
      </c>
      <c r="BT108" s="26">
        <f t="shared" si="691"/>
        <v>0.30999999999999783</v>
      </c>
      <c r="BU108" s="26">
        <f t="shared" si="691"/>
        <v>25.170000000000009</v>
      </c>
      <c r="BV108" s="26">
        <f t="shared" si="691"/>
        <v>123.36999999999996</v>
      </c>
      <c r="BW108" s="26">
        <f t="shared" si="691"/>
        <v>264.06999999999994</v>
      </c>
      <c r="BX108" s="26">
        <f t="shared" si="691"/>
        <v>142.71</v>
      </c>
      <c r="BY108" s="26">
        <f t="shared" si="691"/>
        <v>230.02999999999992</v>
      </c>
      <c r="BZ108" s="26">
        <f t="shared" si="691"/>
        <v>269.04000000000008</v>
      </c>
      <c r="CA108" s="26">
        <f t="shared" si="691"/>
        <v>403.25999999999988</v>
      </c>
      <c r="CB108" s="26">
        <f t="shared" si="691"/>
        <v>231.26000000000008</v>
      </c>
      <c r="CC108" s="26">
        <f t="shared" si="691"/>
        <v>331.49999999999977</v>
      </c>
      <c r="CD108" s="26">
        <f t="shared" si="691"/>
        <v>276.91000000000008</v>
      </c>
      <c r="CE108" s="26">
        <f t="shared" ref="CE108:CF108" si="692">CE105-CE106</f>
        <v>557.39999999999941</v>
      </c>
      <c r="CF108" s="26">
        <f t="shared" si="692"/>
        <v>301.31999999999994</v>
      </c>
      <c r="CG108" s="26">
        <f t="shared" ref="CG108:CH108" si="693">CG105-CG106</f>
        <v>389.28999999999985</v>
      </c>
      <c r="CH108" s="26">
        <f t="shared" si="693"/>
        <v>201.88000000000025</v>
      </c>
      <c r="CI108" s="26">
        <f t="shared" ref="CI108:CJ108" si="694">CI105-CI106</f>
        <v>641.59000000000015</v>
      </c>
      <c r="CJ108" s="26">
        <f t="shared" si="694"/>
        <v>567.39</v>
      </c>
      <c r="CK108" s="26">
        <f t="shared" ref="CK108:CL108" si="695">CK105-CK106</f>
        <v>1091.51</v>
      </c>
      <c r="CL108" s="26">
        <f t="shared" si="695"/>
        <v>1507.5400000000009</v>
      </c>
      <c r="CM108" s="27">
        <f t="shared" ref="CM108:DB108" si="696">CM105-CM106</f>
        <v>1664.2092784000001</v>
      </c>
      <c r="CN108" s="27">
        <f t="shared" si="696"/>
        <v>1579.4021957777152</v>
      </c>
      <c r="CO108" s="27">
        <f t="shared" si="696"/>
        <v>1606.3858723903118</v>
      </c>
      <c r="CP108" s="27">
        <f t="shared" si="696"/>
        <v>1678.4858383497926</v>
      </c>
      <c r="CQ108" s="27">
        <f t="shared" si="696"/>
        <v>1767.9417028855264</v>
      </c>
      <c r="CR108" s="27">
        <f t="shared" si="696"/>
        <v>1825.36720199095</v>
      </c>
      <c r="CS108" s="27">
        <f t="shared" si="696"/>
        <v>2065.9710855379553</v>
      </c>
      <c r="CT108" s="27">
        <f t="shared" si="696"/>
        <v>2203.3609533150184</v>
      </c>
      <c r="CU108" s="27">
        <f t="shared" si="696"/>
        <v>2060.2725181428864</v>
      </c>
      <c r="CV108" s="27">
        <f t="shared" si="696"/>
        <v>1953.2643234055604</v>
      </c>
      <c r="CW108" s="27">
        <f t="shared" si="696"/>
        <v>2215.574174661609</v>
      </c>
      <c r="CX108" s="27">
        <f t="shared" si="696"/>
        <v>2343.1028243330225</v>
      </c>
      <c r="CY108" s="27">
        <f t="shared" si="696"/>
        <v>2469.3931175604876</v>
      </c>
      <c r="CZ108" s="27">
        <f t="shared" si="696"/>
        <v>2357.5760498279592</v>
      </c>
      <c r="DA108" s="27">
        <f t="shared" si="696"/>
        <v>2640.2518267264991</v>
      </c>
      <c r="DB108" s="27">
        <f t="shared" si="696"/>
        <v>2791.4860022016323</v>
      </c>
      <c r="DE108" s="121"/>
      <c r="DF108" s="26">
        <v>3808.0299999999979</v>
      </c>
    </row>
    <row r="109" spans="1:110" s="45" customFormat="1" x14ac:dyDescent="0.2">
      <c r="A109" s="45" t="s">
        <v>107</v>
      </c>
      <c r="B109" s="45">
        <f t="shared" ref="B109:E109" si="697">+B108/B74</f>
        <v>-0.7080497289930443</v>
      </c>
      <c r="C109" s="45">
        <f t="shared" si="697"/>
        <v>-0.81433189411151941</v>
      </c>
      <c r="D109" s="45">
        <f t="shared" si="697"/>
        <v>-0.21602559189589968</v>
      </c>
      <c r="E109" s="45">
        <f t="shared" si="697"/>
        <v>-8.4637863490142226E-2</v>
      </c>
      <c r="F109" s="45">
        <f t="shared" ref="F109:AE109" si="698">+F108/F74</f>
        <v>2.1622408459069167E-2</v>
      </c>
      <c r="G109" s="45">
        <f t="shared" si="698"/>
        <v>-7.8809889374433978E-2</v>
      </c>
      <c r="H109" s="45">
        <f t="shared" si="698"/>
        <v>-9.1064800581035374E-2</v>
      </c>
      <c r="I109" s="45">
        <f t="shared" si="698"/>
        <v>-1.6010293247608696E-2</v>
      </c>
      <c r="J109" s="45">
        <f t="shared" si="698"/>
        <v>4.1714004606980513E-2</v>
      </c>
      <c r="K109" s="45">
        <f t="shared" si="698"/>
        <v>3.1500057581148169E-2</v>
      </c>
      <c r="L109" s="45">
        <f t="shared" si="698"/>
        <v>2.6963583770545221E-2</v>
      </c>
      <c r="M109" s="45">
        <f t="shared" si="698"/>
        <v>3.707077415969433E-3</v>
      </c>
      <c r="N109" s="45">
        <f t="shared" si="698"/>
        <v>2.5230432683151557E-3</v>
      </c>
      <c r="O109" s="45">
        <f t="shared" si="698"/>
        <v>-7.4761764105468878E-2</v>
      </c>
      <c r="P109" s="45">
        <f t="shared" si="698"/>
        <v>-3.2583949246520347E-2</v>
      </c>
      <c r="Q109" s="45">
        <f t="shared" si="698"/>
        <v>1.8442708861256579E-2</v>
      </c>
      <c r="R109" s="45">
        <f t="shared" si="698"/>
        <v>1.5102587551369728E-2</v>
      </c>
      <c r="S109" s="45">
        <f t="shared" si="698"/>
        <v>4.2308383935525926E-2</v>
      </c>
      <c r="T109" s="45">
        <f t="shared" si="698"/>
        <v>4.3230917796661085E-2</v>
      </c>
      <c r="U109" s="45">
        <f t="shared" si="698"/>
        <v>8.5615022388049744E-2</v>
      </c>
      <c r="V109" s="45">
        <f t="shared" si="698"/>
        <v>5.0038140270174656E-4</v>
      </c>
      <c r="W109" s="45">
        <f t="shared" si="698"/>
        <v>0.21313261648745524</v>
      </c>
      <c r="X109" s="45">
        <f t="shared" si="698"/>
        <v>0.26703337843534347</v>
      </c>
      <c r="Y109" s="45">
        <f t="shared" si="698"/>
        <v>0.19049757458254452</v>
      </c>
      <c r="Z109" s="45">
        <f t="shared" ref="Z109:AA109" si="699">+Z108/Z74</f>
        <v>0.21651974021916215</v>
      </c>
      <c r="AA109" s="45">
        <f t="shared" si="699"/>
        <v>0.22252693472146651</v>
      </c>
      <c r="AB109" s="48">
        <f t="shared" si="698"/>
        <v>0.29658308060487659</v>
      </c>
      <c r="AC109" s="48">
        <f t="shared" si="698"/>
        <v>0.25746492195801129</v>
      </c>
      <c r="AD109" s="48">
        <f t="shared" si="698"/>
        <v>0.24787654471124035</v>
      </c>
      <c r="AE109" s="48">
        <f t="shared" si="698"/>
        <v>0.24681207808745745</v>
      </c>
      <c r="AI109" s="45">
        <f t="shared" ref="AI109:BN109" si="700">+AI108/AI74</f>
        <v>6.2089943451634887E-3</v>
      </c>
      <c r="AJ109" s="45">
        <f t="shared" si="700"/>
        <v>-1.1080195590971129E-2</v>
      </c>
      <c r="AK109" s="45">
        <f t="shared" si="700"/>
        <v>-4.5263234017934618E-2</v>
      </c>
      <c r="AL109" s="45">
        <f t="shared" si="700"/>
        <v>3.289132314788118E-2</v>
      </c>
      <c r="AM109" s="45">
        <f t="shared" si="700"/>
        <v>-9.2353864488562226E-2</v>
      </c>
      <c r="AN109" s="45">
        <f t="shared" si="700"/>
        <v>-9.9909383437511531E-2</v>
      </c>
      <c r="AO109" s="45">
        <f t="shared" si="700"/>
        <v>-4.6090169301281451E-2</v>
      </c>
      <c r="AP109" s="45">
        <f t="shared" si="700"/>
        <v>-7.094208031384508E-2</v>
      </c>
      <c r="AQ109" s="45">
        <f t="shared" si="700"/>
        <v>-4.9197461739454849E-2</v>
      </c>
      <c r="AR109" s="45">
        <f t="shared" si="700"/>
        <v>-1.4098597550808561E-2</v>
      </c>
      <c r="AS109" s="45">
        <f t="shared" si="700"/>
        <v>-5.6301381473006326E-2</v>
      </c>
      <c r="AT109" s="45">
        <f t="shared" si="700"/>
        <v>-2.0804066618486574E-2</v>
      </c>
      <c r="AU109" s="45">
        <f t="shared" si="700"/>
        <v>2.098668035141214E-2</v>
      </c>
      <c r="AV109" s="45">
        <f t="shared" si="700"/>
        <v>4.6824929697206448E-3</v>
      </c>
      <c r="AW109" s="45">
        <f t="shared" si="700"/>
        <v>3.2851511169512781E-3</v>
      </c>
      <c r="AX109" s="45">
        <f t="shared" si="700"/>
        <v>4.2537595762792042E-2</v>
      </c>
      <c r="AY109" s="45">
        <f t="shared" si="700"/>
        <v>1.463419769853644E-3</v>
      </c>
      <c r="AZ109" s="45">
        <f t="shared" si="700"/>
        <v>3.5622881649026369E-3</v>
      </c>
      <c r="BA109" s="45">
        <f t="shared" si="700"/>
        <v>3.6030134294136752E-3</v>
      </c>
      <c r="BB109" s="45">
        <f t="shared" si="700"/>
        <v>6.4839489126682692E-2</v>
      </c>
      <c r="BC109" s="45">
        <f t="shared" si="700"/>
        <v>5.4114416851077742E-2</v>
      </c>
      <c r="BD109" s="45">
        <f t="shared" si="700"/>
        <v>2.3718729934086831E-3</v>
      </c>
      <c r="BE109" s="45">
        <f t="shared" si="700"/>
        <v>1.3150964376186272E-2</v>
      </c>
      <c r="BF109" s="45">
        <f t="shared" si="700"/>
        <v>9.1650777354062615E-2</v>
      </c>
      <c r="BG109" s="45">
        <f t="shared" si="700"/>
        <v>7.6322875291947492E-2</v>
      </c>
      <c r="BH109" s="45">
        <f t="shared" si="700"/>
        <v>6.9170643978695087E-3</v>
      </c>
      <c r="BI109" s="45">
        <f t="shared" si="700"/>
        <v>1.7067651812514462E-2</v>
      </c>
      <c r="BJ109" s="45">
        <f t="shared" si="700"/>
        <v>5.9994019001173307E-2</v>
      </c>
      <c r="BK109" s="45">
        <f t="shared" si="700"/>
        <v>5.9221711728097308E-2</v>
      </c>
      <c r="BL109" s="45">
        <f t="shared" si="700"/>
        <v>2.3052097740888734E-4</v>
      </c>
      <c r="BM109" s="45">
        <f t="shared" si="700"/>
        <v>3.6312882062637594E-2</v>
      </c>
      <c r="BN109" s="45">
        <f t="shared" si="700"/>
        <v>0.20425630126842767</v>
      </c>
      <c r="BO109" s="45">
        <f t="shared" ref="BO109:CT109" si="701">+BO108/BO74</f>
        <v>-0.88934967012252597</v>
      </c>
      <c r="BP109" s="45">
        <f t="shared" si="701"/>
        <v>2.1953867028493911E-2</v>
      </c>
      <c r="BQ109" s="45">
        <f t="shared" si="701"/>
        <v>3.5151383848778722E-2</v>
      </c>
      <c r="BR109" s="45">
        <f t="shared" si="701"/>
        <v>5.6160428368943277E-2</v>
      </c>
      <c r="BS109" s="45">
        <f t="shared" si="701"/>
        <v>-1.8808777429466684E-3</v>
      </c>
      <c r="BT109" s="45">
        <f t="shared" si="701"/>
        <v>3.0901116427432002E-3</v>
      </c>
      <c r="BU109" s="45">
        <f t="shared" si="701"/>
        <v>0.14958103048671781</v>
      </c>
      <c r="BV109" s="45">
        <f t="shared" si="701"/>
        <v>0.37024699138681305</v>
      </c>
      <c r="BW109" s="45">
        <f t="shared" si="701"/>
        <v>0.31336925048654291</v>
      </c>
      <c r="BX109" s="45">
        <f t="shared" si="701"/>
        <v>0.21181132747565901</v>
      </c>
      <c r="BY109" s="45">
        <f t="shared" si="701"/>
        <v>0.23011744462895892</v>
      </c>
      <c r="BZ109" s="45">
        <f t="shared" si="701"/>
        <v>0.30703566333808852</v>
      </c>
      <c r="CA109" s="45">
        <f t="shared" si="701"/>
        <v>0.20516708046725543</v>
      </c>
      <c r="CB109" s="45">
        <f t="shared" si="701"/>
        <v>0.21191045624066496</v>
      </c>
      <c r="CC109" s="45">
        <f t="shared" si="701"/>
        <v>0.17334783563592238</v>
      </c>
      <c r="CD109" s="45">
        <f t="shared" si="701"/>
        <v>0.17815851610703284</v>
      </c>
      <c r="CE109" s="45">
        <f t="shared" si="701"/>
        <v>0.23059356952557439</v>
      </c>
      <c r="CF109" s="45">
        <f t="shared" si="701"/>
        <v>0.20987817704379078</v>
      </c>
      <c r="CG109" s="45">
        <f t="shared" si="701"/>
        <v>0.23238835461475546</v>
      </c>
      <c r="CH109" s="45">
        <f t="shared" si="701"/>
        <v>0.16917790999748614</v>
      </c>
      <c r="CI109" s="45">
        <f t="shared" ref="CI109:CJ109" si="702">+CI108/CI74</f>
        <v>0.26917751896354974</v>
      </c>
      <c r="CJ109" s="45">
        <f t="shared" si="702"/>
        <v>0.15539184137373849</v>
      </c>
      <c r="CK109" s="45">
        <f t="shared" ref="CK109:CL109" si="703">+CK108/CK74</f>
        <v>0.21579532154493405</v>
      </c>
      <c r="CL109" s="45">
        <f t="shared" si="703"/>
        <v>0.25043357498355417</v>
      </c>
      <c r="CM109" s="48">
        <f t="shared" si="701"/>
        <v>0.29860940676180153</v>
      </c>
      <c r="CN109" s="48">
        <f t="shared" si="701"/>
        <v>0.30445553934356007</v>
      </c>
      <c r="CO109" s="48">
        <f t="shared" si="701"/>
        <v>0.29743519694225407</v>
      </c>
      <c r="CP109" s="48">
        <f t="shared" si="701"/>
        <v>0.28688602707741934</v>
      </c>
      <c r="CQ109" s="48">
        <f t="shared" si="701"/>
        <v>0.24470842859934039</v>
      </c>
      <c r="CR109" s="48">
        <f t="shared" si="701"/>
        <v>0.25756026693173018</v>
      </c>
      <c r="CS109" s="48">
        <f t="shared" si="701"/>
        <v>0.26111302628448824</v>
      </c>
      <c r="CT109" s="48">
        <f t="shared" si="701"/>
        <v>0.26499635862773668</v>
      </c>
      <c r="CU109" s="48">
        <f t="shared" ref="CU109:DB109" si="704">+CU108/CU74</f>
        <v>0.24723962071270444</v>
      </c>
      <c r="CV109" s="48">
        <f t="shared" si="704"/>
        <v>0.24911865633437058</v>
      </c>
      <c r="CW109" s="48">
        <f t="shared" si="704"/>
        <v>0.24860656268672782</v>
      </c>
      <c r="CX109" s="48">
        <f t="shared" si="704"/>
        <v>0.24672485774933689</v>
      </c>
      <c r="CY109" s="48">
        <f t="shared" si="704"/>
        <v>0.24609442287194686</v>
      </c>
      <c r="CZ109" s="48">
        <f t="shared" si="704"/>
        <v>0.2470654017620241</v>
      </c>
      <c r="DA109" s="48">
        <f t="shared" si="704"/>
        <v>0.24709598968413579</v>
      </c>
      <c r="DB109" s="48">
        <f t="shared" si="704"/>
        <v>0.24696692663365855</v>
      </c>
      <c r="DE109" s="129"/>
      <c r="DF109" s="45">
        <v>0.22252693472146651</v>
      </c>
    </row>
    <row r="110" spans="1:110" s="39" customFormat="1" x14ac:dyDescent="0.2">
      <c r="A110" s="39" t="s">
        <v>451</v>
      </c>
      <c r="C110" s="39">
        <f t="shared" ref="C110:E110" si="705">+IF(B108&lt;0,1-C108/B108,C108/B108-1)</f>
        <v>-0.19340832567047195</v>
      </c>
      <c r="D110" s="39">
        <f t="shared" si="705"/>
        <v>0.62442602151658932</v>
      </c>
      <c r="E110" s="39">
        <f t="shared" si="705"/>
        <v>0.54090041062377259</v>
      </c>
      <c r="F110" s="39">
        <f t="shared" ref="F110:AE110" si="706">+IF(E108&lt;0,1-F108/E108,F108/E108-1)</f>
        <v>1.3743154159918844</v>
      </c>
      <c r="G110" s="39">
        <f t="shared" si="706"/>
        <v>-4.5937920758307271</v>
      </c>
      <c r="H110" s="39">
        <f t="shared" si="706"/>
        <v>-0.53138846566925979</v>
      </c>
      <c r="I110" s="39">
        <f t="shared" si="706"/>
        <v>0.80049973740951985</v>
      </c>
      <c r="J110" s="39">
        <f t="shared" si="706"/>
        <v>5.6460700796284939</v>
      </c>
      <c r="K110" s="39">
        <f t="shared" si="706"/>
        <v>-0.37044649110149741</v>
      </c>
      <c r="L110" s="39">
        <f t="shared" si="706"/>
        <v>4.0030857468678072E-2</v>
      </c>
      <c r="M110" s="39">
        <f t="shared" si="706"/>
        <v>-0.79939047987616407</v>
      </c>
      <c r="N110" s="39">
        <f t="shared" si="706"/>
        <v>-0.48677759022584366</v>
      </c>
      <c r="O110" s="39">
        <f t="shared" si="706"/>
        <v>-23.15907073870984</v>
      </c>
      <c r="P110" s="39">
        <f t="shared" si="706"/>
        <v>0.50952864483328186</v>
      </c>
      <c r="Q110" s="39">
        <f t="shared" si="706"/>
        <v>1.3338633132229187</v>
      </c>
      <c r="R110" s="39">
        <f t="shared" si="706"/>
        <v>-0.19833105531975737</v>
      </c>
      <c r="S110" s="39">
        <f t="shared" si="706"/>
        <v>2.0570890165111151</v>
      </c>
      <c r="T110" s="39">
        <f t="shared" si="706"/>
        <v>0.21129381652097701</v>
      </c>
      <c r="U110" s="39">
        <f t="shared" si="706"/>
        <v>0.54247745149830928</v>
      </c>
      <c r="V110" s="39">
        <f t="shared" si="706"/>
        <v>-0.99601588618253967</v>
      </c>
      <c r="W110" s="39">
        <f t="shared" si="706"/>
        <v>1171.3974763405031</v>
      </c>
      <c r="X110" s="39">
        <f t="shared" si="706"/>
        <v>5.0935019507601229</v>
      </c>
      <c r="Y110" s="39">
        <f t="shared" si="706"/>
        <v>0.3720994414147869</v>
      </c>
      <c r="Z110" s="39">
        <f t="shared" ref="Z110:AA110" si="707">+IF(Y108&lt;0,1-Z108/Y108,Z108/Y108-1)</f>
        <v>0.17081412468924317</v>
      </c>
      <c r="AA110" s="39">
        <f t="shared" si="707"/>
        <v>1.6167711167917309</v>
      </c>
      <c r="AB110" s="40">
        <f t="shared" si="706"/>
        <v>0.71439909478597152</v>
      </c>
      <c r="AC110" s="40">
        <f t="shared" si="706"/>
        <v>0.2043595305405419</v>
      </c>
      <c r="AD110" s="40">
        <f t="shared" si="706"/>
        <v>9.0246127464274739E-2</v>
      </c>
      <c r="AE110" s="40">
        <f t="shared" si="706"/>
        <v>0.19673951060309158</v>
      </c>
      <c r="AM110" s="39">
        <f>+IF(AI108&lt;0,1-AM108/AI108,AM108/AI108-1)</f>
        <v>-9.279478827361535</v>
      </c>
      <c r="AN110" s="39">
        <f t="shared" ref="AN110" si="708">+IF(AJ108&lt;0,1-AN108/AJ108,AN108/AJ108-1)</f>
        <v>-7.0274888558692936</v>
      </c>
      <c r="AO110" s="39">
        <f t="shared" ref="AO110" si="709">+IF(AK108&lt;0,1-AO108/AK108,AO108/AK108-1)</f>
        <v>5.5280396229429485E-2</v>
      </c>
      <c r="AP110" s="39">
        <f t="shared" ref="AP110" si="710">+IF(AL108&lt;0,1-AP108/AL108,AP108/AL108-1)</f>
        <v>-2.6301489921121837</v>
      </c>
      <c r="AQ110" s="39">
        <f t="shared" ref="AQ110" si="711">+IF(AM108&lt;0,1-AQ108/AM108,AQ108/AM108-1)</f>
        <v>0.32591077189393691</v>
      </c>
      <c r="AR110" s="39">
        <f t="shared" ref="AR110" si="712">+IF(AN108&lt;0,1-AR108/AN108,AR108/AN108-1)</f>
        <v>0.71827857473392176</v>
      </c>
      <c r="AS110" s="39">
        <f t="shared" ref="AS110" si="713">+IF(AO108&lt;0,1-AS108/AO108,AS108/AO108-1)</f>
        <v>-0.12345679012345934</v>
      </c>
      <c r="AT110" s="39">
        <f t="shared" ref="AT110" si="714">+IF(AP108&lt;0,1-AT108/AP108,AT108/AP108-1)</f>
        <v>0.80322580645161246</v>
      </c>
      <c r="AU110" s="39">
        <f t="shared" ref="AU110" si="715">+IF(AQ108&lt;0,1-AU108/AQ108,AU108/AQ108-1)</f>
        <v>1.3198319131551333</v>
      </c>
      <c r="AV110" s="39">
        <f t="shared" ref="AV110" si="716">+IF(AR108&lt;0,1-AV108/AR108,AV108/AR108-1)</f>
        <v>1.1176084099868577</v>
      </c>
      <c r="AW110" s="39">
        <f t="shared" ref="AW110" si="717">+IF(AS108&lt;0,1-AW108/AS108,AW108/AS108-1)</f>
        <v>1.0383862712629823</v>
      </c>
      <c r="AX110" s="39">
        <f t="shared" ref="AX110" si="718">+IF(AT108&lt;0,1-AX108/AT108,AX108/AT108-1)</f>
        <v>2.4043715846994527</v>
      </c>
      <c r="AY110" s="39">
        <f t="shared" ref="AY110" si="719">+IF(AU108&lt;0,1-AY108/AU108,AY108/AU108-1)</f>
        <v>-0.94927007299269794</v>
      </c>
      <c r="AZ110" s="39">
        <f t="shared" ref="AZ110" si="720">+IF(AV108&lt;0,1-AZ108/AV108,AZ108/AV108-1)</f>
        <v>-0.13687150837991191</v>
      </c>
      <c r="BA110" s="39">
        <f t="shared" ref="BA110" si="721">+IF(AW108&lt;0,1-BA108/AW108,BA108/AW108-1)</f>
        <v>0.68235294117651502</v>
      </c>
      <c r="BB110" s="39">
        <f t="shared" ref="BB110" si="722">+IF(AX108&lt;0,1-BB108/AX108,BB108/AX108-1)</f>
        <v>0.30516953863257101</v>
      </c>
      <c r="BC110" s="39">
        <f t="shared" ref="BC110" si="723">+IF(AY108&lt;0,1-BC108/AY108,BC108/AY108-1)</f>
        <v>36.999999999997605</v>
      </c>
      <c r="BD110" s="39">
        <f t="shared" ref="BD110" si="724">+IF(AZ108&lt;0,1-BD108/AZ108,BD108/AZ108-1)</f>
        <v>-0.41423948220058537</v>
      </c>
      <c r="BE110" s="39">
        <f t="shared" ref="BE110" si="725">+IF(BA108&lt;0,1-BE108/BA108,BE108/BA108-1)</f>
        <v>2.6666666666667216</v>
      </c>
      <c r="BF110" s="39">
        <f t="shared" ref="BF110" si="726">+IF(BB108&lt;0,1-BF108/BB108,BF108/BB108-1)</f>
        <v>1.1290459965928439</v>
      </c>
      <c r="BG110" s="39">
        <f t="shared" ref="BG110" si="727">+IF(BC108&lt;0,1-BG108/BC108,BG108/BC108-1)</f>
        <v>0.94263536539189907</v>
      </c>
      <c r="BH110" s="39">
        <f t="shared" ref="BH110" si="728">+IF(BD108&lt;0,1-BH108/BD108,BH108/BD108-1)</f>
        <v>2.8674033149168925</v>
      </c>
      <c r="BI110" s="39">
        <f t="shared" ref="BI110" si="729">+IF(BE108&lt;0,1-BI108/BE108,BI108/BE108-1)</f>
        <v>0.1748251748251648</v>
      </c>
      <c r="BJ110" s="39">
        <f t="shared" ref="BJ110" si="730">+IF(BF108&lt;0,1-BJ108/BF108,BJ108/BF108-1)</f>
        <v>-0.21744348869773666</v>
      </c>
      <c r="BK110" s="39">
        <f t="shared" ref="BK110" si="731">+IF(BG108&lt;0,1-BK108/BG108,BK108/BG108-1)</f>
        <v>-0.27014910827404759</v>
      </c>
      <c r="BL110" s="39">
        <f t="shared" ref="BL110" si="732">+IF(BH108&lt;0,1-BL108/BH108,BL108/BH108-1)</f>
        <v>-0.98142857142857587</v>
      </c>
      <c r="BM110" s="39">
        <f t="shared" ref="BM110" si="733">+IF(BI108&lt;0,1-BM108/BI108,BM108/BI108-1)</f>
        <v>0.66829004329003694</v>
      </c>
      <c r="BN110" s="39">
        <f t="shared" ref="BN110" si="734">+IF(BJ108&lt;0,1-BN108/BJ108,BN108/BJ108-1)</f>
        <v>1.7147239263803615</v>
      </c>
      <c r="BO110" s="39">
        <f t="shared" ref="BO110" si="735">+IF(BK108&lt;0,1-BO108/BK108,BO108/BK108-1)</f>
        <v>-2.2599813059153426</v>
      </c>
      <c r="BP110" s="39">
        <f t="shared" ref="BP110" si="736">+IF(BL108&lt;0,1-BP108/BL108,BP108/BL108-1)</f>
        <v>123.46153846156928</v>
      </c>
      <c r="BQ110" s="39">
        <f t="shared" ref="BQ110" si="737">+IF(BM108&lt;0,1-BQ108/BM108,BQ108/BM108-1)</f>
        <v>-0.15796302302951304</v>
      </c>
      <c r="BR110" s="39">
        <f t="shared" ref="BR110" si="738">+IF(BN108&lt;0,1-BR108/BN108,BR108/BN108-1)</f>
        <v>-0.74816384180790929</v>
      </c>
      <c r="BS110" s="39">
        <f t="shared" ref="BS110" si="739">+IF(BO108&lt;0,1-BS108/BO108,BS108/BO108-1)</f>
        <v>0.98092412038999621</v>
      </c>
      <c r="BT110" s="39">
        <f t="shared" ref="BT110" si="740">+IF(BP108&lt;0,1-BT108/BP108,BT108/BP108-1)</f>
        <v>-0.80840543881335125</v>
      </c>
      <c r="BU110" s="39">
        <f t="shared" ref="BU110" si="741">+IF(BQ108&lt;0,1-BU108/BQ108,BU108/BQ108-1)</f>
        <v>8.6956856702619216</v>
      </c>
      <c r="BV110" s="39">
        <f t="shared" ref="BV110" si="742">+IF(BR108&lt;0,1-BV108/BR108,BV108/BR108-1)</f>
        <v>22.064124135352383</v>
      </c>
      <c r="BW110" s="39">
        <f t="shared" ref="BW110" si="743">+IF(BS108&lt;0,1-BW108/BS108,BW108/BS108-1)</f>
        <v>1468.0555555555866</v>
      </c>
      <c r="BX110" s="39">
        <f t="shared" ref="BX110" si="744">+IF(BT108&lt;0,1-BX108/BT108,BX108/BT108-1)</f>
        <v>459.35483870968068</v>
      </c>
      <c r="BY110" s="39">
        <f t="shared" ref="BY110" si="745">+IF(BU108&lt;0,1-BY108/BU108,BY108/BU108-1)</f>
        <v>8.1390544298768308</v>
      </c>
      <c r="BZ110" s="39">
        <f t="shared" ref="BZ110" si="746">+IF(BV108&lt;0,1-BZ108/BV108,BZ108/BV108-1)</f>
        <v>1.1807570722217733</v>
      </c>
      <c r="CA110" s="39">
        <f t="shared" ref="CA110" si="747">+IF(BW108&lt;0,1-CA108/BW108,CA108/BW108-1)</f>
        <v>0.52709508842352393</v>
      </c>
      <c r="CB110" s="39">
        <f t="shared" ref="CB110" si="748">+IF(BX108&lt;0,1-CB108/BX108,CB108/BX108-1)</f>
        <v>0.6204891037768907</v>
      </c>
      <c r="CC110" s="39">
        <f t="shared" ref="CC110" si="749">+IF(BY108&lt;0,1-CC108/BY108,CC108/BY108-1)</f>
        <v>0.44111637612485288</v>
      </c>
      <c r="CD110" s="39">
        <f t="shared" ref="CD110" si="750">+IF(BZ108&lt;0,1-CD108/BZ108,CD108/BZ108-1)</f>
        <v>2.9252155813261904E-2</v>
      </c>
      <c r="CE110" s="39">
        <f t="shared" ref="CE110" si="751">+IF(CA108&lt;0,1-CE108/CA108,CE108/CA108-1)</f>
        <v>0.38223478649010456</v>
      </c>
      <c r="CF110" s="39">
        <f t="shared" ref="CF110" si="752">+IF(CB108&lt;0,1-CF108/CB108,CF108/CB108-1)</f>
        <v>0.30294906166219771</v>
      </c>
      <c r="CG110" s="39">
        <f t="shared" ref="CG110" si="753">+IF(CC108&lt;0,1-CG108/CC108,CG108/CC108-1)</f>
        <v>0.17432880844645582</v>
      </c>
      <c r="CH110" s="39">
        <f t="shared" ref="CH110:CL110" si="754">+IF(CD108&lt;0,1-CH108/CD108,CH108/CD108-1)</f>
        <v>-0.27095446173847026</v>
      </c>
      <c r="CI110" s="39">
        <f t="shared" si="754"/>
        <v>0.15104054538930889</v>
      </c>
      <c r="CJ110" s="39">
        <f t="shared" si="754"/>
        <v>0.88301473516527307</v>
      </c>
      <c r="CK110" s="39">
        <f t="shared" si="754"/>
        <v>1.803848031030852</v>
      </c>
      <c r="CL110" s="39">
        <f t="shared" si="754"/>
        <v>6.4675054487814494</v>
      </c>
      <c r="CM110" s="40">
        <f t="shared" ref="CM110" si="755">+CM108/CI108-1</f>
        <v>1.5938828198693864</v>
      </c>
      <c r="CN110" s="40">
        <f t="shared" ref="CN110" si="756">+CN108/CJ108-1</f>
        <v>1.7836271273334305</v>
      </c>
      <c r="CO110" s="40">
        <f t="shared" ref="CO110" si="757">+CO108/CK108-1</f>
        <v>0.4717097162557482</v>
      </c>
      <c r="CP110" s="40">
        <f t="shared" ref="CP110" si="758">+CP108/CL108-1</f>
        <v>0.11339389890138341</v>
      </c>
      <c r="CQ110" s="40">
        <f t="shared" ref="CQ110" si="759">+CQ108/CM108-1</f>
        <v>6.2331358100140122E-2</v>
      </c>
      <c r="CR110" s="40">
        <f t="shared" ref="CR110" si="760">+CR108/CN108-1</f>
        <v>0.15573297724340507</v>
      </c>
      <c r="CS110" s="40">
        <f t="shared" ref="CS110" si="761">+CS108/CO108-1</f>
        <v>0.28609888884529222</v>
      </c>
      <c r="CT110" s="40">
        <f t="shared" ref="CT110" si="762">+CT108/CP108-1</f>
        <v>0.31270750278194659</v>
      </c>
      <c r="CU110" s="40">
        <f t="shared" ref="CU110" si="763">+CU108/CQ108-1</f>
        <v>0.16535093593880124</v>
      </c>
      <c r="CV110" s="40">
        <f t="shared" ref="CV110" si="764">+CV108/CR108-1</f>
        <v>7.0066516630249209E-2</v>
      </c>
      <c r="CW110" s="40">
        <f t="shared" ref="CW110" si="765">+CW108/CS108-1</f>
        <v>7.2412963652247253E-2</v>
      </c>
      <c r="CX110" s="40">
        <f t="shared" ref="CX110" si="766">+CX108/CT108-1</f>
        <v>6.3422141890895567E-2</v>
      </c>
      <c r="CY110" s="40">
        <f t="shared" ref="CY110" si="767">+CY108/CU108-1</f>
        <v>0.19857596304122871</v>
      </c>
      <c r="CZ110" s="40">
        <f t="shared" ref="CZ110" si="768">+CZ108/CV108-1</f>
        <v>0.20699283838731675</v>
      </c>
      <c r="DA110" s="40">
        <f t="shared" ref="DA110" si="769">+DA108/CW108-1</f>
        <v>0.19167837255087705</v>
      </c>
      <c r="DB110" s="40">
        <f t="shared" ref="DB110" si="770">+DB108/CX108-1</f>
        <v>0.19136299662659684</v>
      </c>
      <c r="DE110" s="122"/>
      <c r="DF110" s="39">
        <v>1.6167711167917309</v>
      </c>
    </row>
    <row r="111" spans="1:110" s="39" customFormat="1" x14ac:dyDescent="0.2">
      <c r="A111" s="39" t="s">
        <v>452</v>
      </c>
      <c r="AB111" s="40"/>
      <c r="AC111" s="40"/>
      <c r="AD111" s="40"/>
      <c r="AE111" s="40"/>
      <c r="AJ111" s="39">
        <f>+IF(AI108&lt;0,1-AJ108/AI108,AJ108/AI108-1)</f>
        <v>-1.8768729641693707</v>
      </c>
      <c r="AK111" s="39">
        <f t="shared" ref="AK111:AM111" si="771">+IF(AJ108&lt;0,1-AK108/AJ108,AK108/AJ108-1)</f>
        <v>-3.6500742942050826</v>
      </c>
      <c r="AL111" s="39">
        <f t="shared" si="771"/>
        <v>2.2760824412845482</v>
      </c>
      <c r="AM111" s="39">
        <f t="shared" si="771"/>
        <v>-2.5912107174158066</v>
      </c>
      <c r="AN111" s="39">
        <f t="shared" ref="AN111" si="772">+IF(AM108&lt;0,1-AN108/AM108,AN108/AM108-1)</f>
        <v>0.14981509166732432</v>
      </c>
      <c r="AO111" s="39">
        <f t="shared" ref="AO111" si="773">+IF(AN108&lt;0,1-AO108/AN108,AO108/AN108-1)</f>
        <v>0.45275335492827373</v>
      </c>
      <c r="AP111" s="39">
        <f t="shared" ref="AP111" si="774">+IF(AO108&lt;0,1-AP108/AO108,AP108/AO108-1)</f>
        <v>-1.2019279553526108</v>
      </c>
      <c r="AQ111" s="39">
        <f t="shared" ref="AQ111" si="775">+IF(AP108&lt;0,1-AQ108/AP108,AQ108/AP108-1)</f>
        <v>0.34201228878648382</v>
      </c>
      <c r="AR111" s="39">
        <f t="shared" ref="AR111" si="776">+IF(AQ108&lt;0,1-AR108/AQ108,AR108/AQ108-1)</f>
        <v>0.64468308626123672</v>
      </c>
      <c r="AS111" s="39">
        <f t="shared" ref="AS111" si="777">+IF(AR108&lt;0,1-AS108/AR108,AS108/AR108-1)</f>
        <v>-1.1823258869908244</v>
      </c>
      <c r="AT111" s="39">
        <f t="shared" ref="AT111" si="778">+IF(AS108&lt;0,1-AT108/AS108,AT108/AS108-1)</f>
        <v>0.6143308746048477</v>
      </c>
      <c r="AU111" s="39">
        <f t="shared" ref="AU111" si="779">+IF(AT108&lt;0,1-AU108/AT108,AU108/AT108-1)</f>
        <v>2.069476971116321</v>
      </c>
      <c r="AV111" s="39">
        <f t="shared" ref="AV111" si="780">+IF(AU108&lt;0,1-AV108/AU108,AV108/AU108-1)</f>
        <v>-0.86934306569343445</v>
      </c>
      <c r="AW111" s="39">
        <f t="shared" ref="AW111" si="781">+IF(AV108&lt;0,1-AW108/AV108,AW108/AV108-1)</f>
        <v>-0.2877094972067098</v>
      </c>
      <c r="AX111" s="39">
        <f t="shared" ref="AX111" si="782">+IF(AW108&lt;0,1-AX108/AW108,AX108/AW108-1)</f>
        <v>13.109803921569073</v>
      </c>
      <c r="AY111" s="39">
        <f t="shared" ref="AY111" si="783">+IF(AX108&lt;0,1-AY108/AX108,AY108/AX108-1)</f>
        <v>-0.96136742634796868</v>
      </c>
      <c r="AZ111" s="39">
        <f t="shared" ref="AZ111" si="784">+IF(AY108&lt;0,1-AZ108/AY108,AZ108/AY108-1)</f>
        <v>1.2230215827335629</v>
      </c>
      <c r="BA111" s="39">
        <f t="shared" ref="BA111" si="785">+IF(AZ108&lt;0,1-BA108/AZ108,BA108/AZ108-1)</f>
        <v>0.38834951456317013</v>
      </c>
      <c r="BB111" s="39">
        <f t="shared" ref="BB111" si="786">+IF(BA108&lt;0,1-BB108/BA108,BB108/BA108-1)</f>
        <v>9.9463869463869816</v>
      </c>
      <c r="BC111" s="39">
        <f t="shared" ref="BC111" si="787">+IF(BB108&lt;0,1-BC108/BB108,BC108/BB108-1)</f>
        <v>0.12478705281090363</v>
      </c>
      <c r="BD111" s="39">
        <f t="shared" ref="BD111" si="788">+IF(BC108&lt;0,1-BD108/BC108,BD108/BC108-1)</f>
        <v>-0.96573267701627974</v>
      </c>
      <c r="BE111" s="39">
        <f t="shared" ref="BE111" si="789">+IF(BD108&lt;0,1-BE108/BD108,BE108/BD108-1)</f>
        <v>7.6906077348062389</v>
      </c>
      <c r="BF111" s="39">
        <f t="shared" ref="BF111" si="790">+IF(BE108&lt;0,1-BF108/BE108,BF108/BE108-1)</f>
        <v>5.3560076287348233</v>
      </c>
      <c r="BG111" s="39">
        <f t="shared" ref="BG111" si="791">+IF(BF108&lt;0,1-BG108/BF108,BG108/BF108-1)</f>
        <v>2.6305261052212758E-2</v>
      </c>
      <c r="BH111" s="39">
        <f t="shared" ref="BH111" si="792">+IF(BG108&lt;0,1-BH108/BG108,BH108/BG108-1)</f>
        <v>-0.93178052821362478</v>
      </c>
      <c r="BI111" s="39">
        <f t="shared" ref="BI111" si="793">+IF(BH108&lt;0,1-BI108/BH108,BI108/BH108-1)</f>
        <v>1.6400000000000183</v>
      </c>
      <c r="BJ111" s="39">
        <f t="shared" ref="BJ111" si="794">+IF(BI108&lt;0,1-BJ108/BI108,BJ108/BI108-1)</f>
        <v>3.2337662337662341</v>
      </c>
      <c r="BK111" s="39">
        <f t="shared" ref="BK111" si="795">+IF(BJ108&lt;0,1-BK108/BJ108,BK108/BJ108-1)</f>
        <v>-4.2816973415134685E-2</v>
      </c>
      <c r="BL111" s="39">
        <f t="shared" ref="BL111" si="796">+IF(BK108&lt;0,1-BL108/BK108,BL108/BK108-1)</f>
        <v>-0.99826412071037562</v>
      </c>
      <c r="BM111" s="39">
        <f t="shared" ref="BM111" si="797">+IF(BL108&lt;0,1-BM108/BL108,BM108/BL108-1)</f>
        <v>236.15384615390423</v>
      </c>
      <c r="BN111" s="39">
        <f t="shared" ref="BN111" si="798">+IF(BM108&lt;0,1-BN108/BM108,BN108/BM108-1)</f>
        <v>5.8893934479403276</v>
      </c>
      <c r="BO111" s="39">
        <f t="shared" ref="BO111" si="799">+IF(BN108&lt;0,1-BO108/BN108,BO108/BN108-1)</f>
        <v>-1.4442561205273072</v>
      </c>
      <c r="BP111" s="39">
        <f t="shared" ref="BP111" si="800">+IF(BO108&lt;0,1-BP108/BO108,BP108/BO108-1)</f>
        <v>1.1714709622721493</v>
      </c>
      <c r="BQ111" s="39">
        <f t="shared" ref="BQ111" si="801">+IF(BP108&lt;0,1-BQ108/BP108,BQ108/BP108-1)</f>
        <v>0.60444993819530546</v>
      </c>
      <c r="BR111" s="39">
        <f t="shared" ref="BR111" si="802">+IF(BQ108&lt;0,1-BR108/BQ108,BR108/BQ108-1)</f>
        <v>1.060477657935281</v>
      </c>
      <c r="BS111" s="39">
        <f t="shared" ref="BS111" si="803">+IF(BR108&lt;0,1-BS108/BR108,BS108/BR108-1)</f>
        <v>-1.0336511497476157</v>
      </c>
      <c r="BT111" s="39">
        <f t="shared" ref="BT111" si="804">+IF(BS108&lt;0,1-BT108/BS108,BT108/BS108-1)</f>
        <v>2.7222222222222472</v>
      </c>
      <c r="BU111" s="39">
        <f t="shared" ref="BU111" si="805">+IF(BT108&lt;0,1-BU108/BT108,BU108/BT108-1)</f>
        <v>80.193548387097366</v>
      </c>
      <c r="BV111" s="39">
        <f t="shared" ref="BV111" si="806">+IF(BU108&lt;0,1-BV108/BU108,BV108/BU108-1)</f>
        <v>3.9014700039729808</v>
      </c>
      <c r="BW111" s="39">
        <f t="shared" ref="BW111" si="807">+IF(BV108&lt;0,1-BW108/BV108,BW108/BV108-1)</f>
        <v>1.140471751641404</v>
      </c>
      <c r="BX111" s="39">
        <f t="shared" ref="BX111" si="808">+IF(BW108&lt;0,1-BX108/BW108,BX108/BW108-1)</f>
        <v>-0.45957511265952189</v>
      </c>
      <c r="BY111" s="39">
        <f t="shared" ref="BY111" si="809">+IF(BX108&lt;0,1-BY108/BX108,BY108/BX108-1)</f>
        <v>0.61187022633312238</v>
      </c>
      <c r="BZ111" s="39">
        <f t="shared" ref="BZ111" si="810">+IF(BY108&lt;0,1-BZ108/BY108,BZ108/BY108-1)</f>
        <v>0.16958657566404467</v>
      </c>
      <c r="CA111" s="39">
        <f t="shared" ref="CA111" si="811">+IF(BZ108&lt;0,1-CA108/BZ108,CA108/BZ108-1)</f>
        <v>0.49888492417484298</v>
      </c>
      <c r="CB111" s="39">
        <f t="shared" ref="CB111" si="812">+IF(CA108&lt;0,1-CB108/CA108,CB108/CA108-1)</f>
        <v>-0.42652383077914957</v>
      </c>
      <c r="CC111" s="39">
        <f t="shared" ref="CC111" si="813">+IF(CB108&lt;0,1-CC108/CB108,CC108/CB108-1)</f>
        <v>0.43345152642047768</v>
      </c>
      <c r="CD111" s="39">
        <f t="shared" ref="CD111" si="814">+IF(CC108&lt;0,1-CD108/CC108,CD108/CC108-1)</f>
        <v>-0.16467571644042145</v>
      </c>
      <c r="CE111" s="39">
        <f t="shared" ref="CE111" si="815">+IF(CD108&lt;0,1-CE108/CD108,CE108/CD108-1)</f>
        <v>1.0129283882849998</v>
      </c>
      <c r="CF111" s="39">
        <f t="shared" ref="CF111" si="816">+IF(CE108&lt;0,1-CF108/CE108,CF108/CE108-1)</f>
        <v>-0.45941872981700704</v>
      </c>
      <c r="CG111" s="39">
        <f t="shared" ref="CG111" si="817">+IF(CF108&lt;0,1-CG108/CF108,CG108/CF108-1)</f>
        <v>0.29194875879463678</v>
      </c>
      <c r="CH111" s="39">
        <f t="shared" ref="CH111:CL111" si="818">+IF(CG108&lt;0,1-CH108/CG108,CH108/CG108-1)</f>
        <v>-0.48141488350586881</v>
      </c>
      <c r="CI111" s="39">
        <f t="shared" si="818"/>
        <v>2.17807608480285</v>
      </c>
      <c r="CJ111" s="39">
        <f t="shared" si="818"/>
        <v>-0.11565018158013707</v>
      </c>
      <c r="CK111" s="39">
        <f t="shared" si="818"/>
        <v>0.92373852200426509</v>
      </c>
      <c r="CL111" s="39">
        <f t="shared" si="818"/>
        <v>0.38115088272210129</v>
      </c>
      <c r="CM111" s="40">
        <f t="shared" ref="CM111" si="819">+CM108/CL108-1</f>
        <v>0.10392379532217988</v>
      </c>
      <c r="CN111" s="40">
        <f t="shared" ref="CN111" si="820">+CN108/CM108-1</f>
        <v>-5.09593857713736E-2</v>
      </c>
      <c r="CO111" s="40">
        <f t="shared" ref="CO111" si="821">+CO108/CN108-1</f>
        <v>1.70847404699912E-2</v>
      </c>
      <c r="CP111" s="40">
        <f t="shared" ref="CP111" si="822">+CP108/CO108-1</f>
        <v>4.4883341666965615E-2</v>
      </c>
      <c r="CQ111" s="40">
        <f t="shared" ref="CQ111" si="823">+CQ108/CP108-1</f>
        <v>5.3295573005061936E-2</v>
      </c>
      <c r="CR111" s="40">
        <f t="shared" ref="CR111" si="824">+CR108/CQ108-1</f>
        <v>3.248155694935928E-2</v>
      </c>
      <c r="CS111" s="40">
        <f t="shared" ref="CS111" si="825">+CS108/CR108-1</f>
        <v>0.1318112231251749</v>
      </c>
      <c r="CT111" s="40">
        <f t="shared" ref="CT111" si="826">+CT108/CS108-1</f>
        <v>6.6501350739518461E-2</v>
      </c>
      <c r="CU111" s="40">
        <f t="shared" ref="CU111" si="827">+CU108/CT108-1</f>
        <v>-6.4940987066531841E-2</v>
      </c>
      <c r="CV111" s="40">
        <f t="shared" ref="CV111" si="828">+CV108/CU108-1</f>
        <v>-5.1938854590839467E-2</v>
      </c>
      <c r="CW111" s="40">
        <f t="shared" ref="CW111" si="829">+CW108/CV108-1</f>
        <v>0.13429306423756593</v>
      </c>
      <c r="CX111" s="40">
        <f t="shared" ref="CX111" si="830">+CX108/CW108-1</f>
        <v>5.7560090350345039E-2</v>
      </c>
      <c r="CY111" s="40">
        <f t="shared" ref="CY111" si="831">+CY108/CX108-1</f>
        <v>5.3898741410725037E-2</v>
      </c>
      <c r="CZ111" s="40">
        <f t="shared" ref="CZ111" si="832">+CZ108/CY108-1</f>
        <v>-4.5281193560218758E-2</v>
      </c>
      <c r="DA111" s="40">
        <f t="shared" ref="DA111" si="833">+DA108/CZ108-1</f>
        <v>0.11990102161038152</v>
      </c>
      <c r="DB111" s="40">
        <f t="shared" ref="DB111" si="834">+DB108/DA108-1</f>
        <v>5.7280208631704577E-2</v>
      </c>
      <c r="DE111" s="122"/>
    </row>
    <row r="112" spans="1:110" s="75" customFormat="1" x14ac:dyDescent="0.2">
      <c r="A112" s="23" t="s">
        <v>23</v>
      </c>
      <c r="B112" s="75">
        <f>'Annual Raw'!C32</f>
        <v>0</v>
      </c>
      <c r="C112" s="75">
        <f>'Annual Raw'!D32</f>
        <v>0</v>
      </c>
      <c r="D112" s="75">
        <f>'Annual Raw'!E32</f>
        <v>0</v>
      </c>
      <c r="E112" s="75">
        <f>'Annual Raw'!F32</f>
        <v>0</v>
      </c>
      <c r="F112" s="75">
        <f>'Annual Raw'!G32</f>
        <v>0</v>
      </c>
      <c r="G112" s="75">
        <f>'Annual Raw'!H32</f>
        <v>0</v>
      </c>
      <c r="H112" s="75">
        <f>'Annual Raw'!I32</f>
        <v>0</v>
      </c>
      <c r="I112" s="75">
        <f>'Annual Raw'!J32</f>
        <v>0</v>
      </c>
      <c r="J112" s="75">
        <f>'Annual Raw'!K32</f>
        <v>0</v>
      </c>
      <c r="K112" s="75">
        <f>'Annual Raw'!L32</f>
        <v>0</v>
      </c>
      <c r="L112" s="75">
        <f>'Annual Raw'!M32</f>
        <v>0</v>
      </c>
      <c r="M112" s="75">
        <f>'Annual Raw'!N32</f>
        <v>0</v>
      </c>
      <c r="N112" s="75">
        <f>'Annual Raw'!O32</f>
        <v>0</v>
      </c>
      <c r="O112" s="75">
        <f>'Annual Raw'!P32</f>
        <v>0</v>
      </c>
      <c r="P112" s="75">
        <f>'Annual Raw'!Q32</f>
        <v>0</v>
      </c>
      <c r="Q112" s="75">
        <f>'Annual Raw'!R32</f>
        <v>0</v>
      </c>
      <c r="R112" s="75">
        <f>'Annual Raw'!S32</f>
        <v>0</v>
      </c>
      <c r="S112" s="75">
        <f>'Annual Raw'!T32</f>
        <v>0</v>
      </c>
      <c r="T112" s="75">
        <f>'Annual Raw'!U32</f>
        <v>0</v>
      </c>
      <c r="U112" s="75">
        <f>'Annual Raw'!V32</f>
        <v>0</v>
      </c>
      <c r="V112" s="75">
        <f>'Annual Raw'!W32</f>
        <v>0</v>
      </c>
      <c r="W112" s="75">
        <f>'Annual Raw'!X32</f>
        <v>0</v>
      </c>
      <c r="X112" s="75">
        <f>'Annual Raw'!Y32</f>
        <v>0</v>
      </c>
      <c r="Y112" s="75">
        <f>'Annual Raw'!Z32</f>
        <v>0</v>
      </c>
      <c r="Z112" s="75">
        <f>'Annual Raw'!AA32</f>
        <v>0</v>
      </c>
      <c r="AA112" s="75">
        <f>'Annual Raw'!AB32</f>
        <v>-147.79</v>
      </c>
      <c r="AB112" s="76">
        <f t="shared" ref="AB112:AB113" si="835">+SUM(CM112:CP112)</f>
        <v>-200</v>
      </c>
      <c r="AC112" s="76">
        <f t="shared" ref="AC112:AC113" si="836">+SUM(CQ112:CT112)</f>
        <v>-200</v>
      </c>
      <c r="AD112" s="76">
        <f t="shared" ref="AD112:AD113" si="837">+SUM(CU112:CX112)</f>
        <v>-200</v>
      </c>
      <c r="AE112" s="76">
        <f t="shared" ref="AE112:AE113" si="838">+SUM(CY112:DB112)</f>
        <v>-200</v>
      </c>
      <c r="AI112" s="75">
        <f>'QTR Raw'!C34</f>
        <v>0</v>
      </c>
      <c r="AJ112" s="75">
        <f>'QTR Raw'!D34</f>
        <v>0</v>
      </c>
      <c r="AK112" s="75">
        <f>'QTR Raw'!E34</f>
        <v>0</v>
      </c>
      <c r="AL112" s="75">
        <f>'QTR Raw'!F34</f>
        <v>0</v>
      </c>
      <c r="AM112" s="75">
        <f>'QTR Raw'!G34</f>
        <v>0</v>
      </c>
      <c r="AN112" s="75">
        <f>'QTR Raw'!H34</f>
        <v>0</v>
      </c>
      <c r="AO112" s="75">
        <f>'QTR Raw'!I34</f>
        <v>0</v>
      </c>
      <c r="AP112" s="75">
        <f>'QTR Raw'!J34</f>
        <v>0</v>
      </c>
      <c r="AQ112" s="75">
        <f>'QTR Raw'!K34</f>
        <v>0</v>
      </c>
      <c r="AR112" s="75">
        <f>'QTR Raw'!L34</f>
        <v>0</v>
      </c>
      <c r="AS112" s="75">
        <f>'QTR Raw'!M34</f>
        <v>0</v>
      </c>
      <c r="AT112" s="75">
        <f>'QTR Raw'!N34</f>
        <v>0</v>
      </c>
      <c r="AU112" s="75">
        <f>'QTR Raw'!O34</f>
        <v>0</v>
      </c>
      <c r="AV112" s="75">
        <f>'QTR Raw'!P34</f>
        <v>0</v>
      </c>
      <c r="AW112" s="75">
        <f>'QTR Raw'!Q34</f>
        <v>0</v>
      </c>
      <c r="AX112" s="75">
        <f>'QTR Raw'!R34</f>
        <v>0</v>
      </c>
      <c r="AY112" s="75">
        <f>'QTR Raw'!S34</f>
        <v>0</v>
      </c>
      <c r="AZ112" s="75">
        <f>'QTR Raw'!T34</f>
        <v>0</v>
      </c>
      <c r="BA112" s="75">
        <f>'QTR Raw'!U34</f>
        <v>0</v>
      </c>
      <c r="BB112" s="75">
        <f>'QTR Raw'!V34</f>
        <v>0</v>
      </c>
      <c r="BC112" s="75">
        <f>'QTR Raw'!W34</f>
        <v>0</v>
      </c>
      <c r="BD112" s="75">
        <f>'QTR Raw'!X34</f>
        <v>0</v>
      </c>
      <c r="BE112" s="75">
        <f>'QTR Raw'!Y34</f>
        <v>0</v>
      </c>
      <c r="BF112" s="75">
        <f>'QTR Raw'!Z34</f>
        <v>0</v>
      </c>
      <c r="BG112" s="75">
        <f>'QTR Raw'!AA34</f>
        <v>0</v>
      </c>
      <c r="BH112" s="75">
        <f>'QTR Raw'!AB34</f>
        <v>0</v>
      </c>
      <c r="BI112" s="75">
        <f>'QTR Raw'!AC34</f>
        <v>0</v>
      </c>
      <c r="BJ112" s="75">
        <f>'QTR Raw'!AD34</f>
        <v>0</v>
      </c>
      <c r="BK112" s="75">
        <f>'QTR Raw'!AE34</f>
        <v>0</v>
      </c>
      <c r="BL112" s="75">
        <f>'QTR Raw'!AF34</f>
        <v>0</v>
      </c>
      <c r="BM112" s="75">
        <f>'QTR Raw'!AG34</f>
        <v>0</v>
      </c>
      <c r="BN112" s="75">
        <f>'QTR Raw'!AH34</f>
        <v>0</v>
      </c>
      <c r="BO112" s="75">
        <f>'QTR Raw'!AI34</f>
        <v>0</v>
      </c>
      <c r="BP112" s="75">
        <f>'QTR Raw'!AJ34</f>
        <v>0</v>
      </c>
      <c r="BQ112" s="75">
        <f>'QTR Raw'!AK34</f>
        <v>0</v>
      </c>
      <c r="BR112" s="75">
        <f>'QTR Raw'!AL34</f>
        <v>0</v>
      </c>
      <c r="BS112" s="75">
        <f>'QTR Raw'!AM34</f>
        <v>0</v>
      </c>
      <c r="BT112" s="75">
        <f>'QTR Raw'!AN34</f>
        <v>0</v>
      </c>
      <c r="BU112" s="75">
        <f>'QTR Raw'!AO34</f>
        <v>0</v>
      </c>
      <c r="BV112" s="75">
        <f>'QTR Raw'!AP34</f>
        <v>0</v>
      </c>
      <c r="BW112" s="75">
        <f>'QTR Raw'!AQ34</f>
        <v>0</v>
      </c>
      <c r="BX112" s="75">
        <f>'QTR Raw'!AR34</f>
        <v>0</v>
      </c>
      <c r="BY112" s="75">
        <f>'QTR Raw'!AS34</f>
        <v>0</v>
      </c>
      <c r="BZ112" s="75">
        <f>'QTR Raw'!AT34</f>
        <v>0</v>
      </c>
      <c r="CA112" s="75">
        <f>'QTR Raw'!AU34</f>
        <v>0</v>
      </c>
      <c r="CB112" s="75">
        <f>'QTR Raw'!AV34</f>
        <v>0</v>
      </c>
      <c r="CC112" s="75">
        <f>'QTR Raw'!AW34</f>
        <v>0</v>
      </c>
      <c r="CD112" s="75">
        <f>'QTR Raw'!AX34</f>
        <v>0</v>
      </c>
      <c r="CE112" s="75">
        <f>'QTR Raw'!AY34</f>
        <v>0</v>
      </c>
      <c r="CF112" s="75">
        <f>'QTR Raw'!AZ34</f>
        <v>0</v>
      </c>
      <c r="CG112" s="75">
        <f>'QTR Raw'!BA34</f>
        <v>0</v>
      </c>
      <c r="CH112" s="75">
        <f>'QTR Raw'!BB34</f>
        <v>0</v>
      </c>
      <c r="CI112" s="75">
        <f>'QTR Raw'!BC34</f>
        <v>0</v>
      </c>
      <c r="CJ112" s="75">
        <f>'QTR Raw'!BD34</f>
        <v>4.97</v>
      </c>
      <c r="CK112" s="75">
        <f>'QTR Raw'!BE34</f>
        <v>-42.17</v>
      </c>
      <c r="CL112" s="75">
        <f>'QTR Raw'!BF34</f>
        <v>-110.6</v>
      </c>
      <c r="CM112" s="76">
        <v>-50</v>
      </c>
      <c r="CN112" s="76">
        <f t="shared" ref="CN112:CN113" si="839">+CM112</f>
        <v>-50</v>
      </c>
      <c r="CO112" s="76">
        <f t="shared" ref="CO112:CO113" si="840">+CN112</f>
        <v>-50</v>
      </c>
      <c r="CP112" s="76">
        <f t="shared" ref="CP112:CP113" si="841">+CO112</f>
        <v>-50</v>
      </c>
      <c r="CQ112" s="76">
        <f t="shared" ref="CQ112:CQ113" si="842">+CP112</f>
        <v>-50</v>
      </c>
      <c r="CR112" s="76">
        <f t="shared" ref="CR112:CR113" si="843">+CQ112</f>
        <v>-50</v>
      </c>
      <c r="CS112" s="76">
        <f t="shared" ref="CS112:CS113" si="844">+CR112</f>
        <v>-50</v>
      </c>
      <c r="CT112" s="76">
        <f t="shared" ref="CT112:CT113" si="845">+CS112</f>
        <v>-50</v>
      </c>
      <c r="CU112" s="76">
        <f t="shared" ref="CU112:CU113" si="846">+CT112</f>
        <v>-50</v>
      </c>
      <c r="CV112" s="76">
        <f t="shared" ref="CV112:CV113" si="847">+CU112</f>
        <v>-50</v>
      </c>
      <c r="CW112" s="76">
        <f t="shared" ref="CW112:CW113" si="848">+CV112</f>
        <v>-50</v>
      </c>
      <c r="CX112" s="76">
        <f t="shared" ref="CX112:CX113" si="849">+CW112</f>
        <v>-50</v>
      </c>
      <c r="CY112" s="76">
        <f t="shared" ref="CY112:CY113" si="850">+CX112</f>
        <v>-50</v>
      </c>
      <c r="CZ112" s="76">
        <f t="shared" ref="CZ112:CZ113" si="851">+CY112</f>
        <v>-50</v>
      </c>
      <c r="DA112" s="76">
        <f t="shared" ref="DA112:DA113" si="852">+CZ112</f>
        <v>-50</v>
      </c>
      <c r="DB112" s="76">
        <f t="shared" ref="DB112:DB113" si="853">+DA112</f>
        <v>-50</v>
      </c>
      <c r="DE112" s="131"/>
      <c r="DF112" s="75">
        <v>-147.79</v>
      </c>
    </row>
    <row r="113" spans="1:110" s="75" customFormat="1" x14ac:dyDescent="0.2">
      <c r="A113" s="23" t="s">
        <v>24</v>
      </c>
      <c r="B113" s="75">
        <f>'Annual Raw'!C33+'Annual Raw'!C28</f>
        <v>0</v>
      </c>
      <c r="C113" s="75">
        <f>'Annual Raw'!D33+'Annual Raw'!D28</f>
        <v>0</v>
      </c>
      <c r="D113" s="75">
        <f>'Annual Raw'!E33+'Annual Raw'!E28</f>
        <v>0</v>
      </c>
      <c r="E113" s="75">
        <f>'Annual Raw'!F33+'Annual Raw'!F28</f>
        <v>0</v>
      </c>
      <c r="F113" s="75">
        <f>'Annual Raw'!G33+'Annual Raw'!G28</f>
        <v>0</v>
      </c>
      <c r="G113" s="75">
        <f>'Annual Raw'!H33+'Annual Raw'!H28</f>
        <v>0</v>
      </c>
      <c r="H113" s="75">
        <f>'Annual Raw'!I33+'Annual Raw'!I28</f>
        <v>0</v>
      </c>
      <c r="I113" s="75">
        <f>'Annual Raw'!J33+'Annual Raw'!J28</f>
        <v>0</v>
      </c>
      <c r="J113" s="75">
        <f>'Annual Raw'!K33+'Annual Raw'!K28</f>
        <v>0</v>
      </c>
      <c r="K113" s="75">
        <f>'Annual Raw'!L33+'Annual Raw'!L28</f>
        <v>0</v>
      </c>
      <c r="L113" s="75">
        <f>'Annual Raw'!M33+'Annual Raw'!M28</f>
        <v>0</v>
      </c>
      <c r="M113" s="75">
        <f>'Annual Raw'!N33+'Annual Raw'!N28</f>
        <v>0</v>
      </c>
      <c r="N113" s="75">
        <f>'Annual Raw'!O33+'Annual Raw'!O28</f>
        <v>0</v>
      </c>
      <c r="O113" s="75">
        <f>'Annual Raw'!P33+'Annual Raw'!P28</f>
        <v>0</v>
      </c>
      <c r="P113" s="75">
        <f>'Annual Raw'!Q33+'Annual Raw'!Q28</f>
        <v>0</v>
      </c>
      <c r="Q113" s="75">
        <f>'Annual Raw'!R33+'Annual Raw'!R28</f>
        <v>0</v>
      </c>
      <c r="R113" s="75">
        <f>'Annual Raw'!S33+'Annual Raw'!S28</f>
        <v>0</v>
      </c>
      <c r="S113" s="75">
        <f>'Annual Raw'!T33+'Annual Raw'!T28</f>
        <v>0</v>
      </c>
      <c r="T113" s="75">
        <f>'Annual Raw'!U33+'Annual Raw'!U28</f>
        <v>0</v>
      </c>
      <c r="U113" s="75">
        <f>'Annual Raw'!V33+'Annual Raw'!V28</f>
        <v>0</v>
      </c>
      <c r="V113" s="75">
        <f>'Annual Raw'!W33+'Annual Raw'!W28</f>
        <v>0</v>
      </c>
      <c r="W113" s="75">
        <f>'Annual Raw'!X33+'Annual Raw'!X28</f>
        <v>7.0000000000000007E-2</v>
      </c>
      <c r="X113" s="75">
        <f>'Annual Raw'!Y33+'Annual Raw'!Y28</f>
        <v>-0.01</v>
      </c>
      <c r="Y113" s="75">
        <f>'Annual Raw'!Z33+'Annual Raw'!Z28</f>
        <v>0</v>
      </c>
      <c r="Z113" s="75">
        <f>'Annual Raw'!AA33+'Annual Raw'!AA28</f>
        <v>0</v>
      </c>
      <c r="AA113" s="75">
        <f>'Annual Raw'!AB33+'Annual Raw'!AB28</f>
        <v>20.61</v>
      </c>
      <c r="AB113" s="76">
        <f t="shared" si="835"/>
        <v>20</v>
      </c>
      <c r="AC113" s="76">
        <f t="shared" si="836"/>
        <v>20</v>
      </c>
      <c r="AD113" s="76">
        <f t="shared" si="837"/>
        <v>20</v>
      </c>
      <c r="AE113" s="76">
        <f t="shared" si="838"/>
        <v>20</v>
      </c>
      <c r="AI113" s="75">
        <f>'QTR Raw'!C35</f>
        <v>0</v>
      </c>
      <c r="AJ113" s="75">
        <f>'QTR Raw'!D35</f>
        <v>0</v>
      </c>
      <c r="AK113" s="75">
        <f>'QTR Raw'!E35</f>
        <v>0</v>
      </c>
      <c r="AL113" s="75">
        <f>'QTR Raw'!F35</f>
        <v>0</v>
      </c>
      <c r="AM113" s="75">
        <f>'QTR Raw'!G35</f>
        <v>0</v>
      </c>
      <c r="AN113" s="75">
        <f>'QTR Raw'!H35</f>
        <v>0</v>
      </c>
      <c r="AO113" s="75">
        <f>'QTR Raw'!I35</f>
        <v>0</v>
      </c>
      <c r="AP113" s="75">
        <f>'QTR Raw'!J35</f>
        <v>0</v>
      </c>
      <c r="AQ113" s="75">
        <f>'QTR Raw'!K35</f>
        <v>0</v>
      </c>
      <c r="AR113" s="75">
        <f>'QTR Raw'!L35</f>
        <v>0</v>
      </c>
      <c r="AS113" s="75">
        <f>'QTR Raw'!M35</f>
        <v>0</v>
      </c>
      <c r="AT113" s="75">
        <f>'QTR Raw'!N35</f>
        <v>0</v>
      </c>
      <c r="AU113" s="75">
        <f>'QTR Raw'!O35</f>
        <v>0</v>
      </c>
      <c r="AV113" s="75">
        <f>'QTR Raw'!P35</f>
        <v>0</v>
      </c>
      <c r="AW113" s="75">
        <f>'QTR Raw'!Q35</f>
        <v>0</v>
      </c>
      <c r="AX113" s="75">
        <f>'QTR Raw'!R35</f>
        <v>0</v>
      </c>
      <c r="AY113" s="75">
        <f>'QTR Raw'!S35</f>
        <v>0</v>
      </c>
      <c r="AZ113" s="75">
        <f>'QTR Raw'!T35</f>
        <v>0</v>
      </c>
      <c r="BA113" s="75">
        <f>'QTR Raw'!U35</f>
        <v>0</v>
      </c>
      <c r="BB113" s="75">
        <f>'QTR Raw'!V35</f>
        <v>0</v>
      </c>
      <c r="BC113" s="75">
        <f>'QTR Raw'!W35</f>
        <v>0</v>
      </c>
      <c r="BD113" s="75">
        <f>'QTR Raw'!X35</f>
        <v>0</v>
      </c>
      <c r="BE113" s="75">
        <f>'QTR Raw'!Y35</f>
        <v>0</v>
      </c>
      <c r="BF113" s="75">
        <f>'QTR Raw'!Z35</f>
        <v>0</v>
      </c>
      <c r="BG113" s="75">
        <f>'QTR Raw'!AA35</f>
        <v>0</v>
      </c>
      <c r="BH113" s="75">
        <f>'QTR Raw'!AB35</f>
        <v>0</v>
      </c>
      <c r="BI113" s="75">
        <f>'QTR Raw'!AC35</f>
        <v>0</v>
      </c>
      <c r="BJ113" s="75">
        <f>'QTR Raw'!AD35</f>
        <v>0</v>
      </c>
      <c r="BK113" s="75">
        <f>'QTR Raw'!AE35</f>
        <v>0</v>
      </c>
      <c r="BL113" s="75">
        <f>'QTR Raw'!AF35</f>
        <v>0</v>
      </c>
      <c r="BM113" s="75">
        <f>'QTR Raw'!AG35</f>
        <v>0</v>
      </c>
      <c r="BN113" s="75">
        <f>'QTR Raw'!AH35</f>
        <v>0</v>
      </c>
      <c r="BO113" s="75">
        <f>'QTR Raw'!AI35</f>
        <v>0</v>
      </c>
      <c r="BP113" s="75">
        <f>'QTR Raw'!AJ35</f>
        <v>0</v>
      </c>
      <c r="BQ113" s="75">
        <f>'QTR Raw'!AK35</f>
        <v>0</v>
      </c>
      <c r="BR113" s="75">
        <f>'QTR Raw'!AL35</f>
        <v>0</v>
      </c>
      <c r="BS113" s="75">
        <f>'QTR Raw'!AM35</f>
        <v>0</v>
      </c>
      <c r="BT113" s="75">
        <f>'QTR Raw'!AN35</f>
        <v>0</v>
      </c>
      <c r="BU113" s="75">
        <f>'QTR Raw'!AO35</f>
        <v>0.05</v>
      </c>
      <c r="BV113" s="75">
        <f>'QTR Raw'!AP35</f>
        <v>0.02</v>
      </c>
      <c r="BW113" s="75">
        <f>'QTR Raw'!AQ35</f>
        <v>0</v>
      </c>
      <c r="BX113" s="75">
        <f>'QTR Raw'!AR35</f>
        <v>-0.01</v>
      </c>
      <c r="BY113" s="75">
        <f>'QTR Raw'!AS35</f>
        <v>0</v>
      </c>
      <c r="BZ113" s="75">
        <f>'QTR Raw'!AT35</f>
        <v>0</v>
      </c>
      <c r="CA113" s="75">
        <f>'QTR Raw'!AU35</f>
        <v>0</v>
      </c>
      <c r="CB113" s="75">
        <f>'QTR Raw'!AV35</f>
        <v>0</v>
      </c>
      <c r="CC113" s="75">
        <f>'QTR Raw'!AW35</f>
        <v>0</v>
      </c>
      <c r="CD113" s="75">
        <f>'QTR Raw'!AX35</f>
        <v>0</v>
      </c>
      <c r="CE113" s="75">
        <f>'QTR Raw'!AY35</f>
        <v>0</v>
      </c>
      <c r="CF113" s="75">
        <f>'QTR Raw'!AZ35</f>
        <v>0</v>
      </c>
      <c r="CG113" s="75">
        <f>'QTR Raw'!BA35</f>
        <v>0</v>
      </c>
      <c r="CH113" s="75">
        <f>'QTR Raw'!BB35</f>
        <v>0</v>
      </c>
      <c r="CI113" s="75">
        <f>'QTR Raw'!BC35</f>
        <v>0</v>
      </c>
      <c r="CJ113" s="75">
        <f>'QTR Raw'!BD35</f>
        <v>0</v>
      </c>
      <c r="CK113" s="75">
        <f>'QTR Raw'!BE35</f>
        <v>-1.95</v>
      </c>
      <c r="CL113" s="75">
        <f>'QTR Raw'!BF35</f>
        <v>22.56</v>
      </c>
      <c r="CM113" s="76">
        <v>5</v>
      </c>
      <c r="CN113" s="76">
        <f t="shared" si="839"/>
        <v>5</v>
      </c>
      <c r="CO113" s="76">
        <f t="shared" si="840"/>
        <v>5</v>
      </c>
      <c r="CP113" s="76">
        <f t="shared" si="841"/>
        <v>5</v>
      </c>
      <c r="CQ113" s="76">
        <f t="shared" si="842"/>
        <v>5</v>
      </c>
      <c r="CR113" s="76">
        <f t="shared" si="843"/>
        <v>5</v>
      </c>
      <c r="CS113" s="76">
        <f t="shared" si="844"/>
        <v>5</v>
      </c>
      <c r="CT113" s="76">
        <f t="shared" si="845"/>
        <v>5</v>
      </c>
      <c r="CU113" s="76">
        <f t="shared" si="846"/>
        <v>5</v>
      </c>
      <c r="CV113" s="76">
        <f t="shared" si="847"/>
        <v>5</v>
      </c>
      <c r="CW113" s="76">
        <f t="shared" si="848"/>
        <v>5</v>
      </c>
      <c r="CX113" s="76">
        <f t="shared" si="849"/>
        <v>5</v>
      </c>
      <c r="CY113" s="76">
        <f t="shared" si="850"/>
        <v>5</v>
      </c>
      <c r="CZ113" s="76">
        <f t="shared" si="851"/>
        <v>5</v>
      </c>
      <c r="DA113" s="76">
        <f t="shared" si="852"/>
        <v>5</v>
      </c>
      <c r="DB113" s="76">
        <f t="shared" si="853"/>
        <v>5</v>
      </c>
      <c r="DE113" s="131"/>
      <c r="DF113" s="75">
        <v>20.61</v>
      </c>
    </row>
    <row r="114" spans="1:110" s="23" customFormat="1" x14ac:dyDescent="0.2">
      <c r="A114" s="23" t="s">
        <v>19</v>
      </c>
      <c r="B114" s="75">
        <f>'Annual Raw'!C29+'Annual Raw'!C31+'Annual Raw'!C34+'Annual Raw'!C36</f>
        <v>0</v>
      </c>
      <c r="C114" s="75">
        <f>'Annual Raw'!D29+'Annual Raw'!D31+'Annual Raw'!D34+'Annual Raw'!D36</f>
        <v>0</v>
      </c>
      <c r="D114" s="75">
        <f>'Annual Raw'!E29+'Annual Raw'!E31+'Annual Raw'!E34+'Annual Raw'!E36</f>
        <v>0</v>
      </c>
      <c r="E114" s="75">
        <f>'Annual Raw'!F29+'Annual Raw'!F31+'Annual Raw'!F34+'Annual Raw'!F36</f>
        <v>13.309699999999999</v>
      </c>
      <c r="F114" s="75">
        <f>'Annual Raw'!G29+'Annual Raw'!G31+'Annual Raw'!G34+'Annual Raw'!G36</f>
        <v>24.255099999999999</v>
      </c>
      <c r="G114" s="75">
        <f>'Annual Raw'!H29+'Annual Raw'!H31+'Annual Raw'!H34+'Annual Raw'!H36</f>
        <v>62.070700000000002</v>
      </c>
      <c r="H114" s="75">
        <f>'Annual Raw'!I29+'Annual Raw'!I31+'Annual Raw'!I34+'Annual Raw'!I36</f>
        <v>0</v>
      </c>
      <c r="I114" s="75">
        <f>'Annual Raw'!J29+'Annual Raw'!J31+'Annual Raw'!J34+'Annual Raw'!J36</f>
        <v>28.621300000000002</v>
      </c>
      <c r="J114" s="75">
        <f>'Annual Raw'!K29+'Annual Raw'!K31+'Annual Raw'!K34+'Annual Raw'!K36</f>
        <v>0</v>
      </c>
      <c r="K114" s="75">
        <f>'Annual Raw'!L29+'Annual Raw'!L31+'Annual Raw'!L34+'Annual Raw'!L36</f>
        <v>0</v>
      </c>
      <c r="L114" s="75">
        <f>'Annual Raw'!M29+'Annual Raw'!M31+'Annual Raw'!M34+'Annual Raw'!M36</f>
        <v>0</v>
      </c>
      <c r="M114" s="75">
        <f>'Annual Raw'!N29+'Annual Raw'!N31+'Annual Raw'!N34+'Annual Raw'!N36</f>
        <v>0</v>
      </c>
      <c r="N114" s="75">
        <f>'Annual Raw'!O29+'Annual Raw'!O31+'Annual Raw'!O34+'Annual Raw'!O36</f>
        <v>0</v>
      </c>
      <c r="O114" s="75">
        <f>'Annual Raw'!P29+'Annual Raw'!P31+'Annual Raw'!P34+'Annual Raw'!P36</f>
        <v>0</v>
      </c>
      <c r="P114" s="75">
        <f>'Annual Raw'!Q29+'Annual Raw'!Q31+'Annual Raw'!Q34+'Annual Raw'!Q36</f>
        <v>0</v>
      </c>
      <c r="Q114" s="75">
        <f>'Annual Raw'!R29+'Annual Raw'!R31+'Annual Raw'!R34+'Annual Raw'!R36</f>
        <v>-6.2293000000000003</v>
      </c>
      <c r="R114" s="75">
        <f>'Annual Raw'!S29+'Annual Raw'!S31+'Annual Raw'!S34+'Annual Raw'!S36</f>
        <v>0</v>
      </c>
      <c r="S114" s="75">
        <f>'Annual Raw'!T29+'Annual Raw'!T31+'Annual Raw'!T34+'Annual Raw'!T36</f>
        <v>0</v>
      </c>
      <c r="T114" s="75">
        <f>'Annual Raw'!U29+'Annual Raw'!U31+'Annual Raw'!U34+'Annual Raw'!U36</f>
        <v>0</v>
      </c>
      <c r="U114" s="75">
        <f>'Annual Raw'!V29+'Annual Raw'!V31+'Annual Raw'!V34+'Annual Raw'!V36</f>
        <v>0</v>
      </c>
      <c r="V114" s="75">
        <f>'Annual Raw'!W29+'Annual Raw'!W31+'Annual Raw'!W34+'Annual Raw'!W36</f>
        <v>0</v>
      </c>
      <c r="W114" s="75">
        <f>'Annual Raw'!X29+'Annual Raw'!X31+'Annual Raw'!X34+'Annual Raw'!X36</f>
        <v>-51.36</v>
      </c>
      <c r="X114" s="75">
        <f>'Annual Raw'!Y29+'Annual Raw'!Y31+'Annual Raw'!Y34+'Annual Raw'!Y36</f>
        <v>-1194.4000000000001</v>
      </c>
      <c r="Y114" s="75">
        <f>'Annual Raw'!Z29+'Annual Raw'!Z31+'Annual Raw'!Z34+'Annual Raw'!Z36</f>
        <v>0</v>
      </c>
      <c r="Z114" s="75">
        <f>'Annual Raw'!AA29+'Annual Raw'!AA31+'Annual Raw'!AA34+'Annual Raw'!AA36</f>
        <v>0</v>
      </c>
      <c r="AA114" s="75">
        <f>'Annual Raw'!AB29+'Annual Raw'!AB31+'Annual Raw'!AB34+'Annual Raw'!AB36</f>
        <v>0</v>
      </c>
      <c r="AB114" s="76">
        <f>+SUM(CM114:CP114)</f>
        <v>0</v>
      </c>
      <c r="AC114" s="76">
        <f>+SUM(CQ114:CT114)</f>
        <v>0</v>
      </c>
      <c r="AD114" s="76">
        <f>+SUM(CU114:CX114)</f>
        <v>0</v>
      </c>
      <c r="AE114" s="76">
        <f>+SUM(CY114:DB114)</f>
        <v>0</v>
      </c>
      <c r="AI114" s="75">
        <f>'QTR Raw'!C26+'QTR Raw'!C31+'QTR Raw'!C32+'QTR Raw'!C33+'QTR Raw'!C36+'QTR Raw'!C37+'QTR Raw'!C39</f>
        <v>0</v>
      </c>
      <c r="AJ114" s="75">
        <f>'QTR Raw'!D26+'QTR Raw'!D31+'QTR Raw'!D32+'QTR Raw'!D33+'QTR Raw'!D36+'QTR Raw'!D37+'QTR Raw'!D39</f>
        <v>0</v>
      </c>
      <c r="AK114" s="75">
        <f>'QTR Raw'!E26+'QTR Raw'!E31+'QTR Raw'!E32+'QTR Raw'!E33+'QTR Raw'!E36+'QTR Raw'!E37+'QTR Raw'!E39</f>
        <v>0</v>
      </c>
      <c r="AL114" s="75">
        <f>'QTR Raw'!F26+'QTR Raw'!F31+'QTR Raw'!F32+'QTR Raw'!F33+'QTR Raw'!F36+'QTR Raw'!F37+'QTR Raw'!F39</f>
        <v>0</v>
      </c>
      <c r="AM114" s="75">
        <f>'QTR Raw'!G26+'QTR Raw'!G31+'QTR Raw'!G32+'QTR Raw'!G33+'QTR Raw'!G36+'QTR Raw'!G37+'QTR Raw'!G39</f>
        <v>0</v>
      </c>
      <c r="AN114" s="75">
        <f>'QTR Raw'!H26+'QTR Raw'!H31+'QTR Raw'!H32+'QTR Raw'!H33+'QTR Raw'!H36+'QTR Raw'!H37+'QTR Raw'!H39</f>
        <v>0</v>
      </c>
      <c r="AO114" s="75">
        <f>'QTR Raw'!I26+'QTR Raw'!I31+'QTR Raw'!I32+'QTR Raw'!I33+'QTR Raw'!I36+'QTR Raw'!I37+'QTR Raw'!I39</f>
        <v>0</v>
      </c>
      <c r="AP114" s="75">
        <f>'QTR Raw'!J26+'QTR Raw'!J31+'QTR Raw'!J32+'QTR Raw'!J33+'QTR Raw'!J36+'QTR Raw'!J37+'QTR Raw'!J39</f>
        <v>0</v>
      </c>
      <c r="AQ114" s="75">
        <f>'QTR Raw'!K26+'QTR Raw'!K31+'QTR Raw'!K32+'QTR Raw'!K33+'QTR Raw'!K36+'QTR Raw'!K37+'QTR Raw'!K39</f>
        <v>0</v>
      </c>
      <c r="AR114" s="75">
        <f>'QTR Raw'!L26+'QTR Raw'!L31+'QTR Raw'!L32+'QTR Raw'!L33+'QTR Raw'!L36+'QTR Raw'!L37+'QTR Raw'!L39</f>
        <v>0</v>
      </c>
      <c r="AS114" s="75">
        <f>'QTR Raw'!M26+'QTR Raw'!M31+'QTR Raw'!M32+'QTR Raw'!M33+'QTR Raw'!M36+'QTR Raw'!M37+'QTR Raw'!M39</f>
        <v>0</v>
      </c>
      <c r="AT114" s="75">
        <f>'QTR Raw'!N26+'QTR Raw'!N31+'QTR Raw'!N32+'QTR Raw'!N33+'QTR Raw'!N36+'QTR Raw'!N37+'QTR Raw'!N39</f>
        <v>0</v>
      </c>
      <c r="AU114" s="75">
        <f>'QTR Raw'!O26+'QTR Raw'!O31+'QTR Raw'!O32+'QTR Raw'!O33+'QTR Raw'!O36+'QTR Raw'!O37+'QTR Raw'!O39</f>
        <v>0</v>
      </c>
      <c r="AV114" s="75">
        <f>'QTR Raw'!P26+'QTR Raw'!P31+'QTR Raw'!P32+'QTR Raw'!P33+'QTR Raw'!P36+'QTR Raw'!P37+'QTR Raw'!P39</f>
        <v>0</v>
      </c>
      <c r="AW114" s="75">
        <f>'QTR Raw'!Q26+'QTR Raw'!Q31+'QTR Raw'!Q32+'QTR Raw'!Q33+'QTR Raw'!Q36+'QTR Raw'!Q37+'QTR Raw'!Q39</f>
        <v>0</v>
      </c>
      <c r="AX114" s="75">
        <f>'QTR Raw'!R26+'QTR Raw'!R31+'QTR Raw'!R32+'QTR Raw'!R33+'QTR Raw'!R36+'QTR Raw'!R37+'QTR Raw'!R39</f>
        <v>-6.2290000000000001</v>
      </c>
      <c r="AY114" s="75">
        <f>'QTR Raw'!S26+'QTR Raw'!S31+'QTR Raw'!S32+'QTR Raw'!S33+'QTR Raw'!S36+'QTR Raw'!S37+'QTR Raw'!S39</f>
        <v>0</v>
      </c>
      <c r="AZ114" s="75">
        <f>'QTR Raw'!T26+'QTR Raw'!T31+'QTR Raw'!T32+'QTR Raw'!T33+'QTR Raw'!T36+'QTR Raw'!T37+'QTR Raw'!T39</f>
        <v>0</v>
      </c>
      <c r="BA114" s="75">
        <f>'QTR Raw'!U26+'QTR Raw'!U31+'QTR Raw'!U32+'QTR Raw'!U33+'QTR Raw'!U36+'QTR Raw'!U37+'QTR Raw'!U39</f>
        <v>0</v>
      </c>
      <c r="BB114" s="75">
        <f>'QTR Raw'!V26+'QTR Raw'!V31+'QTR Raw'!V32+'QTR Raw'!V33+'QTR Raw'!V36+'QTR Raw'!V37+'QTR Raw'!V39</f>
        <v>0</v>
      </c>
      <c r="BC114" s="75">
        <f>'QTR Raw'!W26+'QTR Raw'!W31+'QTR Raw'!W32+'QTR Raw'!W33+'QTR Raw'!W36+'QTR Raw'!W37+'QTR Raw'!W39</f>
        <v>0</v>
      </c>
      <c r="BD114" s="75">
        <f>'QTR Raw'!X26+'QTR Raw'!X31+'QTR Raw'!X32+'QTR Raw'!X33+'QTR Raw'!X36+'QTR Raw'!X37+'QTR Raw'!X39</f>
        <v>0</v>
      </c>
      <c r="BE114" s="75">
        <f>'QTR Raw'!Y26+'QTR Raw'!Y31+'QTR Raw'!Y32+'QTR Raw'!Y33+'QTR Raw'!Y36+'QTR Raw'!Y37+'QTR Raw'!Y39</f>
        <v>0</v>
      </c>
      <c r="BF114" s="75">
        <f>'QTR Raw'!Z26+'QTR Raw'!Z31+'QTR Raw'!Z32+'QTR Raw'!Z33+'QTR Raw'!Z36+'QTR Raw'!Z37+'QTR Raw'!Z39</f>
        <v>0</v>
      </c>
      <c r="BG114" s="75">
        <f>'QTR Raw'!AA26+'QTR Raw'!AA31+'QTR Raw'!AA32+'QTR Raw'!AA33+'QTR Raw'!AA36+'QTR Raw'!AA37+'QTR Raw'!AA39</f>
        <v>0</v>
      </c>
      <c r="BH114" s="75">
        <f>'QTR Raw'!AB26+'QTR Raw'!AB31+'QTR Raw'!AB32+'QTR Raw'!AB33+'QTR Raw'!AB36+'QTR Raw'!AB37+'QTR Raw'!AB39</f>
        <v>0</v>
      </c>
      <c r="BI114" s="75">
        <f>'QTR Raw'!AC26+'QTR Raw'!AC31+'QTR Raw'!AC32+'QTR Raw'!AC33+'QTR Raw'!AC36+'QTR Raw'!AC37+'QTR Raw'!AC39</f>
        <v>0</v>
      </c>
      <c r="BJ114" s="75">
        <f>'QTR Raw'!AD26+'QTR Raw'!AD31+'QTR Raw'!AD32+'QTR Raw'!AD33+'QTR Raw'!AD36+'QTR Raw'!AD37+'QTR Raw'!AD39</f>
        <v>0</v>
      </c>
      <c r="BK114" s="75">
        <f>'QTR Raw'!AE26+'QTR Raw'!AE31+'QTR Raw'!AE32+'QTR Raw'!AE33+'QTR Raw'!AE36+'QTR Raw'!AE37+'QTR Raw'!AE39</f>
        <v>0</v>
      </c>
      <c r="BL114" s="75">
        <f>'QTR Raw'!AF26+'QTR Raw'!AF31+'QTR Raw'!AF32+'QTR Raw'!AF33+'QTR Raw'!AF36+'QTR Raw'!AF37+'QTR Raw'!AF39</f>
        <v>0</v>
      </c>
      <c r="BM114" s="75">
        <f>'QTR Raw'!AG26+'QTR Raw'!AG31+'QTR Raw'!AG32+'QTR Raw'!AG33+'QTR Raw'!AG36+'QTR Raw'!AG37+'QTR Raw'!AG39</f>
        <v>0</v>
      </c>
      <c r="BN114" s="75">
        <f>'QTR Raw'!AH26+'QTR Raw'!AH31+'QTR Raw'!AH32+'QTR Raw'!AH33+'QTR Raw'!AH36+'QTR Raw'!AH37+'QTR Raw'!AH39</f>
        <v>0</v>
      </c>
      <c r="BO114" s="75">
        <f>'QTR Raw'!AI26+'QTR Raw'!AI31+'QTR Raw'!AI32+'QTR Raw'!AI33+'QTR Raw'!AI36+'QTR Raw'!AI37+'QTR Raw'!AI39</f>
        <v>0</v>
      </c>
      <c r="BP114" s="75">
        <f>'QTR Raw'!AJ26+'QTR Raw'!AJ31+'QTR Raw'!AJ32+'QTR Raw'!AJ33+'QTR Raw'!AJ36+'QTR Raw'!AJ37+'QTR Raw'!AJ39</f>
        <v>0</v>
      </c>
      <c r="BQ114" s="75">
        <f>'QTR Raw'!AK26+'QTR Raw'!AK31+'QTR Raw'!AK32+'QTR Raw'!AK33+'QTR Raw'!AK36+'QTR Raw'!AK37+'QTR Raw'!AK39</f>
        <v>0</v>
      </c>
      <c r="BR114" s="75">
        <f>'QTR Raw'!AL26+'QTR Raw'!AL31+'QTR Raw'!AL32+'QTR Raw'!AL33+'QTR Raw'!AL36+'QTR Raw'!AL37+'QTR Raw'!AL39</f>
        <v>0</v>
      </c>
      <c r="BS114" s="75">
        <f>'QTR Raw'!AM26+'QTR Raw'!AM31+'QTR Raw'!AM32+'QTR Raw'!AM33+'QTR Raw'!AM36+'QTR Raw'!AM37+'QTR Raw'!AM39</f>
        <v>0</v>
      </c>
      <c r="BT114" s="75">
        <f>'QTR Raw'!AN26+'QTR Raw'!AN31+'QTR Raw'!AN32+'QTR Raw'!AN33+'QTR Raw'!AN36+'QTR Raw'!AN37+'QTR Raw'!AN39</f>
        <v>0</v>
      </c>
      <c r="BU114" s="75">
        <f>'QTR Raw'!AO26+'QTR Raw'!AO31+'QTR Raw'!AO32+'QTR Raw'!AO33+'QTR Raw'!AO36+'QTR Raw'!AO37+'QTR Raw'!AO39</f>
        <v>-51.36</v>
      </c>
      <c r="BV114" s="75">
        <f>'QTR Raw'!AP26+'QTR Raw'!AP31+'QTR Raw'!AP32+'QTR Raw'!AP33+'QTR Raw'!AP36+'QTR Raw'!AP37+'QTR Raw'!AP39</f>
        <v>0</v>
      </c>
      <c r="BW114" s="75">
        <f>'QTR Raw'!AQ26+'QTR Raw'!AQ31+'QTR Raw'!AQ32+'QTR Raw'!AQ33+'QTR Raw'!AQ36+'QTR Raw'!AQ37+'QTR Raw'!AQ39</f>
        <v>-1194.4000000000001</v>
      </c>
      <c r="BX114" s="75">
        <f>'QTR Raw'!AR26+'QTR Raw'!AR31+'QTR Raw'!AR32+'QTR Raw'!AR33+'QTR Raw'!AR36+'QTR Raw'!AR37+'QTR Raw'!AR39</f>
        <v>0</v>
      </c>
      <c r="BY114" s="75">
        <f>'QTR Raw'!AS26+'QTR Raw'!AS31+'QTR Raw'!AS32+'QTR Raw'!AS33+'QTR Raw'!AS36+'QTR Raw'!AS37+'QTR Raw'!AS39</f>
        <v>0</v>
      </c>
      <c r="BZ114" s="75">
        <f>'QTR Raw'!AT26+'QTR Raw'!AT31+'QTR Raw'!AT32+'QTR Raw'!AT33+'QTR Raw'!AT36+'QTR Raw'!AT37+'QTR Raw'!AT39</f>
        <v>0</v>
      </c>
      <c r="CA114" s="75">
        <f>'QTR Raw'!AU26+'QTR Raw'!AU31+'QTR Raw'!AU32+'QTR Raw'!AU33+'QTR Raw'!AU36+'QTR Raw'!AU37+'QTR Raw'!AU39</f>
        <v>0</v>
      </c>
      <c r="CB114" s="75">
        <f>'QTR Raw'!AV26+'QTR Raw'!AV31+'QTR Raw'!AV32+'QTR Raw'!AV33+'QTR Raw'!AV36+'QTR Raw'!AV37+'QTR Raw'!AV39</f>
        <v>0</v>
      </c>
      <c r="CC114" s="75">
        <f>'QTR Raw'!AW26+'QTR Raw'!AW31+'QTR Raw'!AW32+'QTR Raw'!AW33+'QTR Raw'!AW36+'QTR Raw'!AW37+'QTR Raw'!AW39</f>
        <v>0</v>
      </c>
      <c r="CD114" s="75">
        <f>'QTR Raw'!AX26+'QTR Raw'!AX31+'QTR Raw'!AX32+'QTR Raw'!AX33+'QTR Raw'!AX36+'QTR Raw'!AX37+'QTR Raw'!AX39</f>
        <v>0</v>
      </c>
      <c r="CE114" s="75">
        <f>'QTR Raw'!AY26+'QTR Raw'!AY31+'QTR Raw'!AY32+'QTR Raw'!AY33+'QTR Raw'!AY36+'QTR Raw'!AY37+'QTR Raw'!AY39</f>
        <v>0</v>
      </c>
      <c r="CF114" s="75">
        <f>'QTR Raw'!AZ26+'QTR Raw'!AZ31+'QTR Raw'!AZ32+'QTR Raw'!AZ33+'QTR Raw'!AZ36+'QTR Raw'!AZ37+'QTR Raw'!AZ39</f>
        <v>0</v>
      </c>
      <c r="CG114" s="75">
        <f>'QTR Raw'!BA26+'QTR Raw'!BA31+'QTR Raw'!BA32+'QTR Raw'!BA33+'QTR Raw'!BA36+'QTR Raw'!BA37+'QTR Raw'!BA39</f>
        <v>0</v>
      </c>
      <c r="CH114" s="75">
        <f>'QTR Raw'!BB26+'QTR Raw'!BB31+'QTR Raw'!BB32+'QTR Raw'!BB33+'QTR Raw'!BB36+'QTR Raw'!BB37+'QTR Raw'!BB39</f>
        <v>0</v>
      </c>
      <c r="CI114" s="75">
        <f>'QTR Raw'!BC26+'QTR Raw'!BC31+'QTR Raw'!BC32+'QTR Raw'!BC33+'QTR Raw'!BC36+'QTR Raw'!BC37+'QTR Raw'!BC39</f>
        <v>0</v>
      </c>
      <c r="CJ114" s="75">
        <f>'QTR Raw'!BD26+'QTR Raw'!BD31+'QTR Raw'!BD32+'QTR Raw'!BD33+'QTR Raw'!BD36+'QTR Raw'!BD37+'QTR Raw'!BD39</f>
        <v>0</v>
      </c>
      <c r="CK114" s="75">
        <f>'QTR Raw'!BE26+'QTR Raw'!BE31+'QTR Raw'!BE32+'QTR Raw'!BE33+'QTR Raw'!BE36+'QTR Raw'!BE37+'QTR Raw'!BE39</f>
        <v>0</v>
      </c>
      <c r="CL114" s="75">
        <f>'QTR Raw'!BF26+'QTR Raw'!BF31+'QTR Raw'!BF32+'QTR Raw'!BF33+'QTR Raw'!BF36+'QTR Raw'!BF37+'QTR Raw'!BF39</f>
        <v>0</v>
      </c>
      <c r="CM114" s="24"/>
      <c r="CN114" s="24"/>
      <c r="CO114" s="24"/>
      <c r="CP114" s="24"/>
      <c r="CQ114" s="24"/>
      <c r="CR114" s="24"/>
      <c r="CS114" s="24"/>
      <c r="CT114" s="24"/>
      <c r="CU114" s="24"/>
      <c r="CV114" s="24"/>
      <c r="CW114" s="24"/>
      <c r="CX114" s="24"/>
      <c r="CY114" s="24"/>
      <c r="CZ114" s="24"/>
      <c r="DA114" s="24"/>
      <c r="DB114" s="24"/>
      <c r="DE114" s="123"/>
      <c r="DF114" s="23">
        <v>0</v>
      </c>
    </row>
    <row r="115" spans="1:110" s="26" customFormat="1" x14ac:dyDescent="0.2">
      <c r="A115" s="35" t="s">
        <v>25</v>
      </c>
      <c r="B115" s="26">
        <f>B108+B112+B113+B114</f>
        <v>-72.318499999999972</v>
      </c>
      <c r="C115" s="26">
        <f>C108+C112+C113+C114</f>
        <v>-86.305499999999995</v>
      </c>
      <c r="D115" s="26">
        <f>D108+D112+D113+D114</f>
        <v>-32.414100000000005</v>
      </c>
      <c r="E115" s="26">
        <f t="shared" ref="E115:U115" si="854">E108+E112+E113+E114</f>
        <v>-1.5715999999999752</v>
      </c>
      <c r="F115" s="26">
        <f t="shared" si="854"/>
        <v>29.82540000000002</v>
      </c>
      <c r="G115" s="26">
        <f t="shared" si="854"/>
        <v>42.052200000000028</v>
      </c>
      <c r="H115" s="26">
        <f t="shared" si="854"/>
        <v>-30.656100000000038</v>
      </c>
      <c r="I115" s="26">
        <f t="shared" si="854"/>
        <v>22.505399999999973</v>
      </c>
      <c r="J115" s="26">
        <f t="shared" si="854"/>
        <v>28.414900000000028</v>
      </c>
      <c r="K115" s="26">
        <f t="shared" si="854"/>
        <v>17.888700000000078</v>
      </c>
      <c r="L115" s="26">
        <f t="shared" si="854"/>
        <v>18.604800000000022</v>
      </c>
      <c r="M115" s="26">
        <f t="shared" si="854"/>
        <v>3.7322999999999471</v>
      </c>
      <c r="N115" s="26">
        <f t="shared" si="854"/>
        <v>1.9155000000000566</v>
      </c>
      <c r="O115" s="26">
        <f t="shared" si="854"/>
        <v>-42.445699999999952</v>
      </c>
      <c r="P115" s="26">
        <f t="shared" si="854"/>
        <v>-20.818399999999944</v>
      </c>
      <c r="Q115" s="26">
        <f t="shared" si="854"/>
        <v>0.72119999999999429</v>
      </c>
      <c r="R115" s="26">
        <f t="shared" si="854"/>
        <v>5.5720000000000223</v>
      </c>
      <c r="S115" s="26">
        <f t="shared" si="854"/>
        <v>17.034100000000002</v>
      </c>
      <c r="T115" s="26">
        <f t="shared" si="854"/>
        <v>20.633299999999977</v>
      </c>
      <c r="U115" s="26">
        <f t="shared" si="854"/>
        <v>31.826400000000028</v>
      </c>
      <c r="V115" s="26">
        <f t="shared" ref="V115:AA115" si="855">V108+V112+V113+V114</f>
        <v>0.12680000000002067</v>
      </c>
      <c r="W115" s="26">
        <f t="shared" si="855"/>
        <v>97.370000000000019</v>
      </c>
      <c r="X115" s="26">
        <f t="shared" si="855"/>
        <v>-288.55000000000007</v>
      </c>
      <c r="Y115" s="26">
        <f t="shared" si="855"/>
        <v>1242.9299999999989</v>
      </c>
      <c r="Z115" s="26">
        <f t="shared" si="855"/>
        <v>1455.2399999999998</v>
      </c>
      <c r="AA115" s="26">
        <f t="shared" ref="AA115" si="856">AA108+AA112+AA113+AA114</f>
        <v>3680.8499999999981</v>
      </c>
      <c r="AB115" s="27">
        <f t="shared" ref="AB115:AD115" si="857">AB108+AB112+AB113+AB114</f>
        <v>6348.4831849178199</v>
      </c>
      <c r="AC115" s="27">
        <f t="shared" si="857"/>
        <v>7682.6409437294478</v>
      </c>
      <c r="AD115" s="27">
        <f t="shared" si="857"/>
        <v>8392.2138405430815</v>
      </c>
      <c r="AE115" s="27">
        <f t="shared" ref="AE115" si="858">AE108+AE112+AE113+AE114</f>
        <v>10078.706996316576</v>
      </c>
      <c r="AI115" s="26">
        <f t="shared" ref="AI115" si="859">AI108+AI112+AI113+AI114</f>
        <v>1.5350000000000081</v>
      </c>
      <c r="AJ115" s="26">
        <f t="shared" ref="AJ115" si="860">AJ108+AJ112+AJ113+AJ114</f>
        <v>-1.345999999999991</v>
      </c>
      <c r="AK115" s="26">
        <f t="shared" ref="AK115:AM115" si="861">AK108+AK112+AK113+AK114</f>
        <v>-6.2589999999999995</v>
      </c>
      <c r="AL115" s="26">
        <f t="shared" si="861"/>
        <v>7.9869999999999859</v>
      </c>
      <c r="AM115" s="26">
        <f t="shared" si="861"/>
        <v>-12.709000000000024</v>
      </c>
      <c r="AN115" s="26">
        <f t="shared" ref="AN115:AO115" si="862">AN108+AN112+AN113+AN114</f>
        <v>-10.804999999999996</v>
      </c>
      <c r="AO115" s="26">
        <f t="shared" si="862"/>
        <v>-5.9130000000000003</v>
      </c>
      <c r="AP115" s="26">
        <f t="shared" ref="AP115:CD115" si="863">AP108+AP112+AP113+AP114</f>
        <v>-13.019999999999987</v>
      </c>
      <c r="AQ115" s="26">
        <f t="shared" si="863"/>
        <v>-8.5669999999999717</v>
      </c>
      <c r="AR115" s="26">
        <f t="shared" si="863"/>
        <v>-3.0439999999999752</v>
      </c>
      <c r="AS115" s="26">
        <f t="shared" si="863"/>
        <v>-6.6430000000000158</v>
      </c>
      <c r="AT115" s="26">
        <f t="shared" si="863"/>
        <v>-2.5620000000000029</v>
      </c>
      <c r="AU115" s="26">
        <f t="shared" si="863"/>
        <v>2.7400000000000175</v>
      </c>
      <c r="AV115" s="26">
        <f t="shared" si="863"/>
        <v>0.35799999999999188</v>
      </c>
      <c r="AW115" s="26">
        <f t="shared" si="863"/>
        <v>0.25499999999999212</v>
      </c>
      <c r="AX115" s="26">
        <f t="shared" si="863"/>
        <v>-2.6309999999999976</v>
      </c>
      <c r="AY115" s="26">
        <f t="shared" si="863"/>
        <v>0.13900000000000867</v>
      </c>
      <c r="AZ115" s="26">
        <f t="shared" si="863"/>
        <v>0.30899999999998451</v>
      </c>
      <c r="BA115" s="26">
        <f t="shared" si="863"/>
        <v>0.42899999999999805</v>
      </c>
      <c r="BB115" s="26">
        <f t="shared" si="863"/>
        <v>4.6959999999999935</v>
      </c>
      <c r="BC115" s="26">
        <f t="shared" si="863"/>
        <v>5.2819999999999965</v>
      </c>
      <c r="BD115" s="26">
        <f t="shared" si="863"/>
        <v>0.18100000000001004</v>
      </c>
      <c r="BE115" s="26">
        <f t="shared" si="863"/>
        <v>1.5730000000000164</v>
      </c>
      <c r="BF115" s="26">
        <f t="shared" si="863"/>
        <v>9.9979999999999816</v>
      </c>
      <c r="BG115" s="26">
        <f t="shared" si="863"/>
        <v>10.261000000000005</v>
      </c>
      <c r="BH115" s="26">
        <f t="shared" si="863"/>
        <v>0.6999999999999964</v>
      </c>
      <c r="BI115" s="26">
        <f t="shared" si="863"/>
        <v>1.8480000000000034</v>
      </c>
      <c r="BJ115" s="26">
        <f t="shared" si="863"/>
        <v>7.8240000000000149</v>
      </c>
      <c r="BK115" s="26">
        <f t="shared" si="863"/>
        <v>7.4890000000000008</v>
      </c>
      <c r="BL115" s="26">
        <f t="shared" si="863"/>
        <v>1.2999999999996792E-2</v>
      </c>
      <c r="BM115" s="26">
        <f t="shared" si="863"/>
        <v>3.082999999999994</v>
      </c>
      <c r="BN115" s="26">
        <f t="shared" si="863"/>
        <v>21.239999999999988</v>
      </c>
      <c r="BO115" s="26">
        <f t="shared" si="863"/>
        <v>-9.4359999999999999</v>
      </c>
      <c r="BP115" s="26">
        <f t="shared" si="863"/>
        <v>1.6180000000000012</v>
      </c>
      <c r="BQ115" s="26">
        <f t="shared" si="863"/>
        <v>2.5960000000000063</v>
      </c>
      <c r="BR115" s="26">
        <f t="shared" si="863"/>
        <v>5.3490000000000029</v>
      </c>
      <c r="BS115" s="26">
        <f t="shared" si="863"/>
        <v>-0.17999999999999616</v>
      </c>
      <c r="BT115" s="26">
        <f t="shared" si="863"/>
        <v>0.30999999999999783</v>
      </c>
      <c r="BU115" s="26">
        <f t="shared" si="863"/>
        <v>-26.13999999999999</v>
      </c>
      <c r="BV115" s="26">
        <f t="shared" si="863"/>
        <v>123.38999999999996</v>
      </c>
      <c r="BW115" s="26">
        <f t="shared" si="863"/>
        <v>-930.33000000000015</v>
      </c>
      <c r="BX115" s="26">
        <f t="shared" si="863"/>
        <v>142.70000000000002</v>
      </c>
      <c r="BY115" s="26">
        <f t="shared" si="863"/>
        <v>230.02999999999992</v>
      </c>
      <c r="BZ115" s="26">
        <f t="shared" si="863"/>
        <v>269.04000000000008</v>
      </c>
      <c r="CA115" s="26">
        <f t="shared" si="863"/>
        <v>403.25999999999988</v>
      </c>
      <c r="CB115" s="26">
        <f t="shared" si="863"/>
        <v>231.26000000000008</v>
      </c>
      <c r="CC115" s="26">
        <f t="shared" si="863"/>
        <v>331.49999999999977</v>
      </c>
      <c r="CD115" s="26">
        <f t="shared" si="863"/>
        <v>276.91000000000008</v>
      </c>
      <c r="CE115" s="26">
        <f t="shared" ref="CE115:CF115" si="864">CE108+CE112+CE113+CE114</f>
        <v>557.39999999999941</v>
      </c>
      <c r="CF115" s="26">
        <f t="shared" si="864"/>
        <v>301.31999999999994</v>
      </c>
      <c r="CG115" s="26">
        <f t="shared" ref="CG115:CH115" si="865">CG108+CG112+CG113+CG114</f>
        <v>389.28999999999985</v>
      </c>
      <c r="CH115" s="26">
        <f t="shared" si="865"/>
        <v>201.88000000000025</v>
      </c>
      <c r="CI115" s="26">
        <f t="shared" ref="CI115:CJ115" si="866">CI108+CI112+CI113+CI114</f>
        <v>641.59000000000015</v>
      </c>
      <c r="CJ115" s="26">
        <f t="shared" si="866"/>
        <v>572.36</v>
      </c>
      <c r="CK115" s="26">
        <f t="shared" ref="CK115:CL115" si="867">CK108+CK112+CK113+CK114</f>
        <v>1047.3899999999999</v>
      </c>
      <c r="CL115" s="26">
        <f t="shared" si="867"/>
        <v>1419.5000000000009</v>
      </c>
      <c r="CM115" s="27">
        <f t="shared" ref="CM115:DB115" si="868">CM108+CM112+CM113+CM114</f>
        <v>1619.2092784000001</v>
      </c>
      <c r="CN115" s="27">
        <f t="shared" si="868"/>
        <v>1534.4021957777152</v>
      </c>
      <c r="CO115" s="27">
        <f t="shared" si="868"/>
        <v>1561.3858723903118</v>
      </c>
      <c r="CP115" s="27">
        <f t="shared" si="868"/>
        <v>1633.4858383497926</v>
      </c>
      <c r="CQ115" s="27">
        <f t="shared" si="868"/>
        <v>1722.9417028855264</v>
      </c>
      <c r="CR115" s="27">
        <f t="shared" si="868"/>
        <v>1780.36720199095</v>
      </c>
      <c r="CS115" s="27">
        <f t="shared" si="868"/>
        <v>2020.9710855379553</v>
      </c>
      <c r="CT115" s="27">
        <f t="shared" si="868"/>
        <v>2158.3609533150184</v>
      </c>
      <c r="CU115" s="27">
        <f t="shared" si="868"/>
        <v>2015.2725181428864</v>
      </c>
      <c r="CV115" s="27">
        <f t="shared" si="868"/>
        <v>1908.2643234055604</v>
      </c>
      <c r="CW115" s="27">
        <f t="shared" si="868"/>
        <v>2170.574174661609</v>
      </c>
      <c r="CX115" s="27">
        <f t="shared" si="868"/>
        <v>2298.1028243330225</v>
      </c>
      <c r="CY115" s="27">
        <f t="shared" si="868"/>
        <v>2424.3931175604876</v>
      </c>
      <c r="CZ115" s="27">
        <f t="shared" si="868"/>
        <v>2312.5760498279592</v>
      </c>
      <c r="DA115" s="27">
        <f t="shared" si="868"/>
        <v>2595.2518267264991</v>
      </c>
      <c r="DB115" s="27">
        <f t="shared" si="868"/>
        <v>2746.4860022016323</v>
      </c>
      <c r="DE115" s="121"/>
      <c r="DF115" s="26">
        <v>3680.8499999999981</v>
      </c>
    </row>
    <row r="116" spans="1:110" s="25" customFormat="1" x14ac:dyDescent="0.2">
      <c r="A116" s="151" t="s">
        <v>486</v>
      </c>
      <c r="AB116" s="17"/>
      <c r="AC116" s="17"/>
      <c r="AD116" s="17"/>
      <c r="AE116" s="17"/>
      <c r="CM116" s="17"/>
      <c r="CN116" s="17"/>
      <c r="CO116" s="17"/>
      <c r="CP116" s="17"/>
      <c r="CQ116" s="17"/>
      <c r="CR116" s="17"/>
      <c r="CS116" s="17"/>
      <c r="CT116" s="17"/>
      <c r="CU116" s="17"/>
      <c r="CV116" s="17"/>
      <c r="CW116" s="17"/>
      <c r="CX116" s="17"/>
      <c r="CY116" s="17"/>
      <c r="CZ116" s="17"/>
      <c r="DA116" s="17"/>
      <c r="DB116" s="17"/>
      <c r="DE116" s="119"/>
    </row>
    <row r="117" spans="1:110" s="1" customFormat="1" x14ac:dyDescent="0.2">
      <c r="AB117" s="20"/>
      <c r="AC117" s="20"/>
      <c r="AD117" s="20"/>
      <c r="AE117" s="20"/>
      <c r="BV117" s="182"/>
      <c r="CM117" s="17"/>
      <c r="CN117" s="17"/>
      <c r="CO117" s="17"/>
      <c r="CP117" s="17"/>
      <c r="CQ117" s="17"/>
      <c r="CR117" s="17"/>
      <c r="CS117" s="17"/>
      <c r="CT117" s="17"/>
      <c r="CU117" s="17"/>
      <c r="CV117" s="17"/>
      <c r="CW117" s="17"/>
      <c r="CX117" s="17"/>
      <c r="CY117" s="17"/>
      <c r="CZ117" s="17"/>
      <c r="DA117" s="17"/>
      <c r="DB117" s="17"/>
      <c r="DE117" s="119"/>
      <c r="DF117" s="182"/>
    </row>
    <row r="118" spans="1:110" s="22" customFormat="1" x14ac:dyDescent="0.2">
      <c r="A118" s="22" t="s">
        <v>434</v>
      </c>
      <c r="B118" s="22">
        <f>'Annual Raw'!C35</f>
        <v>-72.3185</v>
      </c>
      <c r="C118" s="22">
        <f>'Annual Raw'!D35</f>
        <v>-86.305499999999995</v>
      </c>
      <c r="D118" s="22">
        <f>'Annual Raw'!E35</f>
        <v>-32.414099999999998</v>
      </c>
      <c r="E118" s="22">
        <f>'Annual Raw'!F35</f>
        <v>-1.5716000000000001</v>
      </c>
      <c r="F118" s="22">
        <f>'Annual Raw'!G35</f>
        <v>29.825399999999998</v>
      </c>
      <c r="G118" s="22">
        <f>'Annual Raw'!H35</f>
        <v>42.052199999999999</v>
      </c>
      <c r="H118" s="22">
        <f>'Annual Raw'!I35</f>
        <v>-30.656099999999999</v>
      </c>
      <c r="I118" s="22">
        <f>'Annual Raw'!J35</f>
        <v>22.505400000000002</v>
      </c>
      <c r="J118" s="22">
        <f>'Annual Raw'!K35</f>
        <v>28.414899999999999</v>
      </c>
      <c r="K118" s="22">
        <f>'Annual Raw'!L35</f>
        <v>17.8887</v>
      </c>
      <c r="L118" s="22">
        <f>'Annual Raw'!M35</f>
        <v>18.604800000000001</v>
      </c>
      <c r="M118" s="22">
        <f>'Annual Raw'!N35</f>
        <v>3.7323</v>
      </c>
      <c r="N118" s="22">
        <f>'Annual Raw'!O35</f>
        <v>1.9155</v>
      </c>
      <c r="O118" s="22">
        <f>'Annual Raw'!P35</f>
        <v>-42.445700000000002</v>
      </c>
      <c r="P118" s="22">
        <f>'Annual Raw'!Q35</f>
        <v>-20.8184</v>
      </c>
      <c r="Q118" s="22">
        <f>'Annual Raw'!R35</f>
        <v>0.72119999999999995</v>
      </c>
      <c r="R118" s="22">
        <f>'Annual Raw'!S35</f>
        <v>5.5720000000000001</v>
      </c>
      <c r="S118" s="22">
        <f>'Annual Raw'!T35</f>
        <v>17.034099999999999</v>
      </c>
      <c r="T118" s="22">
        <f>'Annual Raw'!U35</f>
        <v>20.633299999999998</v>
      </c>
      <c r="U118" s="22">
        <f>'Annual Raw'!V35</f>
        <v>31.8264</v>
      </c>
      <c r="V118" s="22">
        <f>'Annual Raw'!W35</f>
        <v>0.1268</v>
      </c>
      <c r="W118" s="22">
        <f>'Annual Raw'!X35</f>
        <v>97.37</v>
      </c>
      <c r="X118" s="22">
        <f>'Annual Raw'!Y35</f>
        <v>-288.55</v>
      </c>
      <c r="Y118" s="22">
        <f>'Annual Raw'!Z35</f>
        <v>1242.93</v>
      </c>
      <c r="Z118" s="22">
        <f>'Annual Raw'!AA35</f>
        <v>1455.24</v>
      </c>
      <c r="AA118" s="22">
        <f>'Annual Raw'!AB35</f>
        <v>3680.85</v>
      </c>
      <c r="AB118" s="21">
        <f t="shared" ref="AB118:AD118" si="869">+AB115</f>
        <v>6348.4831849178199</v>
      </c>
      <c r="AC118" s="21">
        <f t="shared" si="869"/>
        <v>7682.6409437294478</v>
      </c>
      <c r="AD118" s="21">
        <f t="shared" si="869"/>
        <v>8392.2138405430815</v>
      </c>
      <c r="AE118" s="21">
        <f t="shared" ref="AE118" si="870">+AE115</f>
        <v>10078.706996316576</v>
      </c>
      <c r="AI118" s="22">
        <f>'QTR Raw'!C42</f>
        <v>1.5349999999999999</v>
      </c>
      <c r="AJ118" s="22">
        <f>'QTR Raw'!D42</f>
        <v>-1.3480000000000001</v>
      </c>
      <c r="AK118" s="22">
        <f>'QTR Raw'!E42</f>
        <v>-6.2590000000000003</v>
      </c>
      <c r="AL118" s="22">
        <f>'QTR Raw'!F42</f>
        <v>7.9870000000000001</v>
      </c>
      <c r="AM118" s="22">
        <f>'QTR Raw'!G42</f>
        <v>-12.709</v>
      </c>
      <c r="AN118" s="22">
        <f>'QTR Raw'!H42</f>
        <v>-10.804</v>
      </c>
      <c r="AO118" s="22">
        <f>'QTR Raw'!I42</f>
        <v>-5.9130000000000003</v>
      </c>
      <c r="AP118" s="22">
        <f>'QTR Raw'!J42</f>
        <v>-13.02</v>
      </c>
      <c r="AQ118" s="22">
        <f>'QTR Raw'!K42</f>
        <v>-8.5670000000000002</v>
      </c>
      <c r="AR118" s="22">
        <f>'QTR Raw'!L42</f>
        <v>-3.044</v>
      </c>
      <c r="AS118" s="22">
        <f>'QTR Raw'!M42</f>
        <v>-6.6449999999999996</v>
      </c>
      <c r="AT118" s="22">
        <f>'QTR Raw'!N42</f>
        <v>-2.5630000000000002</v>
      </c>
      <c r="AU118" s="22">
        <f>'QTR Raw'!O42</f>
        <v>2.7389999999999999</v>
      </c>
      <c r="AV118" s="22">
        <f>'QTR Raw'!P42</f>
        <v>0.36</v>
      </c>
      <c r="AW118" s="22">
        <f>'QTR Raw'!Q42</f>
        <v>0.255</v>
      </c>
      <c r="AX118" s="22">
        <f>'QTR Raw'!R42</f>
        <v>-2.6309999999999998</v>
      </c>
      <c r="AY118" s="22">
        <f>'QTR Raw'!S42</f>
        <v>0.13800000000000001</v>
      </c>
      <c r="AZ118" s="22">
        <f>'QTR Raw'!T42</f>
        <v>0.309</v>
      </c>
      <c r="BA118" s="22">
        <f>'QTR Raw'!U42</f>
        <v>0.42899999999999999</v>
      </c>
      <c r="BB118" s="22">
        <f>'QTR Raw'!V42</f>
        <v>4.6959999999999997</v>
      </c>
      <c r="BC118" s="22">
        <f>'QTR Raw'!W42</f>
        <v>5.282</v>
      </c>
      <c r="BD118" s="22">
        <f>'QTR Raw'!X42</f>
        <v>0.18099999999999999</v>
      </c>
      <c r="BE118" s="22">
        <f>'QTR Raw'!Y42</f>
        <v>1.5740000000000001</v>
      </c>
      <c r="BF118" s="22">
        <f>'QTR Raw'!Z42</f>
        <v>9.9969999999999999</v>
      </c>
      <c r="BG118" s="22">
        <f>'QTR Raw'!AA42</f>
        <v>10.260999999999999</v>
      </c>
      <c r="BH118" s="22">
        <f>'QTR Raw'!AB42</f>
        <v>0.70099999999997697</v>
      </c>
      <c r="BI118" s="22">
        <f>'QTR Raw'!AC42</f>
        <v>1.8479999999999901</v>
      </c>
      <c r="BJ118" s="22">
        <f>'QTR Raw'!AD42</f>
        <v>7.8240000000000203</v>
      </c>
      <c r="BK118" s="22">
        <f>'QTR Raw'!AE42</f>
        <v>7.4890000000000096</v>
      </c>
      <c r="BL118" s="22">
        <f>'QTR Raw'!AF42</f>
        <v>1.4E-2</v>
      </c>
      <c r="BM118" s="22">
        <f>'QTR Raw'!AG42</f>
        <v>3.0830000000000002</v>
      </c>
      <c r="BN118" s="22">
        <f>'QTR Raw'!AH42</f>
        <v>21.239000000000001</v>
      </c>
      <c r="BO118" s="22">
        <f>'QTR Raw'!AI42</f>
        <v>-9.4359999999999999</v>
      </c>
      <c r="BP118" s="22">
        <f>'QTR Raw'!AJ42</f>
        <v>1.6180000000000001</v>
      </c>
      <c r="BQ118" s="22">
        <f>'QTR Raw'!AK42</f>
        <v>2.5950000000000002</v>
      </c>
      <c r="BR118" s="22">
        <f>'QTR Raw'!AL42</f>
        <v>5.3490000000000002</v>
      </c>
      <c r="BS118" s="22">
        <f>'QTR Raw'!AM42</f>
        <v>-0.18</v>
      </c>
      <c r="BT118" s="22">
        <f>'QTR Raw'!AN42</f>
        <v>0.31</v>
      </c>
      <c r="BU118" s="22">
        <f>'QTR Raw'!AO42</f>
        <v>-26.14</v>
      </c>
      <c r="BV118" s="22">
        <f>'QTR Raw'!AP42</f>
        <v>123.39</v>
      </c>
      <c r="BW118" s="22">
        <f>'QTR Raw'!AQ42</f>
        <v>-930.33</v>
      </c>
      <c r="BX118" s="22">
        <f>'QTR Raw'!AR42</f>
        <v>142.69999999999999</v>
      </c>
      <c r="BY118" s="22">
        <f>'QTR Raw'!AS42</f>
        <v>230.03</v>
      </c>
      <c r="BZ118" s="22">
        <f>'QTR Raw'!AT42</f>
        <v>269.04000000000002</v>
      </c>
      <c r="CA118" s="22">
        <f>'QTR Raw'!AU42</f>
        <v>403.26</v>
      </c>
      <c r="CB118" s="22">
        <f>'QTR Raw'!AV42</f>
        <v>231.26</v>
      </c>
      <c r="CC118" s="22">
        <f>'QTR Raw'!AW42</f>
        <v>331.5</v>
      </c>
      <c r="CD118" s="22">
        <f>'QTR Raw'!AX42</f>
        <v>276.91000000000003</v>
      </c>
      <c r="CE118" s="22">
        <f>'QTR Raw'!AY42</f>
        <v>557.4</v>
      </c>
      <c r="CF118" s="22">
        <f>'QTR Raw'!AZ42</f>
        <v>301.32</v>
      </c>
      <c r="CG118" s="22">
        <f>'QTR Raw'!BA42</f>
        <v>389.29</v>
      </c>
      <c r="CH118" s="22">
        <f>'QTR Raw'!BB42</f>
        <v>201.88</v>
      </c>
      <c r="CI118" s="22">
        <f>'QTR Raw'!BC42</f>
        <v>641.59</v>
      </c>
      <c r="CJ118" s="22">
        <f>'QTR Raw'!BD42</f>
        <v>572.36</v>
      </c>
      <c r="CK118" s="22">
        <f>'QTR Raw'!BE42</f>
        <v>1047.3900000000001</v>
      </c>
      <c r="CL118" s="22">
        <f>'QTR Raw'!BF42</f>
        <v>1419.5</v>
      </c>
      <c r="CM118" s="17"/>
      <c r="CN118" s="17"/>
      <c r="CO118" s="17"/>
      <c r="CP118" s="17"/>
      <c r="CQ118" s="17"/>
      <c r="CR118" s="17"/>
      <c r="CS118" s="17"/>
      <c r="CT118" s="17"/>
      <c r="CU118" s="17"/>
      <c r="CV118" s="17"/>
      <c r="CW118" s="17"/>
      <c r="CX118" s="17"/>
      <c r="CY118" s="17"/>
      <c r="CZ118" s="17"/>
      <c r="DA118" s="17"/>
      <c r="DB118" s="17"/>
      <c r="DE118" s="119"/>
      <c r="DF118" s="22">
        <v>3680.85</v>
      </c>
    </row>
    <row r="119" spans="1:110" s="25" customFormat="1" x14ac:dyDescent="0.2">
      <c r="A119" s="36" t="s">
        <v>435</v>
      </c>
      <c r="B119" s="25">
        <f t="shared" ref="B119:V119" si="871">B118-B115</f>
        <v>0</v>
      </c>
      <c r="C119" s="25">
        <f>C118-C115</f>
        <v>0</v>
      </c>
      <c r="D119" s="25">
        <f t="shared" si="871"/>
        <v>0</v>
      </c>
      <c r="E119" s="25">
        <f t="shared" si="871"/>
        <v>-2.4868995751603507E-14</v>
      </c>
      <c r="F119" s="25">
        <f t="shared" si="871"/>
        <v>0</v>
      </c>
      <c r="G119" s="25">
        <f t="shared" si="871"/>
        <v>0</v>
      </c>
      <c r="H119" s="25">
        <f t="shared" si="871"/>
        <v>3.907985046680551E-14</v>
      </c>
      <c r="I119" s="25">
        <f t="shared" si="871"/>
        <v>2.8421709430404007E-14</v>
      </c>
      <c r="J119" s="25">
        <f t="shared" si="871"/>
        <v>-2.8421709430404007E-14</v>
      </c>
      <c r="K119" s="25">
        <f t="shared" si="871"/>
        <v>-7.815970093361102E-14</v>
      </c>
      <c r="L119" s="25">
        <f t="shared" si="871"/>
        <v>0</v>
      </c>
      <c r="M119" s="25">
        <f t="shared" si="871"/>
        <v>5.2846615972157451E-14</v>
      </c>
      <c r="N119" s="25">
        <f t="shared" si="871"/>
        <v>-5.6621374255882984E-14</v>
      </c>
      <c r="O119" s="25">
        <f t="shared" si="871"/>
        <v>0</v>
      </c>
      <c r="P119" s="25">
        <f t="shared" si="871"/>
        <v>-5.6843418860808015E-14</v>
      </c>
      <c r="Q119" s="25">
        <f t="shared" si="871"/>
        <v>5.6621374255882984E-15</v>
      </c>
      <c r="R119" s="25">
        <f t="shared" si="871"/>
        <v>-2.2204460492503131E-14</v>
      </c>
      <c r="S119" s="25">
        <f t="shared" si="871"/>
        <v>0</v>
      </c>
      <c r="T119" s="25">
        <f t="shared" si="871"/>
        <v>0</v>
      </c>
      <c r="U119" s="25">
        <f t="shared" si="871"/>
        <v>-2.8421709430404007E-14</v>
      </c>
      <c r="V119" s="25">
        <f t="shared" si="871"/>
        <v>-2.0677903833643541E-14</v>
      </c>
      <c r="W119" s="25">
        <f t="shared" ref="W119" si="872">W118-W115</f>
        <v>0</v>
      </c>
      <c r="X119" s="25">
        <f t="shared" ref="X119:Y119" si="873">X118-X115</f>
        <v>0</v>
      </c>
      <c r="Y119" s="25">
        <f t="shared" si="873"/>
        <v>0</v>
      </c>
      <c r="Z119" s="25">
        <f t="shared" ref="Z119:AA119" si="874">Z118-Z115</f>
        <v>0</v>
      </c>
      <c r="AA119" s="25">
        <f t="shared" si="874"/>
        <v>0</v>
      </c>
      <c r="AB119" s="17">
        <f t="shared" ref="AB119:AD119" si="875">AB118-AB115</f>
        <v>0</v>
      </c>
      <c r="AC119" s="17">
        <f t="shared" si="875"/>
        <v>0</v>
      </c>
      <c r="AD119" s="17">
        <f t="shared" si="875"/>
        <v>0</v>
      </c>
      <c r="AE119" s="17">
        <f t="shared" ref="AE119" si="876">AE118-AE115</f>
        <v>0</v>
      </c>
      <c r="AI119" s="25">
        <f t="shared" ref="AI119" si="877">AI118-AI115</f>
        <v>-8.2156503822261584E-15</v>
      </c>
      <c r="AJ119" s="25">
        <f t="shared" ref="AJ119" si="878">AJ118-AJ115</f>
        <v>-2.0000000000091056E-3</v>
      </c>
      <c r="AK119" s="25">
        <f t="shared" ref="AK119:AM119" si="879">AK118-AK115</f>
        <v>0</v>
      </c>
      <c r="AL119" s="25">
        <f t="shared" si="879"/>
        <v>1.4210854715202004E-14</v>
      </c>
      <c r="AM119" s="25">
        <f t="shared" si="879"/>
        <v>2.4868995751603507E-14</v>
      </c>
      <c r="AN119" s="25">
        <f t="shared" ref="AN119:AO119" si="880">AN118-AN115</f>
        <v>9.9999999999589306E-4</v>
      </c>
      <c r="AO119" s="25">
        <f t="shared" si="880"/>
        <v>0</v>
      </c>
      <c r="AP119" s="25">
        <f t="shared" ref="AP119:CD119" si="881">AP118-AP115</f>
        <v>0</v>
      </c>
      <c r="AQ119" s="25">
        <f t="shared" si="881"/>
        <v>-2.8421709430404007E-14</v>
      </c>
      <c r="AR119" s="25">
        <f t="shared" si="881"/>
        <v>-2.4868995751603507E-14</v>
      </c>
      <c r="AS119" s="25">
        <f t="shared" si="881"/>
        <v>-1.9999999999837925E-3</v>
      </c>
      <c r="AT119" s="25">
        <f t="shared" si="881"/>
        <v>-9.9999999999722533E-4</v>
      </c>
      <c r="AU119" s="25">
        <f t="shared" si="881"/>
        <v>-1.0000000000176534E-3</v>
      </c>
      <c r="AV119" s="25">
        <f t="shared" si="881"/>
        <v>2.0000000000081064E-3</v>
      </c>
      <c r="AW119" s="25">
        <f t="shared" si="881"/>
        <v>7.8825834748386114E-15</v>
      </c>
      <c r="AX119" s="25">
        <f t="shared" si="881"/>
        <v>0</v>
      </c>
      <c r="AY119" s="25">
        <f t="shared" si="881"/>
        <v>-1.0000000000086606E-3</v>
      </c>
      <c r="AZ119" s="25">
        <f t="shared" si="881"/>
        <v>1.5487611193520934E-14</v>
      </c>
      <c r="BA119" s="25">
        <f t="shared" si="881"/>
        <v>1.9428902930940239E-15</v>
      </c>
      <c r="BB119" s="25">
        <f t="shared" si="881"/>
        <v>0</v>
      </c>
      <c r="BC119" s="25">
        <f t="shared" si="881"/>
        <v>0</v>
      </c>
      <c r="BD119" s="25">
        <f t="shared" si="881"/>
        <v>-1.0047518372857667E-14</v>
      </c>
      <c r="BE119" s="25">
        <f t="shared" si="881"/>
        <v>9.9999999998368061E-4</v>
      </c>
      <c r="BF119" s="25">
        <f t="shared" si="881"/>
        <v>-9.9999999998168221E-4</v>
      </c>
      <c r="BG119" s="25">
        <f t="shared" si="881"/>
        <v>0</v>
      </c>
      <c r="BH119" s="25">
        <f t="shared" si="881"/>
        <v>9.9999999998057199E-4</v>
      </c>
      <c r="BI119" s="25">
        <f t="shared" si="881"/>
        <v>-1.3322676295501878E-14</v>
      </c>
      <c r="BJ119" s="25">
        <f t="shared" si="881"/>
        <v>0</v>
      </c>
      <c r="BK119" s="25">
        <f t="shared" si="881"/>
        <v>8.8817841970012523E-15</v>
      </c>
      <c r="BL119" s="25">
        <f t="shared" si="881"/>
        <v>1.0000000000032084E-3</v>
      </c>
      <c r="BM119" s="25">
        <f t="shared" si="881"/>
        <v>6.2172489379008766E-15</v>
      </c>
      <c r="BN119" s="25">
        <f t="shared" si="881"/>
        <v>-9.9999999998701128E-4</v>
      </c>
      <c r="BO119" s="25">
        <f t="shared" si="881"/>
        <v>0</v>
      </c>
      <c r="BP119" s="25">
        <f t="shared" si="881"/>
        <v>0</v>
      </c>
      <c r="BQ119" s="25">
        <f t="shared" si="881"/>
        <v>-1.0000000000061071E-3</v>
      </c>
      <c r="BR119" s="25">
        <f t="shared" si="881"/>
        <v>0</v>
      </c>
      <c r="BS119" s="25">
        <f t="shared" si="881"/>
        <v>-3.8302694349567901E-15</v>
      </c>
      <c r="BT119" s="25">
        <f t="shared" si="881"/>
        <v>2.1649348980190553E-15</v>
      </c>
      <c r="BU119" s="25">
        <f t="shared" si="881"/>
        <v>0</v>
      </c>
      <c r="BV119" s="25">
        <f t="shared" si="881"/>
        <v>0</v>
      </c>
      <c r="BW119" s="25">
        <f t="shared" si="881"/>
        <v>0</v>
      </c>
      <c r="BX119" s="25">
        <f t="shared" si="881"/>
        <v>0</v>
      </c>
      <c r="BY119" s="25">
        <f t="shared" si="881"/>
        <v>0</v>
      </c>
      <c r="BZ119" s="25">
        <f t="shared" si="881"/>
        <v>0</v>
      </c>
      <c r="CA119" s="25">
        <f t="shared" si="881"/>
        <v>0</v>
      </c>
      <c r="CB119" s="25">
        <f t="shared" si="881"/>
        <v>0</v>
      </c>
      <c r="CC119" s="25">
        <f t="shared" si="881"/>
        <v>0</v>
      </c>
      <c r="CD119" s="25">
        <f t="shared" si="881"/>
        <v>0</v>
      </c>
      <c r="CE119" s="25">
        <f t="shared" ref="CE119:CF119" si="882">CE118-CE115</f>
        <v>0</v>
      </c>
      <c r="CF119" s="25">
        <f t="shared" si="882"/>
        <v>0</v>
      </c>
      <c r="CG119" s="25">
        <f t="shared" ref="CG119:CH119" si="883">CG118-CG115</f>
        <v>0</v>
      </c>
      <c r="CH119" s="25">
        <f t="shared" si="883"/>
        <v>-2.5579538487363607E-13</v>
      </c>
      <c r="CI119" s="25">
        <f t="shared" ref="CI119:CJ119" si="884">CI118-CI115</f>
        <v>0</v>
      </c>
      <c r="CJ119" s="25">
        <f t="shared" si="884"/>
        <v>0</v>
      </c>
      <c r="CK119" s="25">
        <f t="shared" ref="CK119:CL119" si="885">CK118-CK115</f>
        <v>0</v>
      </c>
      <c r="CL119" s="25">
        <f t="shared" si="885"/>
        <v>0</v>
      </c>
      <c r="CM119" s="17"/>
      <c r="CN119" s="17"/>
      <c r="CO119" s="17"/>
      <c r="CP119" s="17"/>
      <c r="CQ119" s="17"/>
      <c r="CR119" s="17"/>
      <c r="CS119" s="17"/>
      <c r="CT119" s="17"/>
      <c r="CU119" s="17"/>
      <c r="CV119" s="17"/>
      <c r="CW119" s="17"/>
      <c r="CX119" s="17"/>
      <c r="CY119" s="17"/>
      <c r="CZ119" s="17"/>
      <c r="DA119" s="17"/>
      <c r="DB119" s="17"/>
      <c r="DE119" s="119"/>
      <c r="DF119" s="25">
        <v>0</v>
      </c>
    </row>
    <row r="120" spans="1:110" s="1" customFormat="1" x14ac:dyDescent="0.2">
      <c r="A120" s="150" t="s">
        <v>487</v>
      </c>
      <c r="AB120" s="20"/>
      <c r="AC120" s="20"/>
      <c r="AD120" s="20"/>
      <c r="AE120" s="20"/>
      <c r="CM120" s="17"/>
      <c r="CN120" s="17"/>
      <c r="CO120" s="17"/>
      <c r="CP120" s="17"/>
      <c r="CQ120" s="17"/>
      <c r="CR120" s="17"/>
      <c r="CS120" s="17"/>
      <c r="CT120" s="17"/>
      <c r="CU120" s="17"/>
      <c r="CV120" s="17"/>
      <c r="CW120" s="17"/>
      <c r="CX120" s="17"/>
      <c r="CY120" s="17"/>
      <c r="CZ120" s="17"/>
      <c r="DA120" s="17"/>
      <c r="DB120" s="17"/>
      <c r="DE120" s="119"/>
      <c r="DF120" s="182"/>
    </row>
    <row r="121" spans="1:110" s="38" customFormat="1" x14ac:dyDescent="0.2">
      <c r="A121" s="38" t="s">
        <v>350</v>
      </c>
      <c r="B121" s="39">
        <f t="shared" ref="B121:AE121" si="886">(B115-B114)/B186</f>
        <v>-6.5187625632104096</v>
      </c>
      <c r="C121" s="39">
        <f t="shared" si="886"/>
        <v>1.1474445392831789</v>
      </c>
      <c r="D121" s="39">
        <f t="shared" si="886"/>
        <v>0.30018531157998268</v>
      </c>
      <c r="E121" s="39">
        <f t="shared" si="886"/>
        <v>0.13679790335079597</v>
      </c>
      <c r="F121" s="39">
        <f t="shared" si="886"/>
        <v>-7.033198190406352E-2</v>
      </c>
      <c r="G121" s="39">
        <f t="shared" si="886"/>
        <v>1.3766934873805088</v>
      </c>
      <c r="H121" s="39">
        <f t="shared" si="886"/>
        <v>0.68829635084678487</v>
      </c>
      <c r="I121" s="39">
        <f t="shared" si="886"/>
        <v>3.7244382193532779</v>
      </c>
      <c r="J121" s="39">
        <f t="shared" si="886"/>
        <v>0.34289517254029356</v>
      </c>
      <c r="K121" s="39">
        <f t="shared" si="886"/>
        <v>0.17770225903898787</v>
      </c>
      <c r="L121" s="39">
        <f t="shared" si="886"/>
        <v>0.15607896564799703</v>
      </c>
      <c r="M121" s="39">
        <f t="shared" si="886"/>
        <v>3.0360316756620022E-2</v>
      </c>
      <c r="N121" s="39">
        <f t="shared" si="886"/>
        <v>1.534253378080767E-2</v>
      </c>
      <c r="O121" s="39">
        <f t="shared" si="886"/>
        <v>-0.51509708955830591</v>
      </c>
      <c r="P121" s="39">
        <f t="shared" si="886"/>
        <v>-0.33989612942515168</v>
      </c>
      <c r="Q121" s="39">
        <f t="shared" si="886"/>
        <v>0.11215820430688786</v>
      </c>
      <c r="R121" s="39">
        <f t="shared" si="886"/>
        <v>8.2397147745539245E-2</v>
      </c>
      <c r="S121" s="39">
        <f t="shared" si="886"/>
        <v>0.20174384106932849</v>
      </c>
      <c r="T121" s="39">
        <f t="shared" si="886"/>
        <v>0.19060168955276255</v>
      </c>
      <c r="U121" s="39">
        <f t="shared" si="886"/>
        <v>0.22039603754704654</v>
      </c>
      <c r="V121" s="39">
        <f t="shared" si="886"/>
        <v>6.9630043716476496E-4</v>
      </c>
      <c r="W121" s="39">
        <f t="shared" si="886"/>
        <v>0.30883757631130865</v>
      </c>
      <c r="X121" s="39">
        <f t="shared" si="886"/>
        <v>0.59246541744334347</v>
      </c>
      <c r="Y121" s="39">
        <f t="shared" si="886"/>
        <v>0.44218693856350483</v>
      </c>
      <c r="Z121" s="39">
        <f t="shared" si="886"/>
        <v>0.22526656016643753</v>
      </c>
      <c r="AA121" s="39">
        <f t="shared" ref="AA121" si="887">(AA115-AA114)/AA186</f>
        <v>0.26536509192993368</v>
      </c>
      <c r="AB121" s="40">
        <f t="shared" si="886"/>
        <v>0.3139802172331102</v>
      </c>
      <c r="AC121" s="40">
        <f t="shared" si="886"/>
        <v>0.27534359735850056</v>
      </c>
      <c r="AD121" s="40">
        <f t="shared" si="886"/>
        <v>0.2312272311637848</v>
      </c>
      <c r="AE121" s="40">
        <f t="shared" si="886"/>
        <v>0.21734028704056171</v>
      </c>
      <c r="AF121" s="39"/>
      <c r="AG121" s="39"/>
      <c r="AH121" s="39"/>
      <c r="AI121" s="39"/>
      <c r="AJ121" s="39"/>
      <c r="AK121" s="39"/>
      <c r="AL121" s="39">
        <f t="shared" ref="AL121:BQ121" si="888">(SUM(AI115:AL115)-SUM(AI114:AL114))/AL186</f>
        <v>1.5354548294339588E-2</v>
      </c>
      <c r="AM121" s="39">
        <f t="shared" si="888"/>
        <v>-0.1099250936329591</v>
      </c>
      <c r="AN121" s="39">
        <f t="shared" si="888"/>
        <v>-0.21498564196690284</v>
      </c>
      <c r="AO121" s="39">
        <f t="shared" si="888"/>
        <v>-0.22468142186452078</v>
      </c>
      <c r="AP121" s="39">
        <f t="shared" si="888"/>
        <v>-0.51510848987913227</v>
      </c>
      <c r="AQ121" s="39">
        <f t="shared" si="888"/>
        <v>-0.51877784850413666</v>
      </c>
      <c r="AR121" s="39">
        <f t="shared" si="888"/>
        <v>-0.43350648613358217</v>
      </c>
      <c r="AS121" s="39">
        <f t="shared" si="888"/>
        <v>-0.49007286688082674</v>
      </c>
      <c r="AT121" s="39">
        <f t="shared" si="888"/>
        <v>-0.33985306122448927</v>
      </c>
      <c r="AU121" s="39">
        <f t="shared" si="888"/>
        <v>-0.1486013439599933</v>
      </c>
      <c r="AV121" s="39">
        <f t="shared" si="888"/>
        <v>-9.4907299485601671E-2</v>
      </c>
      <c r="AW121" s="39">
        <f t="shared" si="888"/>
        <v>1.224420296585243E-2</v>
      </c>
      <c r="AX121" s="39">
        <f t="shared" si="888"/>
        <v>0.11216536767197566</v>
      </c>
      <c r="AY121" s="39">
        <f t="shared" si="888"/>
        <v>7.0037031073901052E-2</v>
      </c>
      <c r="AZ121" s="39">
        <f t="shared" si="888"/>
        <v>6.8905301270446306E-2</v>
      </c>
      <c r="BA121" s="39">
        <f t="shared" si="888"/>
        <v>7.1203538696537588E-2</v>
      </c>
      <c r="BB121" s="39">
        <f t="shared" si="888"/>
        <v>8.2411569856855327E-2</v>
      </c>
      <c r="BC121" s="39">
        <f t="shared" si="888"/>
        <v>0.1469837873426052</v>
      </c>
      <c r="BD121" s="39">
        <f t="shared" si="888"/>
        <v>0.14396823670183834</v>
      </c>
      <c r="BE121" s="39">
        <f t="shared" si="888"/>
        <v>0.15618302115366714</v>
      </c>
      <c r="BF121" s="39">
        <f t="shared" si="888"/>
        <v>0.2017409841890212</v>
      </c>
      <c r="BG121" s="39">
        <f t="shared" si="888"/>
        <v>0.23245966038692251</v>
      </c>
      <c r="BH121" s="39">
        <f t="shared" si="888"/>
        <v>0.23646953875216453</v>
      </c>
      <c r="BI121" s="39">
        <f t="shared" si="888"/>
        <v>0.23480176664985108</v>
      </c>
      <c r="BJ121" s="39">
        <f t="shared" si="888"/>
        <v>0.19059803794778965</v>
      </c>
      <c r="BK121" s="39">
        <f t="shared" si="888"/>
        <v>0.15431602775113842</v>
      </c>
      <c r="BL121" s="39">
        <f t="shared" si="888"/>
        <v>0.14365657596466735</v>
      </c>
      <c r="BM121" s="39">
        <f t="shared" si="888"/>
        <v>0.15011579359384181</v>
      </c>
      <c r="BN121" s="39">
        <f t="shared" si="888"/>
        <v>0.22038710570963593</v>
      </c>
      <c r="BO121" s="39">
        <f t="shared" si="888"/>
        <v>0.11039572049878103</v>
      </c>
      <c r="BP121" s="39">
        <f t="shared" si="888"/>
        <v>0.10459840044615121</v>
      </c>
      <c r="BQ121" s="39">
        <f t="shared" si="888"/>
        <v>9.986906914396157E-2</v>
      </c>
      <c r="BR121" s="39">
        <f t="shared" ref="BR121:CW121" si="889">(SUM(BO115:BR115)-SUM(BO114:BR114))/BR186</f>
        <v>6.9739985173394707E-4</v>
      </c>
      <c r="BS121" s="39">
        <f t="shared" si="889"/>
        <v>5.1576198983097503E-2</v>
      </c>
      <c r="BT121" s="39">
        <f t="shared" si="889"/>
        <v>2.1035548122561077E-2</v>
      </c>
      <c r="BU121" s="39">
        <f t="shared" si="889"/>
        <v>8.5815158749238299E-2</v>
      </c>
      <c r="BV121" s="39">
        <f t="shared" si="889"/>
        <v>0.30885834129324297</v>
      </c>
      <c r="BW121" s="39">
        <f t="shared" si="889"/>
        <v>-0.92031197771587669</v>
      </c>
      <c r="BX121" s="39">
        <f t="shared" si="889"/>
        <v>3.1484126984126983</v>
      </c>
      <c r="BY121" s="39">
        <f t="shared" si="889"/>
        <v>1.8704081883719215</v>
      </c>
      <c r="BZ121" s="39">
        <f t="shared" si="889"/>
        <v>0.59245887700709643</v>
      </c>
      <c r="CA121" s="39">
        <f t="shared" si="889"/>
        <v>0.54084700938303798</v>
      </c>
      <c r="CB121" s="39">
        <f t="shared" si="889"/>
        <v>0.51976175847554762</v>
      </c>
      <c r="CC121" s="39">
        <f t="shared" si="889"/>
        <v>0.49157008214990766</v>
      </c>
      <c r="CD121" s="39">
        <f t="shared" si="889"/>
        <v>0.44218693856350516</v>
      </c>
      <c r="CE121" s="39">
        <f t="shared" si="889"/>
        <v>0.41477375626063212</v>
      </c>
      <c r="CF121" s="39">
        <f t="shared" si="889"/>
        <v>0.25358303373893792</v>
      </c>
      <c r="CG121" s="39">
        <f t="shared" si="889"/>
        <v>0.2469550064859454</v>
      </c>
      <c r="CH121" s="39">
        <f t="shared" si="889"/>
        <v>0.22443839704771454</v>
      </c>
      <c r="CI121" s="39">
        <f t="shared" si="889"/>
        <v>0.21601679604937996</v>
      </c>
      <c r="CJ121" s="39">
        <f t="shared" si="889"/>
        <v>0.23427174234676665</v>
      </c>
      <c r="CK121" s="39">
        <f t="shared" si="889"/>
        <v>0.28142626844731244</v>
      </c>
      <c r="CL121" s="39">
        <f t="shared" si="889"/>
        <v>0.26536437099566074</v>
      </c>
      <c r="CM121" s="40">
        <f t="shared" si="889"/>
        <v>0.30073785807789749</v>
      </c>
      <c r="CN121" s="40">
        <f t="shared" si="889"/>
        <v>0.33014191239037066</v>
      </c>
      <c r="CO121" s="40">
        <f t="shared" si="889"/>
        <v>0.33006211821792802</v>
      </c>
      <c r="CP121" s="40">
        <f t="shared" si="889"/>
        <v>0.31398021723311015</v>
      </c>
      <c r="CQ121" s="40">
        <f t="shared" si="889"/>
        <v>0.29405355097651137</v>
      </c>
      <c r="CR121" s="40">
        <f t="shared" si="889"/>
        <v>0.28235342826173082</v>
      </c>
      <c r="CS121" s="40">
        <f t="shared" si="889"/>
        <v>0.27804001941817819</v>
      </c>
      <c r="CT121" s="40">
        <f t="shared" si="889"/>
        <v>0.27534359735850067</v>
      </c>
      <c r="CU121" s="40">
        <f t="shared" si="889"/>
        <v>0.26656734793970527</v>
      </c>
      <c r="CV121" s="40">
        <f t="shared" si="889"/>
        <v>0.25460262692670016</v>
      </c>
      <c r="CW121" s="40">
        <f t="shared" si="889"/>
        <v>0.24274742884259098</v>
      </c>
      <c r="CX121" s="40">
        <f t="shared" ref="CX121:DB121" si="890">(SUM(CU115:CX115)-SUM(CU114:CX114))/CX186</f>
        <v>0.23122723116378469</v>
      </c>
      <c r="CY121" s="40">
        <f t="shared" si="890"/>
        <v>0.22731528636417311</v>
      </c>
      <c r="CZ121" s="40">
        <f t="shared" si="890"/>
        <v>0.22435724055870551</v>
      </c>
      <c r="DA121" s="40">
        <f t="shared" si="890"/>
        <v>0.22074507660589437</v>
      </c>
      <c r="DB121" s="40">
        <f t="shared" si="890"/>
        <v>0.21734028704056177</v>
      </c>
      <c r="DE121" s="122"/>
      <c r="DF121" s="38">
        <v>0.26536509192993368</v>
      </c>
    </row>
    <row r="122" spans="1:110" s="38" customFormat="1" x14ac:dyDescent="0.2">
      <c r="A122" s="38" t="s">
        <v>351</v>
      </c>
      <c r="B122" s="39">
        <f t="shared" ref="B122:AE122" si="891">+B101/B195</f>
        <v>-2.2696190526092595E-2</v>
      </c>
      <c r="C122" s="39">
        <f t="shared" si="891"/>
        <v>-3.1974457692952742E-2</v>
      </c>
      <c r="D122" s="39">
        <f t="shared" si="891"/>
        <v>-2.2096270987973666E-2</v>
      </c>
      <c r="E122" s="39">
        <f t="shared" si="891"/>
        <v>-2.4904451890628225E-2</v>
      </c>
      <c r="F122" s="39">
        <f t="shared" si="891"/>
        <v>4.0171195252554186E-2</v>
      </c>
      <c r="G122" s="39">
        <f t="shared" si="891"/>
        <v>-8.4280687456627895E-2</v>
      </c>
      <c r="H122" s="39">
        <f t="shared" si="891"/>
        <v>-0.12901822921224892</v>
      </c>
      <c r="I122" s="39">
        <f t="shared" si="891"/>
        <v>0.10076586793871839</v>
      </c>
      <c r="J122" s="39">
        <f t="shared" si="891"/>
        <v>0.21026434421122772</v>
      </c>
      <c r="K122" s="39">
        <f t="shared" si="891"/>
        <v>0.12007291874885392</v>
      </c>
      <c r="L122" s="39">
        <f t="shared" si="891"/>
        <v>1.4272126026334103E-2</v>
      </c>
      <c r="M122" s="39">
        <f t="shared" si="891"/>
        <v>9.5284465508565837E-3</v>
      </c>
      <c r="N122" s="39">
        <f t="shared" si="891"/>
        <v>-3.8709707312487789E-2</v>
      </c>
      <c r="O122" s="39">
        <f t="shared" si="891"/>
        <v>-0.50054857990531054</v>
      </c>
      <c r="P122" s="39">
        <f t="shared" si="891"/>
        <v>-0.43922817001600506</v>
      </c>
      <c r="Q122" s="39">
        <f t="shared" si="891"/>
        <v>3.4225951691003578E-2</v>
      </c>
      <c r="R122" s="39">
        <f t="shared" si="891"/>
        <v>1.9375731381275161E-2</v>
      </c>
      <c r="S122" s="39">
        <f t="shared" si="891"/>
        <v>2.426298282414276E-2</v>
      </c>
      <c r="T122" s="39">
        <f t="shared" si="891"/>
        <v>3.3796303675602316E-3</v>
      </c>
      <c r="U122" s="39">
        <f t="shared" si="891"/>
        <v>1.3487575534800832E-2</v>
      </c>
      <c r="V122" s="39">
        <f t="shared" si="891"/>
        <v>-8.2973575156753011E-3</v>
      </c>
      <c r="W122" s="39">
        <f t="shared" si="891"/>
        <v>0.22105719237435009</v>
      </c>
      <c r="X122" s="39">
        <f t="shared" si="891"/>
        <v>0.51440033452682743</v>
      </c>
      <c r="Y122" s="39">
        <f t="shared" si="891"/>
        <v>0.59848374346732469</v>
      </c>
      <c r="Z122" s="39">
        <f t="shared" si="891"/>
        <v>0.25019449074117317</v>
      </c>
      <c r="AA122" s="39">
        <f t="shared" ref="AA122" si="892">+AA101/AA195</f>
        <v>0.16004507238684199</v>
      </c>
      <c r="AB122" s="40">
        <f t="shared" si="891"/>
        <v>0.20305818382739782</v>
      </c>
      <c r="AC122" s="40">
        <f t="shared" si="891"/>
        <v>0.20804414592254644</v>
      </c>
      <c r="AD122" s="40">
        <f t="shared" si="891"/>
        <v>0.20499724900126312</v>
      </c>
      <c r="AE122" s="40">
        <f t="shared" si="891"/>
        <v>0.20644254944321519</v>
      </c>
      <c r="AF122" s="39"/>
      <c r="AG122" s="39"/>
      <c r="AH122" s="39"/>
      <c r="AI122" s="39"/>
      <c r="AJ122" s="39"/>
      <c r="AK122" s="39"/>
      <c r="AL122" s="39">
        <f t="shared" ref="AL122:BQ122" si="893">+SUM(AI101:AL101)/AL195</f>
        <v>-4.0196927816053996E-2</v>
      </c>
      <c r="AM122" s="39">
        <f t="shared" si="893"/>
        <v>-0.16654737238651374</v>
      </c>
      <c r="AN122" s="39">
        <f t="shared" si="893"/>
        <v>-0.1888315014942118</v>
      </c>
      <c r="AO122" s="39">
        <f t="shared" si="893"/>
        <v>-0.20829076690034204</v>
      </c>
      <c r="AP122" s="39">
        <f t="shared" si="893"/>
        <v>-0.52990302548257839</v>
      </c>
      <c r="AQ122" s="39">
        <f t="shared" si="893"/>
        <v>-0.52877094972066974</v>
      </c>
      <c r="AR122" s="39">
        <f t="shared" si="893"/>
        <v>-0.53872964365122211</v>
      </c>
      <c r="AS122" s="39">
        <f t="shared" si="893"/>
        <v>-0.5950732739479111</v>
      </c>
      <c r="AT122" s="39">
        <f t="shared" si="893"/>
        <v>-0.46901231910664276</v>
      </c>
      <c r="AU122" s="39">
        <f t="shared" si="893"/>
        <v>-0.32431506430258272</v>
      </c>
      <c r="AV122" s="39">
        <f t="shared" si="893"/>
        <v>-0.23750453099198532</v>
      </c>
      <c r="AW122" s="39">
        <f t="shared" si="893"/>
        <v>-0.13501110486741058</v>
      </c>
      <c r="AX122" s="39">
        <f t="shared" si="893"/>
        <v>3.433400946585536E-2</v>
      </c>
      <c r="AY122" s="39">
        <f t="shared" si="893"/>
        <v>1.5980779872855559E-2</v>
      </c>
      <c r="AZ122" s="39">
        <f t="shared" si="893"/>
        <v>-4.8564090590708792E-3</v>
      </c>
      <c r="BA122" s="39">
        <f t="shared" si="893"/>
        <v>4.9402362671189061E-2</v>
      </c>
      <c r="BB122" s="39">
        <f t="shared" si="893"/>
        <v>6.4980407649024491E-2</v>
      </c>
      <c r="BC122" s="39">
        <f t="shared" si="893"/>
        <v>0.11981888195995569</v>
      </c>
      <c r="BD122" s="39">
        <f t="shared" si="893"/>
        <v>0.11364958603714477</v>
      </c>
      <c r="BE122" s="39">
        <f t="shared" si="893"/>
        <v>5.9690169648060176E-2</v>
      </c>
      <c r="BF122" s="39">
        <f t="shared" si="893"/>
        <v>2.4327345379652743E-2</v>
      </c>
      <c r="BG122" s="39">
        <f t="shared" si="893"/>
        <v>2.451605611973081E-2</v>
      </c>
      <c r="BH122" s="39">
        <f t="shared" si="893"/>
        <v>7.1880968315894286E-2</v>
      </c>
      <c r="BI122" s="39">
        <f t="shared" si="893"/>
        <v>0.11447294363592493</v>
      </c>
      <c r="BJ122" s="39">
        <f t="shared" si="893"/>
        <v>3.503097502880588E-3</v>
      </c>
      <c r="BK122" s="39">
        <f t="shared" si="893"/>
        <v>5.7901229654981085E-3</v>
      </c>
      <c r="BL122" s="39">
        <f t="shared" si="893"/>
        <v>-6.3771446009683935E-3</v>
      </c>
      <c r="BM122" s="39">
        <f t="shared" si="893"/>
        <v>-1.4452658138196598E-2</v>
      </c>
      <c r="BN122" s="39">
        <f t="shared" si="893"/>
        <v>1.4690347693483794E-2</v>
      </c>
      <c r="BO122" s="39">
        <f t="shared" si="893"/>
        <v>-3.6321962942532371E-2</v>
      </c>
      <c r="BP122" s="39">
        <f t="shared" si="893"/>
        <v>-2.9274169632265788E-2</v>
      </c>
      <c r="BQ122" s="39">
        <f t="shared" si="893"/>
        <v>-2.5103173787249064E-2</v>
      </c>
      <c r="BR122" s="39">
        <f t="shared" ref="BR122:CW122" si="894">+SUM(BO101:BR101)/BR195</f>
        <v>-1.0362676118119732E-2</v>
      </c>
      <c r="BS122" s="39">
        <f t="shared" si="894"/>
        <v>8.3396246291062171E-3</v>
      </c>
      <c r="BT122" s="39">
        <f t="shared" si="894"/>
        <v>-3.8583029549907849E-3</v>
      </c>
      <c r="BU122" s="39">
        <f t="shared" si="894"/>
        <v>5.2295665713114378E-2</v>
      </c>
      <c r="BV122" s="39">
        <f t="shared" si="894"/>
        <v>0.23696823332714093</v>
      </c>
      <c r="BW122" s="39">
        <f t="shared" si="894"/>
        <v>-0.98714384103257358</v>
      </c>
      <c r="BX122" s="39">
        <f t="shared" si="894"/>
        <v>2.3990291262135921</v>
      </c>
      <c r="BY122" s="39">
        <f t="shared" si="894"/>
        <v>1.6148084882727811</v>
      </c>
      <c r="BZ122" s="39">
        <f t="shared" si="894"/>
        <v>0.51492200529775334</v>
      </c>
      <c r="CA122" s="39">
        <f t="shared" si="894"/>
        <v>0.54794768684563255</v>
      </c>
      <c r="CB122" s="39">
        <f t="shared" si="894"/>
        <v>0.54260470063916211</v>
      </c>
      <c r="CC122" s="39">
        <f t="shared" si="894"/>
        <v>0.5559885053811372</v>
      </c>
      <c r="CD122" s="39">
        <f t="shared" si="894"/>
        <v>0.59806394461501222</v>
      </c>
      <c r="CE122" s="39">
        <f t="shared" si="894"/>
        <v>0.55005091634577974</v>
      </c>
      <c r="CF122" s="39">
        <f t="shared" si="894"/>
        <v>0.34043660121681407</v>
      </c>
      <c r="CG122" s="39">
        <f t="shared" si="894"/>
        <v>0.33186502107729843</v>
      </c>
      <c r="CH122" s="39">
        <f t="shared" si="894"/>
        <v>0.24634604273058319</v>
      </c>
      <c r="CI122" s="39">
        <f t="shared" si="894"/>
        <v>0.23472623753613781</v>
      </c>
      <c r="CJ122" s="39">
        <f t="shared" si="894"/>
        <v>0.14826271522456708</v>
      </c>
      <c r="CK122" s="39">
        <f t="shared" si="894"/>
        <v>0.20085556357763573</v>
      </c>
      <c r="CL122" s="39">
        <f t="shared" si="894"/>
        <v>0.15974580967532634</v>
      </c>
      <c r="CM122" s="40">
        <f t="shared" si="894"/>
        <v>0.19015883765671124</v>
      </c>
      <c r="CN122" s="40">
        <f t="shared" si="894"/>
        <v>0.212609330886145</v>
      </c>
      <c r="CO122" s="40">
        <f t="shared" si="894"/>
        <v>0.21618594986384021</v>
      </c>
      <c r="CP122" s="40">
        <f t="shared" si="894"/>
        <v>0.20305818382739782</v>
      </c>
      <c r="CQ122" s="40">
        <f t="shared" si="894"/>
        <v>0.19859693043577323</v>
      </c>
      <c r="CR122" s="40">
        <f t="shared" si="894"/>
        <v>0.19843730999727191</v>
      </c>
      <c r="CS122" s="40">
        <f t="shared" si="894"/>
        <v>0.20290599154125086</v>
      </c>
      <c r="CT122" s="40">
        <f t="shared" si="894"/>
        <v>0.20804414592254647</v>
      </c>
      <c r="CU122" s="40">
        <f t="shared" si="894"/>
        <v>0.21014137942696035</v>
      </c>
      <c r="CV122" s="40">
        <f t="shared" si="894"/>
        <v>0.20828882935977014</v>
      </c>
      <c r="CW122" s="40">
        <f t="shared" si="894"/>
        <v>0.20665970241220877</v>
      </c>
      <c r="CX122" s="40">
        <f t="shared" ref="CX122:DB122" si="895">+SUM(CU101:CX101)/CX195</f>
        <v>0.20499724900126304</v>
      </c>
      <c r="CY122" s="40">
        <f t="shared" si="895"/>
        <v>0.20564368830785879</v>
      </c>
      <c r="CZ122" s="40">
        <f t="shared" si="895"/>
        <v>0.20645657038262688</v>
      </c>
      <c r="DA122" s="40">
        <f t="shared" si="895"/>
        <v>0.2065785358398278</v>
      </c>
      <c r="DB122" s="40">
        <f t="shared" si="895"/>
        <v>0.20644254944321525</v>
      </c>
      <c r="DE122" s="122"/>
      <c r="DF122" s="38">
        <v>0.16004507238684199</v>
      </c>
    </row>
    <row r="123" spans="1:110" s="1" customFormat="1" x14ac:dyDescent="0.2">
      <c r="A123" s="150" t="s">
        <v>488</v>
      </c>
      <c r="AB123" s="20"/>
      <c r="AC123" s="20"/>
      <c r="AD123" s="20"/>
      <c r="AE123" s="20"/>
      <c r="CM123" s="17"/>
      <c r="CN123" s="17"/>
      <c r="CO123" s="17"/>
      <c r="CP123" s="17"/>
      <c r="CQ123" s="17"/>
      <c r="CR123" s="17"/>
      <c r="CS123" s="17"/>
      <c r="CT123" s="17"/>
      <c r="CU123" s="17"/>
      <c r="CV123" s="17"/>
      <c r="CW123" s="17"/>
      <c r="CX123" s="17"/>
      <c r="CY123" s="17"/>
      <c r="CZ123" s="17"/>
      <c r="DA123" s="17"/>
      <c r="DB123" s="17"/>
      <c r="DE123" s="119"/>
      <c r="DF123" s="182"/>
    </row>
    <row r="124" spans="1:110" s="8" customFormat="1" x14ac:dyDescent="0.2">
      <c r="A124" s="12" t="s">
        <v>26</v>
      </c>
      <c r="AB124" s="58"/>
      <c r="AC124" s="58"/>
      <c r="AD124" s="58"/>
      <c r="AE124" s="58"/>
      <c r="CM124" s="54"/>
      <c r="CN124" s="54"/>
      <c r="CO124" s="54"/>
      <c r="CP124" s="54"/>
      <c r="CQ124" s="54"/>
      <c r="CR124" s="54"/>
      <c r="CS124" s="54"/>
      <c r="CT124" s="54"/>
      <c r="CU124" s="54"/>
      <c r="CV124" s="54"/>
      <c r="CW124" s="54"/>
      <c r="CX124" s="54"/>
      <c r="CY124" s="54"/>
      <c r="CZ124" s="54"/>
      <c r="DA124" s="54"/>
      <c r="DB124" s="54"/>
      <c r="DE124" s="132"/>
      <c r="DF124" s="215"/>
    </row>
    <row r="125" spans="1:110" s="9" customFormat="1" x14ac:dyDescent="0.2">
      <c r="A125" s="9" t="s">
        <v>453</v>
      </c>
      <c r="N125" s="9">
        <f>N74-SUM(AI74:AL74)</f>
        <v>9.3922000000001162</v>
      </c>
      <c r="O125" s="9">
        <f>O74-SUM(AM74:AP74)</f>
        <v>10.164100000000076</v>
      </c>
      <c r="P125" s="9">
        <f>P74-SUM(AQ74:AT74)</f>
        <v>7.7337999999999738</v>
      </c>
      <c r="Q125" s="9">
        <f>Q74-SUM(AU74:AX74)</f>
        <v>7.6497999999999706</v>
      </c>
      <c r="R125" s="9">
        <f>R74-SUM(AY74:BB74)</f>
        <v>-4.2735999999999876</v>
      </c>
      <c r="S125" s="9">
        <f>S74-SUM(BC74:BF74)</f>
        <v>-4.0000000007012204E-4</v>
      </c>
      <c r="T125" s="9">
        <f>T74-SUM(BG74:BJ74)</f>
        <v>2.9520999999999162</v>
      </c>
      <c r="U125" s="9">
        <f>U74-SUM(BK74:BN74)</f>
        <v>-5.0000000004501999E-4</v>
      </c>
      <c r="V125" s="9">
        <f>V74-SUM(BO74:BR74)</f>
        <v>-3.0000000000995897E-4</v>
      </c>
      <c r="W125" s="9">
        <f>W74-SUM(BS74:BV74)</f>
        <v>0</v>
      </c>
      <c r="X125" s="9">
        <f>X74-SUM(BW74:BZ74)</f>
        <v>0</v>
      </c>
      <c r="Y125" s="9">
        <f>Y74-SUM(CA74:CD74)</f>
        <v>1.1899999999995998</v>
      </c>
      <c r="Z125" s="9">
        <f>Z74-SUM(CE74:CH74)</f>
        <v>-0.3499999999994543</v>
      </c>
      <c r="AA125" s="9">
        <f>AA74-SUM(CF74:CI74)</f>
        <v>10424.989999999998</v>
      </c>
      <c r="AB125" s="15">
        <f>AB74-SUM(CM74:CP74)</f>
        <v>0</v>
      </c>
      <c r="AC125" s="15">
        <f>AC74-SUM(CQ74:CT74)</f>
        <v>0</v>
      </c>
      <c r="AD125" s="15">
        <f>AD74-SUM(CU74:CX74)</f>
        <v>0</v>
      </c>
      <c r="AE125" s="15">
        <f>AE74-SUM(CY74:DB74)</f>
        <v>0</v>
      </c>
      <c r="CM125" s="59"/>
      <c r="CN125" s="59"/>
      <c r="CO125" s="59"/>
      <c r="CP125" s="59"/>
      <c r="CQ125" s="59"/>
      <c r="CR125" s="59"/>
      <c r="CS125" s="59"/>
      <c r="CT125" s="59"/>
      <c r="CU125" s="59"/>
      <c r="CV125" s="59"/>
      <c r="CW125" s="59"/>
      <c r="CX125" s="59"/>
      <c r="CY125" s="59"/>
      <c r="CZ125" s="59"/>
      <c r="DA125" s="59"/>
      <c r="DB125" s="59"/>
      <c r="DE125" s="133"/>
      <c r="DF125" s="9">
        <v>10424.989999999998</v>
      </c>
    </row>
    <row r="126" spans="1:110" s="9" customFormat="1" x14ac:dyDescent="0.2">
      <c r="A126" s="9" t="s">
        <v>454</v>
      </c>
      <c r="N126" s="9">
        <f>N80-SUM(AI80:AL80)</f>
        <v>-9.9999999994793143E-4</v>
      </c>
      <c r="O126" s="9">
        <f>O80-SUM(AM80:AP80)</f>
        <v>1.4000000000642387E-3</v>
      </c>
      <c r="P126" s="9">
        <f>P80-SUM(AQ80:AT80)</f>
        <v>-1.3999999999825263E-3</v>
      </c>
      <c r="Q126" s="9">
        <f>Q80-SUM(AU80:AX80)</f>
        <v>-1.7000000000066962E-3</v>
      </c>
      <c r="R126" s="9">
        <f>R80-SUM(AY80:BB80)</f>
        <v>-4.2706999999999482</v>
      </c>
      <c r="S126" s="9">
        <f>S80-SUM(BC80:BF80)</f>
        <v>-6.4574000000000069</v>
      </c>
      <c r="T126" s="9">
        <f>T80-SUM(BG80:BJ80)</f>
        <v>2.9511999999999716</v>
      </c>
      <c r="U126" s="9">
        <f>U80-SUM(BK80:BN80)</f>
        <v>-1.1999999999545707E-3</v>
      </c>
      <c r="V126" s="9">
        <f>V80-SUM(BO80:BR80)</f>
        <v>-5.9999999999149622E-4</v>
      </c>
      <c r="W126" s="9">
        <f>W80-SUM(BS80:BV80)</f>
        <v>-9.9999999999909051E-3</v>
      </c>
      <c r="X126" s="9">
        <f>X80-SUM(BW80:BZ80)</f>
        <v>1.0000000000218279E-2</v>
      </c>
      <c r="Y126" s="9">
        <f>Y80-SUM(CA80:CD80)</f>
        <v>1.1899999999995998</v>
      </c>
      <c r="Z126" s="9">
        <f>Z80-SUM(CE80:CH80)</f>
        <v>-0.35999999999876309</v>
      </c>
      <c r="AA126" s="9">
        <f>AA80-SUM(CF80:CI80)</f>
        <v>9362.9499999999989</v>
      </c>
      <c r="AB126" s="15">
        <f>AB80-SUM(CM80:CP80)</f>
        <v>0</v>
      </c>
      <c r="AC126" s="15">
        <f>AC80-SUM(CQ80:CT80)</f>
        <v>0</v>
      </c>
      <c r="AD126" s="15">
        <f>AD80-SUM(CU80:CX80)</f>
        <v>0</v>
      </c>
      <c r="AE126" s="15">
        <f>AE80-SUM(CY80:DB80)</f>
        <v>0</v>
      </c>
      <c r="CM126" s="59"/>
      <c r="CN126" s="59"/>
      <c r="CO126" s="59"/>
      <c r="CP126" s="59"/>
      <c r="CQ126" s="59"/>
      <c r="CR126" s="59"/>
      <c r="CS126" s="59"/>
      <c r="CT126" s="59"/>
      <c r="CU126" s="59"/>
      <c r="CV126" s="59"/>
      <c r="CW126" s="59"/>
      <c r="CX126" s="59"/>
      <c r="CY126" s="59"/>
      <c r="CZ126" s="59"/>
      <c r="DA126" s="59"/>
      <c r="DB126" s="59"/>
      <c r="DE126" s="133"/>
      <c r="DF126" s="9">
        <v>9362.9499999999989</v>
      </c>
    </row>
    <row r="127" spans="1:110" s="9" customFormat="1" x14ac:dyDescent="0.2">
      <c r="A127" s="9" t="s">
        <v>455</v>
      </c>
      <c r="N127" s="9">
        <f>N95-SUM(AI95:AL95)</f>
        <v>-1.5999999999465331E-3</v>
      </c>
      <c r="O127" s="9">
        <f>O95-SUM(AM95:AP95)</f>
        <v>8.0000000005853167E-4</v>
      </c>
      <c r="P127" s="9">
        <f>P95-SUM(AQ95:AT95)</f>
        <v>-1.7999999999744887E-3</v>
      </c>
      <c r="Q127" s="9">
        <f>Q95-SUM(AU95:AX95)</f>
        <v>-1.400000000010948E-3</v>
      </c>
      <c r="R127" s="9">
        <f>R95-SUM(AY95:BB95)</f>
        <v>-4.2708999999999619</v>
      </c>
      <c r="S127" s="9">
        <f>S95-SUM(BC95:BF95)</f>
        <v>5.9999999999504894E-4</v>
      </c>
      <c r="T127" s="9">
        <f>T95-SUM(BG95:BJ95)</f>
        <v>-3.0000000003838068E-4</v>
      </c>
      <c r="U127" s="9">
        <f>U95-SUM(BK95:BN95)</f>
        <v>-9.9999999953581664E-5</v>
      </c>
      <c r="V127" s="9">
        <f>V95-SUM(BO95:BR95)</f>
        <v>-1.1999999999883215E-3</v>
      </c>
      <c r="W127" s="9">
        <f>W95-SUM(BS95:BV95)</f>
        <v>-9.9999999999624833E-3</v>
      </c>
      <c r="X127" s="9">
        <f>X95-SUM(BW95:BZ95)</f>
        <v>0</v>
      </c>
      <c r="Y127" s="9">
        <f>Y95-SUM(CA95:CD95)</f>
        <v>1.1799999999991542</v>
      </c>
      <c r="Z127" s="9">
        <f>Z95-SUM(CE95:CH95)</f>
        <v>28.830000000000382</v>
      </c>
      <c r="AA127" s="9">
        <f>AA95-SUM(CF95:CI95)</f>
        <v>4149.7299999999977</v>
      </c>
      <c r="AB127" s="15">
        <f>AB95-SUM(CM95:CP95)</f>
        <v>0</v>
      </c>
      <c r="AC127" s="15">
        <f>AC95-SUM(CQ95:CT95)</f>
        <v>0</v>
      </c>
      <c r="AD127" s="15">
        <f>AD95-SUM(CU95:CX95)</f>
        <v>0</v>
      </c>
      <c r="AE127" s="15">
        <f>AE95-SUM(CY95:DB95)</f>
        <v>0</v>
      </c>
      <c r="CM127" s="59"/>
      <c r="CN127" s="59"/>
      <c r="CO127" s="59"/>
      <c r="CP127" s="59"/>
      <c r="CQ127" s="59"/>
      <c r="CR127" s="59"/>
      <c r="CS127" s="59"/>
      <c r="CT127" s="59"/>
      <c r="CU127" s="59"/>
      <c r="CV127" s="59"/>
      <c r="CW127" s="59"/>
      <c r="CX127" s="59"/>
      <c r="CY127" s="59"/>
      <c r="CZ127" s="59"/>
      <c r="DA127" s="59"/>
      <c r="DB127" s="59"/>
      <c r="DE127" s="133"/>
      <c r="DF127" s="9">
        <v>4149.7299999999977</v>
      </c>
    </row>
    <row r="128" spans="1:110" s="9" customFormat="1" x14ac:dyDescent="0.2">
      <c r="A128" s="9" t="s">
        <v>456</v>
      </c>
      <c r="N128" s="9">
        <f>N115-SUM(AI115:AL115)</f>
        <v>-1.4999999999467661E-3</v>
      </c>
      <c r="O128" s="9">
        <f>O115-SUM(AM115:AP115)</f>
        <v>1.3000000000573664E-3</v>
      </c>
      <c r="P128" s="9">
        <f>P115-SUM(AQ115:AT115)</f>
        <v>-2.399999999976643E-3</v>
      </c>
      <c r="Q128" s="9">
        <f>Q115-SUM(AU115:AX115)</f>
        <v>-8.0000000000968186E-4</v>
      </c>
      <c r="R128" s="9">
        <f>R115-SUM(AY115:BB115)</f>
        <v>-9.9999999996214228E-4</v>
      </c>
      <c r="S128" s="9">
        <f>S115-SUM(BC115:BF115)</f>
        <v>9.9999999996214228E-5</v>
      </c>
      <c r="T128" s="9">
        <f>T115-SUM(BG115:BJ115)</f>
        <v>2.9999999995666826E-4</v>
      </c>
      <c r="U128" s="9">
        <f>U115-SUM(BK115:BN115)</f>
        <v>1.4000000000500279E-3</v>
      </c>
      <c r="V128" s="9">
        <f>V115-SUM(BO115:BR115)</f>
        <v>-1.9999999998976392E-4</v>
      </c>
      <c r="W128" s="9">
        <f>W108-SUM(BS108:BV108)</f>
        <v>-9.9999999999340616E-3</v>
      </c>
      <c r="X128" s="9">
        <f>X108-SUM(BW108:BZ108)</f>
        <v>9.9999999999909051E-3</v>
      </c>
      <c r="Y128" s="9">
        <f>Y108-SUM(CA108:CD108)</f>
        <v>0</v>
      </c>
      <c r="Z128" s="9">
        <f>Z108-SUM(CE108:CH108)</f>
        <v>5.3500000000001364</v>
      </c>
      <c r="AA128" s="9">
        <f>AA108-SUM(CF108:CI108)</f>
        <v>2273.949999999998</v>
      </c>
      <c r="AB128" s="15">
        <f>AB108-SUM(CM108:CP108)</f>
        <v>0</v>
      </c>
      <c r="AC128" s="15">
        <f>AC108-SUM(CQ108:CT108)</f>
        <v>0</v>
      </c>
      <c r="AD128" s="15">
        <f>AD108-SUM(CU108:CX108)</f>
        <v>0</v>
      </c>
      <c r="AE128" s="15">
        <f>AE108-SUM(CY108:DB108)</f>
        <v>0</v>
      </c>
      <c r="CM128" s="59"/>
      <c r="CN128" s="59"/>
      <c r="CO128" s="59"/>
      <c r="CP128" s="59"/>
      <c r="CQ128" s="59"/>
      <c r="CR128" s="59"/>
      <c r="CS128" s="59"/>
      <c r="CT128" s="59"/>
      <c r="CU128" s="59"/>
      <c r="CV128" s="59"/>
      <c r="CW128" s="59"/>
      <c r="CX128" s="59"/>
      <c r="CY128" s="59"/>
      <c r="CZ128" s="59"/>
      <c r="DA128" s="59"/>
      <c r="DB128" s="59"/>
      <c r="DE128" s="133"/>
      <c r="DF128" s="9">
        <v>2273.949999999998</v>
      </c>
    </row>
    <row r="129" spans="1:110" s="8" customFormat="1" x14ac:dyDescent="0.2">
      <c r="A129" s="149" t="s">
        <v>489</v>
      </c>
      <c r="AB129" s="58"/>
      <c r="AC129" s="58"/>
      <c r="AD129" s="58"/>
      <c r="AE129" s="58"/>
      <c r="CM129" s="54"/>
      <c r="CN129" s="54"/>
      <c r="CO129" s="54"/>
      <c r="CP129" s="54"/>
      <c r="CQ129" s="54"/>
      <c r="CR129" s="54"/>
      <c r="CS129" s="54"/>
      <c r="CT129" s="54"/>
      <c r="CU129" s="54"/>
      <c r="CV129" s="54"/>
      <c r="CW129" s="54"/>
      <c r="CX129" s="54"/>
      <c r="CY129" s="54"/>
      <c r="CZ129" s="54"/>
      <c r="DA129" s="54"/>
      <c r="DB129" s="54"/>
      <c r="DE129" s="132"/>
      <c r="DF129" s="215"/>
    </row>
    <row r="130" spans="1:110" s="3" customFormat="1" x14ac:dyDescent="0.2">
      <c r="A130" s="3" t="s">
        <v>27</v>
      </c>
      <c r="B130" s="3">
        <f>'Annual Raw'!C104</f>
        <v>16.258299999999998</v>
      </c>
      <c r="C130" s="3">
        <f>'Annual Raw'!D104</f>
        <v>16.258299999999998</v>
      </c>
      <c r="D130" s="3">
        <f>'Annual Raw'!E104</f>
        <v>16.258299999999998</v>
      </c>
      <c r="E130" s="3">
        <f t="shared" ref="E130:Y130" ca="1" si="896">+F130</f>
        <v>56.28</v>
      </c>
      <c r="F130" s="3">
        <f t="shared" ca="1" si="896"/>
        <v>56.28</v>
      </c>
      <c r="G130" s="3">
        <f t="shared" ca="1" si="896"/>
        <v>56.28</v>
      </c>
      <c r="H130" s="3">
        <f t="shared" ca="1" si="896"/>
        <v>56.28</v>
      </c>
      <c r="I130" s="3">
        <f t="shared" ca="1" si="896"/>
        <v>56.28</v>
      </c>
      <c r="J130" s="3">
        <f t="shared" ca="1" si="896"/>
        <v>56.28</v>
      </c>
      <c r="K130" s="3">
        <f t="shared" ca="1" si="896"/>
        <v>56.28</v>
      </c>
      <c r="L130" s="3">
        <f t="shared" ca="1" si="896"/>
        <v>56.28</v>
      </c>
      <c r="M130" s="3">
        <f t="shared" ca="1" si="896"/>
        <v>56.28</v>
      </c>
      <c r="N130" s="3">
        <f t="shared" ca="1" si="896"/>
        <v>56.28</v>
      </c>
      <c r="O130" s="3">
        <f t="shared" ca="1" si="896"/>
        <v>56.28</v>
      </c>
      <c r="P130" s="3">
        <f t="shared" ca="1" si="896"/>
        <v>56.28</v>
      </c>
      <c r="Q130" s="3">
        <f t="shared" ca="1" si="896"/>
        <v>56.28</v>
      </c>
      <c r="R130" s="3">
        <f t="shared" ca="1" si="896"/>
        <v>56.28</v>
      </c>
      <c r="S130" s="3">
        <f t="shared" ca="1" si="896"/>
        <v>56.28</v>
      </c>
      <c r="T130" s="3">
        <f t="shared" ca="1" si="896"/>
        <v>56.28</v>
      </c>
      <c r="U130" s="3">
        <f t="shared" ca="1" si="896"/>
        <v>56.28</v>
      </c>
      <c r="V130" s="3">
        <f t="shared" ca="1" si="896"/>
        <v>56.28</v>
      </c>
      <c r="W130" s="3">
        <f t="shared" ca="1" si="896"/>
        <v>56.28</v>
      </c>
      <c r="X130" s="3">
        <f t="shared" ca="1" si="896"/>
        <v>56.28</v>
      </c>
      <c r="Y130" s="3">
        <f t="shared" ca="1" si="896"/>
        <v>56.28</v>
      </c>
      <c r="Z130" s="3">
        <f ca="1">+AA130</f>
        <v>56.28</v>
      </c>
      <c r="AA130" s="3">
        <f ca="1">+AB130</f>
        <v>56.28</v>
      </c>
      <c r="AB130" s="37">
        <f t="shared" ref="AB130:AB131" ca="1" si="897">AA130</f>
        <v>56.28</v>
      </c>
      <c r="AC130" s="37">
        <f t="shared" ref="AC130:AC131" ca="1" si="898">AB130</f>
        <v>56.28</v>
      </c>
      <c r="AD130" s="37">
        <f t="shared" ref="AD130:AD131" ca="1" si="899">AC130</f>
        <v>56.28</v>
      </c>
      <c r="AE130" s="37">
        <f t="shared" ref="AE130:AE131" ca="1" si="900">AD130</f>
        <v>56.28</v>
      </c>
      <c r="AI130" s="3">
        <f t="shared" ref="AI130:CH130" si="901">+AJ130</f>
        <v>56.28</v>
      </c>
      <c r="AJ130" s="3">
        <f t="shared" si="901"/>
        <v>56.28</v>
      </c>
      <c r="AK130" s="3">
        <f t="shared" si="901"/>
        <v>56.28</v>
      </c>
      <c r="AL130" s="3">
        <f t="shared" si="901"/>
        <v>56.28</v>
      </c>
      <c r="AM130" s="3">
        <f t="shared" si="901"/>
        <v>56.28</v>
      </c>
      <c r="AN130" s="3">
        <f t="shared" si="901"/>
        <v>56.28</v>
      </c>
      <c r="AO130" s="3">
        <f t="shared" si="901"/>
        <v>56.28</v>
      </c>
      <c r="AP130" s="3">
        <f t="shared" si="901"/>
        <v>56.28</v>
      </c>
      <c r="AQ130" s="3">
        <f t="shared" si="901"/>
        <v>56.28</v>
      </c>
      <c r="AR130" s="3">
        <f t="shared" si="901"/>
        <v>56.28</v>
      </c>
      <c r="AS130" s="3">
        <f t="shared" si="901"/>
        <v>56.28</v>
      </c>
      <c r="AT130" s="3">
        <f t="shared" si="901"/>
        <v>56.28</v>
      </c>
      <c r="AU130" s="3">
        <f t="shared" si="901"/>
        <v>56.28</v>
      </c>
      <c r="AV130" s="3">
        <f t="shared" si="901"/>
        <v>56.28</v>
      </c>
      <c r="AW130" s="3">
        <f t="shared" si="901"/>
        <v>56.28</v>
      </c>
      <c r="AX130" s="3">
        <f t="shared" si="901"/>
        <v>56.28</v>
      </c>
      <c r="AY130" s="3">
        <f t="shared" si="901"/>
        <v>56.28</v>
      </c>
      <c r="AZ130" s="3">
        <f t="shared" si="901"/>
        <v>56.28</v>
      </c>
      <c r="BA130" s="3">
        <f t="shared" si="901"/>
        <v>56.28</v>
      </c>
      <c r="BB130" s="3">
        <f t="shared" si="901"/>
        <v>56.28</v>
      </c>
      <c r="BC130" s="3">
        <f t="shared" si="901"/>
        <v>56.28</v>
      </c>
      <c r="BD130" s="3">
        <f t="shared" si="901"/>
        <v>56.28</v>
      </c>
      <c r="BE130" s="3">
        <f t="shared" si="901"/>
        <v>56.28</v>
      </c>
      <c r="BF130" s="3">
        <f t="shared" si="901"/>
        <v>56.28</v>
      </c>
      <c r="BG130" s="3">
        <f t="shared" si="901"/>
        <v>56.28</v>
      </c>
      <c r="BH130" s="3">
        <f t="shared" si="901"/>
        <v>56.28</v>
      </c>
      <c r="BI130" s="3">
        <f t="shared" si="901"/>
        <v>56.28</v>
      </c>
      <c r="BJ130" s="3">
        <f t="shared" si="901"/>
        <v>56.28</v>
      </c>
      <c r="BK130" s="3">
        <f t="shared" si="901"/>
        <v>56.28</v>
      </c>
      <c r="BL130" s="3">
        <f t="shared" si="901"/>
        <v>56.28</v>
      </c>
      <c r="BM130" s="3">
        <f t="shared" si="901"/>
        <v>56.28</v>
      </c>
      <c r="BN130" s="3">
        <f t="shared" si="901"/>
        <v>56.28</v>
      </c>
      <c r="BO130" s="3">
        <f t="shared" si="901"/>
        <v>56.28</v>
      </c>
      <c r="BP130" s="3">
        <f t="shared" si="901"/>
        <v>56.28</v>
      </c>
      <c r="BQ130" s="3">
        <f t="shared" si="901"/>
        <v>56.28</v>
      </c>
      <c r="BR130" s="3">
        <f t="shared" si="901"/>
        <v>56.28</v>
      </c>
      <c r="BS130" s="3">
        <f t="shared" si="901"/>
        <v>56.28</v>
      </c>
      <c r="BT130" s="3">
        <f t="shared" si="901"/>
        <v>56.28</v>
      </c>
      <c r="BU130" s="3">
        <f t="shared" si="901"/>
        <v>56.28</v>
      </c>
      <c r="BV130" s="3">
        <f t="shared" si="901"/>
        <v>56.28</v>
      </c>
      <c r="BW130" s="3">
        <f t="shared" si="901"/>
        <v>56.28</v>
      </c>
      <c r="BX130" s="3">
        <f t="shared" si="901"/>
        <v>56.28</v>
      </c>
      <c r="BY130" s="3">
        <f t="shared" si="901"/>
        <v>56.28</v>
      </c>
      <c r="BZ130" s="3">
        <f t="shared" si="901"/>
        <v>56.28</v>
      </c>
      <c r="CA130" s="3">
        <f t="shared" si="901"/>
        <v>56.28</v>
      </c>
      <c r="CB130" s="3">
        <f t="shared" si="901"/>
        <v>56.28</v>
      </c>
      <c r="CC130" s="3">
        <f t="shared" si="901"/>
        <v>56.28</v>
      </c>
      <c r="CD130" s="3">
        <f t="shared" si="901"/>
        <v>56.28</v>
      </c>
      <c r="CE130" s="3">
        <f t="shared" si="901"/>
        <v>56.28</v>
      </c>
      <c r="CF130" s="3">
        <f t="shared" si="901"/>
        <v>56.28</v>
      </c>
      <c r="CG130" s="3">
        <f t="shared" si="901"/>
        <v>56.28</v>
      </c>
      <c r="CH130" s="3">
        <f t="shared" si="901"/>
        <v>56.28</v>
      </c>
      <c r="CI130" s="3">
        <f>+CJ130</f>
        <v>56.28</v>
      </c>
      <c r="CJ130" s="3">
        <f>+CK130</f>
        <v>56.28</v>
      </c>
      <c r="CK130" s="3">
        <f>+CL130</f>
        <v>56.28</v>
      </c>
      <c r="CL130" s="3">
        <f>'QTR Raw'!BF45</f>
        <v>56.28</v>
      </c>
      <c r="CM130" s="37">
        <f t="shared" ref="CM130:CM131" si="902">+CL130</f>
        <v>56.28</v>
      </c>
      <c r="CN130" s="37">
        <f t="shared" ref="CN130:CN131" si="903">+CM130</f>
        <v>56.28</v>
      </c>
      <c r="CO130" s="37">
        <f t="shared" ref="CO130:CO131" si="904">+CN130</f>
        <v>56.28</v>
      </c>
      <c r="CP130" s="37">
        <f t="shared" ref="CP130:CP131" si="905">+CO130</f>
        <v>56.28</v>
      </c>
      <c r="CQ130" s="37">
        <f t="shared" ref="CQ130:CQ131" si="906">+CP130</f>
        <v>56.28</v>
      </c>
      <c r="CR130" s="37">
        <f t="shared" ref="CR130:CR131" si="907">+CQ130</f>
        <v>56.28</v>
      </c>
      <c r="CS130" s="37">
        <f t="shared" ref="CS130:CS131" si="908">+CR130</f>
        <v>56.28</v>
      </c>
      <c r="CT130" s="37">
        <f t="shared" ref="CT130:CT131" si="909">+CS130</f>
        <v>56.28</v>
      </c>
      <c r="CU130" s="37">
        <f t="shared" ref="CU130:CU131" si="910">+CT130</f>
        <v>56.28</v>
      </c>
      <c r="CV130" s="37">
        <f t="shared" ref="CV130:CV131" si="911">+CU130</f>
        <v>56.28</v>
      </c>
      <c r="CW130" s="37">
        <f t="shared" ref="CW130:CW131" si="912">+CV130</f>
        <v>56.28</v>
      </c>
      <c r="CX130" s="37">
        <f t="shared" ref="CX130:CX131" si="913">+CW130</f>
        <v>56.28</v>
      </c>
      <c r="CY130" s="37">
        <f t="shared" ref="CY130:CY131" si="914">+CX130</f>
        <v>56.28</v>
      </c>
      <c r="CZ130" s="37">
        <f t="shared" ref="CZ130:CZ131" si="915">+CY130</f>
        <v>56.28</v>
      </c>
      <c r="DA130" s="37">
        <f t="shared" ref="DA130:DA131" si="916">+CZ130</f>
        <v>56.28</v>
      </c>
      <c r="DB130" s="37">
        <f t="shared" ref="DB130:DB131" si="917">+DA130</f>
        <v>56.28</v>
      </c>
      <c r="DE130" s="134"/>
      <c r="DF130" s="3">
        <v>56.28</v>
      </c>
    </row>
    <row r="131" spans="1:110" s="3" customFormat="1" x14ac:dyDescent="0.2">
      <c r="A131" s="3" t="s">
        <v>28</v>
      </c>
      <c r="B131" s="3">
        <f>'Annual Raw'!C105</f>
        <v>10</v>
      </c>
      <c r="C131" s="3">
        <f>'Annual Raw'!D105</f>
        <v>10</v>
      </c>
      <c r="D131" s="3">
        <f>'Annual Raw'!E105</f>
        <v>10</v>
      </c>
      <c r="E131" s="3">
        <f t="shared" ref="E131:Y131" ca="1" si="918">+F131</f>
        <v>1</v>
      </c>
      <c r="F131" s="3">
        <f t="shared" ca="1" si="918"/>
        <v>1</v>
      </c>
      <c r="G131" s="3">
        <f t="shared" ca="1" si="918"/>
        <v>1</v>
      </c>
      <c r="H131" s="3">
        <f t="shared" ca="1" si="918"/>
        <v>1</v>
      </c>
      <c r="I131" s="3">
        <f t="shared" ca="1" si="918"/>
        <v>1</v>
      </c>
      <c r="J131" s="3">
        <f t="shared" ca="1" si="918"/>
        <v>1</v>
      </c>
      <c r="K131" s="3">
        <f t="shared" ca="1" si="918"/>
        <v>1</v>
      </c>
      <c r="L131" s="3">
        <f t="shared" ca="1" si="918"/>
        <v>1</v>
      </c>
      <c r="M131" s="3">
        <f t="shared" ca="1" si="918"/>
        <v>1</v>
      </c>
      <c r="N131" s="3">
        <f t="shared" ca="1" si="918"/>
        <v>1</v>
      </c>
      <c r="O131" s="3">
        <f t="shared" ca="1" si="918"/>
        <v>1</v>
      </c>
      <c r="P131" s="3">
        <f t="shared" ca="1" si="918"/>
        <v>1</v>
      </c>
      <c r="Q131" s="3">
        <f t="shared" ca="1" si="918"/>
        <v>1</v>
      </c>
      <c r="R131" s="3">
        <f t="shared" ca="1" si="918"/>
        <v>1</v>
      </c>
      <c r="S131" s="3">
        <f t="shared" ca="1" si="918"/>
        <v>1</v>
      </c>
      <c r="T131" s="3">
        <f t="shared" ca="1" si="918"/>
        <v>1</v>
      </c>
      <c r="U131" s="3">
        <f t="shared" ca="1" si="918"/>
        <v>1</v>
      </c>
      <c r="V131" s="3">
        <f t="shared" ca="1" si="918"/>
        <v>1</v>
      </c>
      <c r="W131" s="3">
        <f t="shared" ca="1" si="918"/>
        <v>1</v>
      </c>
      <c r="X131" s="3">
        <f t="shared" ca="1" si="918"/>
        <v>1</v>
      </c>
      <c r="Y131" s="3">
        <f t="shared" ca="1" si="918"/>
        <v>1</v>
      </c>
      <c r="Z131" s="3">
        <f ca="1">+AA131</f>
        <v>1</v>
      </c>
      <c r="AA131" s="3">
        <f ca="1">+AB131</f>
        <v>1</v>
      </c>
      <c r="AB131" s="37">
        <f t="shared" ca="1" si="897"/>
        <v>1</v>
      </c>
      <c r="AC131" s="37">
        <f t="shared" ca="1" si="898"/>
        <v>1</v>
      </c>
      <c r="AD131" s="37">
        <f t="shared" ca="1" si="899"/>
        <v>1</v>
      </c>
      <c r="AE131" s="37">
        <f t="shared" ca="1" si="900"/>
        <v>1</v>
      </c>
      <c r="AI131" s="3">
        <f t="shared" ref="AI131:CH131" si="919">AJ131</f>
        <v>1</v>
      </c>
      <c r="AJ131" s="3">
        <f t="shared" si="919"/>
        <v>1</v>
      </c>
      <c r="AK131" s="3">
        <f t="shared" si="919"/>
        <v>1</v>
      </c>
      <c r="AL131" s="3">
        <f t="shared" si="919"/>
        <v>1</v>
      </c>
      <c r="AM131" s="3">
        <f t="shared" si="919"/>
        <v>1</v>
      </c>
      <c r="AN131" s="3">
        <f t="shared" si="919"/>
        <v>1</v>
      </c>
      <c r="AO131" s="3">
        <f t="shared" si="919"/>
        <v>1</v>
      </c>
      <c r="AP131" s="3">
        <f t="shared" si="919"/>
        <v>1</v>
      </c>
      <c r="AQ131" s="3">
        <f t="shared" si="919"/>
        <v>1</v>
      </c>
      <c r="AR131" s="3">
        <f t="shared" si="919"/>
        <v>1</v>
      </c>
      <c r="AS131" s="3">
        <f t="shared" si="919"/>
        <v>1</v>
      </c>
      <c r="AT131" s="3">
        <f t="shared" si="919"/>
        <v>1</v>
      </c>
      <c r="AU131" s="3">
        <f t="shared" si="919"/>
        <v>1</v>
      </c>
      <c r="AV131" s="3">
        <f t="shared" si="919"/>
        <v>1</v>
      </c>
      <c r="AW131" s="3">
        <f t="shared" si="919"/>
        <v>1</v>
      </c>
      <c r="AX131" s="3">
        <f t="shared" si="919"/>
        <v>1</v>
      </c>
      <c r="AY131" s="3">
        <f t="shared" si="919"/>
        <v>1</v>
      </c>
      <c r="AZ131" s="3">
        <f t="shared" si="919"/>
        <v>1</v>
      </c>
      <c r="BA131" s="3">
        <f t="shared" si="919"/>
        <v>1</v>
      </c>
      <c r="BB131" s="3">
        <f t="shared" si="919"/>
        <v>1</v>
      </c>
      <c r="BC131" s="3">
        <f t="shared" si="919"/>
        <v>1</v>
      </c>
      <c r="BD131" s="3">
        <f t="shared" si="919"/>
        <v>1</v>
      </c>
      <c r="BE131" s="3">
        <f t="shared" si="919"/>
        <v>1</v>
      </c>
      <c r="BF131" s="3">
        <f t="shared" si="919"/>
        <v>1</v>
      </c>
      <c r="BG131" s="3">
        <f t="shared" si="919"/>
        <v>1</v>
      </c>
      <c r="BH131" s="3">
        <f t="shared" si="919"/>
        <v>1</v>
      </c>
      <c r="BI131" s="3">
        <f t="shared" si="919"/>
        <v>1</v>
      </c>
      <c r="BJ131" s="3">
        <f t="shared" si="919"/>
        <v>1</v>
      </c>
      <c r="BK131" s="3">
        <f t="shared" si="919"/>
        <v>1</v>
      </c>
      <c r="BL131" s="3">
        <f t="shared" si="919"/>
        <v>1</v>
      </c>
      <c r="BM131" s="3">
        <f t="shared" si="919"/>
        <v>1</v>
      </c>
      <c r="BN131" s="3">
        <f t="shared" si="919"/>
        <v>1</v>
      </c>
      <c r="BO131" s="3">
        <f t="shared" si="919"/>
        <v>1</v>
      </c>
      <c r="BP131" s="3">
        <f t="shared" si="919"/>
        <v>1</v>
      </c>
      <c r="BQ131" s="3">
        <f t="shared" si="919"/>
        <v>1</v>
      </c>
      <c r="BR131" s="3">
        <f t="shared" si="919"/>
        <v>1</v>
      </c>
      <c r="BS131" s="3">
        <f t="shared" si="919"/>
        <v>1</v>
      </c>
      <c r="BT131" s="3">
        <f t="shared" si="919"/>
        <v>1</v>
      </c>
      <c r="BU131" s="3">
        <f t="shared" si="919"/>
        <v>1</v>
      </c>
      <c r="BV131" s="3">
        <f t="shared" si="919"/>
        <v>1</v>
      </c>
      <c r="BW131" s="3">
        <f t="shared" si="919"/>
        <v>1</v>
      </c>
      <c r="BX131" s="3">
        <f t="shared" si="919"/>
        <v>1</v>
      </c>
      <c r="BY131" s="3">
        <f t="shared" si="919"/>
        <v>1</v>
      </c>
      <c r="BZ131" s="3">
        <f t="shared" si="919"/>
        <v>1</v>
      </c>
      <c r="CA131" s="3">
        <f t="shared" si="919"/>
        <v>1</v>
      </c>
      <c r="CB131" s="3">
        <f t="shared" si="919"/>
        <v>1</v>
      </c>
      <c r="CC131" s="3">
        <f t="shared" si="919"/>
        <v>1</v>
      </c>
      <c r="CD131" s="3">
        <f t="shared" si="919"/>
        <v>1</v>
      </c>
      <c r="CE131" s="3">
        <f t="shared" si="919"/>
        <v>1</v>
      </c>
      <c r="CF131" s="3">
        <f t="shared" si="919"/>
        <v>1</v>
      </c>
      <c r="CG131" s="3">
        <f t="shared" si="919"/>
        <v>1</v>
      </c>
      <c r="CH131" s="3">
        <f t="shared" si="919"/>
        <v>1</v>
      </c>
      <c r="CI131" s="3">
        <f>CJ131</f>
        <v>1</v>
      </c>
      <c r="CJ131" s="3">
        <f>CK131</f>
        <v>1</v>
      </c>
      <c r="CK131" s="3">
        <f>+CL131</f>
        <v>1</v>
      </c>
      <c r="CL131" s="3">
        <f>'QTR Raw'!BF46</f>
        <v>1</v>
      </c>
      <c r="CM131" s="37">
        <f t="shared" si="902"/>
        <v>1</v>
      </c>
      <c r="CN131" s="37">
        <f t="shared" si="903"/>
        <v>1</v>
      </c>
      <c r="CO131" s="37">
        <f t="shared" si="904"/>
        <v>1</v>
      </c>
      <c r="CP131" s="37">
        <f t="shared" si="905"/>
        <v>1</v>
      </c>
      <c r="CQ131" s="37">
        <f t="shared" si="906"/>
        <v>1</v>
      </c>
      <c r="CR131" s="37">
        <f t="shared" si="907"/>
        <v>1</v>
      </c>
      <c r="CS131" s="37">
        <f t="shared" si="908"/>
        <v>1</v>
      </c>
      <c r="CT131" s="37">
        <f t="shared" si="909"/>
        <v>1</v>
      </c>
      <c r="CU131" s="37">
        <f t="shared" si="910"/>
        <v>1</v>
      </c>
      <c r="CV131" s="37">
        <f t="shared" si="911"/>
        <v>1</v>
      </c>
      <c r="CW131" s="37">
        <f t="shared" si="912"/>
        <v>1</v>
      </c>
      <c r="CX131" s="37">
        <f t="shared" si="913"/>
        <v>1</v>
      </c>
      <c r="CY131" s="37">
        <f t="shared" si="914"/>
        <v>1</v>
      </c>
      <c r="CZ131" s="37">
        <f t="shared" si="915"/>
        <v>1</v>
      </c>
      <c r="DA131" s="37">
        <f t="shared" si="916"/>
        <v>1</v>
      </c>
      <c r="DB131" s="37">
        <f t="shared" si="917"/>
        <v>1</v>
      </c>
      <c r="DE131" s="134"/>
      <c r="DF131" s="3">
        <v>1</v>
      </c>
    </row>
    <row r="132" spans="1:110" s="3" customFormat="1" x14ac:dyDescent="0.2">
      <c r="A132" s="3" t="s">
        <v>29</v>
      </c>
      <c r="B132" s="3">
        <f>B130/B131</f>
        <v>1.6258299999999999</v>
      </c>
      <c r="C132" s="3">
        <f t="shared" ref="C132:W132" si="920">C130/C131</f>
        <v>1.6258299999999999</v>
      </c>
      <c r="D132" s="3">
        <f t="shared" si="920"/>
        <v>1.6258299999999999</v>
      </c>
      <c r="E132" s="3">
        <f t="shared" ca="1" si="920"/>
        <v>56.28</v>
      </c>
      <c r="F132" s="3">
        <f t="shared" ca="1" si="920"/>
        <v>56.28</v>
      </c>
      <c r="G132" s="3">
        <f t="shared" ca="1" si="920"/>
        <v>56.28</v>
      </c>
      <c r="H132" s="3">
        <f t="shared" ca="1" si="920"/>
        <v>56.28</v>
      </c>
      <c r="I132" s="3">
        <f t="shared" ca="1" si="920"/>
        <v>56.28</v>
      </c>
      <c r="J132" s="3">
        <f t="shared" ca="1" si="920"/>
        <v>56.28</v>
      </c>
      <c r="K132" s="3">
        <f t="shared" ca="1" si="920"/>
        <v>56.28</v>
      </c>
      <c r="L132" s="3">
        <f t="shared" ca="1" si="920"/>
        <v>56.28</v>
      </c>
      <c r="M132" s="3">
        <f t="shared" ca="1" si="920"/>
        <v>56.28</v>
      </c>
      <c r="N132" s="3">
        <f t="shared" ca="1" si="920"/>
        <v>56.28</v>
      </c>
      <c r="O132" s="3">
        <f t="shared" ca="1" si="920"/>
        <v>56.28</v>
      </c>
      <c r="P132" s="3">
        <f t="shared" ca="1" si="920"/>
        <v>56.28</v>
      </c>
      <c r="Q132" s="3">
        <f t="shared" ca="1" si="920"/>
        <v>56.28</v>
      </c>
      <c r="R132" s="3">
        <f t="shared" ca="1" si="920"/>
        <v>56.28</v>
      </c>
      <c r="S132" s="3">
        <f t="shared" ca="1" si="920"/>
        <v>56.28</v>
      </c>
      <c r="T132" s="3">
        <f t="shared" ca="1" si="920"/>
        <v>56.28</v>
      </c>
      <c r="U132" s="3">
        <f t="shared" ca="1" si="920"/>
        <v>56.28</v>
      </c>
      <c r="V132" s="3">
        <f ca="1">V130/V131</f>
        <v>56.28</v>
      </c>
      <c r="W132" s="3">
        <f t="shared" ca="1" si="920"/>
        <v>56.28</v>
      </c>
      <c r="X132" s="3">
        <f t="shared" ref="X132:Y132" ca="1" si="921">X130/X131</f>
        <v>56.28</v>
      </c>
      <c r="Y132" s="3">
        <f t="shared" ca="1" si="921"/>
        <v>56.28</v>
      </c>
      <c r="Z132" s="3">
        <f t="shared" ref="Z132:AA132" ca="1" si="922">Z130/Z131</f>
        <v>56.28</v>
      </c>
      <c r="AA132" s="3">
        <f t="shared" ca="1" si="922"/>
        <v>56.28</v>
      </c>
      <c r="AB132" s="37">
        <f t="shared" ref="AB132:AD132" ca="1" si="923">AB130/AB131</f>
        <v>56.28</v>
      </c>
      <c r="AC132" s="37">
        <f t="shared" ca="1" si="923"/>
        <v>56.28</v>
      </c>
      <c r="AD132" s="37">
        <f t="shared" ca="1" si="923"/>
        <v>56.28</v>
      </c>
      <c r="AE132" s="37">
        <f t="shared" ref="AE132" ca="1" si="924">AE130/AE131</f>
        <v>56.28</v>
      </c>
      <c r="AI132" s="3">
        <f t="shared" ref="AI132" si="925">AI130/AI131</f>
        <v>56.28</v>
      </c>
      <c r="AJ132" s="3">
        <f t="shared" ref="AJ132" si="926">AJ130/AJ131</f>
        <v>56.28</v>
      </c>
      <c r="AK132" s="3">
        <f t="shared" ref="AK132:AM132" si="927">AK130/AK131</f>
        <v>56.28</v>
      </c>
      <c r="AL132" s="3">
        <f t="shared" si="927"/>
        <v>56.28</v>
      </c>
      <c r="AM132" s="3">
        <f t="shared" si="927"/>
        <v>56.28</v>
      </c>
      <c r="AN132" s="3">
        <f t="shared" ref="AN132:AO132" si="928">AN130/AN131</f>
        <v>56.28</v>
      </c>
      <c r="AO132" s="3">
        <f t="shared" si="928"/>
        <v>56.28</v>
      </c>
      <c r="AP132" s="3">
        <f t="shared" ref="AP132:CD132" si="929">AP130/AP131</f>
        <v>56.28</v>
      </c>
      <c r="AQ132" s="3">
        <f t="shared" si="929"/>
        <v>56.28</v>
      </c>
      <c r="AR132" s="3">
        <f t="shared" si="929"/>
        <v>56.28</v>
      </c>
      <c r="AS132" s="3">
        <f t="shared" si="929"/>
        <v>56.28</v>
      </c>
      <c r="AT132" s="3">
        <f t="shared" si="929"/>
        <v>56.28</v>
      </c>
      <c r="AU132" s="3">
        <f t="shared" si="929"/>
        <v>56.28</v>
      </c>
      <c r="AV132" s="3">
        <f t="shared" si="929"/>
        <v>56.28</v>
      </c>
      <c r="AW132" s="3">
        <f t="shared" si="929"/>
        <v>56.28</v>
      </c>
      <c r="AX132" s="3">
        <f t="shared" si="929"/>
        <v>56.28</v>
      </c>
      <c r="AY132" s="3">
        <f t="shared" si="929"/>
        <v>56.28</v>
      </c>
      <c r="AZ132" s="3">
        <f t="shared" si="929"/>
        <v>56.28</v>
      </c>
      <c r="BA132" s="3">
        <f t="shared" si="929"/>
        <v>56.28</v>
      </c>
      <c r="BB132" s="3">
        <f t="shared" si="929"/>
        <v>56.28</v>
      </c>
      <c r="BC132" s="3">
        <f t="shared" si="929"/>
        <v>56.28</v>
      </c>
      <c r="BD132" s="3">
        <f t="shared" si="929"/>
        <v>56.28</v>
      </c>
      <c r="BE132" s="3">
        <f t="shared" si="929"/>
        <v>56.28</v>
      </c>
      <c r="BF132" s="3">
        <f t="shared" si="929"/>
        <v>56.28</v>
      </c>
      <c r="BG132" s="3">
        <f t="shared" si="929"/>
        <v>56.28</v>
      </c>
      <c r="BH132" s="3">
        <f t="shared" si="929"/>
        <v>56.28</v>
      </c>
      <c r="BI132" s="3">
        <f t="shared" si="929"/>
        <v>56.28</v>
      </c>
      <c r="BJ132" s="3">
        <f t="shared" si="929"/>
        <v>56.28</v>
      </c>
      <c r="BK132" s="3">
        <f t="shared" si="929"/>
        <v>56.28</v>
      </c>
      <c r="BL132" s="3">
        <f t="shared" si="929"/>
        <v>56.28</v>
      </c>
      <c r="BM132" s="3">
        <f t="shared" si="929"/>
        <v>56.28</v>
      </c>
      <c r="BN132" s="3">
        <f t="shared" si="929"/>
        <v>56.28</v>
      </c>
      <c r="BO132" s="3">
        <f t="shared" si="929"/>
        <v>56.28</v>
      </c>
      <c r="BP132" s="3">
        <f t="shared" si="929"/>
        <v>56.28</v>
      </c>
      <c r="BQ132" s="3">
        <f t="shared" si="929"/>
        <v>56.28</v>
      </c>
      <c r="BR132" s="3">
        <f t="shared" si="929"/>
        <v>56.28</v>
      </c>
      <c r="BS132" s="3">
        <f t="shared" si="929"/>
        <v>56.28</v>
      </c>
      <c r="BT132" s="3">
        <f t="shared" si="929"/>
        <v>56.28</v>
      </c>
      <c r="BU132" s="3">
        <f t="shared" si="929"/>
        <v>56.28</v>
      </c>
      <c r="BV132" s="3">
        <f t="shared" si="929"/>
        <v>56.28</v>
      </c>
      <c r="BW132" s="3">
        <f t="shared" si="929"/>
        <v>56.28</v>
      </c>
      <c r="BX132" s="3">
        <f t="shared" si="929"/>
        <v>56.28</v>
      </c>
      <c r="BY132" s="3">
        <f t="shared" si="929"/>
        <v>56.28</v>
      </c>
      <c r="BZ132" s="3">
        <f t="shared" si="929"/>
        <v>56.28</v>
      </c>
      <c r="CA132" s="3">
        <f t="shared" si="929"/>
        <v>56.28</v>
      </c>
      <c r="CB132" s="3">
        <f t="shared" si="929"/>
        <v>56.28</v>
      </c>
      <c r="CC132" s="3">
        <f t="shared" si="929"/>
        <v>56.28</v>
      </c>
      <c r="CD132" s="3">
        <f t="shared" si="929"/>
        <v>56.28</v>
      </c>
      <c r="CE132" s="3">
        <f t="shared" ref="CE132:CF132" si="930">CE130/CE131</f>
        <v>56.28</v>
      </c>
      <c r="CF132" s="3">
        <f t="shared" si="930"/>
        <v>56.28</v>
      </c>
      <c r="CG132" s="3">
        <f t="shared" ref="CG132:CH132" si="931">CG130/CG131</f>
        <v>56.28</v>
      </c>
      <c r="CH132" s="3">
        <f t="shared" si="931"/>
        <v>56.28</v>
      </c>
      <c r="CI132" s="3">
        <f t="shared" ref="CI132:CJ132" si="932">CI130/CI131</f>
        <v>56.28</v>
      </c>
      <c r="CJ132" s="3">
        <f t="shared" si="932"/>
        <v>56.28</v>
      </c>
      <c r="CK132" s="3">
        <f t="shared" ref="CK132:CL132" si="933">CK130/CK131</f>
        <v>56.28</v>
      </c>
      <c r="CL132" s="3">
        <f t="shared" si="933"/>
        <v>56.28</v>
      </c>
      <c r="CM132" s="37">
        <f t="shared" ref="CM132:DB132" si="934">CM130/CM131</f>
        <v>56.28</v>
      </c>
      <c r="CN132" s="37">
        <f t="shared" si="934"/>
        <v>56.28</v>
      </c>
      <c r="CO132" s="37">
        <f t="shared" si="934"/>
        <v>56.28</v>
      </c>
      <c r="CP132" s="37">
        <f t="shared" si="934"/>
        <v>56.28</v>
      </c>
      <c r="CQ132" s="37">
        <f t="shared" si="934"/>
        <v>56.28</v>
      </c>
      <c r="CR132" s="37">
        <f t="shared" si="934"/>
        <v>56.28</v>
      </c>
      <c r="CS132" s="37">
        <f t="shared" si="934"/>
        <v>56.28</v>
      </c>
      <c r="CT132" s="37">
        <f t="shared" si="934"/>
        <v>56.28</v>
      </c>
      <c r="CU132" s="37">
        <f t="shared" si="934"/>
        <v>56.28</v>
      </c>
      <c r="CV132" s="37">
        <f t="shared" si="934"/>
        <v>56.28</v>
      </c>
      <c r="CW132" s="37">
        <f t="shared" si="934"/>
        <v>56.28</v>
      </c>
      <c r="CX132" s="37">
        <f t="shared" si="934"/>
        <v>56.28</v>
      </c>
      <c r="CY132" s="37">
        <f t="shared" si="934"/>
        <v>56.28</v>
      </c>
      <c r="CZ132" s="37">
        <f t="shared" si="934"/>
        <v>56.28</v>
      </c>
      <c r="DA132" s="37">
        <f t="shared" si="934"/>
        <v>56.28</v>
      </c>
      <c r="DB132" s="37">
        <f t="shared" si="934"/>
        <v>56.28</v>
      </c>
      <c r="DE132" s="134"/>
      <c r="DF132" s="3">
        <v>56.28</v>
      </c>
    </row>
    <row r="133" spans="1:110" s="53" customFormat="1" x14ac:dyDescent="0.2">
      <c r="A133" s="53" t="s">
        <v>30</v>
      </c>
      <c r="B133" s="53">
        <f t="shared" ref="B133:AE133" si="935">(B115-B114)/B132</f>
        <v>-44.480972795433701</v>
      </c>
      <c r="C133" s="53">
        <f t="shared" si="935"/>
        <v>-53.083963267992353</v>
      </c>
      <c r="D133" s="53">
        <f t="shared" si="935"/>
        <v>-19.936955278227124</v>
      </c>
      <c r="E133" s="53">
        <f t="shared" ca="1" si="935"/>
        <v>-0.26441542288557168</v>
      </c>
      <c r="F133" s="53">
        <f t="shared" ca="1" si="935"/>
        <v>9.8974769012082811E-2</v>
      </c>
      <c r="G133" s="53">
        <f t="shared" ca="1" si="935"/>
        <v>-0.35569474058279982</v>
      </c>
      <c r="H133" s="53">
        <f t="shared" ca="1" si="935"/>
        <v>-0.54470682302771922</v>
      </c>
      <c r="I133" s="53">
        <f t="shared" ca="1" si="935"/>
        <v>-0.10866915422885622</v>
      </c>
      <c r="J133" s="53">
        <f t="shared" ca="1" si="935"/>
        <v>0.50488450604122292</v>
      </c>
      <c r="K133" s="53">
        <f t="shared" ca="1" si="935"/>
        <v>0.31785181236673915</v>
      </c>
      <c r="L133" s="53">
        <f t="shared" ca="1" si="935"/>
        <v>0.33057569296375305</v>
      </c>
      <c r="M133" s="53">
        <f t="shared" ca="1" si="935"/>
        <v>6.6316631130063031E-2</v>
      </c>
      <c r="N133" s="53">
        <f t="shared" ca="1" si="935"/>
        <v>3.4035181236674782E-2</v>
      </c>
      <c r="O133" s="53">
        <f t="shared" ca="1" si="935"/>
        <v>-0.75418798862828629</v>
      </c>
      <c r="P133" s="53">
        <f t="shared" ca="1" si="935"/>
        <v>-0.36990760483297697</v>
      </c>
      <c r="Q133" s="53">
        <f t="shared" ca="1" si="935"/>
        <v>0.12349857853589187</v>
      </c>
      <c r="R133" s="53">
        <f t="shared" ca="1" si="935"/>
        <v>9.9004975124378503E-2</v>
      </c>
      <c r="S133" s="53">
        <f t="shared" ca="1" si="935"/>
        <v>0.30266702203269369</v>
      </c>
      <c r="T133" s="53">
        <f t="shared" ca="1" si="935"/>
        <v>0.36661869225302018</v>
      </c>
      <c r="U133" s="53">
        <f t="shared" ca="1" si="935"/>
        <v>0.56550106609808148</v>
      </c>
      <c r="V133" s="53">
        <f t="shared" ca="1" si="935"/>
        <v>2.253020611229934E-3</v>
      </c>
      <c r="W133" s="53">
        <f t="shared" ca="1" si="935"/>
        <v>2.6426794598436394</v>
      </c>
      <c r="X133" s="53">
        <f t="shared" ca="1" si="935"/>
        <v>16.095415778251599</v>
      </c>
      <c r="Y133" s="53">
        <f t="shared" ca="1" si="935"/>
        <v>22.084754797441345</v>
      </c>
      <c r="Z133" s="53">
        <f t="shared" ca="1" si="935"/>
        <v>25.762793176972277</v>
      </c>
      <c r="AA133" s="53">
        <f t="shared" ref="AA133" ca="1" si="936">(AA115-AA114)/AA132</f>
        <v>25.762793176972277</v>
      </c>
      <c r="AB133" s="54">
        <f t="shared" ca="1" si="935"/>
        <v>112.80176234750924</v>
      </c>
      <c r="AC133" s="54">
        <f t="shared" ca="1" si="935"/>
        <v>136.50747945503639</v>
      </c>
      <c r="AD133" s="54">
        <f t="shared" ca="1" si="935"/>
        <v>149.11538451569086</v>
      </c>
      <c r="AE133" s="54">
        <f t="shared" ca="1" si="935"/>
        <v>179.08150313284605</v>
      </c>
      <c r="AI133" s="53">
        <f t="shared" ref="AI133:BN133" si="937">(AI115-AI114)/AI132</f>
        <v>2.7274342572850181E-2</v>
      </c>
      <c r="AJ133" s="53">
        <f t="shared" si="937"/>
        <v>-2.3916133617625995E-2</v>
      </c>
      <c r="AK133" s="53">
        <f t="shared" si="937"/>
        <v>-0.11121179815209664</v>
      </c>
      <c r="AL133" s="53">
        <f t="shared" si="937"/>
        <v>0.14191542288557188</v>
      </c>
      <c r="AM133" s="53">
        <f t="shared" si="937"/>
        <v>-0.22581734186211841</v>
      </c>
      <c r="AN133" s="53">
        <f t="shared" si="937"/>
        <v>-0.19198649609097362</v>
      </c>
      <c r="AO133" s="53">
        <f t="shared" si="937"/>
        <v>-0.10506396588486142</v>
      </c>
      <c r="AP133" s="53">
        <f t="shared" si="937"/>
        <v>-0.23134328358208933</v>
      </c>
      <c r="AQ133" s="53">
        <f t="shared" si="937"/>
        <v>-0.15222103766879835</v>
      </c>
      <c r="AR133" s="53">
        <f t="shared" si="937"/>
        <v>-5.4086709310589468E-2</v>
      </c>
      <c r="AS133" s="53">
        <f t="shared" si="937"/>
        <v>-0.11803482587064705</v>
      </c>
      <c r="AT133" s="53">
        <f t="shared" si="937"/>
        <v>-4.5522388059701546E-2</v>
      </c>
      <c r="AU133" s="53">
        <f t="shared" si="937"/>
        <v>4.8685145700071382E-2</v>
      </c>
      <c r="AV133" s="53">
        <f t="shared" si="937"/>
        <v>6.3610518834397991E-3</v>
      </c>
      <c r="AW133" s="53">
        <f t="shared" si="937"/>
        <v>4.5309168443495402E-3</v>
      </c>
      <c r="AX133" s="53">
        <f t="shared" si="937"/>
        <v>6.3930348258706512E-2</v>
      </c>
      <c r="AY133" s="53">
        <f t="shared" si="937"/>
        <v>2.4697938877044894E-3</v>
      </c>
      <c r="AZ133" s="53">
        <f t="shared" si="937"/>
        <v>5.4904051172705139E-3</v>
      </c>
      <c r="BA133" s="53">
        <f t="shared" si="937"/>
        <v>7.6226012793176624E-3</v>
      </c>
      <c r="BB133" s="53">
        <f t="shared" si="937"/>
        <v>8.343994314143556E-2</v>
      </c>
      <c r="BC133" s="53">
        <f t="shared" si="937"/>
        <v>9.3852167732764682E-2</v>
      </c>
      <c r="BD133" s="53">
        <f t="shared" si="937"/>
        <v>3.2160625444209319E-3</v>
      </c>
      <c r="BE133" s="53">
        <f t="shared" si="937"/>
        <v>2.794953802416518E-2</v>
      </c>
      <c r="BF133" s="53">
        <f t="shared" si="937"/>
        <v>0.17764747690120791</v>
      </c>
      <c r="BG133" s="53">
        <f t="shared" si="937"/>
        <v>0.18232054015636112</v>
      </c>
      <c r="BH133" s="53">
        <f t="shared" si="937"/>
        <v>1.2437810945273568E-2</v>
      </c>
      <c r="BI133" s="53">
        <f t="shared" si="937"/>
        <v>3.283582089552245E-2</v>
      </c>
      <c r="BJ133" s="53">
        <f t="shared" si="937"/>
        <v>0.13901918976545868</v>
      </c>
      <c r="BK133" s="53">
        <f t="shared" si="937"/>
        <v>0.13306680881307748</v>
      </c>
      <c r="BL133" s="53">
        <f t="shared" si="937"/>
        <v>2.3098791755502473E-4</v>
      </c>
      <c r="BM133" s="53">
        <f t="shared" si="937"/>
        <v>5.4779673063255041E-2</v>
      </c>
      <c r="BN133" s="53">
        <f t="shared" si="937"/>
        <v>0.37739872068230257</v>
      </c>
      <c r="BO133" s="53">
        <f t="shared" ref="BO133:CT133" si="938">(BO115-BO114)/BO132</f>
        <v>-0.16766169154228855</v>
      </c>
      <c r="BP133" s="53">
        <f t="shared" si="938"/>
        <v>2.8749111584932503E-2</v>
      </c>
      <c r="BQ133" s="53">
        <f t="shared" si="938"/>
        <v>4.6126510305614897E-2</v>
      </c>
      <c r="BR133" s="53">
        <f t="shared" si="938"/>
        <v>9.5042643923240994E-2</v>
      </c>
      <c r="BS133" s="53">
        <f t="shared" si="938"/>
        <v>-3.1982942430702943E-3</v>
      </c>
      <c r="BT133" s="53">
        <f t="shared" si="938"/>
        <v>5.5081734186211411E-3</v>
      </c>
      <c r="BU133" s="53">
        <f t="shared" si="938"/>
        <v>0.44811656005685874</v>
      </c>
      <c r="BV133" s="53">
        <f t="shared" si="938"/>
        <v>2.1924307036247326</v>
      </c>
      <c r="BW133" s="53">
        <f t="shared" si="938"/>
        <v>4.692075337597724</v>
      </c>
      <c r="BX133" s="53">
        <f t="shared" si="938"/>
        <v>2.5355366027007822</v>
      </c>
      <c r="BY133" s="53">
        <f t="shared" si="938"/>
        <v>4.0872423596304177</v>
      </c>
      <c r="BZ133" s="53">
        <f t="shared" si="938"/>
        <v>4.7803837953091701</v>
      </c>
      <c r="CA133" s="53">
        <f t="shared" si="938"/>
        <v>7.1652452025586335</v>
      </c>
      <c r="CB133" s="53">
        <f t="shared" si="938"/>
        <v>4.1090973702914013</v>
      </c>
      <c r="CC133" s="53">
        <f t="shared" si="938"/>
        <v>5.8901918976545797</v>
      </c>
      <c r="CD133" s="53">
        <f t="shared" si="938"/>
        <v>4.9202203269367466</v>
      </c>
      <c r="CE133" s="53">
        <f t="shared" si="938"/>
        <v>9.904051172707879</v>
      </c>
      <c r="CF133" s="53">
        <f t="shared" si="938"/>
        <v>5.3539445628997857</v>
      </c>
      <c r="CG133" s="53">
        <f t="shared" si="938"/>
        <v>6.917022032693672</v>
      </c>
      <c r="CH133" s="53">
        <f t="shared" si="938"/>
        <v>3.5870646766169196</v>
      </c>
      <c r="CI133" s="53">
        <f t="shared" si="938"/>
        <v>11.399964463397302</v>
      </c>
      <c r="CJ133" s="53">
        <f t="shared" si="938"/>
        <v>10.169864960909736</v>
      </c>
      <c r="CK133" s="53">
        <f t="shared" ref="CK133:CL133" si="939">(CK115-CK114)/CK132</f>
        <v>18.610341151385924</v>
      </c>
      <c r="CL133" s="53">
        <f t="shared" si="939"/>
        <v>25.222103766879901</v>
      </c>
      <c r="CM133" s="54">
        <f t="shared" si="938"/>
        <v>28.7705984079602</v>
      </c>
      <c r="CN133" s="54">
        <f t="shared" si="938"/>
        <v>27.263720607279943</v>
      </c>
      <c r="CO133" s="54">
        <f t="shared" si="938"/>
        <v>27.743174704874054</v>
      </c>
      <c r="CP133" s="54">
        <f t="shared" si="938"/>
        <v>29.024268627395035</v>
      </c>
      <c r="CQ133" s="54">
        <f t="shared" si="938"/>
        <v>30.6137473860257</v>
      </c>
      <c r="CR133" s="54">
        <f t="shared" si="938"/>
        <v>31.634100959327469</v>
      </c>
      <c r="CS133" s="54">
        <f t="shared" si="938"/>
        <v>35.909223268265016</v>
      </c>
      <c r="CT133" s="54">
        <f t="shared" si="938"/>
        <v>38.350407841418239</v>
      </c>
      <c r="CU133" s="54">
        <f t="shared" ref="CU133:DB133" si="940">(CU115-CU114)/CU132</f>
        <v>35.80796940552392</v>
      </c>
      <c r="CV133" s="54">
        <f t="shared" si="940"/>
        <v>33.906615554469802</v>
      </c>
      <c r="CW133" s="54">
        <f t="shared" si="940"/>
        <v>38.567416038763483</v>
      </c>
      <c r="CX133" s="54">
        <f t="shared" si="940"/>
        <v>40.833383516933587</v>
      </c>
      <c r="CY133" s="54">
        <f t="shared" si="940"/>
        <v>43.07734750462842</v>
      </c>
      <c r="CZ133" s="54">
        <f t="shared" si="940"/>
        <v>41.090548149039783</v>
      </c>
      <c r="DA133" s="54">
        <f t="shared" si="940"/>
        <v>46.113216537428912</v>
      </c>
      <c r="DB133" s="54">
        <f t="shared" si="940"/>
        <v>48.800390941748972</v>
      </c>
      <c r="DE133" s="132"/>
      <c r="DF133" s="53">
        <v>25.762793176972277</v>
      </c>
    </row>
    <row r="134" spans="1:110" s="3" customFormat="1" x14ac:dyDescent="0.2">
      <c r="A134" s="3" t="s">
        <v>31</v>
      </c>
      <c r="B134" s="3">
        <f>'Annual Raw'!C110</f>
        <v>0</v>
      </c>
      <c r="C134" s="3">
        <f>'Annual Raw'!D110</f>
        <v>0</v>
      </c>
      <c r="D134" s="3">
        <f>'Annual Raw'!E110</f>
        <v>0</v>
      </c>
      <c r="E134" s="3">
        <f>'Annual Raw'!F110</f>
        <v>0</v>
      </c>
      <c r="F134" s="3">
        <f>'Annual Raw'!G110</f>
        <v>0</v>
      </c>
      <c r="G134" s="3">
        <f>'Annual Raw'!H110</f>
        <v>0</v>
      </c>
      <c r="H134" s="3">
        <f>'Annual Raw'!I110</f>
        <v>0</v>
      </c>
      <c r="I134" s="3">
        <f>'Annual Raw'!J110</f>
        <v>0</v>
      </c>
      <c r="J134" s="3">
        <f>'Annual Raw'!K110</f>
        <v>0</v>
      </c>
      <c r="K134" s="3">
        <f>'Annual Raw'!L110</f>
        <v>0</v>
      </c>
      <c r="L134" s="3">
        <f>'Annual Raw'!M110</f>
        <v>0</v>
      </c>
      <c r="M134" s="3">
        <f>'Annual Raw'!N110</f>
        <v>0</v>
      </c>
      <c r="N134" s="3">
        <f>'Annual Raw'!O110</f>
        <v>0</v>
      </c>
      <c r="O134" s="3">
        <f>'Annual Raw'!P110</f>
        <v>0</v>
      </c>
      <c r="P134" s="3">
        <f>'Annual Raw'!Q110</f>
        <v>0</v>
      </c>
      <c r="Q134" s="3">
        <f>'Annual Raw'!R110</f>
        <v>0</v>
      </c>
      <c r="R134" s="3">
        <f>'Annual Raw'!S110</f>
        <v>0</v>
      </c>
      <c r="S134" s="3">
        <f>'Annual Raw'!T110</f>
        <v>0</v>
      </c>
      <c r="T134" s="3">
        <f>'Annual Raw'!U110</f>
        <v>0</v>
      </c>
      <c r="U134" s="3">
        <f>'Annual Raw'!V110</f>
        <v>0</v>
      </c>
      <c r="V134" s="3">
        <f>'Annual Raw'!W110</f>
        <v>0</v>
      </c>
      <c r="W134" s="3">
        <f>'Annual Raw'!X110</f>
        <v>0.5</v>
      </c>
      <c r="X134" s="3">
        <f>'Annual Raw'!Y110</f>
        <v>0</v>
      </c>
      <c r="Y134" s="3">
        <f>'Annual Raw'!Z110</f>
        <v>1</v>
      </c>
      <c r="Z134" s="3">
        <f>'Annual Raw'!AA110</f>
        <v>1</v>
      </c>
      <c r="AA134" s="3">
        <f>'Annual Raw'!AB110</f>
        <v>1</v>
      </c>
      <c r="AB134" s="37"/>
      <c r="AC134" s="37"/>
      <c r="AD134" s="37"/>
      <c r="AE134" s="37"/>
      <c r="CM134" s="37"/>
      <c r="CN134" s="37"/>
      <c r="CO134" s="37"/>
      <c r="CP134" s="37"/>
      <c r="CQ134" s="37"/>
      <c r="CR134" s="37"/>
      <c r="CS134" s="37"/>
      <c r="CT134" s="37"/>
      <c r="CU134" s="37"/>
      <c r="CV134" s="37"/>
      <c r="CW134" s="37"/>
      <c r="CX134" s="37"/>
      <c r="CY134" s="37"/>
      <c r="CZ134" s="37"/>
      <c r="DA134" s="37"/>
      <c r="DB134" s="37"/>
      <c r="DE134" s="134"/>
      <c r="DF134" s="3">
        <v>1</v>
      </c>
    </row>
    <row r="135" spans="1:110" s="3" customFormat="1" x14ac:dyDescent="0.2">
      <c r="A135" s="3" t="s">
        <v>32</v>
      </c>
      <c r="B135" s="3">
        <f>B134/B133</f>
        <v>0</v>
      </c>
      <c r="C135" s="3">
        <f t="shared" ref="C135:U135" si="941">C134/C133</f>
        <v>0</v>
      </c>
      <c r="D135" s="3">
        <f t="shared" si="941"/>
        <v>0</v>
      </c>
      <c r="E135" s="3">
        <f t="shared" ca="1" si="941"/>
        <v>0</v>
      </c>
      <c r="F135" s="3">
        <f t="shared" ca="1" si="941"/>
        <v>0</v>
      </c>
      <c r="G135" s="3">
        <f t="shared" ca="1" si="941"/>
        <v>0</v>
      </c>
      <c r="H135" s="3">
        <f t="shared" ca="1" si="941"/>
        <v>0</v>
      </c>
      <c r="I135" s="3">
        <f t="shared" ca="1" si="941"/>
        <v>0</v>
      </c>
      <c r="J135" s="3">
        <f t="shared" ca="1" si="941"/>
        <v>0</v>
      </c>
      <c r="K135" s="3">
        <f t="shared" ca="1" si="941"/>
        <v>0</v>
      </c>
      <c r="L135" s="3">
        <f t="shared" ca="1" si="941"/>
        <v>0</v>
      </c>
      <c r="M135" s="3">
        <f t="shared" ca="1" si="941"/>
        <v>0</v>
      </c>
      <c r="N135" s="3">
        <f t="shared" ca="1" si="941"/>
        <v>0</v>
      </c>
      <c r="O135" s="3">
        <f t="shared" ca="1" si="941"/>
        <v>0</v>
      </c>
      <c r="P135" s="3">
        <f t="shared" ca="1" si="941"/>
        <v>0</v>
      </c>
      <c r="Q135" s="3">
        <f t="shared" ca="1" si="941"/>
        <v>0</v>
      </c>
      <c r="R135" s="3">
        <f t="shared" ca="1" si="941"/>
        <v>0</v>
      </c>
      <c r="S135" s="3">
        <f t="shared" ca="1" si="941"/>
        <v>0</v>
      </c>
      <c r="T135" s="3">
        <f t="shared" ca="1" si="941"/>
        <v>0</v>
      </c>
      <c r="U135" s="3">
        <f t="shared" ca="1" si="941"/>
        <v>0</v>
      </c>
      <c r="V135" s="3">
        <f ca="1">V134/V133</f>
        <v>0</v>
      </c>
      <c r="W135" s="3">
        <f t="shared" ref="W135" ca="1" si="942">W134/W133</f>
        <v>0.189201909500437</v>
      </c>
      <c r="X135" s="3">
        <f t="shared" ref="X135:Y135" ca="1" si="943">X134/X133</f>
        <v>0</v>
      </c>
      <c r="Y135" s="3">
        <f t="shared" ca="1" si="943"/>
        <v>4.5280104269749745E-2</v>
      </c>
      <c r="Z135" s="3">
        <f t="shared" ref="Z135:AA135" ca="1" si="944">Z134/Z133</f>
        <v>3.8815666963232714E-2</v>
      </c>
      <c r="AA135" s="3">
        <f t="shared" ca="1" si="944"/>
        <v>3.8815666963232714E-2</v>
      </c>
      <c r="AB135" s="37">
        <f t="shared" ref="AB135:AD135" ca="1" si="945">AB134/AB133</f>
        <v>0</v>
      </c>
      <c r="AC135" s="37">
        <f t="shared" ca="1" si="945"/>
        <v>0</v>
      </c>
      <c r="AD135" s="37">
        <f t="shared" ca="1" si="945"/>
        <v>0</v>
      </c>
      <c r="AE135" s="37">
        <f t="shared" ref="AE135" ca="1" si="946">AE134/AE133</f>
        <v>0</v>
      </c>
      <c r="CM135" s="37"/>
      <c r="CN135" s="37"/>
      <c r="CO135" s="37"/>
      <c r="CP135" s="37"/>
      <c r="CQ135" s="37"/>
      <c r="CR135" s="37"/>
      <c r="CS135" s="37"/>
      <c r="CT135" s="37"/>
      <c r="CU135" s="37"/>
      <c r="CV135" s="37"/>
      <c r="CW135" s="37"/>
      <c r="CX135" s="37"/>
      <c r="CY135" s="37"/>
      <c r="CZ135" s="37"/>
      <c r="DA135" s="37"/>
      <c r="DB135" s="37"/>
      <c r="DE135" s="134"/>
      <c r="DF135" s="3">
        <v>3.8815666963232714E-2</v>
      </c>
    </row>
    <row r="136" spans="1:110" s="3" customFormat="1" x14ac:dyDescent="0.2">
      <c r="A136" s="3" t="s">
        <v>33</v>
      </c>
      <c r="B136" s="3">
        <f>+B133</f>
        <v>-44.480972795433701</v>
      </c>
      <c r="C136" s="3">
        <f t="shared" ref="C136:U136" si="947">+C133</f>
        <v>-53.083963267992353</v>
      </c>
      <c r="D136" s="3">
        <f t="shared" si="947"/>
        <v>-19.936955278227124</v>
      </c>
      <c r="E136" s="3">
        <f t="shared" ca="1" si="947"/>
        <v>-0.26441542288557168</v>
      </c>
      <c r="F136" s="3">
        <f t="shared" ca="1" si="947"/>
        <v>9.8974769012082811E-2</v>
      </c>
      <c r="G136" s="3">
        <f t="shared" ca="1" si="947"/>
        <v>-0.35569474058279982</v>
      </c>
      <c r="H136" s="3">
        <f t="shared" ca="1" si="947"/>
        <v>-0.54470682302771922</v>
      </c>
      <c r="I136" s="3">
        <f t="shared" ca="1" si="947"/>
        <v>-0.10866915422885622</v>
      </c>
      <c r="J136" s="3">
        <f t="shared" ca="1" si="947"/>
        <v>0.50488450604122292</v>
      </c>
      <c r="K136" s="3">
        <f t="shared" ca="1" si="947"/>
        <v>0.31785181236673915</v>
      </c>
      <c r="L136" s="3">
        <f t="shared" ca="1" si="947"/>
        <v>0.33057569296375305</v>
      </c>
      <c r="M136" s="3">
        <f t="shared" ca="1" si="947"/>
        <v>6.6316631130063031E-2</v>
      </c>
      <c r="N136" s="3">
        <f t="shared" ca="1" si="947"/>
        <v>3.4035181236674782E-2</v>
      </c>
      <c r="O136" s="3">
        <f t="shared" ca="1" si="947"/>
        <v>-0.75418798862828629</v>
      </c>
      <c r="P136" s="3">
        <f t="shared" ca="1" si="947"/>
        <v>-0.36990760483297697</v>
      </c>
      <c r="Q136" s="3">
        <f t="shared" ca="1" si="947"/>
        <v>0.12349857853589187</v>
      </c>
      <c r="R136" s="3">
        <f t="shared" ca="1" si="947"/>
        <v>9.9004975124378503E-2</v>
      </c>
      <c r="S136" s="3">
        <f t="shared" ca="1" si="947"/>
        <v>0.30266702203269369</v>
      </c>
      <c r="T136" s="3">
        <f ca="1">+T133</f>
        <v>0.36661869225302018</v>
      </c>
      <c r="U136" s="3">
        <f t="shared" ca="1" si="947"/>
        <v>0.56550106609808148</v>
      </c>
      <c r="V136" s="3">
        <f ca="1">+V133</f>
        <v>2.253020611229934E-3</v>
      </c>
      <c r="W136" s="3">
        <f t="shared" ref="W136" ca="1" si="948">+W133</f>
        <v>2.6426794598436394</v>
      </c>
      <c r="X136" s="3">
        <f t="shared" ref="X136:Y136" ca="1" si="949">+X133</f>
        <v>16.095415778251599</v>
      </c>
      <c r="Y136" s="3">
        <f t="shared" ca="1" si="949"/>
        <v>22.084754797441345</v>
      </c>
      <c r="Z136" s="3">
        <f t="shared" ref="Z136:AA136" ca="1" si="950">+Z133</f>
        <v>25.762793176972277</v>
      </c>
      <c r="AA136" s="3">
        <f t="shared" ca="1" si="950"/>
        <v>25.762793176972277</v>
      </c>
      <c r="AB136" s="37">
        <f t="shared" ref="AB136:AD136" ca="1" si="951">+AB133</f>
        <v>112.80176234750924</v>
      </c>
      <c r="AC136" s="37">
        <f t="shared" ca="1" si="951"/>
        <v>136.50747945503639</v>
      </c>
      <c r="AD136" s="37">
        <f t="shared" ca="1" si="951"/>
        <v>149.11538451569086</v>
      </c>
      <c r="AE136" s="37">
        <f t="shared" ref="AE136" ca="1" si="952">+AE133</f>
        <v>179.08150313284605</v>
      </c>
      <c r="AL136" s="3">
        <f>SUM(AI133:AL133)</f>
        <v>3.4061833688699417E-2</v>
      </c>
      <c r="AM136" s="3">
        <f t="shared" ref="AM136" si="953">SUM(AJ133:AM133)</f>
        <v>-0.21902985074626916</v>
      </c>
      <c r="AN136" s="3">
        <f t="shared" ref="AN136" si="954">SUM(AK133:AN133)</f>
        <v>-0.3871002132196168</v>
      </c>
      <c r="AO136" s="3">
        <f t="shared" ref="AO136" si="955">SUM(AL133:AO133)</f>
        <v>-0.3809523809523816</v>
      </c>
      <c r="AP136" s="3">
        <f t="shared" ref="AP136" si="956">SUM(AM133:AP133)</f>
        <v>-0.75421108742004284</v>
      </c>
      <c r="AQ136" s="3">
        <f t="shared" ref="AQ136" si="957">SUM(AN133:AQ133)</f>
        <v>-0.68061478322672275</v>
      </c>
      <c r="AR136" s="3">
        <f t="shared" ref="AR136" si="958">SUM(AO133:AR133)</f>
        <v>-0.54271499644633858</v>
      </c>
      <c r="AS136" s="3">
        <f t="shared" ref="AS136" si="959">SUM(AP133:AS133)</f>
        <v>-0.5556858564321242</v>
      </c>
      <c r="AT136" s="3">
        <f t="shared" ref="AT136" si="960">SUM(AQ133:AT133)</f>
        <v>-0.36986496090973642</v>
      </c>
      <c r="AU136" s="3">
        <f t="shared" ref="AU136" si="961">SUM(AR133:AU133)</f>
        <v>-0.16895877754086669</v>
      </c>
      <c r="AV136" s="3">
        <f t="shared" ref="AV136" si="962">SUM(AS133:AV133)</f>
        <v>-0.10851101634683744</v>
      </c>
      <c r="AW136" s="3">
        <f t="shared" ref="AW136" si="963">SUM(AT133:AW133)</f>
        <v>1.4054726368159177E-2</v>
      </c>
      <c r="AX136" s="3">
        <f t="shared" ref="AX136" si="964">SUM(AU133:AX133)</f>
        <v>0.12350746268656723</v>
      </c>
      <c r="AY136" s="3">
        <f t="shared" ref="AY136" si="965">SUM(AV133:AY133)</f>
        <v>7.7292110874200348E-2</v>
      </c>
      <c r="AZ136" s="3">
        <f t="shared" ref="AZ136" si="966">SUM(AW133:AZ133)</f>
        <v>7.6421464108031065E-2</v>
      </c>
      <c r="BA136" s="3">
        <f t="shared" ref="BA136" si="967">SUM(AX133:BA133)</f>
        <v>7.9513148542999179E-2</v>
      </c>
      <c r="BB136" s="3">
        <f t="shared" ref="BB136" si="968">SUM(AY133:BB133)</f>
        <v>9.9022743425728227E-2</v>
      </c>
      <c r="BC136" s="3">
        <f t="shared" ref="BC136" si="969">SUM(AZ133:BC133)</f>
        <v>0.1904051172707884</v>
      </c>
      <c r="BD136" s="3">
        <f t="shared" ref="BD136" si="970">SUM(BA133:BD133)</f>
        <v>0.18813077469793885</v>
      </c>
      <c r="BE136" s="3">
        <f t="shared" ref="BE136" si="971">SUM(BB133:BE133)</f>
        <v>0.20845771144278635</v>
      </c>
      <c r="BF136" s="3">
        <f t="shared" ref="BF136" si="972">SUM(BC133:BF133)</f>
        <v>0.30266524520255872</v>
      </c>
      <c r="BG136" s="3">
        <f t="shared" ref="BG136" si="973">SUM(BD133:BG133)</f>
        <v>0.39113361762615517</v>
      </c>
      <c r="BH136" s="3">
        <f t="shared" ref="BH136" si="974">SUM(BE133:BH133)</f>
        <v>0.40035536602700778</v>
      </c>
      <c r="BI136" s="3">
        <f t="shared" ref="BI136" si="975">SUM(BF133:BI133)</f>
        <v>0.40524164889836506</v>
      </c>
      <c r="BJ136" s="3">
        <f t="shared" ref="BJ136" si="976">SUM(BG133:BJ133)</f>
        <v>0.36661336176261583</v>
      </c>
      <c r="BK136" s="3">
        <f t="shared" ref="BK136" si="977">SUM(BH133:BK133)</f>
        <v>0.31735963041933218</v>
      </c>
      <c r="BL136" s="3">
        <f t="shared" ref="BL136" si="978">SUM(BI133:BL133)</f>
        <v>0.30515280739161366</v>
      </c>
      <c r="BM136" s="3">
        <f t="shared" ref="BM136" si="979">SUM(BJ133:BM133)</f>
        <v>0.32709665955934625</v>
      </c>
      <c r="BN136" s="3">
        <f t="shared" ref="BN136" si="980">SUM(BK133:BN133)</f>
        <v>0.56547619047619013</v>
      </c>
      <c r="BO136" s="3">
        <f t="shared" ref="BO136" si="981">SUM(BL133:BO133)</f>
        <v>0.26474769012082411</v>
      </c>
      <c r="BP136" s="3">
        <f t="shared" ref="BP136" si="982">SUM(BM133:BP133)</f>
        <v>0.29326581378820155</v>
      </c>
      <c r="BQ136" s="3">
        <f t="shared" ref="BQ136" si="983">SUM(BN133:BQ133)</f>
        <v>0.28461265103056144</v>
      </c>
      <c r="BR136" s="3">
        <f t="shared" ref="BR136" si="984">SUM(BO133:BR133)</f>
        <v>2.2565742714998616E-3</v>
      </c>
      <c r="BS136" s="3">
        <f t="shared" ref="BS136" si="985">SUM(BP133:BS133)</f>
        <v>0.16671997157071808</v>
      </c>
      <c r="BT136" s="3">
        <f t="shared" ref="BT136" si="986">SUM(BQ133:BT133)</f>
        <v>0.14347903340440674</v>
      </c>
      <c r="BU136" s="3">
        <f t="shared" ref="BU136" si="987">SUM(BR133:BU133)</f>
        <v>0.54546908315565057</v>
      </c>
      <c r="BV136" s="3">
        <f t="shared" ref="BV136" si="988">SUM(BS133:BV133)</f>
        <v>2.6428571428571423</v>
      </c>
      <c r="BW136" s="3">
        <f t="shared" ref="BW136" si="989">SUM(BT133:BW133)</f>
        <v>7.3381307746979365</v>
      </c>
      <c r="BX136" s="3">
        <f t="shared" ref="BX136" si="990">SUM(BU133:BX133)</f>
        <v>9.8681592039800972</v>
      </c>
      <c r="BY136" s="3">
        <f t="shared" ref="BY136" si="991">SUM(BV133:BY133)</f>
        <v>13.507285003553656</v>
      </c>
      <c r="BZ136" s="3">
        <f t="shared" ref="BZ136" si="992">SUM(BW133:BZ133)</f>
        <v>16.095238095238095</v>
      </c>
      <c r="CA136" s="3">
        <f t="shared" ref="CA136" si="993">SUM(BX133:CA133)</f>
        <v>18.568407960199004</v>
      </c>
      <c r="CB136" s="3">
        <f t="shared" ref="CB136" si="994">SUM(BY133:CB133)</f>
        <v>20.141968727789624</v>
      </c>
      <c r="CC136" s="3">
        <f t="shared" ref="CC136" si="995">SUM(BZ133:CC133)</f>
        <v>21.944918265813783</v>
      </c>
      <c r="CD136" s="3">
        <f t="shared" ref="CD136" si="996">SUM(CA133:CD133)</f>
        <v>22.084754797441359</v>
      </c>
      <c r="CE136" s="3">
        <f t="shared" ref="CE136" si="997">SUM(CB133:CE133)</f>
        <v>24.823560767590607</v>
      </c>
      <c r="CF136" s="3">
        <f t="shared" ref="CF136" si="998">SUM(CC133:CF133)</f>
        <v>26.068407960198989</v>
      </c>
      <c r="CG136" s="3">
        <f t="shared" ref="CG136" si="999">SUM(CD133:CG133)</f>
        <v>27.095238095238084</v>
      </c>
      <c r="CH136" s="3">
        <f t="shared" ref="CH136:CL136" si="1000">SUM(CE133:CH133)</f>
        <v>25.762082444918256</v>
      </c>
      <c r="CI136" s="3">
        <f t="shared" si="1000"/>
        <v>27.257995735607679</v>
      </c>
      <c r="CJ136" s="3">
        <f t="shared" si="1000"/>
        <v>32.073916133617629</v>
      </c>
      <c r="CK136" s="3">
        <f t="shared" si="1000"/>
        <v>43.767235252309881</v>
      </c>
      <c r="CL136" s="3">
        <f t="shared" si="1000"/>
        <v>65.402274342572866</v>
      </c>
      <c r="CM136" s="37">
        <f t="shared" ref="CM136" si="1001">SUM(CJ133:CM133)</f>
        <v>82.772908287135749</v>
      </c>
      <c r="CN136" s="37">
        <f t="shared" ref="CN136" si="1002">SUM(CK133:CN133)</f>
        <v>99.86676393350595</v>
      </c>
      <c r="CO136" s="37">
        <f t="shared" ref="CO136" si="1003">SUM(CL133:CO133)</f>
        <v>108.99959748699409</v>
      </c>
      <c r="CP136" s="37">
        <f t="shared" ref="CP136" si="1004">SUM(CM133:CP133)</f>
        <v>112.80176234750923</v>
      </c>
      <c r="CQ136" s="37">
        <f t="shared" ref="CQ136" si="1005">SUM(CN133:CQ133)</f>
        <v>114.64491132557472</v>
      </c>
      <c r="CR136" s="37">
        <f t="shared" ref="CR136" si="1006">SUM(CO133:CR133)</f>
        <v>119.01529167762226</v>
      </c>
      <c r="CS136" s="37">
        <f t="shared" ref="CS136" si="1007">SUM(CP133:CS133)</f>
        <v>127.18134024101323</v>
      </c>
      <c r="CT136" s="37">
        <f t="shared" ref="CT136" si="1008">SUM(CQ133:CT133)</f>
        <v>136.50747945503642</v>
      </c>
      <c r="CU136" s="37">
        <f t="shared" ref="CU136" si="1009">SUM(CR133:CU133)</f>
        <v>141.70170147453464</v>
      </c>
      <c r="CV136" s="37">
        <f t="shared" ref="CV136" si="1010">SUM(CS133:CV133)</f>
        <v>143.97421606967697</v>
      </c>
      <c r="CW136" s="37">
        <f t="shared" ref="CW136" si="1011">SUM(CT133:CW133)</f>
        <v>146.63240884017546</v>
      </c>
      <c r="CX136" s="37">
        <f t="shared" ref="CX136" si="1012">SUM(CU133:CX133)</f>
        <v>149.11538451569078</v>
      </c>
      <c r="CY136" s="37">
        <f t="shared" ref="CY136" si="1013">SUM(CV133:CY133)</f>
        <v>156.38476261479531</v>
      </c>
      <c r="CZ136" s="37">
        <f t="shared" ref="CZ136" si="1014">SUM(CW133:CZ133)</f>
        <v>163.56869520936527</v>
      </c>
      <c r="DA136" s="37">
        <f t="shared" ref="DA136" si="1015">SUM(CX133:DA133)</f>
        <v>171.11449570803072</v>
      </c>
      <c r="DB136" s="37">
        <f t="shared" ref="DB136" si="1016">SUM(CY133:DB133)</f>
        <v>179.08150313284608</v>
      </c>
      <c r="DE136" s="134"/>
      <c r="DF136" s="3">
        <v>25.762793176972277</v>
      </c>
    </row>
    <row r="137" spans="1:110" s="97" customFormat="1" x14ac:dyDescent="0.2">
      <c r="A137" s="97" t="s">
        <v>425</v>
      </c>
      <c r="C137" s="101">
        <f t="shared" ref="C137:AA137" si="1017">+C136/B136-1</f>
        <v>0.19340832567047217</v>
      </c>
      <c r="D137" s="101">
        <f t="shared" si="1017"/>
        <v>-0.62442602151658932</v>
      </c>
      <c r="E137" s="101">
        <f t="shared" ca="1" si="1017"/>
        <v>-0.98673742207897031</v>
      </c>
      <c r="F137" s="101">
        <f t="shared" ca="1" si="1017"/>
        <v>-1.3743154159918844</v>
      </c>
      <c r="G137" s="101">
        <f t="shared" ca="1" si="1017"/>
        <v>-4.5937920758307271</v>
      </c>
      <c r="H137" s="101">
        <f t="shared" ca="1" si="1017"/>
        <v>0.53138846566925979</v>
      </c>
      <c r="I137" s="101">
        <f t="shared" ca="1" si="1017"/>
        <v>-0.80049973740951974</v>
      </c>
      <c r="J137" s="101">
        <f t="shared" ca="1" si="1017"/>
        <v>-5.6460700796284922</v>
      </c>
      <c r="K137" s="101">
        <f t="shared" ca="1" si="1017"/>
        <v>-0.3704464911014973</v>
      </c>
      <c r="L137" s="101">
        <f t="shared" ca="1" si="1017"/>
        <v>4.003085746867785E-2</v>
      </c>
      <c r="M137" s="101">
        <f t="shared" ca="1" si="1017"/>
        <v>-0.79939047987616407</v>
      </c>
      <c r="N137" s="101">
        <f t="shared" ca="1" si="1017"/>
        <v>-0.48677759022584366</v>
      </c>
      <c r="O137" s="101">
        <f t="shared" ca="1" si="1017"/>
        <v>-23.15907073870984</v>
      </c>
      <c r="P137" s="101">
        <f t="shared" ca="1" si="1017"/>
        <v>-0.50952864483328186</v>
      </c>
      <c r="Q137" s="101">
        <f t="shared" ca="1" si="1017"/>
        <v>-1.3338633132229187</v>
      </c>
      <c r="R137" s="101">
        <f t="shared" ca="1" si="1017"/>
        <v>-0.19833105531975737</v>
      </c>
      <c r="S137" s="101">
        <f t="shared" ca="1" si="1017"/>
        <v>2.0570890165111151</v>
      </c>
      <c r="T137" s="101">
        <f t="shared" ca="1" si="1017"/>
        <v>0.21129381652097701</v>
      </c>
      <c r="U137" s="101">
        <f t="shared" ca="1" si="1017"/>
        <v>0.54247745149830928</v>
      </c>
      <c r="V137" s="101">
        <f t="shared" ca="1" si="1017"/>
        <v>-0.99601588618253967</v>
      </c>
      <c r="W137" s="101">
        <f t="shared" ca="1" si="1017"/>
        <v>1171.9495268136891</v>
      </c>
      <c r="X137" s="101">
        <f t="shared" ca="1" si="1017"/>
        <v>5.0905667988973295</v>
      </c>
      <c r="Y137" s="101">
        <f t="shared" ca="1" si="1017"/>
        <v>0.37211458850802992</v>
      </c>
      <c r="Z137" s="101">
        <f t="shared" ca="1" si="1017"/>
        <v>0.1665419613333019</v>
      </c>
      <c r="AA137" s="101">
        <f t="shared" ca="1" si="1017"/>
        <v>0.1665419613333019</v>
      </c>
      <c r="AB137" s="173">
        <f t="shared" ref="AB137" ca="1" si="1018">+AB136/AA136-1</f>
        <v>0.72473761014274296</v>
      </c>
      <c r="AC137" s="173">
        <f t="shared" ref="AC137" ca="1" si="1019">+AC136/AB136-1</f>
        <v>0.21015378318732969</v>
      </c>
      <c r="AD137" s="173">
        <f t="shared" ref="AD137" ca="1" si="1020">+AD136/AC136-1</f>
        <v>9.2360543986216737E-2</v>
      </c>
      <c r="AE137" s="173">
        <f t="shared" ref="AE137" ca="1" si="1021">+AE136/AD136-1</f>
        <v>0.20095926865280611</v>
      </c>
      <c r="AL137" s="175"/>
      <c r="AM137" s="175"/>
      <c r="AN137" s="175"/>
      <c r="AO137" s="175"/>
      <c r="AP137" s="175">
        <f t="shared" ref="AP137:CL137" si="1022">+IF(AL136&lt;0,1-AP136/AL136,AP136/AL136-1)</f>
        <v>-23.142410015649421</v>
      </c>
      <c r="AQ137" s="175">
        <f t="shared" si="1022"/>
        <v>-2.1074065060436333</v>
      </c>
      <c r="AR137" s="175">
        <f t="shared" si="1022"/>
        <v>-0.40200128522904111</v>
      </c>
      <c r="AS137" s="175">
        <f t="shared" si="1022"/>
        <v>-0.45867537313432361</v>
      </c>
      <c r="AT137" s="175">
        <f t="shared" si="1022"/>
        <v>0.50960020731736133</v>
      </c>
      <c r="AU137" s="175">
        <f t="shared" si="1022"/>
        <v>0.75175564547709206</v>
      </c>
      <c r="AV137" s="175">
        <f t="shared" si="1022"/>
        <v>0.80005893137768391</v>
      </c>
      <c r="AW137" s="175">
        <f t="shared" si="1022"/>
        <v>1.025292575302168</v>
      </c>
      <c r="AX137" s="175">
        <f t="shared" si="1022"/>
        <v>1.333925826287472</v>
      </c>
      <c r="AY137" s="175">
        <f t="shared" si="1022"/>
        <v>1.4574613524029874</v>
      </c>
      <c r="AZ137" s="175">
        <f t="shared" si="1022"/>
        <v>1.704273784182083</v>
      </c>
      <c r="BA137" s="175">
        <f t="shared" si="1022"/>
        <v>4.6573957016434919</v>
      </c>
      <c r="BB137" s="175">
        <f t="shared" si="1022"/>
        <v>-0.19824485685513138</v>
      </c>
      <c r="BC137" s="175">
        <f t="shared" si="1022"/>
        <v>1.4634482758620648</v>
      </c>
      <c r="BD137" s="175">
        <f t="shared" si="1022"/>
        <v>1.4617530806789181</v>
      </c>
      <c r="BE137" s="175">
        <f t="shared" si="1022"/>
        <v>1.6216759776536387</v>
      </c>
      <c r="BF137" s="175">
        <f t="shared" si="1022"/>
        <v>2.0565225192894405</v>
      </c>
      <c r="BG137" s="175">
        <f t="shared" si="1022"/>
        <v>1.0542179917879873</v>
      </c>
      <c r="BH137" s="175">
        <f t="shared" si="1022"/>
        <v>1.1280695126558369</v>
      </c>
      <c r="BI137" s="175">
        <f t="shared" si="1022"/>
        <v>0.94399931810432625</v>
      </c>
      <c r="BJ137" s="175">
        <f t="shared" si="1022"/>
        <v>0.21128331572149905</v>
      </c>
      <c r="BK137" s="175">
        <f t="shared" si="1022"/>
        <v>-0.18861581792577087</v>
      </c>
      <c r="BL137" s="175">
        <f t="shared" si="1022"/>
        <v>-0.23779513580685163</v>
      </c>
      <c r="BM137" s="175">
        <f t="shared" si="1022"/>
        <v>-0.19283553295040912</v>
      </c>
      <c r="BN137" s="175">
        <f t="shared" si="1022"/>
        <v>0.54243202636552867</v>
      </c>
      <c r="BO137" s="175">
        <f t="shared" si="1022"/>
        <v>-0.16578019147864242</v>
      </c>
      <c r="BP137" s="175">
        <f t="shared" si="1022"/>
        <v>-3.8954233143125294E-2</v>
      </c>
      <c r="BQ137" s="175">
        <f t="shared" si="1022"/>
        <v>-0.12988212287468126</v>
      </c>
      <c r="BR137" s="175">
        <f t="shared" si="1022"/>
        <v>-0.99600942655145286</v>
      </c>
      <c r="BS137" s="175">
        <f t="shared" si="1022"/>
        <v>-0.37026845637583716</v>
      </c>
      <c r="BT137" s="175">
        <f t="shared" si="1022"/>
        <v>-0.51075431687367345</v>
      </c>
      <c r="BU137" s="175">
        <f t="shared" si="1022"/>
        <v>0.91653140217255702</v>
      </c>
      <c r="BV137" s="175">
        <f t="shared" si="1022"/>
        <v>1170.1811023620919</v>
      </c>
      <c r="BW137" s="175">
        <f t="shared" si="1022"/>
        <v>43.014707449642891</v>
      </c>
      <c r="BX137" s="175">
        <f t="shared" si="1022"/>
        <v>67.777708978328064</v>
      </c>
      <c r="BY137" s="175">
        <f t="shared" si="1022"/>
        <v>23.762695853285106</v>
      </c>
      <c r="BZ137" s="175">
        <f t="shared" si="1022"/>
        <v>5.0900900900900909</v>
      </c>
      <c r="CA137" s="175">
        <f t="shared" si="1022"/>
        <v>1.5304002518220785</v>
      </c>
      <c r="CB137" s="175">
        <f t="shared" si="1022"/>
        <v>1.0411069898087804</v>
      </c>
      <c r="CC137" s="175">
        <f t="shared" si="1022"/>
        <v>0.62467277917362773</v>
      </c>
      <c r="CD137" s="175">
        <f t="shared" si="1022"/>
        <v>0.37212973593570586</v>
      </c>
      <c r="CE137" s="175">
        <f t="shared" si="1022"/>
        <v>0.33687071184559247</v>
      </c>
      <c r="CF137" s="175">
        <f t="shared" si="1022"/>
        <v>0.29423336479679518</v>
      </c>
      <c r="CG137" s="175">
        <f t="shared" si="1022"/>
        <v>0.23469305134973184</v>
      </c>
      <c r="CH137" s="175">
        <f t="shared" si="1022"/>
        <v>0.16650977931178734</v>
      </c>
      <c r="CI137" s="175">
        <f t="shared" si="1022"/>
        <v>9.8069531233224483E-2</v>
      </c>
      <c r="CJ137" s="175">
        <f t="shared" si="1022"/>
        <v>0.23037494973179018</v>
      </c>
      <c r="CK137" s="175">
        <f t="shared" si="1022"/>
        <v>0.61531096713270284</v>
      </c>
      <c r="CL137" s="175">
        <f t="shared" si="1022"/>
        <v>1.5387029360848081</v>
      </c>
      <c r="CM137" s="102">
        <f t="shared" ref="CM137:DB137" si="1023">+IF(CI136&lt;0,1-CM136/CI136,CM136/CI136-1)</f>
        <v>2.0366469013350019</v>
      </c>
      <c r="CN137" s="102">
        <f t="shared" si="1023"/>
        <v>2.1136442309529087</v>
      </c>
      <c r="CO137" s="102">
        <f t="shared" si="1023"/>
        <v>1.4904382664025246</v>
      </c>
      <c r="CP137" s="102">
        <f t="shared" si="1023"/>
        <v>0.72473761014274385</v>
      </c>
      <c r="CQ137" s="102">
        <f t="shared" si="1023"/>
        <v>0.38505356037359872</v>
      </c>
      <c r="CR137" s="102">
        <f t="shared" si="1023"/>
        <v>0.19174074526802465</v>
      </c>
      <c r="CS137" s="102">
        <f t="shared" si="1023"/>
        <v>0.16680559537101591</v>
      </c>
      <c r="CT137" s="102">
        <f t="shared" si="1023"/>
        <v>0.21015378318733013</v>
      </c>
      <c r="CU137" s="102">
        <f t="shared" si="1023"/>
        <v>0.23600515571181879</v>
      </c>
      <c r="CV137" s="102">
        <f t="shared" si="1023"/>
        <v>0.20971191214370299</v>
      </c>
      <c r="CW137" s="102">
        <f t="shared" si="1023"/>
        <v>0.15293964163533547</v>
      </c>
      <c r="CX137" s="102">
        <f t="shared" si="1023"/>
        <v>9.2360543986215848E-2</v>
      </c>
      <c r="CY137" s="102">
        <f t="shared" si="1023"/>
        <v>0.10361951188637897</v>
      </c>
      <c r="CZ137" s="102">
        <f t="shared" si="1023"/>
        <v>0.13609714068667311</v>
      </c>
      <c r="DA137" s="102">
        <f t="shared" si="1023"/>
        <v>0.16696231795891681</v>
      </c>
      <c r="DB137" s="102">
        <f t="shared" si="1023"/>
        <v>0.20095926865280678</v>
      </c>
      <c r="DE137" s="135"/>
      <c r="DF137" s="175">
        <v>0.1665419613333019</v>
      </c>
    </row>
    <row r="138" spans="1:110" s="144" customFormat="1" x14ac:dyDescent="0.2">
      <c r="A138" s="144" t="s">
        <v>424</v>
      </c>
      <c r="AB138" s="145"/>
      <c r="AC138" s="145"/>
      <c r="AD138" s="145"/>
      <c r="AE138" s="145"/>
      <c r="CM138" s="145"/>
      <c r="CN138" s="145"/>
      <c r="CO138" s="145"/>
      <c r="CP138" s="145">
        <v>120.2</v>
      </c>
      <c r="CQ138" s="145"/>
      <c r="CR138" s="145"/>
      <c r="CS138" s="145"/>
      <c r="CT138" s="145">
        <v>140.6</v>
      </c>
      <c r="CU138" s="145"/>
      <c r="CV138" s="145"/>
      <c r="CW138" s="145"/>
      <c r="CX138" s="145"/>
      <c r="CY138" s="145"/>
      <c r="CZ138" s="145"/>
      <c r="DA138" s="145"/>
      <c r="DB138" s="145"/>
      <c r="DE138" s="146"/>
    </row>
    <row r="139" spans="1:110" s="144" customFormat="1" x14ac:dyDescent="0.2">
      <c r="A139" s="144" t="s">
        <v>436</v>
      </c>
      <c r="AB139" s="145"/>
      <c r="AC139" s="145"/>
      <c r="AD139" s="145"/>
      <c r="AE139" s="145"/>
      <c r="CM139" s="145"/>
      <c r="CN139" s="145"/>
      <c r="CO139" s="145"/>
      <c r="CP139" s="145">
        <f>+CP138/CP136-1</f>
        <v>6.5586188535769363E-2</v>
      </c>
      <c r="CQ139" s="145"/>
      <c r="CR139" s="145"/>
      <c r="CS139" s="145"/>
      <c r="CT139" s="145">
        <f>+CT138/CT136-1</f>
        <v>2.9980192743296552E-2</v>
      </c>
      <c r="CU139" s="145"/>
      <c r="CV139" s="145"/>
      <c r="CW139" s="145"/>
      <c r="CX139" s="145"/>
      <c r="CY139" s="145"/>
      <c r="CZ139" s="145"/>
      <c r="DA139" s="145"/>
      <c r="DB139" s="145"/>
      <c r="DE139" s="146"/>
    </row>
    <row r="140" spans="1:110" s="3" customFormat="1" x14ac:dyDescent="0.2">
      <c r="A140" s="3" t="s">
        <v>34</v>
      </c>
      <c r="B140" s="3">
        <f>'Annual Raw'!C112</f>
        <v>32.99</v>
      </c>
      <c r="C140" s="3">
        <f>'Annual Raw'!D112</f>
        <v>32.99</v>
      </c>
      <c r="D140" s="3">
        <f>'Annual Raw'!E112</f>
        <v>32.99</v>
      </c>
      <c r="E140" s="3">
        <f>'Annual Raw'!F112</f>
        <v>32.99</v>
      </c>
      <c r="F140" s="3">
        <f>'Annual Raw'!G112</f>
        <v>0</v>
      </c>
      <c r="G140" s="3">
        <f>'Annual Raw'!H112</f>
        <v>32.4</v>
      </c>
      <c r="H140" s="3">
        <f>'Annual Raw'!I112</f>
        <v>47.67</v>
      </c>
      <c r="I140" s="3">
        <f>'Annual Raw'!J112</f>
        <v>45.53</v>
      </c>
      <c r="J140" s="3">
        <f>'Annual Raw'!K112</f>
        <v>47.78</v>
      </c>
      <c r="K140" s="3">
        <f>'Annual Raw'!L112</f>
        <v>47.78</v>
      </c>
      <c r="L140" s="3">
        <f>'Annual Raw'!M112</f>
        <v>47.78</v>
      </c>
      <c r="M140" s="3">
        <f>'Annual Raw'!N112</f>
        <v>47.78</v>
      </c>
      <c r="N140" s="3">
        <f>'Annual Raw'!O112</f>
        <v>51.15</v>
      </c>
      <c r="O140" s="3">
        <f>'Annual Raw'!P112</f>
        <v>53.09</v>
      </c>
      <c r="P140" s="3">
        <f>'Annual Raw'!Q112</f>
        <v>53.09</v>
      </c>
      <c r="Q140" s="3">
        <f>'Annual Raw'!R112</f>
        <v>57.87</v>
      </c>
      <c r="R140" s="3">
        <f>'Annual Raw'!S112</f>
        <v>62.84</v>
      </c>
      <c r="S140" s="3">
        <f>'Annual Raw'!T112</f>
        <v>63.14</v>
      </c>
      <c r="T140" s="3">
        <f>'Annual Raw'!U112</f>
        <v>63.76</v>
      </c>
      <c r="U140" s="3">
        <f>'Annual Raw'!V112</f>
        <v>63.02</v>
      </c>
      <c r="V140" s="3">
        <f>'Annual Raw'!W112</f>
        <v>65.900000000000006</v>
      </c>
      <c r="W140" s="3">
        <f>'Annual Raw'!X112</f>
        <v>69.41</v>
      </c>
      <c r="X140" s="3">
        <f>'Annual Raw'!Y112</f>
        <v>65.75</v>
      </c>
      <c r="Y140" s="3">
        <f>'Annual Raw'!Z112</f>
        <v>65.69</v>
      </c>
      <c r="Z140" s="3">
        <f>'Annual Raw'!AA112</f>
        <v>63.44</v>
      </c>
      <c r="AA140" s="3">
        <f>'Annual Raw'!AB112</f>
        <v>61.64</v>
      </c>
      <c r="AB140" s="37"/>
      <c r="AC140" s="37"/>
      <c r="AD140" s="37"/>
      <c r="AE140" s="37"/>
      <c r="AI140" s="3">
        <f>'QTR Raw'!C49</f>
        <v>47.78</v>
      </c>
      <c r="AJ140" s="3">
        <f>'QTR Raw'!D49</f>
        <v>51.15</v>
      </c>
      <c r="AK140" s="3">
        <f>'QTR Raw'!E49</f>
        <v>51.15</v>
      </c>
      <c r="AL140" s="3">
        <f>'QTR Raw'!F49</f>
        <v>51.15</v>
      </c>
      <c r="AM140" s="3">
        <f>'QTR Raw'!G49</f>
        <v>52.15</v>
      </c>
      <c r="AN140" s="3">
        <f>'QTR Raw'!H49</f>
        <v>52.38</v>
      </c>
      <c r="AO140" s="3">
        <f>'QTR Raw'!I49</f>
        <v>52.38</v>
      </c>
      <c r="AP140" s="3">
        <f>'QTR Raw'!J49</f>
        <v>53.09</v>
      </c>
      <c r="AQ140" s="3">
        <f>'QTR Raw'!K49</f>
        <v>53.09</v>
      </c>
      <c r="AR140" s="3">
        <f>'QTR Raw'!L49</f>
        <v>53.09</v>
      </c>
      <c r="AS140" s="3">
        <f>'QTR Raw'!M49</f>
        <v>53.09</v>
      </c>
      <c r="AT140" s="3">
        <f>'QTR Raw'!N49</f>
        <v>53.09</v>
      </c>
      <c r="AU140" s="3">
        <f>'QTR Raw'!O49</f>
        <v>53.09</v>
      </c>
      <c r="AV140" s="3">
        <f>'QTR Raw'!P49</f>
        <v>53.09</v>
      </c>
      <c r="AW140" s="3">
        <f>'QTR Raw'!Q49</f>
        <v>53.09</v>
      </c>
      <c r="AX140" s="3">
        <f>'QTR Raw'!R49</f>
        <v>57.87</v>
      </c>
      <c r="AY140" s="3">
        <f>'QTR Raw'!S49</f>
        <v>58.32</v>
      </c>
      <c r="AZ140" s="3">
        <f>'QTR Raw'!T49</f>
        <v>59.67</v>
      </c>
      <c r="BA140" s="3">
        <f>'QTR Raw'!U49</f>
        <v>62.84</v>
      </c>
      <c r="BB140" s="3">
        <f>'QTR Raw'!V49</f>
        <v>62.84</v>
      </c>
      <c r="BC140" s="3">
        <f>'QTR Raw'!W49</f>
        <v>62.99</v>
      </c>
      <c r="BD140" s="3">
        <f>'QTR Raw'!X49</f>
        <v>62.99</v>
      </c>
      <c r="BE140" s="3">
        <f>'QTR Raw'!Y49</f>
        <v>62.99</v>
      </c>
      <c r="BF140" s="3">
        <f>'QTR Raw'!Z49</f>
        <v>63.14</v>
      </c>
      <c r="BG140" s="3">
        <f>'QTR Raw'!AA49</f>
        <v>63.31</v>
      </c>
      <c r="BH140" s="3">
        <f>'QTR Raw'!AB49</f>
        <v>63.4</v>
      </c>
      <c r="BI140" s="3">
        <f>'QTR Raw'!AC49</f>
        <v>59.26</v>
      </c>
      <c r="BJ140" s="3">
        <f>'QTR Raw'!AD49</f>
        <v>63.76</v>
      </c>
      <c r="BK140" s="3">
        <f>'QTR Raw'!AE49</f>
        <v>63.76</v>
      </c>
      <c r="BL140" s="3">
        <f>'QTR Raw'!AF49</f>
        <v>63.02</v>
      </c>
      <c r="BM140" s="3">
        <f>'QTR Raw'!AG49</f>
        <v>63.02</v>
      </c>
      <c r="BN140" s="3">
        <f>'QTR Raw'!AH49</f>
        <v>63.02</v>
      </c>
      <c r="BO140" s="3">
        <f>'QTR Raw'!AI49</f>
        <v>63.02</v>
      </c>
      <c r="BP140" s="3">
        <f>'QTR Raw'!AJ49</f>
        <v>65.900000000000006</v>
      </c>
      <c r="BQ140" s="3">
        <f>'QTR Raw'!AK49</f>
        <v>65.900000000000006</v>
      </c>
      <c r="BR140" s="3">
        <f>'QTR Raw'!AL49</f>
        <v>65.900000000000006</v>
      </c>
      <c r="BS140" s="3">
        <f>'QTR Raw'!AM49</f>
        <v>45.04</v>
      </c>
      <c r="BT140" s="3">
        <f>'QTR Raw'!AN49</f>
        <v>69.41</v>
      </c>
      <c r="BU140" s="3">
        <f>'QTR Raw'!AO49</f>
        <v>69.41</v>
      </c>
      <c r="BV140" s="3">
        <f>'QTR Raw'!AP49</f>
        <v>69.41</v>
      </c>
      <c r="BW140" s="3">
        <f>'QTR Raw'!AQ49</f>
        <v>74.63</v>
      </c>
      <c r="BX140" s="3">
        <f>'QTR Raw'!AR49</f>
        <v>74.63</v>
      </c>
      <c r="BY140" s="3">
        <f>'QTR Raw'!AS49</f>
        <v>74.62</v>
      </c>
      <c r="BZ140" s="3">
        <f>'QTR Raw'!AT49</f>
        <v>65.75</v>
      </c>
      <c r="CA140" s="3">
        <f>'QTR Raw'!AU49</f>
        <v>65.75</v>
      </c>
      <c r="CB140" s="3">
        <f>'QTR Raw'!AV49</f>
        <v>65.75</v>
      </c>
      <c r="CC140" s="3">
        <f>'QTR Raw'!AW49</f>
        <v>65.7</v>
      </c>
      <c r="CD140" s="3">
        <f>'QTR Raw'!AX49</f>
        <v>65.69</v>
      </c>
      <c r="CE140" s="3">
        <f>'QTR Raw'!AY49</f>
        <v>65.69</v>
      </c>
      <c r="CF140" s="3">
        <f>'QTR Raw'!AZ49</f>
        <v>63.49</v>
      </c>
      <c r="CG140" s="3">
        <f>'QTR Raw'!BA49</f>
        <v>63.49</v>
      </c>
      <c r="CH140" s="3">
        <f>'QTR Raw'!BB49</f>
        <v>63.44</v>
      </c>
      <c r="CI140" s="3">
        <f>'QTR Raw'!BC49</f>
        <v>63.44</v>
      </c>
      <c r="CJ140" s="3">
        <f>'QTR Raw'!BD49</f>
        <v>63.05</v>
      </c>
      <c r="CK140" s="3">
        <f>'QTR Raw'!BE49</f>
        <v>63.73</v>
      </c>
      <c r="CL140" s="3">
        <f>'QTR Raw'!BF49</f>
        <v>61.64</v>
      </c>
      <c r="CM140" s="37"/>
      <c r="CN140" s="37"/>
      <c r="CO140" s="37"/>
      <c r="CP140" s="37"/>
      <c r="CQ140" s="37"/>
      <c r="CR140" s="37"/>
      <c r="CS140" s="37"/>
      <c r="CT140" s="37"/>
      <c r="CU140" s="37"/>
      <c r="CV140" s="37"/>
      <c r="CW140" s="37"/>
      <c r="CX140" s="37"/>
      <c r="CY140" s="37"/>
      <c r="CZ140" s="37"/>
      <c r="DA140" s="37"/>
      <c r="DB140" s="37"/>
      <c r="DE140" s="134"/>
      <c r="DF140" s="3">
        <v>61.64</v>
      </c>
    </row>
    <row r="141" spans="1:110" s="3" customFormat="1" x14ac:dyDescent="0.2">
      <c r="A141" s="3" t="s">
        <v>35</v>
      </c>
      <c r="B141" s="3">
        <f>'Annual Raw'!C113</f>
        <v>0</v>
      </c>
      <c r="C141" s="3">
        <f>'Annual Raw'!D113</f>
        <v>0</v>
      </c>
      <c r="D141" s="3">
        <f>'Annual Raw'!E113</f>
        <v>0</v>
      </c>
      <c r="E141" s="3">
        <f>'Annual Raw'!F113</f>
        <v>0</v>
      </c>
      <c r="F141" s="3">
        <f>'Annual Raw'!G113</f>
        <v>0</v>
      </c>
      <c r="G141" s="3">
        <f>'Annual Raw'!H113</f>
        <v>0</v>
      </c>
      <c r="H141" s="3">
        <f>'Annual Raw'!I113</f>
        <v>0</v>
      </c>
      <c r="I141" s="3">
        <f>'Annual Raw'!J113</f>
        <v>0</v>
      </c>
      <c r="J141" s="3">
        <f>'Annual Raw'!K113</f>
        <v>60.48</v>
      </c>
      <c r="K141" s="3">
        <f>'Annual Raw'!L113</f>
        <v>53.51</v>
      </c>
      <c r="L141" s="3">
        <f>'Annual Raw'!M113</f>
        <v>64.19</v>
      </c>
      <c r="M141" s="3">
        <f>'Annual Raw'!N113</f>
        <v>64.19</v>
      </c>
      <c r="N141" s="3">
        <f>'Annual Raw'!O113</f>
        <v>35.97</v>
      </c>
      <c r="O141" s="3">
        <f>'Annual Raw'!P113</f>
        <v>34.65</v>
      </c>
      <c r="P141" s="3">
        <f>'Annual Raw'!Q113</f>
        <v>9.6199999999999992</v>
      </c>
      <c r="Q141" s="3">
        <f>'Annual Raw'!R113</f>
        <v>34.07</v>
      </c>
      <c r="R141" s="3">
        <f>'Annual Raw'!S113</f>
        <v>20.66</v>
      </c>
      <c r="S141" s="3">
        <f>'Annual Raw'!T113</f>
        <v>20.56</v>
      </c>
      <c r="T141" s="3">
        <f>'Annual Raw'!U113</f>
        <v>0</v>
      </c>
      <c r="U141" s="3">
        <f>'Annual Raw'!V113</f>
        <v>0</v>
      </c>
      <c r="V141" s="3">
        <f>'Annual Raw'!W113</f>
        <v>0</v>
      </c>
      <c r="W141" s="3">
        <f>'Annual Raw'!X113</f>
        <v>0</v>
      </c>
      <c r="X141" s="3">
        <f>'Annual Raw'!Y113</f>
        <v>11.89</v>
      </c>
      <c r="Y141" s="3">
        <f>'Annual Raw'!Z113</f>
        <v>24.23</v>
      </c>
      <c r="Z141" s="3">
        <f>'Annual Raw'!AA113</f>
        <v>16.809999999999999</v>
      </c>
      <c r="AA141" s="3">
        <f>'Annual Raw'!AB113</f>
        <v>5.17</v>
      </c>
      <c r="AB141" s="37"/>
      <c r="AC141" s="37"/>
      <c r="AD141" s="37"/>
      <c r="AE141" s="37"/>
      <c r="AI141" s="3">
        <f>'QTR Raw'!C50</f>
        <v>38.5</v>
      </c>
      <c r="AJ141" s="3">
        <f>'QTR Raw'!D50</f>
        <v>35.97</v>
      </c>
      <c r="AK141" s="3">
        <f>'QTR Raw'!E50</f>
        <v>35.97</v>
      </c>
      <c r="AL141" s="3">
        <f>'QTR Raw'!F50</f>
        <v>35.97</v>
      </c>
      <c r="AM141" s="3">
        <f>'QTR Raw'!G50</f>
        <v>35.270000000000003</v>
      </c>
      <c r="AN141" s="3">
        <f>'QTR Raw'!H50</f>
        <v>35.119999999999997</v>
      </c>
      <c r="AO141" s="3">
        <f>'QTR Raw'!I50</f>
        <v>35.119999999999997</v>
      </c>
      <c r="AP141" s="3">
        <f>'QTR Raw'!J50</f>
        <v>34.65</v>
      </c>
      <c r="AQ141" s="3">
        <f>'QTR Raw'!K50</f>
        <v>34.65</v>
      </c>
      <c r="AR141" s="3">
        <f>'QTR Raw'!L50</f>
        <v>34.65</v>
      </c>
      <c r="AS141" s="3">
        <f>'QTR Raw'!M50</f>
        <v>34.65</v>
      </c>
      <c r="AT141" s="3">
        <f>'QTR Raw'!N50</f>
        <v>9.6199999999999992</v>
      </c>
      <c r="AU141" s="3">
        <f>'QTR Raw'!O50</f>
        <v>46.76</v>
      </c>
      <c r="AV141" s="3">
        <f>'QTR Raw'!P50</f>
        <v>37.14</v>
      </c>
      <c r="AW141" s="3">
        <f>'QTR Raw'!Q50</f>
        <v>37.14</v>
      </c>
      <c r="AX141" s="3">
        <f>'QTR Raw'!R50</f>
        <v>34.07</v>
      </c>
      <c r="AY141" s="3">
        <f>'QTR Raw'!S50</f>
        <v>33.81</v>
      </c>
      <c r="AZ141" s="3">
        <f>'QTR Raw'!T50</f>
        <v>33.049999999999997</v>
      </c>
      <c r="BA141" s="3">
        <f>'QTR Raw'!U50</f>
        <v>31.38</v>
      </c>
      <c r="BB141" s="3">
        <f>'QTR Raw'!V50</f>
        <v>20.66</v>
      </c>
      <c r="BC141" s="3">
        <f>'QTR Raw'!W50</f>
        <v>20.61</v>
      </c>
      <c r="BD141" s="3">
        <f>'QTR Raw'!X50</f>
        <v>20.61</v>
      </c>
      <c r="BE141" s="3">
        <f>'QTR Raw'!Y50</f>
        <v>20.61</v>
      </c>
      <c r="BF141" s="3">
        <f>'QTR Raw'!Z50</f>
        <v>20.56</v>
      </c>
      <c r="BG141" s="3">
        <f>'QTR Raw'!AA50</f>
        <v>20.5</v>
      </c>
      <c r="BH141" s="3">
        <f>'QTR Raw'!AB50</f>
        <v>20.47</v>
      </c>
      <c r="BI141" s="3">
        <f>'QTR Raw'!AC50</f>
        <v>21.9</v>
      </c>
      <c r="BJ141" s="3">
        <f>'QTR Raw'!AD50</f>
        <v>0</v>
      </c>
      <c r="BK141" s="3">
        <f>'QTR Raw'!AE50</f>
        <v>0</v>
      </c>
      <c r="BL141" s="3">
        <f>'QTR Raw'!AF50</f>
        <v>0</v>
      </c>
      <c r="BM141" s="3">
        <f>'QTR Raw'!AG50</f>
        <v>0</v>
      </c>
      <c r="BN141" s="3">
        <f>'QTR Raw'!AH50</f>
        <v>0</v>
      </c>
      <c r="BO141" s="3">
        <f>'QTR Raw'!AI50</f>
        <v>0</v>
      </c>
      <c r="BP141" s="3">
        <f>'QTR Raw'!AJ50</f>
        <v>0</v>
      </c>
      <c r="BQ141" s="3">
        <f>'QTR Raw'!AK50</f>
        <v>0</v>
      </c>
      <c r="BR141" s="3">
        <f>'QTR Raw'!AL50</f>
        <v>0</v>
      </c>
      <c r="BS141" s="3">
        <f>'QTR Raw'!AM50</f>
        <v>0</v>
      </c>
      <c r="BT141" s="3">
        <f>'QTR Raw'!AN50</f>
        <v>0</v>
      </c>
      <c r="BU141" s="3">
        <f>'QTR Raw'!AO50</f>
        <v>0</v>
      </c>
      <c r="BV141" s="3">
        <f>'QTR Raw'!AP50</f>
        <v>0</v>
      </c>
      <c r="BW141" s="3">
        <f>'QTR Raw'!AQ50</f>
        <v>0</v>
      </c>
      <c r="BX141" s="3">
        <f>'QTR Raw'!AR50</f>
        <v>0</v>
      </c>
      <c r="BY141" s="3">
        <f>'QTR Raw'!AS50</f>
        <v>11.89</v>
      </c>
      <c r="BZ141" s="3">
        <f>'QTR Raw'!AT50</f>
        <v>11.89</v>
      </c>
      <c r="CA141" s="3">
        <f>'QTR Raw'!AU50</f>
        <v>20.93</v>
      </c>
      <c r="CB141" s="3">
        <f>'QTR Raw'!AV50</f>
        <v>20.93</v>
      </c>
      <c r="CC141" s="3">
        <f>'QTR Raw'!AW50</f>
        <v>20.93</v>
      </c>
      <c r="CD141" s="3">
        <f>'QTR Raw'!AX50</f>
        <v>24.23</v>
      </c>
      <c r="CE141" s="3">
        <f>'QTR Raw'!AY50</f>
        <v>24.5</v>
      </c>
      <c r="CF141" s="3">
        <f>'QTR Raw'!AZ50</f>
        <v>18.170000000000002</v>
      </c>
      <c r="CG141" s="3">
        <f>'QTR Raw'!BA50</f>
        <v>18.149999999999999</v>
      </c>
      <c r="CH141" s="3">
        <f>'QTR Raw'!BB50</f>
        <v>16.809999999999999</v>
      </c>
      <c r="CI141" s="3">
        <f>'QTR Raw'!BC50</f>
        <v>16.809999999999999</v>
      </c>
      <c r="CJ141" s="3">
        <f>'QTR Raw'!BD50</f>
        <v>13.14</v>
      </c>
      <c r="CK141" s="3">
        <f>'QTR Raw'!BE50</f>
        <v>14.42</v>
      </c>
      <c r="CL141" s="3">
        <f>'QTR Raw'!BF50</f>
        <v>5.17</v>
      </c>
      <c r="CM141" s="37"/>
      <c r="CN141" s="37"/>
      <c r="CO141" s="37"/>
      <c r="CP141" s="37"/>
      <c r="CQ141" s="37"/>
      <c r="CR141" s="37"/>
      <c r="CS141" s="37"/>
      <c r="CT141" s="37"/>
      <c r="CU141" s="37"/>
      <c r="CV141" s="37"/>
      <c r="CW141" s="37"/>
      <c r="CX141" s="37"/>
      <c r="CY141" s="37"/>
      <c r="CZ141" s="37"/>
      <c r="DA141" s="37"/>
      <c r="DB141" s="37"/>
      <c r="DE141" s="134"/>
      <c r="DF141" s="3">
        <v>5.17</v>
      </c>
    </row>
    <row r="142" spans="1:110" s="3" customFormat="1" x14ac:dyDescent="0.2">
      <c r="AB142" s="37"/>
      <c r="AC142" s="37"/>
      <c r="AD142" s="37"/>
      <c r="AE142" s="37"/>
      <c r="CM142" s="37"/>
      <c r="CN142" s="37"/>
      <c r="CO142" s="37"/>
      <c r="CP142" s="37"/>
      <c r="CQ142" s="37"/>
      <c r="CR142" s="37"/>
      <c r="CS142" s="37"/>
      <c r="CT142" s="37"/>
      <c r="CU142" s="37"/>
      <c r="CV142" s="37"/>
      <c r="CW142" s="37"/>
      <c r="CX142" s="37"/>
      <c r="CY142" s="37"/>
      <c r="CZ142" s="37"/>
      <c r="DA142" s="37"/>
      <c r="DB142" s="37"/>
      <c r="DE142" s="134"/>
    </row>
    <row r="143" spans="1:110" s="13" customFormat="1" x14ac:dyDescent="0.2">
      <c r="A143" s="13" t="s">
        <v>36</v>
      </c>
      <c r="AB143" s="37"/>
      <c r="AC143" s="37"/>
      <c r="AD143" s="37"/>
      <c r="AE143" s="37"/>
      <c r="CM143" s="37"/>
      <c r="CN143" s="37"/>
      <c r="CO143" s="37"/>
      <c r="CP143" s="37"/>
      <c r="CQ143" s="37"/>
      <c r="CR143" s="37"/>
      <c r="CS143" s="37"/>
      <c r="CT143" s="37"/>
      <c r="CU143" s="37"/>
      <c r="CV143" s="37"/>
      <c r="CW143" s="37"/>
      <c r="CX143" s="37"/>
      <c r="CY143" s="37"/>
      <c r="CZ143" s="37"/>
      <c r="DA143" s="37"/>
      <c r="DB143" s="37"/>
      <c r="DE143" s="134"/>
    </row>
    <row r="144" spans="1:110" s="13" customFormat="1" x14ac:dyDescent="0.2">
      <c r="A144" s="13" t="s">
        <v>457</v>
      </c>
      <c r="B144" s="13">
        <f>'Annual Raw'!C106</f>
        <v>0.41</v>
      </c>
      <c r="C144" s="13">
        <f>'Annual Raw'!D106</f>
        <v>0.1</v>
      </c>
      <c r="D144" s="13">
        <f>'Annual Raw'!E106</f>
        <v>0.155</v>
      </c>
      <c r="E144" s="13">
        <f>'Annual Raw'!F106</f>
        <v>0.83899999999999997</v>
      </c>
      <c r="F144" s="13">
        <f>'Annual Raw'!G106</f>
        <v>4.5350000000000001</v>
      </c>
      <c r="G144" s="13">
        <f>'Annual Raw'!H106</f>
        <v>3.95</v>
      </c>
      <c r="H144" s="13">
        <f>'Annual Raw'!I106</f>
        <v>2.5350000000000001</v>
      </c>
      <c r="I144" s="13">
        <f>'Annual Raw'!J106</f>
        <v>37.700000000000003</v>
      </c>
      <c r="J144" s="13">
        <f>'Annual Raw'!K106</f>
        <v>10.199999999999999</v>
      </c>
      <c r="K144" s="13">
        <f>'Annual Raw'!L106</f>
        <v>14.8</v>
      </c>
      <c r="L144" s="13">
        <f>'Annual Raw'!M106</f>
        <v>21.375</v>
      </c>
      <c r="M144" s="13">
        <f>'Annual Raw'!N106</f>
        <v>12.8</v>
      </c>
      <c r="N144" s="13">
        <f>'Annual Raw'!O106</f>
        <v>5.99</v>
      </c>
      <c r="O144" s="13">
        <f>'Annual Raw'!P106</f>
        <v>3.9550000000000001</v>
      </c>
      <c r="P144" s="13">
        <f>'Annual Raw'!Q106</f>
        <v>3.1949999999999998</v>
      </c>
      <c r="Q144" s="13">
        <f>'Annual Raw'!R106</f>
        <v>10.1</v>
      </c>
      <c r="R144" s="13">
        <f>'Annual Raw'!S106</f>
        <v>15.3</v>
      </c>
      <c r="S144" s="13">
        <f>'Annual Raw'!T106</f>
        <v>15.3</v>
      </c>
      <c r="T144" s="13">
        <f>'Annual Raw'!U106</f>
        <v>12.46</v>
      </c>
      <c r="U144" s="13">
        <f>'Annual Raw'!V106</f>
        <v>5.76</v>
      </c>
      <c r="V144" s="13">
        <f>'Annual Raw'!W106</f>
        <v>11</v>
      </c>
      <c r="W144" s="13">
        <f>'Annual Raw'!X106</f>
        <v>132.65</v>
      </c>
      <c r="X144" s="13">
        <f>'Annual Raw'!Y106</f>
        <v>284.7</v>
      </c>
      <c r="Y144" s="13">
        <f>'Annual Raw'!Z106</f>
        <v>602.95000000000005</v>
      </c>
      <c r="Z144" s="13">
        <f>'Annual Raw'!AA106</f>
        <v>1285.5</v>
      </c>
      <c r="AA144" s="13">
        <f>'Annual Raw'!AB106</f>
        <v>1270.7</v>
      </c>
      <c r="AB144" s="37">
        <f>+CP144</f>
        <v>1854</v>
      </c>
      <c r="AC144" s="37">
        <f>+CT144</f>
        <v>1854</v>
      </c>
      <c r="AD144" s="37">
        <f>+CX144</f>
        <v>1854</v>
      </c>
      <c r="AE144" s="37">
        <f>+DB144</f>
        <v>1854</v>
      </c>
      <c r="AJ144" s="13">
        <f>'QTR Share Price'!HP21</f>
        <v>8.1999999999999993</v>
      </c>
      <c r="AK144" s="13">
        <f>'QTR Share Price'!HQ21</f>
        <v>8.65</v>
      </c>
      <c r="AL144" s="13">
        <f>'QTR Share Price'!HR21</f>
        <v>5.99</v>
      </c>
      <c r="AM144" s="13">
        <f>'QTR Share Price'!HS21</f>
        <v>4.4550000000000001</v>
      </c>
      <c r="AN144" s="13">
        <f>'QTR Share Price'!HT21</f>
        <v>8.65</v>
      </c>
      <c r="AO144" s="13">
        <f>'QTR Share Price'!HU21</f>
        <v>4.96</v>
      </c>
      <c r="AP144" s="13">
        <f>'QTR Share Price'!HV21</f>
        <v>3.9550000000000001</v>
      </c>
      <c r="AQ144" s="13">
        <f>'QTR Share Price'!HW21</f>
        <v>6.63</v>
      </c>
      <c r="AR144" s="13">
        <f>'QTR Share Price'!HX21</f>
        <v>4.9000000000000004</v>
      </c>
      <c r="AS144" s="13">
        <f>'QTR Share Price'!HY21</f>
        <v>4.9649999999999999</v>
      </c>
      <c r="AT144" s="13">
        <f>'QTR Share Price'!HZ21</f>
        <v>3.1949999999999998</v>
      </c>
      <c r="AU144" s="13">
        <f>'QTR Share Price'!IA21</f>
        <v>2.94</v>
      </c>
      <c r="AV144" s="13">
        <f>'QTR Share Price'!IB21</f>
        <v>3.7949999999999999</v>
      </c>
      <c r="AW144" s="13">
        <f>'QTR Share Price'!IC21</f>
        <v>3.75</v>
      </c>
      <c r="AX144" s="13">
        <f>'QTR Share Price'!ID21</f>
        <v>10.1</v>
      </c>
      <c r="AY144" s="13">
        <f>'QTR Share Price'!IE21</f>
        <v>15.324999999999999</v>
      </c>
      <c r="AZ144" s="13">
        <f>'QTR Share Price'!IF21</f>
        <v>13.45</v>
      </c>
      <c r="BA144" s="13">
        <f>'QTR Share Price'!IG21</f>
        <v>10.67</v>
      </c>
      <c r="BB144" s="13">
        <f>'QTR Share Price'!IH21</f>
        <v>15.3</v>
      </c>
      <c r="BC144" s="13">
        <f>'QTR Share Price'!II21</f>
        <v>17.3</v>
      </c>
      <c r="BD144" s="13">
        <f>'QTR Share Price'!IJ21</f>
        <v>17.7</v>
      </c>
      <c r="BE144" s="13">
        <f>'QTR Share Price'!IK21</f>
        <v>17.55</v>
      </c>
      <c r="BF144" s="13">
        <f>'QTR Share Price'!IL21</f>
        <v>15.3</v>
      </c>
      <c r="BG144" s="13">
        <f>'QTR Share Price'!IM21</f>
        <v>13.3</v>
      </c>
      <c r="BH144" s="13">
        <f>'QTR Share Price'!IN21</f>
        <v>13.55</v>
      </c>
      <c r="BI144" s="13">
        <f>'QTR Share Price'!IO21</f>
        <v>14.25</v>
      </c>
      <c r="BJ144" s="13">
        <f>'QTR Share Price'!IP21</f>
        <v>12.46</v>
      </c>
      <c r="BK144" s="13">
        <f>'QTR Share Price'!IQ21</f>
        <v>8.8699999999999992</v>
      </c>
      <c r="BL144" s="13">
        <f>'QTR Share Price'!IR21</f>
        <v>10.4</v>
      </c>
      <c r="BM144" s="13">
        <f>'QTR Share Price'!IS21</f>
        <v>7.57</v>
      </c>
      <c r="BN144" s="13">
        <f>'QTR Share Price'!IT21</f>
        <v>5.76</v>
      </c>
      <c r="BO144" s="13">
        <f>'QTR Share Price'!IU21</f>
        <v>10.56</v>
      </c>
      <c r="BP144" s="13">
        <f>'QTR Share Price'!IV21</f>
        <v>11.65</v>
      </c>
      <c r="BQ144" s="13">
        <f>'QTR Share Price'!IW21</f>
        <v>10.07</v>
      </c>
      <c r="BR144" s="13">
        <f>'QTR Share Price'!IX21</f>
        <v>11</v>
      </c>
      <c r="BS144" s="13">
        <f>'QTR Share Price'!IY21</f>
        <v>50.8</v>
      </c>
      <c r="BT144" s="13">
        <f>'QTR Share Price'!IZ21</f>
        <v>91.1</v>
      </c>
      <c r="BU144" s="13">
        <f>'QTR Share Price'!JA21</f>
        <v>100.4</v>
      </c>
      <c r="BV144" s="13">
        <f>'QTR Share Price'!JB21</f>
        <v>132.65</v>
      </c>
      <c r="BW144" s="13">
        <f>'QTR Share Price'!JC21</f>
        <v>139.9</v>
      </c>
      <c r="BX144" s="13">
        <f>'QTR Share Price'!JD21</f>
        <v>178.1</v>
      </c>
      <c r="BY144" s="13">
        <f>'QTR Share Price'!JE21</f>
        <v>245.3</v>
      </c>
      <c r="BZ144" s="13">
        <f>'QTR Share Price'!JF21</f>
        <v>284.7</v>
      </c>
      <c r="CA144" s="13">
        <f>'QTR Share Price'!JG21</f>
        <v>395.7</v>
      </c>
      <c r="CB144" s="13">
        <f>'QTR Share Price'!JH21</f>
        <v>536.6</v>
      </c>
      <c r="CC144" s="13">
        <f>'QTR Share Price'!JI21</f>
        <v>599.20000000000005</v>
      </c>
      <c r="CD144" s="13">
        <f>'QTR Share Price'!JJ21</f>
        <v>602.95000000000005</v>
      </c>
      <c r="CE144" s="13">
        <f>'QTR Share Price'!JK21</f>
        <v>732.25</v>
      </c>
      <c r="CF144" s="13">
        <f>'QTR Share Price'!JL21</f>
        <v>948.65</v>
      </c>
      <c r="CG144" s="13">
        <f>'QTR Share Price'!JM21</f>
        <v>1231.3</v>
      </c>
      <c r="CH144" s="13">
        <f>'QTR Share Price'!JN21</f>
        <v>1285.5</v>
      </c>
      <c r="CI144" s="13">
        <f>'QTR Share Price'!JO21</f>
        <v>1590.65</v>
      </c>
      <c r="CJ144" s="13">
        <f>'QTR Share Price'!JP21</f>
        <v>1226.5</v>
      </c>
      <c r="CK144" s="13">
        <f>'QTR Share Price'!JQ21</f>
        <v>1322</v>
      </c>
      <c r="CL144" s="13">
        <f>'QTR Share Price'!JR21</f>
        <v>1270.7</v>
      </c>
      <c r="CM144" s="37">
        <v>1854</v>
      </c>
      <c r="CN144" s="37">
        <f t="shared" ref="CN144" si="1024">+CM144</f>
        <v>1854</v>
      </c>
      <c r="CO144" s="37">
        <f t="shared" ref="CO144" si="1025">+CN144</f>
        <v>1854</v>
      </c>
      <c r="CP144" s="37">
        <f t="shared" ref="CP144" si="1026">+CO144</f>
        <v>1854</v>
      </c>
      <c r="CQ144" s="37">
        <f t="shared" ref="CQ144" si="1027">+CP144</f>
        <v>1854</v>
      </c>
      <c r="CR144" s="37">
        <f t="shared" ref="CR144" si="1028">+CQ144</f>
        <v>1854</v>
      </c>
      <c r="CS144" s="37">
        <f t="shared" ref="CS144" si="1029">+CR144</f>
        <v>1854</v>
      </c>
      <c r="CT144" s="37">
        <f t="shared" ref="CT144" si="1030">+CS144</f>
        <v>1854</v>
      </c>
      <c r="CU144" s="37">
        <f t="shared" ref="CU144" si="1031">+CT144</f>
        <v>1854</v>
      </c>
      <c r="CV144" s="37">
        <f t="shared" ref="CV144" si="1032">+CU144</f>
        <v>1854</v>
      </c>
      <c r="CW144" s="37">
        <f t="shared" ref="CW144" si="1033">+CV144</f>
        <v>1854</v>
      </c>
      <c r="CX144" s="37">
        <f t="shared" ref="CX144" si="1034">+CW144</f>
        <v>1854</v>
      </c>
      <c r="CY144" s="37">
        <f t="shared" ref="CY144" si="1035">+CX144</f>
        <v>1854</v>
      </c>
      <c r="CZ144" s="37">
        <f t="shared" ref="CZ144" si="1036">+CY144</f>
        <v>1854</v>
      </c>
      <c r="DA144" s="37">
        <f t="shared" ref="DA144" si="1037">+CZ144</f>
        <v>1854</v>
      </c>
      <c r="DB144" s="37">
        <f t="shared" ref="DB144" si="1038">+DA144</f>
        <v>1854</v>
      </c>
      <c r="DE144" s="134"/>
      <c r="DF144" s="13">
        <v>1270.7</v>
      </c>
    </row>
    <row r="145" spans="1:110" s="13" customFormat="1" x14ac:dyDescent="0.2">
      <c r="A145" s="13" t="s">
        <v>458</v>
      </c>
      <c r="B145" s="13">
        <f>'Annual Raw'!C107</f>
        <v>1.1299999999999999</v>
      </c>
      <c r="C145" s="13">
        <f>'Annual Raw'!D107</f>
        <v>0.35</v>
      </c>
      <c r="D145" s="13">
        <f>'Annual Raw'!E107</f>
        <v>0.90500000000000003</v>
      </c>
      <c r="E145" s="13">
        <f>'Annual Raw'!F107</f>
        <v>1.47</v>
      </c>
      <c r="F145" s="13">
        <f>'Annual Raw'!G107</f>
        <v>5.08</v>
      </c>
      <c r="G145" s="13">
        <f>'Annual Raw'!H107</f>
        <v>6.77</v>
      </c>
      <c r="H145" s="13">
        <f>'Annual Raw'!I107</f>
        <v>4.67</v>
      </c>
      <c r="I145" s="13">
        <f>'Annual Raw'!J107</f>
        <v>83</v>
      </c>
      <c r="J145" s="13">
        <f>'Annual Raw'!K107</f>
        <v>40.875</v>
      </c>
      <c r="K145" s="13">
        <f>'Annual Raw'!L107</f>
        <v>19.475000000000001</v>
      </c>
      <c r="L145" s="13">
        <f>'Annual Raw'!M107</f>
        <v>37.4</v>
      </c>
      <c r="M145" s="13">
        <f>'Annual Raw'!N107</f>
        <v>26</v>
      </c>
      <c r="N145" s="13">
        <f>'Annual Raw'!O107</f>
        <v>13.375</v>
      </c>
      <c r="O145" s="13">
        <f>'Annual Raw'!P107</f>
        <v>9.0749999999999993</v>
      </c>
      <c r="P145" s="13">
        <f>'Annual Raw'!Q107</f>
        <v>7.4050000000000002</v>
      </c>
      <c r="Q145" s="13">
        <f>'Annual Raw'!R107</f>
        <v>10.8</v>
      </c>
      <c r="R145" s="13">
        <f>'Annual Raw'!S107</f>
        <v>20.399999999999999</v>
      </c>
      <c r="S145" s="13">
        <f>'Annual Raw'!T107</f>
        <v>23</v>
      </c>
      <c r="T145" s="13">
        <f>'Annual Raw'!U107</f>
        <v>19.899999999999999</v>
      </c>
      <c r="U145" s="13">
        <f>'Annual Raw'!V107</f>
        <v>13.42</v>
      </c>
      <c r="V145" s="13">
        <f>'Annual Raw'!W107</f>
        <v>17.489999999999998</v>
      </c>
      <c r="W145" s="13">
        <f>'Annual Raw'!X107</f>
        <v>148.65</v>
      </c>
      <c r="X145" s="13">
        <f>'Annual Raw'!Y107</f>
        <v>324.8</v>
      </c>
      <c r="Y145" s="13">
        <f>'Annual Raw'!Z107</f>
        <v>687.85</v>
      </c>
      <c r="Z145" s="13">
        <f>'Annual Raw'!AA107</f>
        <v>1477.5</v>
      </c>
      <c r="AA145" s="13">
        <f>'Annual Raw'!AB107</f>
        <v>1613.4</v>
      </c>
      <c r="AB145" s="37">
        <f>+MAX(CM145:CP145)</f>
        <v>2373.8015402861752</v>
      </c>
      <c r="AC145" s="37">
        <f>+MAX(CQ145:CT145)</f>
        <v>2878.6759845312749</v>
      </c>
      <c r="AD145" s="37">
        <f>+MAX(CU145:CX145)</f>
        <v>3445.032041235645</v>
      </c>
      <c r="AE145" s="37">
        <f>+MAX(CY145:DB145)</f>
        <v>4193.1930790194965</v>
      </c>
      <c r="AJ145" s="13">
        <f>'QTR Share Price'!HP19</f>
        <v>13.375</v>
      </c>
      <c r="AK145" s="13">
        <f>'QTR Share Price'!HQ19</f>
        <v>8.8000000000000007</v>
      </c>
      <c r="AL145" s="13">
        <f>'QTR Share Price'!HR19</f>
        <v>8.9749999999999996</v>
      </c>
      <c r="AM145" s="13">
        <f>'QTR Share Price'!HS19</f>
        <v>7.7249999999999996</v>
      </c>
      <c r="AN145" s="13">
        <f>'QTR Share Price'!HT19</f>
        <v>9.0749999999999993</v>
      </c>
      <c r="AO145" s="13">
        <f>'QTR Share Price'!HU19</f>
        <v>9.0749999999999993</v>
      </c>
      <c r="AP145" s="13">
        <f>'QTR Share Price'!HV19</f>
        <v>5</v>
      </c>
      <c r="AQ145" s="13">
        <f>'QTR Share Price'!HW19</f>
        <v>7.4050000000000002</v>
      </c>
      <c r="AR145" s="13">
        <f>'QTR Share Price'!HX19</f>
        <v>6.88</v>
      </c>
      <c r="AS145" s="13">
        <f>'QTR Share Price'!HY19</f>
        <v>6.85</v>
      </c>
      <c r="AT145" s="13">
        <f>'QTR Share Price'!HZ19</f>
        <v>5.7</v>
      </c>
      <c r="AU145" s="13">
        <f>'QTR Share Price'!IA19</f>
        <v>4.1950000000000003</v>
      </c>
      <c r="AV145" s="13">
        <f>'QTR Share Price'!IB19</f>
        <v>5</v>
      </c>
      <c r="AW145" s="13">
        <f>'QTR Share Price'!IC19</f>
        <v>4.6950000000000003</v>
      </c>
      <c r="AX145" s="13">
        <f>'QTR Share Price'!ID19</f>
        <v>10.8</v>
      </c>
      <c r="AY145" s="13">
        <f>'QTR Share Price'!IE19</f>
        <v>17.475000000000001</v>
      </c>
      <c r="AZ145" s="13">
        <f>'QTR Share Price'!IF19</f>
        <v>17.399999999999999</v>
      </c>
      <c r="BA145" s="13">
        <f>'QTR Share Price'!IG19</f>
        <v>20.399999999999999</v>
      </c>
      <c r="BB145" s="13">
        <f>'QTR Share Price'!IH19</f>
        <v>19.239999999999998</v>
      </c>
      <c r="BC145" s="13">
        <f>'QTR Share Price'!II19</f>
        <v>23</v>
      </c>
      <c r="BD145" s="13">
        <f>'QTR Share Price'!IJ19</f>
        <v>22.2</v>
      </c>
      <c r="BE145" s="13">
        <f>'QTR Share Price'!IK19</f>
        <v>22.95</v>
      </c>
      <c r="BF145" s="13">
        <f>'QTR Share Price'!IL19</f>
        <v>22.55</v>
      </c>
      <c r="BG145" s="13">
        <f>'QTR Share Price'!IM19</f>
        <v>19.899999999999999</v>
      </c>
      <c r="BH145" s="13">
        <f>'QTR Share Price'!IN19</f>
        <v>18.399999999999999</v>
      </c>
      <c r="BI145" s="13">
        <f>'QTR Share Price'!IO19</f>
        <v>15.4</v>
      </c>
      <c r="BJ145" s="13">
        <f>'QTR Share Price'!IP19</f>
        <v>15.1</v>
      </c>
      <c r="BK145" s="13">
        <f>'QTR Share Price'!IQ19</f>
        <v>13.42</v>
      </c>
      <c r="BL145" s="13">
        <f>'QTR Share Price'!IR19</f>
        <v>12.25</v>
      </c>
      <c r="BM145" s="13">
        <f>'QTR Share Price'!IS19</f>
        <v>10.53</v>
      </c>
      <c r="BN145" s="13">
        <f>'QTR Share Price'!IT19</f>
        <v>8.9</v>
      </c>
      <c r="BO145" s="13">
        <f>'QTR Share Price'!IU19</f>
        <v>10.85</v>
      </c>
      <c r="BP145" s="13">
        <f>'QTR Share Price'!IV19</f>
        <v>12.5</v>
      </c>
      <c r="BQ145" s="13">
        <f>'QTR Share Price'!IW19</f>
        <v>12.08</v>
      </c>
      <c r="BR145" s="13">
        <f>'QTR Share Price'!IX19</f>
        <v>17.489999999999998</v>
      </c>
      <c r="BS145" s="13">
        <f>'QTR Share Price'!IY19</f>
        <v>50.8</v>
      </c>
      <c r="BT145" s="13">
        <f>'QTR Share Price'!IZ19</f>
        <v>91.1</v>
      </c>
      <c r="BU145" s="13">
        <f>'QTR Share Price'!JA19</f>
        <v>101.8</v>
      </c>
      <c r="BV145" s="13">
        <f>'QTR Share Price'!JB19</f>
        <v>148.65</v>
      </c>
      <c r="BW145" s="13">
        <f>'QTR Share Price'!JC19</f>
        <v>232</v>
      </c>
      <c r="BX145" s="13">
        <f>'QTR Share Price'!JD19</f>
        <v>204.55</v>
      </c>
      <c r="BY145" s="13">
        <f>'QTR Share Price'!JE19</f>
        <v>253.9</v>
      </c>
      <c r="BZ145" s="13">
        <f>'QTR Share Price'!JF19</f>
        <v>324.8</v>
      </c>
      <c r="CA145" s="13">
        <f>'QTR Share Price'!JG19</f>
        <v>404</v>
      </c>
      <c r="CB145" s="13">
        <f>'QTR Share Price'!JH19</f>
        <v>687.85</v>
      </c>
      <c r="CC145" s="13">
        <f>'QTR Share Price'!JI19</f>
        <v>656.05</v>
      </c>
      <c r="CD145" s="13">
        <f>'QTR Share Price'!JJ19</f>
        <v>637</v>
      </c>
      <c r="CE145" s="13">
        <f>'QTR Share Price'!JK19</f>
        <v>774.95</v>
      </c>
      <c r="CF145" s="13">
        <f>'QTR Share Price'!JL19</f>
        <v>959.65</v>
      </c>
      <c r="CG145" s="13">
        <f>'QTR Share Price'!JM19</f>
        <v>1233</v>
      </c>
      <c r="CH145" s="13">
        <f>'QTR Share Price'!JN19</f>
        <v>1477.5</v>
      </c>
      <c r="CI145" s="13">
        <f>'QTR Share Price'!JO19</f>
        <v>1601.65</v>
      </c>
      <c r="CJ145" s="13">
        <f>'QTR Share Price'!JP19</f>
        <v>1613.4</v>
      </c>
      <c r="CK145" s="13">
        <f>'QTR Share Price'!JQ19</f>
        <v>1395.45</v>
      </c>
      <c r="CL145" s="13">
        <f>'QTR Share Price'!JR19</f>
        <v>1374.8</v>
      </c>
      <c r="CM145" s="37">
        <f t="shared" ref="CM145:DB145" si="1039">+CM173/CM132</f>
        <v>1877.194213150942</v>
      </c>
      <c r="CN145" s="37">
        <f t="shared" si="1039"/>
        <v>2235.4215682320159</v>
      </c>
      <c r="CO145" s="37">
        <f t="shared" si="1039"/>
        <v>2373.8015402861752</v>
      </c>
      <c r="CP145" s="37">
        <f t="shared" si="1039"/>
        <v>2309.78419915529</v>
      </c>
      <c r="CQ145" s="37">
        <f t="shared" si="1039"/>
        <v>2333.0503657838085</v>
      </c>
      <c r="CR145" s="37">
        <f t="shared" si="1039"/>
        <v>2466.9848163336087</v>
      </c>
      <c r="CS145" s="37">
        <f t="shared" si="1039"/>
        <v>2654.8960034352394</v>
      </c>
      <c r="CT145" s="37">
        <f t="shared" si="1039"/>
        <v>2878.6759845312749</v>
      </c>
      <c r="CU145" s="37">
        <f t="shared" si="1039"/>
        <v>3063.656750363315</v>
      </c>
      <c r="CV145" s="37">
        <f t="shared" si="1039"/>
        <v>3196.8301575762089</v>
      </c>
      <c r="CW145" s="37">
        <f t="shared" si="1039"/>
        <v>3311.066111203847</v>
      </c>
      <c r="CX145" s="37">
        <f t="shared" si="1039"/>
        <v>3445.032041235645</v>
      </c>
      <c r="CY145" s="37">
        <f t="shared" si="1039"/>
        <v>3626.6437424906508</v>
      </c>
      <c r="CZ145" s="37">
        <f t="shared" si="1039"/>
        <v>3830.1608074590367</v>
      </c>
      <c r="DA145" s="37">
        <f t="shared" si="1039"/>
        <v>4001.4735943070887</v>
      </c>
      <c r="DB145" s="37">
        <f t="shared" si="1039"/>
        <v>4193.1930790194965</v>
      </c>
      <c r="DE145" s="134"/>
      <c r="DF145" s="13">
        <v>1613.4</v>
      </c>
    </row>
    <row r="146" spans="1:110" s="13" customFormat="1" x14ac:dyDescent="0.2">
      <c r="A146" s="13" t="s">
        <v>459</v>
      </c>
      <c r="B146" s="13">
        <f>'Annual Raw'!C108</f>
        <v>0.34499999999999997</v>
      </c>
      <c r="C146" s="13">
        <f>'Annual Raw'!D108</f>
        <v>6.5000000000000002E-2</v>
      </c>
      <c r="D146" s="13">
        <f>'Annual Raw'!E108</f>
        <v>0.08</v>
      </c>
      <c r="E146" s="13">
        <f>'Annual Raw'!F108</f>
        <v>0.14499999999999999</v>
      </c>
      <c r="F146" s="13">
        <f>'Annual Raw'!G108</f>
        <v>0.41699999999999998</v>
      </c>
      <c r="G146" s="13">
        <f>'Annual Raw'!H108</f>
        <v>2.2050000000000001</v>
      </c>
      <c r="H146" s="13">
        <f>'Annual Raw'!I108</f>
        <v>1.81</v>
      </c>
      <c r="I146" s="13">
        <f>'Annual Raw'!J108</f>
        <v>2.3650000000000002</v>
      </c>
      <c r="J146" s="13">
        <f>'Annual Raw'!K108</f>
        <v>7</v>
      </c>
      <c r="K146" s="13">
        <f>'Annual Raw'!L108</f>
        <v>9.5500000000000007</v>
      </c>
      <c r="L146" s="13">
        <f>'Annual Raw'!M108</f>
        <v>15</v>
      </c>
      <c r="M146" s="13">
        <f>'Annual Raw'!N108</f>
        <v>10.675000000000001</v>
      </c>
      <c r="N146" s="13">
        <f>'Annual Raw'!O108</f>
        <v>5.7750000000000004</v>
      </c>
      <c r="O146" s="13">
        <f>'Annual Raw'!P108</f>
        <v>3.0750000000000002</v>
      </c>
      <c r="P146" s="13">
        <f>'Annual Raw'!Q108</f>
        <v>3.0550000000000002</v>
      </c>
      <c r="Q146" s="13">
        <f>'Annual Raw'!R108</f>
        <v>2.7749999999999999</v>
      </c>
      <c r="R146" s="13">
        <f>'Annual Raw'!S108</f>
        <v>9.0500000000000007</v>
      </c>
      <c r="S146" s="13">
        <f>'Annual Raw'!T108</f>
        <v>13.5</v>
      </c>
      <c r="T146" s="13">
        <f>'Annual Raw'!U108</f>
        <v>10.5</v>
      </c>
      <c r="U146" s="13">
        <f>'Annual Raw'!V108</f>
        <v>4.16</v>
      </c>
      <c r="V146" s="13">
        <f>'Annual Raw'!W108</f>
        <v>4.12</v>
      </c>
      <c r="W146" s="13">
        <f>'Annual Raw'!X108</f>
        <v>10.49</v>
      </c>
      <c r="X146" s="13">
        <f>'Annual Raw'!Y108</f>
        <v>126.1</v>
      </c>
      <c r="Y146" s="13">
        <f>'Annual Raw'!Z108</f>
        <v>275</v>
      </c>
      <c r="Z146" s="13">
        <f>'Annual Raw'!AA108</f>
        <v>592.1</v>
      </c>
      <c r="AA146" s="13">
        <f>'Annual Raw'!AB108</f>
        <v>1005.05</v>
      </c>
      <c r="AB146" s="37">
        <f>+MIN(CM146:CP146)</f>
        <v>1391.6273354520158</v>
      </c>
      <c r="AC146" s="37">
        <f>+MIN(CQ146:CT146)</f>
        <v>1747.3149169439121</v>
      </c>
      <c r="AD146" s="37">
        <f>+MIN(CU146:CX146)</f>
        <v>2336.8553506991716</v>
      </c>
      <c r="AE146" s="37">
        <f>+MIN(CY146:DB146)</f>
        <v>2796.2522852575121</v>
      </c>
      <c r="AJ146" s="13">
        <f>+'QTR Share Price'!HP20</f>
        <v>7.7249999999999996</v>
      </c>
      <c r="AK146" s="13">
        <f>+'QTR Share Price'!HQ20</f>
        <v>6.75</v>
      </c>
      <c r="AL146" s="13">
        <f>+'QTR Share Price'!HR20</f>
        <v>5.7750000000000004</v>
      </c>
      <c r="AM146" s="13">
        <f>+'QTR Share Price'!HS20</f>
        <v>4.4550000000000001</v>
      </c>
      <c r="AN146" s="13">
        <f>+'QTR Share Price'!HT20</f>
        <v>4.46</v>
      </c>
      <c r="AO146" s="13">
        <f>+'QTR Share Price'!HU20</f>
        <v>4.3</v>
      </c>
      <c r="AP146" s="13">
        <f>+'QTR Share Price'!HV20</f>
        <v>3.0750000000000002</v>
      </c>
      <c r="AQ146" s="13">
        <f>+'QTR Share Price'!HW20</f>
        <v>3.7850000000000001</v>
      </c>
      <c r="AR146" s="13">
        <f>+'QTR Share Price'!HX20</f>
        <v>4.585</v>
      </c>
      <c r="AS146" s="13">
        <f>+'QTR Share Price'!HY20</f>
        <v>4.03</v>
      </c>
      <c r="AT146" s="13">
        <f>+'QTR Share Price'!HZ20</f>
        <v>3.0550000000000002</v>
      </c>
      <c r="AU146" s="13">
        <f>+'QTR Share Price'!IA20</f>
        <v>2.8650000000000002</v>
      </c>
      <c r="AV146" s="13">
        <f>+'QTR Share Price'!IB20</f>
        <v>2.7749999999999999</v>
      </c>
      <c r="AW146" s="13">
        <f>+'QTR Share Price'!IC20</f>
        <v>3</v>
      </c>
      <c r="AX146" s="13">
        <f>+'QTR Share Price'!ID20</f>
        <v>3.63</v>
      </c>
      <c r="AY146" s="13">
        <f>+'QTR Share Price'!IE20</f>
        <v>9.6</v>
      </c>
      <c r="AZ146" s="13">
        <f>+'QTR Share Price'!IF20</f>
        <v>12.51</v>
      </c>
      <c r="BA146" s="13">
        <f>+'QTR Share Price'!IG20</f>
        <v>9.0500000000000007</v>
      </c>
      <c r="BB146" s="13">
        <f>+'QTR Share Price'!IH20</f>
        <v>10.4</v>
      </c>
      <c r="BC146" s="13">
        <f>+'QTR Share Price'!II20</f>
        <v>15.05</v>
      </c>
      <c r="BD146" s="13">
        <f>+'QTR Share Price'!IJ20</f>
        <v>15</v>
      </c>
      <c r="BE146" s="13">
        <f>+'QTR Share Price'!IK20</f>
        <v>16.05</v>
      </c>
      <c r="BF146" s="13">
        <f>+'QTR Share Price'!IL20</f>
        <v>13.5</v>
      </c>
      <c r="BG146" s="13">
        <f>+'QTR Share Price'!IM20</f>
        <v>11.5</v>
      </c>
      <c r="BH146" s="13">
        <f>+'QTR Share Price'!IN20</f>
        <v>13</v>
      </c>
      <c r="BI146" s="13">
        <f>+'QTR Share Price'!IO20</f>
        <v>12.02</v>
      </c>
      <c r="BJ146" s="13">
        <f>+'QTR Share Price'!IP20</f>
        <v>10.5</v>
      </c>
      <c r="BK146" s="13">
        <f>+'QTR Share Price'!IQ20</f>
        <v>7.03</v>
      </c>
      <c r="BL146" s="13">
        <f>+'QTR Share Price'!IR20</f>
        <v>8</v>
      </c>
      <c r="BM146" s="13">
        <f>+'QTR Share Price'!IS20</f>
        <v>6.9</v>
      </c>
      <c r="BN146" s="13">
        <f>+'QTR Share Price'!IT20</f>
        <v>4.16</v>
      </c>
      <c r="BO146" s="13">
        <f>+'QTR Share Price'!IU20</f>
        <v>4.12</v>
      </c>
      <c r="BP146" s="13">
        <f>+'QTR Share Price'!IV20</f>
        <v>9.2200000000000006</v>
      </c>
      <c r="BQ146" s="13">
        <f>+'QTR Share Price'!IW20</f>
        <v>9.25</v>
      </c>
      <c r="BR146" s="13">
        <f>+'QTR Share Price'!IX20</f>
        <v>9.8000000000000007</v>
      </c>
      <c r="BS146" s="13">
        <f>+'QTR Share Price'!IY20</f>
        <v>10.49</v>
      </c>
      <c r="BT146" s="13">
        <f>+'QTR Share Price'!IZ20</f>
        <v>47.25</v>
      </c>
      <c r="BU146" s="13">
        <f>+'QTR Share Price'!JA20</f>
        <v>71.599999999999994</v>
      </c>
      <c r="BV146" s="13">
        <f>+'QTR Share Price'!JB20</f>
        <v>102.45</v>
      </c>
      <c r="BW146" s="13">
        <f>+'QTR Share Price'!JC20</f>
        <v>126.1</v>
      </c>
      <c r="BX146" s="13">
        <f>+'QTR Share Price'!JD20</f>
        <v>132.44999999999999</v>
      </c>
      <c r="BY146" s="13">
        <f>+'QTR Share Price'!JE20</f>
        <v>163.15</v>
      </c>
      <c r="BZ146" s="13">
        <f>+'QTR Share Price'!JF20</f>
        <v>235.6</v>
      </c>
      <c r="CA146" s="13">
        <f>+'QTR Share Price'!JG20</f>
        <v>275</v>
      </c>
      <c r="CB146" s="13">
        <f>+'QTR Share Price'!JH20</f>
        <v>395.2</v>
      </c>
      <c r="CC146" s="13">
        <f>+'QTR Share Price'!JI20</f>
        <v>485.3</v>
      </c>
      <c r="CD146" s="13">
        <f>+'QTR Share Price'!JJ20</f>
        <v>522.4</v>
      </c>
      <c r="CE146" s="13">
        <f>+'QTR Share Price'!JK20</f>
        <v>592.1</v>
      </c>
      <c r="CF146" s="13">
        <f>+'QTR Share Price'!JL20</f>
        <v>675</v>
      </c>
      <c r="CG146" s="13">
        <f>+'QTR Share Price'!JM20</f>
        <v>880.95</v>
      </c>
      <c r="CH146" s="13">
        <f>+'QTR Share Price'!JN20</f>
        <v>943.25</v>
      </c>
      <c r="CI146" s="13">
        <f>+'QTR Share Price'!JO20</f>
        <v>1005.05</v>
      </c>
      <c r="CJ146" s="13">
        <f>+'QTR Share Price'!JP20</f>
        <v>1201.5</v>
      </c>
      <c r="CK146" s="13">
        <f>+'QTR Share Price'!JQ20</f>
        <v>1170.7</v>
      </c>
      <c r="CL146" s="13">
        <f>+'QTR Share Price'!JR20</f>
        <v>1044</v>
      </c>
      <c r="CM146" s="37">
        <f t="shared" ref="CM146:DB146" si="1040">+CM174/CM132</f>
        <v>1391.6273354520158</v>
      </c>
      <c r="CN146" s="37">
        <f t="shared" si="1040"/>
        <v>1676.5558116780778</v>
      </c>
      <c r="CO146" s="37">
        <f t="shared" si="1040"/>
        <v>1784.9999786222966</v>
      </c>
      <c r="CP146" s="37">
        <f t="shared" si="1040"/>
        <v>1735.0416643359849</v>
      </c>
      <c r="CQ146" s="37">
        <f t="shared" si="1040"/>
        <v>1747.3149169439121</v>
      </c>
      <c r="CR146" s="37">
        <f t="shared" si="1040"/>
        <v>1858.3891348075003</v>
      </c>
      <c r="CS146" s="37">
        <f t="shared" si="1040"/>
        <v>2006.7960841561342</v>
      </c>
      <c r="CT146" s="37">
        <f t="shared" si="1040"/>
        <v>2186.0621907919981</v>
      </c>
      <c r="CU146" s="37">
        <f t="shared" si="1040"/>
        <v>2336.8553506991716</v>
      </c>
      <c r="CV146" s="37">
        <f t="shared" si="1040"/>
        <v>2449.9466357192609</v>
      </c>
      <c r="CW146" s="37">
        <f t="shared" si="1040"/>
        <v>2540.3484898314741</v>
      </c>
      <c r="CX146" s="37">
        <f t="shared" si="1040"/>
        <v>2649.4031279156443</v>
      </c>
      <c r="CY146" s="37">
        <f t="shared" si="1040"/>
        <v>2796.2522852575121</v>
      </c>
      <c r="CZ146" s="37">
        <f t="shared" si="1040"/>
        <v>2965.631415412829</v>
      </c>
      <c r="DA146" s="37">
        <f t="shared" si="1040"/>
        <v>3101.6852913819525</v>
      </c>
      <c r="DB146" s="37">
        <f t="shared" si="1040"/>
        <v>3257.2329570447714</v>
      </c>
      <c r="DE146" s="134"/>
      <c r="DF146" s="13">
        <v>1005.05</v>
      </c>
    </row>
    <row r="147" spans="1:110" s="14" customFormat="1" x14ac:dyDescent="0.2">
      <c r="AB147" s="16"/>
      <c r="AC147" s="16"/>
      <c r="AD147" s="16"/>
      <c r="AE147" s="16"/>
      <c r="CM147" s="37"/>
      <c r="CN147" s="37"/>
      <c r="CO147" s="37"/>
      <c r="CP147" s="37"/>
      <c r="CQ147" s="37"/>
      <c r="CR147" s="37"/>
      <c r="CS147" s="37"/>
      <c r="CT147" s="37"/>
      <c r="CU147" s="37"/>
      <c r="CV147" s="37"/>
      <c r="CW147" s="37"/>
      <c r="CX147" s="37"/>
      <c r="CY147" s="37"/>
      <c r="CZ147" s="37"/>
      <c r="DA147" s="37"/>
      <c r="DB147" s="37"/>
      <c r="DE147" s="134"/>
    </row>
    <row r="148" spans="1:110" s="51" customFormat="1" x14ac:dyDescent="0.2">
      <c r="A148" s="51" t="s">
        <v>346</v>
      </c>
      <c r="AB148" s="48">
        <f t="shared" ref="AB148:AD148" si="1041">+AB145/AB144-1</f>
        <v>0.28036760533234917</v>
      </c>
      <c r="AC148" s="48">
        <f t="shared" si="1041"/>
        <v>0.55268391830165853</v>
      </c>
      <c r="AD148" s="48">
        <f t="shared" si="1041"/>
        <v>0.85816183453918282</v>
      </c>
      <c r="AE148" s="48">
        <f t="shared" ref="AE148" si="1042">+AE145/AE144-1</f>
        <v>1.2617006898702785</v>
      </c>
      <c r="CM148" s="48">
        <f t="shared" ref="CM148:DB148" si="1043">+CM145/CM144-1</f>
        <v>1.2510363080335596E-2</v>
      </c>
      <c r="CN148" s="48">
        <f t="shared" si="1043"/>
        <v>0.20572900120389215</v>
      </c>
      <c r="CO148" s="48">
        <f t="shared" si="1043"/>
        <v>0.28036760533234917</v>
      </c>
      <c r="CP148" s="48">
        <f t="shared" si="1043"/>
        <v>0.24583829512151567</v>
      </c>
      <c r="CQ148" s="48">
        <f t="shared" si="1043"/>
        <v>0.25838746806030666</v>
      </c>
      <c r="CR148" s="48">
        <f t="shared" si="1043"/>
        <v>0.3306282720246001</v>
      </c>
      <c r="CS148" s="48">
        <f t="shared" si="1043"/>
        <v>0.43198274187445485</v>
      </c>
      <c r="CT148" s="48">
        <f t="shared" si="1043"/>
        <v>0.55268391830165853</v>
      </c>
      <c r="CU148" s="48">
        <f t="shared" si="1043"/>
        <v>0.65245779415497029</v>
      </c>
      <c r="CV148" s="48">
        <f t="shared" si="1043"/>
        <v>0.72428811088252898</v>
      </c>
      <c r="CW148" s="48">
        <f t="shared" si="1043"/>
        <v>0.78590405135051067</v>
      </c>
      <c r="CX148" s="48">
        <f t="shared" si="1043"/>
        <v>0.85816183453918282</v>
      </c>
      <c r="CY148" s="48">
        <f t="shared" si="1043"/>
        <v>0.95611852345774051</v>
      </c>
      <c r="CZ148" s="48">
        <f t="shared" si="1043"/>
        <v>1.0658904031602141</v>
      </c>
      <c r="DA148" s="48">
        <f t="shared" si="1043"/>
        <v>1.1582921220642333</v>
      </c>
      <c r="DB148" s="48">
        <f t="shared" si="1043"/>
        <v>1.2617006898702785</v>
      </c>
      <c r="DE148" s="129"/>
    </row>
    <row r="149" spans="1:110" s="51" customFormat="1" x14ac:dyDescent="0.2">
      <c r="A149" s="51" t="s">
        <v>347</v>
      </c>
      <c r="AB149" s="48">
        <f t="shared" ref="AB149:AD149" si="1044">+AB146/AB144-1</f>
        <v>-0.2493919442006387</v>
      </c>
      <c r="AC149" s="48">
        <f t="shared" si="1044"/>
        <v>-5.7543194744383963E-2</v>
      </c>
      <c r="AD149" s="48">
        <f t="shared" si="1044"/>
        <v>0.2604397792336417</v>
      </c>
      <c r="AE149" s="48">
        <f t="shared" ref="AE149" si="1045">+AE146/AE144-1</f>
        <v>0.5082266910774067</v>
      </c>
      <c r="CM149" s="48">
        <f t="shared" ref="CM149:DB149" si="1046">+CM146/CM144-1</f>
        <v>-0.2493919442006387</v>
      </c>
      <c r="CN149" s="48">
        <f t="shared" si="1046"/>
        <v>-9.5708839440087456E-2</v>
      </c>
      <c r="CO149" s="48">
        <f t="shared" si="1046"/>
        <v>-3.7216840009548724E-2</v>
      </c>
      <c r="CP149" s="48">
        <f t="shared" si="1046"/>
        <v>-6.416307209493799E-2</v>
      </c>
      <c r="CQ149" s="48">
        <f t="shared" si="1046"/>
        <v>-5.7543194744383963E-2</v>
      </c>
      <c r="CR149" s="48">
        <f t="shared" si="1046"/>
        <v>2.3673866275621958E-3</v>
      </c>
      <c r="CS149" s="48">
        <f t="shared" si="1046"/>
        <v>8.2414284873858712E-2</v>
      </c>
      <c r="CT149" s="48">
        <f t="shared" si="1046"/>
        <v>0.17910582027615862</v>
      </c>
      <c r="CU149" s="48">
        <f t="shared" si="1046"/>
        <v>0.2604397792336417</v>
      </c>
      <c r="CV149" s="48">
        <f t="shared" si="1046"/>
        <v>0.32143831484318275</v>
      </c>
      <c r="CW149" s="48">
        <f t="shared" si="1046"/>
        <v>0.37019875395440893</v>
      </c>
      <c r="CX149" s="48">
        <f t="shared" si="1046"/>
        <v>0.4290200258444683</v>
      </c>
      <c r="CY149" s="48">
        <f t="shared" si="1046"/>
        <v>0.5082266910774067</v>
      </c>
      <c r="CZ149" s="48">
        <f t="shared" si="1046"/>
        <v>0.59958544520648815</v>
      </c>
      <c r="DA149" s="48">
        <f t="shared" si="1046"/>
        <v>0.67296941282737466</v>
      </c>
      <c r="DB149" s="48">
        <f t="shared" si="1046"/>
        <v>0.75686783012123593</v>
      </c>
      <c r="DE149" s="129"/>
    </row>
    <row r="150" spans="1:110" s="14" customFormat="1" x14ac:dyDescent="0.2">
      <c r="AB150" s="16"/>
      <c r="AC150" s="16"/>
      <c r="AD150" s="16"/>
      <c r="AE150" s="16"/>
      <c r="CM150" s="37"/>
      <c r="CN150" s="37"/>
      <c r="CO150" s="37"/>
      <c r="CP150" s="37"/>
      <c r="CQ150" s="37"/>
      <c r="CR150" s="37"/>
      <c r="CS150" s="37"/>
      <c r="CT150" s="37"/>
      <c r="CU150" s="37"/>
      <c r="CV150" s="37"/>
      <c r="CW150" s="37"/>
      <c r="CX150" s="37"/>
      <c r="CY150" s="37"/>
      <c r="CZ150" s="37"/>
      <c r="DA150" s="37"/>
      <c r="DB150" s="37"/>
      <c r="DE150" s="134"/>
    </row>
    <row r="151" spans="1:110" s="13" customFormat="1" x14ac:dyDescent="0.2">
      <c r="A151" s="13" t="s">
        <v>40</v>
      </c>
      <c r="AB151" s="37"/>
      <c r="AC151" s="37"/>
      <c r="AD151" s="37"/>
      <c r="AE151" s="37"/>
      <c r="CM151" s="37"/>
      <c r="CN151" s="37"/>
      <c r="CO151" s="37"/>
      <c r="CP151" s="37"/>
      <c r="CQ151" s="37"/>
      <c r="CR151" s="37"/>
      <c r="CS151" s="37"/>
      <c r="CT151" s="37"/>
      <c r="CU151" s="37"/>
      <c r="CV151" s="37"/>
      <c r="CW151" s="37"/>
      <c r="CX151" s="37"/>
      <c r="CY151" s="37"/>
      <c r="CZ151" s="37"/>
      <c r="DA151" s="37"/>
      <c r="DB151" s="37"/>
      <c r="DE151" s="134"/>
    </row>
    <row r="152" spans="1:110" s="13" customFormat="1" x14ac:dyDescent="0.2">
      <c r="A152" s="13" t="s">
        <v>460</v>
      </c>
      <c r="B152" s="13">
        <f t="shared" ref="B152:D152" si="1047">+B144/B136</f>
        <v>-9.2174243105152924E-3</v>
      </c>
      <c r="C152" s="13">
        <f t="shared" si="1047"/>
        <v>-1.8838081002948827E-3</v>
      </c>
      <c r="D152" s="13">
        <f t="shared" si="1047"/>
        <v>-7.77450708179465E-3</v>
      </c>
      <c r="E152" s="13">
        <f t="shared" ref="E152:AE152" ca="1" si="1048">+E144/E136</f>
        <v>-3.173037301848634</v>
      </c>
      <c r="F152" s="13">
        <f t="shared" ca="1" si="1048"/>
        <v>45.819758361308921</v>
      </c>
      <c r="G152" s="13">
        <f t="shared" ca="1" si="1048"/>
        <v>-11.105027849239468</v>
      </c>
      <c r="H152" s="13">
        <f t="shared" ca="1" si="1048"/>
        <v>-4.6538796520105246</v>
      </c>
      <c r="I152" s="13">
        <f t="shared" ca="1" si="1048"/>
        <v>-346.92457365228182</v>
      </c>
      <c r="J152" s="13">
        <f t="shared" ca="1" si="1048"/>
        <v>20.202640164139218</v>
      </c>
      <c r="K152" s="13">
        <f t="shared" ca="1" si="1048"/>
        <v>46.562578611078301</v>
      </c>
      <c r="L152" s="13">
        <f t="shared" ca="1" si="1048"/>
        <v>64.659926470588161</v>
      </c>
      <c r="M152" s="13">
        <f t="shared" ca="1" si="1048"/>
        <v>193.01342335825368</v>
      </c>
      <c r="N152" s="13">
        <f t="shared" ca="1" si="1048"/>
        <v>175.99436178542942</v>
      </c>
      <c r="O152" s="13">
        <f t="shared" ca="1" si="1048"/>
        <v>-5.2440506341042852</v>
      </c>
      <c r="P152" s="13">
        <f t="shared" ca="1" si="1048"/>
        <v>-8.6372920109134466</v>
      </c>
      <c r="Q152" s="13">
        <f t="shared" ca="1" si="1048"/>
        <v>81.782317818862012</v>
      </c>
      <c r="R152" s="13">
        <f t="shared" ca="1" si="1048"/>
        <v>154.53768844221045</v>
      </c>
      <c r="S152" s="13">
        <f t="shared" ca="1" si="1048"/>
        <v>50.55060144063966</v>
      </c>
      <c r="T152" s="13">
        <f t="shared" ca="1" si="1048"/>
        <v>33.986264921268088</v>
      </c>
      <c r="U152" s="13">
        <f t="shared" ca="1" si="1048"/>
        <v>10.185657190257137</v>
      </c>
      <c r="V152" s="13">
        <f t="shared" ca="1" si="1048"/>
        <v>4882.3343848572476</v>
      </c>
      <c r="W152" s="13">
        <f t="shared" ca="1" si="1048"/>
        <v>50.195266590465941</v>
      </c>
      <c r="X152" s="13">
        <f t="shared" ca="1" si="1048"/>
        <v>17.688266269249876</v>
      </c>
      <c r="Y152" s="13">
        <f t="shared" ca="1" si="1048"/>
        <v>27.301638869445611</v>
      </c>
      <c r="Z152" s="13">
        <f t="shared" ref="Z152:AA152" ca="1" si="1049">+Z144/Z136</f>
        <v>49.897539881235652</v>
      </c>
      <c r="AA152" s="13">
        <f t="shared" ca="1" si="1049"/>
        <v>49.897539881235652</v>
      </c>
      <c r="AB152" s="37">
        <f t="shared" ca="1" si="1048"/>
        <v>16.435913423837903</v>
      </c>
      <c r="AC152" s="37">
        <f t="shared" ca="1" si="1048"/>
        <v>13.581673380839774</v>
      </c>
      <c r="AD152" s="37">
        <f t="shared" ca="1" si="1048"/>
        <v>12.433324743932847</v>
      </c>
      <c r="AE152" s="37">
        <f t="shared" ca="1" si="1048"/>
        <v>10.352828000470085</v>
      </c>
      <c r="AL152" s="13">
        <f t="shared" ref="AL152:BQ152" si="1050">+AL144/AL136</f>
        <v>175.85665101721412</v>
      </c>
      <c r="AM152" s="13">
        <f t="shared" si="1050"/>
        <v>-20.339693356047654</v>
      </c>
      <c r="AN152" s="13">
        <f t="shared" si="1050"/>
        <v>-22.345634811346702</v>
      </c>
      <c r="AO152" s="13">
        <f t="shared" si="1050"/>
        <v>-13.019999999999978</v>
      </c>
      <c r="AP152" s="13">
        <f t="shared" si="1050"/>
        <v>-5.2438900275637845</v>
      </c>
      <c r="AQ152" s="13">
        <f t="shared" si="1050"/>
        <v>-9.7411930557368596</v>
      </c>
      <c r="AR152" s="13">
        <f t="shared" si="1050"/>
        <v>-9.0286799371398843</v>
      </c>
      <c r="AS152" s="13">
        <f t="shared" si="1050"/>
        <v>-8.9349043934258621</v>
      </c>
      <c r="AT152" s="13">
        <f t="shared" si="1050"/>
        <v>-8.6382878554957863</v>
      </c>
      <c r="AU152" s="13">
        <f t="shared" si="1050"/>
        <v>-17.400694079293341</v>
      </c>
      <c r="AV152" s="13">
        <f t="shared" si="1050"/>
        <v>-34.973407565089182</v>
      </c>
      <c r="AW152" s="13">
        <f t="shared" si="1050"/>
        <v>266.81415929203592</v>
      </c>
      <c r="AX152" s="13">
        <f t="shared" si="1050"/>
        <v>81.776435045317172</v>
      </c>
      <c r="AY152" s="13">
        <f t="shared" si="1050"/>
        <v>198.27379310344847</v>
      </c>
      <c r="AZ152" s="13">
        <f t="shared" si="1050"/>
        <v>175.99767495931226</v>
      </c>
      <c r="BA152" s="13">
        <f t="shared" si="1050"/>
        <v>134.19164245810074</v>
      </c>
      <c r="BB152" s="13">
        <f t="shared" si="1050"/>
        <v>154.50995872958953</v>
      </c>
      <c r="BC152" s="13">
        <f t="shared" si="1050"/>
        <v>90.858902575588147</v>
      </c>
      <c r="BD152" s="13">
        <f t="shared" si="1050"/>
        <v>94.083490744238773</v>
      </c>
      <c r="BE152" s="13">
        <f t="shared" si="1050"/>
        <v>84.189737470166946</v>
      </c>
      <c r="BF152" s="13">
        <f t="shared" si="1050"/>
        <v>50.550898203592801</v>
      </c>
      <c r="BG152" s="13">
        <f t="shared" si="1050"/>
        <v>34.003725071548615</v>
      </c>
      <c r="BH152" s="13">
        <f t="shared" si="1050"/>
        <v>33.844931652760522</v>
      </c>
      <c r="BI152" s="13">
        <f t="shared" si="1050"/>
        <v>35.16420397246462</v>
      </c>
      <c r="BJ152" s="13">
        <f t="shared" si="1050"/>
        <v>33.986759075267749</v>
      </c>
      <c r="BK152" s="13">
        <f t="shared" si="1050"/>
        <v>27.949364537259925</v>
      </c>
      <c r="BL152" s="13">
        <f t="shared" si="1050"/>
        <v>34.081285664376352</v>
      </c>
      <c r="BM152" s="13">
        <f t="shared" si="1050"/>
        <v>23.14300613830191</v>
      </c>
      <c r="BN152" s="13">
        <f t="shared" si="1050"/>
        <v>10.1861052631579</v>
      </c>
      <c r="BO152" s="13">
        <f t="shared" si="1050"/>
        <v>39.887033557047033</v>
      </c>
      <c r="BP152" s="13">
        <f t="shared" si="1050"/>
        <v>39.725053014238149</v>
      </c>
      <c r="BQ152" s="13">
        <f t="shared" si="1050"/>
        <v>35.381420901485832</v>
      </c>
      <c r="BR152" s="13">
        <f t="shared" ref="BR152:DB152" si="1051">+BR144/BR136</f>
        <v>4874.6456692908696</v>
      </c>
      <c r="BS152" s="13">
        <f t="shared" si="1051"/>
        <v>304.70254715975653</v>
      </c>
      <c r="BT152" s="13">
        <f t="shared" si="1051"/>
        <v>634.93597523219728</v>
      </c>
      <c r="BU152" s="13">
        <f t="shared" si="1051"/>
        <v>184.0617609694126</v>
      </c>
      <c r="BV152" s="13">
        <f t="shared" si="1051"/>
        <v>50.191891891891906</v>
      </c>
      <c r="BW152" s="13">
        <f t="shared" si="1051"/>
        <v>19.06480060049881</v>
      </c>
      <c r="BX152" s="13">
        <f t="shared" si="1051"/>
        <v>18.047945550794054</v>
      </c>
      <c r="BY152" s="13">
        <f t="shared" si="1051"/>
        <v>18.160570383719865</v>
      </c>
      <c r="BZ152" s="13">
        <f t="shared" si="1051"/>
        <v>17.688461538461539</v>
      </c>
      <c r="CA152" s="13">
        <f t="shared" si="1051"/>
        <v>21.310389175430373</v>
      </c>
      <c r="CB152" s="13">
        <f t="shared" si="1051"/>
        <v>26.640891327552289</v>
      </c>
      <c r="CC152" s="13">
        <f t="shared" si="1051"/>
        <v>27.304726895859318</v>
      </c>
      <c r="CD152" s="13">
        <f t="shared" si="1051"/>
        <v>27.301638869445593</v>
      </c>
      <c r="CE152" s="13">
        <f t="shared" si="1051"/>
        <v>29.49818548820032</v>
      </c>
      <c r="CF152" s="13">
        <f t="shared" si="1051"/>
        <v>36.39079154539818</v>
      </c>
      <c r="CG152" s="13">
        <f t="shared" si="1051"/>
        <v>45.443409490333934</v>
      </c>
      <c r="CH152" s="13">
        <f t="shared" si="1051"/>
        <v>49.89891646952529</v>
      </c>
      <c r="CI152" s="13">
        <f t="shared" ref="CI152:CJ152" si="1052">+CI144/CI136</f>
        <v>58.355354349186477</v>
      </c>
      <c r="CJ152" s="13">
        <f t="shared" si="1052"/>
        <v>38.239795692253139</v>
      </c>
      <c r="CK152" s="13">
        <f t="shared" ref="CK152:CL152" si="1053">+CK144/CK136</f>
        <v>30.205243543004684</v>
      </c>
      <c r="CL152" s="13">
        <f t="shared" si="1053"/>
        <v>19.428987948403076</v>
      </c>
      <c r="CM152" s="37">
        <f t="shared" si="1051"/>
        <v>22.398633059606311</v>
      </c>
      <c r="CN152" s="37">
        <f t="shared" si="1051"/>
        <v>18.564734922565872</v>
      </c>
      <c r="CO152" s="37">
        <f t="shared" si="1051"/>
        <v>17.009237123295073</v>
      </c>
      <c r="CP152" s="37">
        <f t="shared" si="1051"/>
        <v>16.435913423837906</v>
      </c>
      <c r="CQ152" s="37">
        <f t="shared" si="1051"/>
        <v>16.171672851095082</v>
      </c>
      <c r="CR152" s="37">
        <f t="shared" si="1051"/>
        <v>15.577830158345918</v>
      </c>
      <c r="CS152" s="37">
        <f t="shared" si="1051"/>
        <v>14.577610178400409</v>
      </c>
      <c r="CT152" s="37">
        <f t="shared" si="1051"/>
        <v>13.581673380839771</v>
      </c>
      <c r="CU152" s="37">
        <f t="shared" si="1051"/>
        <v>13.083823134849119</v>
      </c>
      <c r="CV152" s="37">
        <f t="shared" si="1051"/>
        <v>12.877305746903657</v>
      </c>
      <c r="CW152" s="37">
        <f t="shared" si="1051"/>
        <v>12.643862394846145</v>
      </c>
      <c r="CX152" s="37">
        <f t="shared" si="1051"/>
        <v>12.433324743932854</v>
      </c>
      <c r="CY152" s="37">
        <f t="shared" si="1051"/>
        <v>11.855374967488016</v>
      </c>
      <c r="CZ152" s="37">
        <f t="shared" si="1051"/>
        <v>11.334687225002988</v>
      </c>
      <c r="DA152" s="37">
        <f t="shared" si="1051"/>
        <v>10.83485062050759</v>
      </c>
      <c r="DB152" s="37">
        <f t="shared" si="1051"/>
        <v>10.352828000470085</v>
      </c>
      <c r="DE152" s="134"/>
      <c r="DF152" s="13">
        <v>49.897539881235652</v>
      </c>
    </row>
    <row r="153" spans="1:110" s="13" customFormat="1" x14ac:dyDescent="0.2">
      <c r="A153" s="13" t="s">
        <v>461</v>
      </c>
      <c r="B153" s="13">
        <f t="shared" ref="B153:D153" si="1054">+B145/B136</f>
        <v>-2.5404120660688489E-2</v>
      </c>
      <c r="C153" s="13">
        <f t="shared" si="1054"/>
        <v>-6.5933283510320887E-3</v>
      </c>
      <c r="D153" s="13">
        <f t="shared" si="1054"/>
        <v>-4.5393089735639734E-2</v>
      </c>
      <c r="E153" s="13">
        <f t="shared" ref="E153:AE153" ca="1" si="1055">+E145/E136</f>
        <v>-5.5594336516299077</v>
      </c>
      <c r="F153" s="13">
        <f t="shared" ca="1" si="1055"/>
        <v>51.326212232734136</v>
      </c>
      <c r="G153" s="13">
        <f t="shared" ca="1" si="1055"/>
        <v>-19.033174313759798</v>
      </c>
      <c r="H153" s="13">
        <f t="shared" ca="1" si="1055"/>
        <v>-8.5734193194828983</v>
      </c>
      <c r="I153" s="13">
        <f t="shared" ca="1" si="1055"/>
        <v>-763.78619663499705</v>
      </c>
      <c r="J153" s="13">
        <f t="shared" ca="1" si="1055"/>
        <v>80.959109481293197</v>
      </c>
      <c r="K153" s="13">
        <f t="shared" ca="1" si="1055"/>
        <v>61.270690435861475</v>
      </c>
      <c r="L153" s="13">
        <f t="shared" ca="1" si="1055"/>
        <v>113.13596491228057</v>
      </c>
      <c r="M153" s="13">
        <f t="shared" ca="1" si="1055"/>
        <v>392.05851619645279</v>
      </c>
      <c r="N153" s="13">
        <f t="shared" ca="1" si="1055"/>
        <v>392.97572435394295</v>
      </c>
      <c r="O153" s="13">
        <f t="shared" ca="1" si="1055"/>
        <v>-12.032808977116659</v>
      </c>
      <c r="P153" s="13">
        <f t="shared" ca="1" si="1055"/>
        <v>-20.018512469738365</v>
      </c>
      <c r="Q153" s="13">
        <f t="shared" ca="1" si="1055"/>
        <v>87.45039925185246</v>
      </c>
      <c r="R153" s="13">
        <f t="shared" ca="1" si="1055"/>
        <v>206.05025125628057</v>
      </c>
      <c r="S153" s="13">
        <f t="shared" ca="1" si="1055"/>
        <v>75.991100204883139</v>
      </c>
      <c r="T153" s="13">
        <f t="shared" ca="1" si="1055"/>
        <v>54.279829208124788</v>
      </c>
      <c r="U153" s="13">
        <f t="shared" ca="1" si="1055"/>
        <v>23.731166578689372</v>
      </c>
      <c r="V153" s="13">
        <f t="shared" ca="1" si="1055"/>
        <v>7762.9116719230233</v>
      </c>
      <c r="W153" s="13">
        <f t="shared" ca="1" si="1055"/>
        <v>56.249727694479922</v>
      </c>
      <c r="X153" s="13">
        <f t="shared" ca="1" si="1055"/>
        <v>20.179658883921178</v>
      </c>
      <c r="Y153" s="13">
        <f t="shared" ca="1" si="1055"/>
        <v>31.145919721947362</v>
      </c>
      <c r="Z153" s="13">
        <f t="shared" ref="Z153:AA153" ca="1" si="1056">+Z145/Z136</f>
        <v>57.350147938176335</v>
      </c>
      <c r="AA153" s="13">
        <f t="shared" ca="1" si="1056"/>
        <v>57.350147938176335</v>
      </c>
      <c r="AB153" s="60">
        <f t="shared" ca="1" si="1055"/>
        <v>21.044011111929144</v>
      </c>
      <c r="AC153" s="60">
        <f t="shared" ca="1" si="1055"/>
        <v>21.088045842055635</v>
      </c>
      <c r="AD153" s="60">
        <f t="shared" ca="1" si="1055"/>
        <v>23.103129515607669</v>
      </c>
      <c r="AE153" s="60">
        <f t="shared" ca="1" si="1055"/>
        <v>23.414998230771531</v>
      </c>
      <c r="AL153" s="13">
        <f t="shared" ref="AL153:BQ153" si="1057">+AL145/AL136</f>
        <v>263.49139280125149</v>
      </c>
      <c r="AM153" s="13">
        <f t="shared" si="1057"/>
        <v>-35.269165247018655</v>
      </c>
      <c r="AN153" s="13">
        <f t="shared" si="1057"/>
        <v>-23.443541724042927</v>
      </c>
      <c r="AO153" s="13">
        <f t="shared" si="1057"/>
        <v>-23.821874999999959</v>
      </c>
      <c r="AP153" s="13">
        <f t="shared" si="1057"/>
        <v>-6.6294437769453651</v>
      </c>
      <c r="AQ153" s="13">
        <f t="shared" si="1057"/>
        <v>-10.879869468737775</v>
      </c>
      <c r="AR153" s="13">
        <f t="shared" si="1057"/>
        <v>-12.677003666841305</v>
      </c>
      <c r="AS153" s="13">
        <f t="shared" si="1057"/>
        <v>-12.327108780456628</v>
      </c>
      <c r="AT153" s="13">
        <f t="shared" si="1057"/>
        <v>-15.41102997694084</v>
      </c>
      <c r="AU153" s="13">
        <f t="shared" si="1057"/>
        <v>-24.828541381848837</v>
      </c>
      <c r="AV153" s="13">
        <f t="shared" si="1057"/>
        <v>-46.078270836744636</v>
      </c>
      <c r="AW153" s="13">
        <f t="shared" si="1057"/>
        <v>334.05132743362901</v>
      </c>
      <c r="AX153" s="13">
        <f t="shared" si="1057"/>
        <v>87.444108761329261</v>
      </c>
      <c r="AY153" s="13">
        <f t="shared" si="1057"/>
        <v>226.09034482758645</v>
      </c>
      <c r="AZ153" s="13">
        <f t="shared" si="1057"/>
        <v>227.68472448267906</v>
      </c>
      <c r="BA153" s="13">
        <f t="shared" si="1057"/>
        <v>256.56134078212324</v>
      </c>
      <c r="BB153" s="13">
        <f t="shared" si="1057"/>
        <v>194.29879777498707</v>
      </c>
      <c r="BC153" s="13">
        <f t="shared" si="1057"/>
        <v>120.79507278835419</v>
      </c>
      <c r="BD153" s="13">
        <f t="shared" si="1057"/>
        <v>118.00302228938422</v>
      </c>
      <c r="BE153" s="13">
        <f t="shared" si="1057"/>
        <v>110.09427207637216</v>
      </c>
      <c r="BF153" s="13">
        <f t="shared" si="1057"/>
        <v>74.504755195491356</v>
      </c>
      <c r="BG153" s="13">
        <f t="shared" si="1057"/>
        <v>50.877754054422354</v>
      </c>
      <c r="BH153" s="13">
        <f t="shared" si="1057"/>
        <v>45.959169181608381</v>
      </c>
      <c r="BI153" s="13">
        <f t="shared" si="1057"/>
        <v>38.002016924628428</v>
      </c>
      <c r="BJ153" s="13">
        <f t="shared" si="1057"/>
        <v>41.187805941937633</v>
      </c>
      <c r="BK153" s="13">
        <f t="shared" si="1057"/>
        <v>42.286411735065187</v>
      </c>
      <c r="BL153" s="13">
        <f t="shared" si="1057"/>
        <v>40.143822056597145</v>
      </c>
      <c r="BM153" s="13">
        <f t="shared" si="1057"/>
        <v>32.192318974414675</v>
      </c>
      <c r="BN153" s="13">
        <f t="shared" si="1057"/>
        <v>15.738947368421062</v>
      </c>
      <c r="BO153" s="13">
        <f t="shared" si="1057"/>
        <v>40.982416107382605</v>
      </c>
      <c r="BP153" s="13">
        <f t="shared" si="1057"/>
        <v>42.623447440169691</v>
      </c>
      <c r="BQ153" s="13">
        <f t="shared" si="1057"/>
        <v>42.443650892745666</v>
      </c>
      <c r="BR153" s="13">
        <f t="shared" ref="BR153:CH153" si="1058">+BR145/BR136</f>
        <v>7750.6866141724822</v>
      </c>
      <c r="BS153" s="13">
        <f t="shared" si="1058"/>
        <v>304.70254715975653</v>
      </c>
      <c r="BT153" s="13">
        <f t="shared" si="1058"/>
        <v>634.93597523219728</v>
      </c>
      <c r="BU153" s="13">
        <f t="shared" si="1058"/>
        <v>186.62835922994225</v>
      </c>
      <c r="BV153" s="13">
        <f t="shared" si="1058"/>
        <v>56.245945945945962</v>
      </c>
      <c r="BW153" s="13">
        <f t="shared" si="1058"/>
        <v>31.615680767088801</v>
      </c>
      <c r="BX153" s="13">
        <f t="shared" si="1058"/>
        <v>20.728283337534666</v>
      </c>
      <c r="BY153" s="13">
        <f t="shared" si="1058"/>
        <v>18.79726384193426</v>
      </c>
      <c r="BZ153" s="13">
        <f t="shared" si="1058"/>
        <v>20.179881656804735</v>
      </c>
      <c r="CA153" s="13">
        <f t="shared" si="1058"/>
        <v>21.757384955455827</v>
      </c>
      <c r="CB153" s="13">
        <f t="shared" si="1058"/>
        <v>34.15008777423936</v>
      </c>
      <c r="CC153" s="13">
        <f t="shared" si="1058"/>
        <v>29.895303871876674</v>
      </c>
      <c r="CD153" s="13">
        <f t="shared" si="1058"/>
        <v>28.843426419830568</v>
      </c>
      <c r="CE153" s="13">
        <f t="shared" si="1058"/>
        <v>31.218325495501315</v>
      </c>
      <c r="CF153" s="13">
        <f t="shared" si="1058"/>
        <v>36.81275824228257</v>
      </c>
      <c r="CG153" s="13">
        <f t="shared" si="1058"/>
        <v>45.50615114235503</v>
      </c>
      <c r="CH153" s="13">
        <f t="shared" si="1058"/>
        <v>57.351730131251358</v>
      </c>
      <c r="CI153" s="13">
        <f t="shared" ref="CI153:CJ153" si="1059">+CI145/CI136</f>
        <v>58.758905663329159</v>
      </c>
      <c r="CJ153" s="13">
        <f t="shared" si="1059"/>
        <v>50.302557170714408</v>
      </c>
      <c r="CK153" s="13">
        <f t="shared" ref="CK153:CL153" si="1060">+CK145/CK136</f>
        <v>31.883439562848629</v>
      </c>
      <c r="CL153" s="13">
        <f t="shared" si="1060"/>
        <v>21.020675715325844</v>
      </c>
      <c r="CM153" s="60">
        <f t="shared" ref="CM153:CM154" si="1061">+CL153</f>
        <v>21.020675715325844</v>
      </c>
      <c r="CN153" s="60">
        <f t="shared" ref="CN153:CN154" si="1062">+CM153</f>
        <v>21.020675715325844</v>
      </c>
      <c r="CO153" s="60">
        <f t="shared" ref="CO153:CO154" si="1063">+CN153</f>
        <v>21.020675715325844</v>
      </c>
      <c r="CP153" s="60">
        <f t="shared" ref="CP153:CP154" si="1064">+CO153</f>
        <v>21.020675715325844</v>
      </c>
      <c r="CQ153" s="60">
        <f t="shared" ref="CQ153:CQ154" si="1065">+CP153</f>
        <v>21.020675715325844</v>
      </c>
      <c r="CR153" s="60">
        <f t="shared" ref="CR153:CR154" si="1066">+CQ153</f>
        <v>21.020675715325844</v>
      </c>
      <c r="CS153" s="60">
        <f t="shared" ref="CS153:CS154" si="1067">+CR153</f>
        <v>21.020675715325844</v>
      </c>
      <c r="CT153" s="60">
        <f t="shared" ref="CT153:CT154" si="1068">+CS153</f>
        <v>21.020675715325844</v>
      </c>
      <c r="CU153" s="60">
        <f t="shared" ref="CU153:CU154" si="1069">+CT153</f>
        <v>21.020675715325844</v>
      </c>
      <c r="CV153" s="60">
        <f t="shared" ref="CV153:CV154" si="1070">+CU153</f>
        <v>21.020675715325844</v>
      </c>
      <c r="CW153" s="60">
        <f t="shared" ref="CW153:CW154" si="1071">+CV153</f>
        <v>21.020675715325844</v>
      </c>
      <c r="CX153" s="60">
        <f t="shared" ref="CX153:CX154" si="1072">+CW153</f>
        <v>21.020675715325844</v>
      </c>
      <c r="CY153" s="60">
        <f t="shared" ref="CY153:CY154" si="1073">+CX153</f>
        <v>21.020675715325844</v>
      </c>
      <c r="CZ153" s="60">
        <f t="shared" ref="CZ153:CZ154" si="1074">+CY153</f>
        <v>21.020675715325844</v>
      </c>
      <c r="DA153" s="60">
        <f t="shared" ref="DA153:DA154" si="1075">+CZ153</f>
        <v>21.020675715325844</v>
      </c>
      <c r="DB153" s="60">
        <f t="shared" ref="DB153:DB154" si="1076">+DA153</f>
        <v>21.020675715325844</v>
      </c>
      <c r="DE153" s="136"/>
      <c r="DF153" s="13">
        <v>57.350147938176335</v>
      </c>
    </row>
    <row r="154" spans="1:110" s="13" customFormat="1" x14ac:dyDescent="0.2">
      <c r="A154" s="13" t="s">
        <v>462</v>
      </c>
      <c r="B154" s="13">
        <f t="shared" ref="B154:D154" si="1077">+B146/B136</f>
        <v>-7.7561253344579899E-3</v>
      </c>
      <c r="C154" s="13">
        <f t="shared" si="1077"/>
        <v>-1.2244752651916738E-3</v>
      </c>
      <c r="D154" s="13">
        <f t="shared" si="1077"/>
        <v>-4.0126488164101424E-3</v>
      </c>
      <c r="E154" s="13">
        <f t="shared" ref="E154:AE154" ca="1" si="1078">+E146/E136</f>
        <v>-0.54837950985465067</v>
      </c>
      <c r="F154" s="13">
        <f t="shared" ca="1" si="1078"/>
        <v>4.2131949805216795</v>
      </c>
      <c r="G154" s="13">
        <f t="shared" ca="1" si="1078"/>
        <v>-6.1991357993855765</v>
      </c>
      <c r="H154" s="13">
        <f t="shared" ca="1" si="1078"/>
        <v>-3.3228884300351278</v>
      </c>
      <c r="I154" s="13">
        <f t="shared" ca="1" si="1078"/>
        <v>-21.763305482430944</v>
      </c>
      <c r="J154" s="13">
        <f t="shared" ca="1" si="1078"/>
        <v>13.864556975389659</v>
      </c>
      <c r="K154" s="13">
        <f t="shared" ca="1" si="1078"/>
        <v>30.045447684851201</v>
      </c>
      <c r="L154" s="13">
        <f t="shared" ca="1" si="1078"/>
        <v>45.37538699690397</v>
      </c>
      <c r="M154" s="13">
        <f t="shared" ca="1" si="1078"/>
        <v>160.97017924604359</v>
      </c>
      <c r="N154" s="13">
        <f t="shared" ca="1" si="1078"/>
        <v>169.67736883319782</v>
      </c>
      <c r="O154" s="13">
        <f t="shared" ca="1" si="1078"/>
        <v>-4.0772327938990331</v>
      </c>
      <c r="P154" s="13">
        <f t="shared" ca="1" si="1078"/>
        <v>-8.2588191215463471</v>
      </c>
      <c r="Q154" s="13">
        <f t="shared" ca="1" si="1078"/>
        <v>22.469894252212089</v>
      </c>
      <c r="R154" s="13">
        <f t="shared" ca="1" si="1078"/>
        <v>91.409547738693107</v>
      </c>
      <c r="S154" s="13">
        <f t="shared" ca="1" si="1078"/>
        <v>44.60347185938793</v>
      </c>
      <c r="T154" s="13">
        <f t="shared" ca="1" si="1078"/>
        <v>28.640110888709064</v>
      </c>
      <c r="U154" s="13">
        <f t="shared" ca="1" si="1078"/>
        <v>7.3563079707412653</v>
      </c>
      <c r="V154" s="13">
        <f t="shared" ca="1" si="1078"/>
        <v>1828.6561514192601</v>
      </c>
      <c r="W154" s="13">
        <f t="shared" ca="1" si="1078"/>
        <v>3.9694560613191685</v>
      </c>
      <c r="X154" s="13">
        <f t="shared" ca="1" si="1078"/>
        <v>7.8345288955125021</v>
      </c>
      <c r="Y154" s="13">
        <f t="shared" ca="1" si="1078"/>
        <v>12.452028674181179</v>
      </c>
      <c r="Z154" s="13">
        <f t="shared" ref="Z154:AA154" ca="1" si="1079">+Z146/Z136</f>
        <v>22.98275640893009</v>
      </c>
      <c r="AA154" s="13">
        <f t="shared" ca="1" si="1079"/>
        <v>22.98275640893009</v>
      </c>
      <c r="AB154" s="60">
        <f t="shared" ca="1" si="1078"/>
        <v>12.33692902035359</v>
      </c>
      <c r="AC154" s="60">
        <f t="shared" ca="1" si="1078"/>
        <v>12.800140504531495</v>
      </c>
      <c r="AD154" s="60">
        <f t="shared" ca="1" si="1078"/>
        <v>15.671457095382891</v>
      </c>
      <c r="AE154" s="60">
        <f t="shared" ca="1" si="1078"/>
        <v>15.61441151844252</v>
      </c>
      <c r="AL154" s="13">
        <f t="shared" ref="AL154:BQ154" si="1080">+AL146/AL136</f>
        <v>169.54460093896688</v>
      </c>
      <c r="AM154" s="13">
        <f t="shared" si="1080"/>
        <v>-20.339693356047654</v>
      </c>
      <c r="AN154" s="13">
        <f t="shared" si="1080"/>
        <v>-11.521564307353328</v>
      </c>
      <c r="AO154" s="13">
        <f t="shared" si="1080"/>
        <v>-11.28749999999998</v>
      </c>
      <c r="AP154" s="13">
        <f t="shared" si="1080"/>
        <v>-4.0771079228214004</v>
      </c>
      <c r="AQ154" s="13">
        <f t="shared" si="1080"/>
        <v>-5.5611486751076944</v>
      </c>
      <c r="AR154" s="13">
        <f t="shared" si="1080"/>
        <v>-8.4482647983237467</v>
      </c>
      <c r="AS154" s="13">
        <f t="shared" si="1080"/>
        <v>-7.2522990343416378</v>
      </c>
      <c r="AT154" s="13">
        <f t="shared" si="1080"/>
        <v>-8.2597713297463624</v>
      </c>
      <c r="AU154" s="13">
        <f t="shared" si="1080"/>
        <v>-16.956798822168516</v>
      </c>
      <c r="AV154" s="13">
        <f t="shared" si="1080"/>
        <v>-25.573440314393274</v>
      </c>
      <c r="AW154" s="13">
        <f t="shared" si="1080"/>
        <v>213.45132743362873</v>
      </c>
      <c r="AX154" s="13">
        <f t="shared" si="1080"/>
        <v>29.390936555891223</v>
      </c>
      <c r="AY154" s="13">
        <f t="shared" si="1080"/>
        <v>124.20413793103461</v>
      </c>
      <c r="AZ154" s="13">
        <f t="shared" si="1080"/>
        <v>163.6974657056503</v>
      </c>
      <c r="BA154" s="13">
        <f t="shared" si="1080"/>
        <v>113.81765363128508</v>
      </c>
      <c r="BB154" s="13">
        <f t="shared" si="1080"/>
        <v>105.0263771756687</v>
      </c>
      <c r="BC154" s="13">
        <f t="shared" si="1080"/>
        <v>79.041993281075236</v>
      </c>
      <c r="BD154" s="13">
        <f t="shared" si="1080"/>
        <v>79.731771817151511</v>
      </c>
      <c r="BE154" s="13">
        <f t="shared" si="1080"/>
        <v>76.994033412887731</v>
      </c>
      <c r="BF154" s="13">
        <f t="shared" si="1080"/>
        <v>44.60373370905247</v>
      </c>
      <c r="BG154" s="13">
        <f t="shared" si="1080"/>
        <v>29.401717167128499</v>
      </c>
      <c r="BH154" s="13">
        <f t="shared" si="1080"/>
        <v>32.471152139179836</v>
      </c>
      <c r="BI154" s="13">
        <f t="shared" si="1080"/>
        <v>29.661314508703487</v>
      </c>
      <c r="BJ154" s="13">
        <f t="shared" si="1080"/>
        <v>28.640527310618886</v>
      </c>
      <c r="BK154" s="13">
        <f t="shared" si="1080"/>
        <v>22.151525670455165</v>
      </c>
      <c r="BL154" s="13">
        <f t="shared" si="1080"/>
        <v>26.216373587981806</v>
      </c>
      <c r="BM154" s="13">
        <f t="shared" si="1080"/>
        <v>21.094681949046656</v>
      </c>
      <c r="BN154" s="13">
        <f t="shared" si="1080"/>
        <v>7.3566315789473729</v>
      </c>
      <c r="BO154" s="13">
        <f t="shared" si="1080"/>
        <v>15.561986577181228</v>
      </c>
      <c r="BP154" s="13">
        <f t="shared" si="1080"/>
        <v>31.439054831869164</v>
      </c>
      <c r="BQ154" s="13">
        <f t="shared" si="1080"/>
        <v>32.50031214883257</v>
      </c>
      <c r="BR154" s="13">
        <f t="shared" ref="BR154:CH154" si="1081">+BR146/BR136</f>
        <v>4342.8661417318663</v>
      </c>
      <c r="BS154" s="13">
        <f t="shared" si="1081"/>
        <v>62.919876372162335</v>
      </c>
      <c r="BT154" s="13">
        <f t="shared" si="1081"/>
        <v>329.31640866873022</v>
      </c>
      <c r="BU154" s="13">
        <f t="shared" si="1081"/>
        <v>131.26316818137391</v>
      </c>
      <c r="BV154" s="13">
        <f t="shared" si="1081"/>
        <v>38.764864864864876</v>
      </c>
      <c r="BW154" s="13">
        <f t="shared" si="1081"/>
        <v>17.184212692801282</v>
      </c>
      <c r="BX154" s="13">
        <f t="shared" si="1081"/>
        <v>13.421956138139654</v>
      </c>
      <c r="BY154" s="13">
        <f t="shared" si="1081"/>
        <v>12.078667175311439</v>
      </c>
      <c r="BZ154" s="13">
        <f t="shared" si="1081"/>
        <v>14.637869822485207</v>
      </c>
      <c r="CA154" s="13">
        <f t="shared" si="1081"/>
        <v>14.810101145421664</v>
      </c>
      <c r="CB154" s="13">
        <f t="shared" si="1081"/>
        <v>19.620723542021363</v>
      </c>
      <c r="CC154" s="13">
        <f t="shared" si="1081"/>
        <v>22.114459216556288</v>
      </c>
      <c r="CD154" s="13">
        <f t="shared" si="1081"/>
        <v>23.654326470517251</v>
      </c>
      <c r="CE154" s="13">
        <f t="shared" si="1081"/>
        <v>23.852339539178434</v>
      </c>
      <c r="CF154" s="13">
        <f t="shared" si="1081"/>
        <v>25.893410945178697</v>
      </c>
      <c r="CG154" s="13">
        <f t="shared" si="1081"/>
        <v>32.513093145869959</v>
      </c>
      <c r="CH154" s="13">
        <f t="shared" si="1081"/>
        <v>36.613887950120365</v>
      </c>
      <c r="CI154" s="13">
        <f t="shared" ref="CI154:CJ154" si="1082">+CI146/CI136</f>
        <v>36.87174984355444</v>
      </c>
      <c r="CJ154" s="13">
        <f t="shared" si="1082"/>
        <v>37.460346126573299</v>
      </c>
      <c r="CK154" s="13">
        <f t="shared" ref="CK154:CL154" si="1083">+CK146/CK136</f>
        <v>26.748319679119202</v>
      </c>
      <c r="CL154" s="13">
        <f t="shared" si="1083"/>
        <v>15.962747633692306</v>
      </c>
      <c r="CM154" s="60">
        <f t="shared" si="1061"/>
        <v>15.962747633692306</v>
      </c>
      <c r="CN154" s="60">
        <f t="shared" si="1062"/>
        <v>15.962747633692306</v>
      </c>
      <c r="CO154" s="60">
        <f t="shared" si="1063"/>
        <v>15.962747633692306</v>
      </c>
      <c r="CP154" s="60">
        <f t="shared" si="1064"/>
        <v>15.962747633692306</v>
      </c>
      <c r="CQ154" s="60">
        <f t="shared" si="1065"/>
        <v>15.962747633692306</v>
      </c>
      <c r="CR154" s="60">
        <f t="shared" si="1066"/>
        <v>15.962747633692306</v>
      </c>
      <c r="CS154" s="60">
        <f t="shared" si="1067"/>
        <v>15.962747633692306</v>
      </c>
      <c r="CT154" s="60">
        <f t="shared" si="1068"/>
        <v>15.962747633692306</v>
      </c>
      <c r="CU154" s="60">
        <f t="shared" si="1069"/>
        <v>15.962747633692306</v>
      </c>
      <c r="CV154" s="60">
        <f t="shared" si="1070"/>
        <v>15.962747633692306</v>
      </c>
      <c r="CW154" s="60">
        <f t="shared" si="1071"/>
        <v>15.962747633692306</v>
      </c>
      <c r="CX154" s="60">
        <f t="shared" si="1072"/>
        <v>15.962747633692306</v>
      </c>
      <c r="CY154" s="60">
        <f t="shared" si="1073"/>
        <v>15.962747633692306</v>
      </c>
      <c r="CZ154" s="60">
        <f t="shared" si="1074"/>
        <v>15.962747633692306</v>
      </c>
      <c r="DA154" s="60">
        <f t="shared" si="1075"/>
        <v>15.962747633692306</v>
      </c>
      <c r="DB154" s="60">
        <f t="shared" si="1076"/>
        <v>15.962747633692306</v>
      </c>
      <c r="DE154" s="136"/>
      <c r="DF154" s="13">
        <v>22.98275640893009</v>
      </c>
    </row>
    <row r="155" spans="1:110" s="13" customFormat="1" x14ac:dyDescent="0.2">
      <c r="AB155" s="60"/>
      <c r="AC155" s="60"/>
      <c r="AD155" s="60"/>
      <c r="AE155" s="60"/>
      <c r="CM155" s="60"/>
      <c r="CN155" s="60"/>
      <c r="CO155" s="60"/>
      <c r="CP155" s="60"/>
      <c r="CQ155" s="60"/>
      <c r="CR155" s="60"/>
      <c r="CS155" s="60"/>
      <c r="CT155" s="60"/>
      <c r="CU155" s="60"/>
      <c r="CV155" s="60"/>
      <c r="CW155" s="60"/>
      <c r="CX155" s="60"/>
      <c r="CY155" s="60"/>
      <c r="CZ155" s="60"/>
      <c r="DA155" s="60"/>
      <c r="DB155" s="60"/>
      <c r="DE155" s="136"/>
    </row>
    <row r="156" spans="1:110" s="13" customFormat="1" x14ac:dyDescent="0.2">
      <c r="A156" s="13" t="s">
        <v>463</v>
      </c>
      <c r="B156" s="13">
        <f t="shared" ref="B156:AC156" si="1084">+B144/C136</f>
        <v>-7.723613211209018E-3</v>
      </c>
      <c r="C156" s="13">
        <f t="shared" si="1084"/>
        <v>-5.0158110205126777E-3</v>
      </c>
      <c r="D156" s="13">
        <f t="shared" ca="1" si="1084"/>
        <v>-0.58619878639635081</v>
      </c>
      <c r="E156" s="13">
        <f t="shared" ca="1" si="1084"/>
        <v>8.4769078864692791</v>
      </c>
      <c r="F156" s="13">
        <f t="shared" ca="1" si="1084"/>
        <v>-12.749696530709111</v>
      </c>
      <c r="G156" s="13">
        <f t="shared" ca="1" si="1084"/>
        <v>-7.2516073473142288</v>
      </c>
      <c r="H156" s="13">
        <f t="shared" ca="1" si="1084"/>
        <v>-23.327686849032744</v>
      </c>
      <c r="I156" s="13">
        <f t="shared" ca="1" si="1084"/>
        <v>74.67054256745574</v>
      </c>
      <c r="J156" s="13">
        <f t="shared" ca="1" si="1084"/>
        <v>32.090425799526933</v>
      </c>
      <c r="K156" s="13">
        <f t="shared" ca="1" si="1084"/>
        <v>44.770381836945255</v>
      </c>
      <c r="L156" s="13">
        <f t="shared" ca="1" si="1084"/>
        <v>322.31733783458378</v>
      </c>
      <c r="M156" s="13">
        <f t="shared" ca="1" si="1084"/>
        <v>376.08144087704449</v>
      </c>
      <c r="N156" s="13">
        <f t="shared" ca="1" si="1084"/>
        <v>-7.9423168895789304</v>
      </c>
      <c r="O156" s="13">
        <f t="shared" ca="1" si="1084"/>
        <v>-10.691859124620557</v>
      </c>
      <c r="P156" s="13">
        <f t="shared" ca="1" si="1084"/>
        <v>25.870743112006348</v>
      </c>
      <c r="Q156" s="13">
        <f t="shared" ca="1" si="1084"/>
        <v>102.01507537688401</v>
      </c>
      <c r="R156" s="13">
        <f t="shared" ca="1" si="1084"/>
        <v>50.55060144063966</v>
      </c>
      <c r="S156" s="13">
        <f t="shared" ca="1" si="1084"/>
        <v>41.732733009261779</v>
      </c>
      <c r="T156" s="13">
        <f t="shared" ca="1" si="1084"/>
        <v>22.033557046979848</v>
      </c>
      <c r="U156" s="13">
        <f t="shared" ca="1" si="1084"/>
        <v>2556.5678233434314</v>
      </c>
      <c r="V156" s="13">
        <f t="shared" ca="1" si="1084"/>
        <v>4.1624420090096139</v>
      </c>
      <c r="W156" s="13">
        <f t="shared" ca="1" si="1084"/>
        <v>8.2414770657393603</v>
      </c>
      <c r="X156" s="13">
        <f t="shared" ca="1" si="1084"/>
        <v>12.891245685597752</v>
      </c>
      <c r="Y156" s="13">
        <f t="shared" ca="1" si="1084"/>
        <v>23.403906395481165</v>
      </c>
      <c r="Z156" s="13">
        <f t="shared" ca="1" si="1084"/>
        <v>19.655279773095256</v>
      </c>
      <c r="AA156" s="13">
        <f t="shared" ca="1" si="1084"/>
        <v>19.655279773095256</v>
      </c>
      <c r="AB156" s="37">
        <f t="shared" ca="1" si="1084"/>
        <v>13.581673380839774</v>
      </c>
      <c r="AC156" s="37">
        <f t="shared" ca="1" si="1084"/>
        <v>12.433324743932847</v>
      </c>
      <c r="AD156" s="37">
        <f ca="1">+AD144/AE136</f>
        <v>10.352828000470085</v>
      </c>
      <c r="AE156" s="37"/>
      <c r="AL156" s="13">
        <f t="shared" ref="AL156:CL156" si="1085">+AL144/AP136</f>
        <v>-7.9420736447805478</v>
      </c>
      <c r="AM156" s="13">
        <f t="shared" si="1085"/>
        <v>-6.5455527998955825</v>
      </c>
      <c r="AN156" s="13">
        <f t="shared" si="1085"/>
        <v>-15.938383970665305</v>
      </c>
      <c r="AO156" s="13">
        <f t="shared" si="1085"/>
        <v>-8.9259065038050913</v>
      </c>
      <c r="AP156" s="13">
        <f t="shared" si="1085"/>
        <v>-10.693091852421233</v>
      </c>
      <c r="AQ156" s="13">
        <f t="shared" si="1085"/>
        <v>-39.240340729834983</v>
      </c>
      <c r="AR156" s="13">
        <f t="shared" si="1085"/>
        <v>-45.15670542000975</v>
      </c>
      <c r="AS156" s="13">
        <f t="shared" si="1085"/>
        <v>353.26194690265555</v>
      </c>
      <c r="AT156" s="13">
        <f t="shared" si="1085"/>
        <v>25.86888217522657</v>
      </c>
      <c r="AU156" s="13">
        <f t="shared" si="1085"/>
        <v>38.037517241379348</v>
      </c>
      <c r="AV156" s="13">
        <f t="shared" si="1085"/>
        <v>49.658823529411897</v>
      </c>
      <c r="AW156" s="13">
        <f t="shared" si="1085"/>
        <v>47.162011173184425</v>
      </c>
      <c r="AX156" s="13">
        <f t="shared" si="1085"/>
        <v>101.99677014175516</v>
      </c>
      <c r="AY156" s="13">
        <f t="shared" si="1085"/>
        <v>80.486282194849039</v>
      </c>
      <c r="AZ156" s="13">
        <f t="shared" si="1085"/>
        <v>71.492822062712506</v>
      </c>
      <c r="BA156" s="13">
        <f t="shared" si="1085"/>
        <v>51.18544152744623</v>
      </c>
      <c r="BB156" s="13">
        <f t="shared" si="1085"/>
        <v>50.550898203592801</v>
      </c>
      <c r="BC156" s="13">
        <f t="shared" si="1085"/>
        <v>44.230409303593305</v>
      </c>
      <c r="BD156" s="13">
        <f t="shared" si="1085"/>
        <v>44.210722527960236</v>
      </c>
      <c r="BE156" s="13">
        <f t="shared" si="1085"/>
        <v>43.307493313456426</v>
      </c>
      <c r="BF156" s="13">
        <f t="shared" si="1085"/>
        <v>41.733339795473235</v>
      </c>
      <c r="BG156" s="13">
        <f t="shared" si="1085"/>
        <v>41.908291808969231</v>
      </c>
      <c r="BH156" s="13">
        <f t="shared" si="1085"/>
        <v>44.403982764644191</v>
      </c>
      <c r="BI156" s="13">
        <f t="shared" si="1085"/>
        <v>43.565104025205045</v>
      </c>
      <c r="BJ156" s="13">
        <f t="shared" si="1085"/>
        <v>22.034526315789488</v>
      </c>
      <c r="BK156" s="13">
        <f t="shared" si="1085"/>
        <v>33.503597315436281</v>
      </c>
      <c r="BL156" s="13">
        <f t="shared" si="1085"/>
        <v>35.462708270221185</v>
      </c>
      <c r="BM156" s="13">
        <f t="shared" si="1085"/>
        <v>26.597552753152709</v>
      </c>
      <c r="BN156" s="13">
        <f t="shared" si="1085"/>
        <v>2552.5417322832191</v>
      </c>
      <c r="BO156" s="13">
        <f t="shared" si="1085"/>
        <v>63.339742086752551</v>
      </c>
      <c r="BP156" s="13">
        <f t="shared" si="1085"/>
        <v>81.196532507739832</v>
      </c>
      <c r="BQ156" s="13">
        <f t="shared" si="1085"/>
        <v>18.461174631095467</v>
      </c>
      <c r="BR156" s="13">
        <f t="shared" si="1085"/>
        <v>4.1621621621621632</v>
      </c>
      <c r="BS156" s="13">
        <f t="shared" si="1085"/>
        <v>6.9227438921039273</v>
      </c>
      <c r="BT156" s="13">
        <f t="shared" si="1085"/>
        <v>9.231711620872197</v>
      </c>
      <c r="BU156" s="13">
        <f t="shared" si="1085"/>
        <v>7.4330259540378085</v>
      </c>
      <c r="BV156" s="13">
        <f t="shared" si="1085"/>
        <v>8.2415680473372781</v>
      </c>
      <c r="BW156" s="13">
        <f t="shared" si="1085"/>
        <v>7.5343023645254208</v>
      </c>
      <c r="BX156" s="13">
        <f t="shared" si="1085"/>
        <v>8.8422339646609434</v>
      </c>
      <c r="BY156" s="13">
        <f t="shared" si="1085"/>
        <v>11.177986494583262</v>
      </c>
      <c r="BZ156" s="13">
        <f t="shared" si="1085"/>
        <v>12.891245685597744</v>
      </c>
      <c r="CA156" s="13">
        <f t="shared" si="1085"/>
        <v>15.940501191779946</v>
      </c>
      <c r="CB156" s="13">
        <f t="shared" si="1085"/>
        <v>20.584302686196875</v>
      </c>
      <c r="CC156" s="13">
        <f t="shared" si="1085"/>
        <v>22.114586994727603</v>
      </c>
      <c r="CD156" s="13">
        <f t="shared" si="1085"/>
        <v>23.40455206946735</v>
      </c>
      <c r="CE156" s="13">
        <f t="shared" si="1085"/>
        <v>26.863677252816018</v>
      </c>
      <c r="CF156" s="13">
        <f t="shared" si="1085"/>
        <v>29.576993219287356</v>
      </c>
      <c r="CG156" s="13">
        <f t="shared" si="1085"/>
        <v>28.132917076022441</v>
      </c>
      <c r="CH156" s="13">
        <f t="shared" si="1085"/>
        <v>19.655279773095266</v>
      </c>
      <c r="CI156" s="13">
        <f t="shared" si="1085"/>
        <v>19.21703650283861</v>
      </c>
      <c r="CJ156" s="13">
        <f t="shared" si="1085"/>
        <v>12.281363205246517</v>
      </c>
      <c r="CK156" s="13">
        <f t="shared" si="1085"/>
        <v>12.128485154798319</v>
      </c>
      <c r="CL156" s="13">
        <f t="shared" si="1085"/>
        <v>11.264894923231298</v>
      </c>
      <c r="CM156" s="37"/>
      <c r="CN156" s="37"/>
      <c r="CO156" s="37"/>
      <c r="CP156" s="37"/>
      <c r="CQ156" s="37"/>
      <c r="CR156" s="37"/>
      <c r="CS156" s="37"/>
      <c r="CT156" s="37"/>
      <c r="CU156" s="37"/>
      <c r="CV156" s="37"/>
      <c r="CW156" s="37"/>
      <c r="CX156" s="37"/>
      <c r="CY156" s="37"/>
      <c r="CZ156" s="37"/>
      <c r="DA156" s="37"/>
      <c r="DB156" s="37"/>
      <c r="DE156" s="134"/>
      <c r="DF156" s="13">
        <v>19.655279773095256</v>
      </c>
    </row>
    <row r="157" spans="1:110" s="98" customFormat="1" x14ac:dyDescent="0.2">
      <c r="A157" s="98" t="s">
        <v>426</v>
      </c>
      <c r="AB157" s="99"/>
      <c r="AC157" s="99"/>
      <c r="AD157" s="99"/>
      <c r="AE157" s="99"/>
      <c r="AL157" s="174"/>
      <c r="AM157" s="174"/>
      <c r="AN157" s="174"/>
      <c r="AO157" s="174">
        <f t="shared" ref="AO157:CI157" si="1086">+CORREL(AL136:AO136,AL153:AO153)</f>
        <v>0.90361454969925803</v>
      </c>
      <c r="AP157" s="174">
        <f t="shared" si="1086"/>
        <v>-0.9911673524949326</v>
      </c>
      <c r="AQ157" s="174">
        <f t="shared" si="1086"/>
        <v>-0.9989999252130205</v>
      </c>
      <c r="AR157" s="174">
        <f t="shared" si="1086"/>
        <v>-0.96337205021874106</v>
      </c>
      <c r="AS157" s="174">
        <f t="shared" si="1086"/>
        <v>-0.93034954289927774</v>
      </c>
      <c r="AT157" s="174">
        <f t="shared" si="1086"/>
        <v>-0.99542608769166896</v>
      </c>
      <c r="AU157" s="174">
        <f t="shared" si="1086"/>
        <v>-0.96928535062386056</v>
      </c>
      <c r="AV157" s="174">
        <f t="shared" si="1086"/>
        <v>-0.85227410344970134</v>
      </c>
      <c r="AW157" s="174">
        <f t="shared" si="1086"/>
        <v>0.67257432358610125</v>
      </c>
      <c r="AX157" s="174">
        <f t="shared" si="1086"/>
        <v>0.54232384003330003</v>
      </c>
      <c r="AY157" s="174">
        <f t="shared" si="1086"/>
        <v>0.44033329179734432</v>
      </c>
      <c r="AZ157" s="174">
        <f t="shared" si="1086"/>
        <v>-0.98080233252898086</v>
      </c>
      <c r="BA157" s="174">
        <f t="shared" si="1086"/>
        <v>-0.97135048037085525</v>
      </c>
      <c r="BB157" s="174">
        <f t="shared" si="1086"/>
        <v>-0.7653185545440726</v>
      </c>
      <c r="BC157" s="174">
        <f t="shared" si="1086"/>
        <v>-0.95127523724362628</v>
      </c>
      <c r="BD157" s="174">
        <f t="shared" si="1086"/>
        <v>-0.96675187848905197</v>
      </c>
      <c r="BE157" s="174">
        <f t="shared" si="1086"/>
        <v>-0.99618519349895363</v>
      </c>
      <c r="BF157" s="174">
        <f t="shared" si="1086"/>
        <v>-0.99674486327819711</v>
      </c>
      <c r="BG157" s="174">
        <f t="shared" si="1086"/>
        <v>-0.99641027295060081</v>
      </c>
      <c r="BH157" s="174">
        <f t="shared" si="1086"/>
        <v>-0.99668415833931945</v>
      </c>
      <c r="BI157" s="174">
        <f t="shared" si="1086"/>
        <v>-0.97313462313841348</v>
      </c>
      <c r="BJ157" s="174">
        <f t="shared" si="1086"/>
        <v>8.3137474868528183E-3</v>
      </c>
      <c r="BK157" s="174">
        <f t="shared" si="1086"/>
        <v>-7.944205244278485E-2</v>
      </c>
      <c r="BL157" s="174">
        <f t="shared" si="1086"/>
        <v>-0.67011258798252893</v>
      </c>
      <c r="BM157" s="174">
        <f t="shared" si="1086"/>
        <v>8.1142966532752672E-2</v>
      </c>
      <c r="BN157" s="174">
        <f t="shared" si="1086"/>
        <v>-0.94856000390140616</v>
      </c>
      <c r="BO157" s="174">
        <f t="shared" si="1086"/>
        <v>-0.97673569234446445</v>
      </c>
      <c r="BP157" s="174">
        <f t="shared" si="1086"/>
        <v>-0.96821521319193771</v>
      </c>
      <c r="BQ157" s="174">
        <f t="shared" si="1086"/>
        <v>-0.9903685037127764</v>
      </c>
      <c r="BR157" s="174">
        <f t="shared" si="1086"/>
        <v>-0.99633200273856004</v>
      </c>
      <c r="BS157" s="174">
        <f t="shared" si="1086"/>
        <v>-0.91850497097045525</v>
      </c>
      <c r="BT157" s="174">
        <f t="shared" si="1086"/>
        <v>-0.87564237319014293</v>
      </c>
      <c r="BU157" s="174">
        <f t="shared" si="1086"/>
        <v>-0.63833089503544338</v>
      </c>
      <c r="BV157" s="174">
        <f t="shared" si="1086"/>
        <v>-0.7233525083547705</v>
      </c>
      <c r="BW157" s="174">
        <f t="shared" si="1086"/>
        <v>-0.66778752990384904</v>
      </c>
      <c r="BX157" s="174">
        <f t="shared" si="1086"/>
        <v>-0.83442041133908673</v>
      </c>
      <c r="BY157" s="174">
        <f t="shared" si="1086"/>
        <v>-0.94674835972210614</v>
      </c>
      <c r="BZ157" s="174">
        <f t="shared" si="1086"/>
        <v>-0.77767111482565776</v>
      </c>
      <c r="CA157" s="174">
        <f t="shared" si="1086"/>
        <v>0.38085742222740399</v>
      </c>
      <c r="CB157" s="174">
        <f t="shared" si="1086"/>
        <v>0.814304575142064</v>
      </c>
      <c r="CC157" s="174">
        <f t="shared" si="1086"/>
        <v>0.79151631983587212</v>
      </c>
      <c r="CD157" s="174">
        <f t="shared" si="1086"/>
        <v>0.5231096300716247</v>
      </c>
      <c r="CE157" s="174">
        <f t="shared" si="1086"/>
        <v>-0.40454330323055826</v>
      </c>
      <c r="CF157" s="174">
        <f t="shared" si="1086"/>
        <v>0.88829051505457168</v>
      </c>
      <c r="CG157" s="174">
        <f t="shared" si="1086"/>
        <v>0.88430067870375517</v>
      </c>
      <c r="CH157" s="174">
        <f t="shared" si="1086"/>
        <v>0.39703615797582276</v>
      </c>
      <c r="CI157" s="174">
        <f t="shared" si="1086"/>
        <v>0.18596341839689776</v>
      </c>
      <c r="CJ157" s="174">
        <f>+CORREL(CG136:CJ136,CG153:CJ153)</f>
        <v>-0.35366140937287172</v>
      </c>
      <c r="CK157" s="174">
        <f>+CORREL(CH136:CK136,CH153:CK153)</f>
        <v>-0.99225426223190749</v>
      </c>
      <c r="CL157" s="174">
        <f>+CORREL(CI136:CL136,CI153:CL153)</f>
        <v>-0.95738992363833142</v>
      </c>
      <c r="CM157" s="99"/>
      <c r="CN157" s="99"/>
      <c r="CO157" s="99"/>
      <c r="CP157" s="99"/>
      <c r="CQ157" s="99"/>
      <c r="CR157" s="99"/>
      <c r="CS157" s="99"/>
      <c r="CT157" s="99"/>
      <c r="CU157" s="99"/>
      <c r="CV157" s="99"/>
      <c r="CW157" s="99"/>
      <c r="CX157" s="99"/>
      <c r="CY157" s="99"/>
      <c r="CZ157" s="99"/>
      <c r="DA157" s="99"/>
      <c r="DB157" s="99"/>
      <c r="DE157" s="137"/>
      <c r="DF157" s="174"/>
    </row>
    <row r="158" spans="1:110" s="4" customFormat="1" x14ac:dyDescent="0.2">
      <c r="A158" s="3"/>
      <c r="AB158" s="17"/>
      <c r="AC158" s="17"/>
      <c r="AD158" s="17"/>
      <c r="AE158" s="17"/>
      <c r="CM158" s="17"/>
      <c r="CN158" s="17"/>
      <c r="CO158" s="17"/>
      <c r="CP158" s="17"/>
      <c r="CQ158" s="17"/>
      <c r="CR158" s="17"/>
      <c r="CS158" s="17"/>
      <c r="CT158" s="17"/>
      <c r="CU158" s="17"/>
      <c r="CV158" s="17"/>
      <c r="CW158" s="17"/>
      <c r="CX158" s="17"/>
      <c r="CY158" s="17"/>
      <c r="CZ158" s="17"/>
      <c r="DA158" s="17"/>
      <c r="DB158" s="17"/>
      <c r="DE158" s="119"/>
    </row>
    <row r="159" spans="1:110" s="161" customFormat="1" hidden="1" x14ac:dyDescent="0.2">
      <c r="A159" s="49" t="s">
        <v>505</v>
      </c>
      <c r="E159" s="161">
        <f t="shared" ref="E159:AE159" ca="1" si="1087">+E$186/E$132</f>
        <v>-1.932890902629709</v>
      </c>
      <c r="F159" s="161">
        <f t="shared" ca="1" si="1087"/>
        <v>-1.4072512437810945</v>
      </c>
      <c r="G159" s="161">
        <f t="shared" ca="1" si="1087"/>
        <v>-0.25836886993603403</v>
      </c>
      <c r="H159" s="161">
        <f t="shared" ca="1" si="1087"/>
        <v>-0.79138415067519552</v>
      </c>
      <c r="I159" s="161">
        <f t="shared" ca="1" si="1087"/>
        <v>-2.917732764747695E-2</v>
      </c>
      <c r="J159" s="161">
        <f t="shared" ca="1" si="1087"/>
        <v>1.4724164889836531</v>
      </c>
      <c r="K159" s="161">
        <f t="shared" ca="1" si="1087"/>
        <v>1.7886762615493956</v>
      </c>
      <c r="L159" s="161">
        <f t="shared" ca="1" si="1087"/>
        <v>2.1180028429282158</v>
      </c>
      <c r="M159" s="161">
        <f t="shared" ca="1" si="1087"/>
        <v>2.1843194740582801</v>
      </c>
      <c r="N159" s="161">
        <f t="shared" ca="1" si="1087"/>
        <v>2.2183546552949536</v>
      </c>
      <c r="O159" s="161">
        <f t="shared" ca="1" si="1087"/>
        <v>1.4641666666666666</v>
      </c>
      <c r="P159" s="161">
        <f t="shared" ca="1" si="1087"/>
        <v>1.0882960199004976</v>
      </c>
      <c r="Q159" s="161">
        <f t="shared" ca="1" si="1087"/>
        <v>1.1011105188343995</v>
      </c>
      <c r="R159" s="161">
        <f t="shared" ca="1" si="1087"/>
        <v>1.2015582800284292</v>
      </c>
      <c r="S159" s="161">
        <f t="shared" ca="1" si="1087"/>
        <v>1.5002540867093104</v>
      </c>
      <c r="T159" s="161">
        <f t="shared" ca="1" si="1087"/>
        <v>1.9234808102345413</v>
      </c>
      <c r="U159" s="161">
        <f t="shared" ca="1" si="1087"/>
        <v>2.5658404406538731</v>
      </c>
      <c r="V159" s="161">
        <f t="shared" ca="1" si="1087"/>
        <v>3.2357018479033406</v>
      </c>
      <c r="W159" s="161">
        <f t="shared" ca="1" si="1087"/>
        <v>8.5568585643212511</v>
      </c>
      <c r="X159" s="161">
        <f t="shared" ca="1" si="1087"/>
        <v>27.166844349680172</v>
      </c>
      <c r="Y159" s="161">
        <f t="shared" ca="1" si="1087"/>
        <v>49.944385216773284</v>
      </c>
      <c r="Z159" s="161">
        <f t="shared" ca="1" si="1087"/>
        <v>113.7547974413646</v>
      </c>
      <c r="AA159" s="161">
        <f t="shared" ca="1" si="1087"/>
        <v>113.7547974413646</v>
      </c>
      <c r="AB159" s="21">
        <f t="shared" ca="1" si="1087"/>
        <v>359.26391586563278</v>
      </c>
      <c r="AC159" s="21">
        <f t="shared" ca="1" si="1087"/>
        <v>495.77139532066928</v>
      </c>
      <c r="AD159" s="21">
        <f t="shared" ca="1" si="1087"/>
        <v>644.88677983636012</v>
      </c>
      <c r="AE159" s="21">
        <f t="shared" ca="1" si="1087"/>
        <v>823.96828296920603</v>
      </c>
      <c r="AL159" s="161">
        <f t="shared" ref="AL159:BQ159" si="1088">+AL$186/AL$132</f>
        <v>2.218354655294954</v>
      </c>
      <c r="AM159" s="161">
        <f t="shared" si="1088"/>
        <v>1.9925373134328352</v>
      </c>
      <c r="AN159" s="161">
        <f t="shared" si="1088"/>
        <v>1.800586353944563</v>
      </c>
      <c r="AO159" s="161">
        <f t="shared" si="1088"/>
        <v>1.6955223880597017</v>
      </c>
      <c r="AP159" s="161">
        <f t="shared" si="1088"/>
        <v>1.4641791044776118</v>
      </c>
      <c r="AQ159" s="161">
        <f t="shared" si="1088"/>
        <v>1.3119580668088135</v>
      </c>
      <c r="AR159" s="161">
        <f t="shared" si="1088"/>
        <v>1.2519189765458421</v>
      </c>
      <c r="AS159" s="161">
        <f t="shared" si="1088"/>
        <v>1.1338841506751951</v>
      </c>
      <c r="AT159" s="161">
        <f t="shared" si="1088"/>
        <v>1.0883084577114428</v>
      </c>
      <c r="AU159" s="161">
        <f t="shared" si="1088"/>
        <v>1.1369936034115142</v>
      </c>
      <c r="AV159" s="161">
        <f t="shared" si="1088"/>
        <v>1.1433368869936034</v>
      </c>
      <c r="AW159" s="161">
        <f t="shared" si="1088"/>
        <v>1.1478678038379528</v>
      </c>
      <c r="AX159" s="161">
        <f t="shared" si="1088"/>
        <v>1.1011194029850746</v>
      </c>
      <c r="AY159" s="161">
        <f t="shared" si="1088"/>
        <v>1.1035891968727791</v>
      </c>
      <c r="AZ159" s="161">
        <f t="shared" si="1088"/>
        <v>1.1090796019900497</v>
      </c>
      <c r="BA159" s="161">
        <f t="shared" si="1088"/>
        <v>1.1167022032693674</v>
      </c>
      <c r="BB159" s="161">
        <f t="shared" si="1088"/>
        <v>1.2015636105188343</v>
      </c>
      <c r="BC159" s="161">
        <f t="shared" si="1088"/>
        <v>1.2954157782515989</v>
      </c>
      <c r="BD159" s="161">
        <f t="shared" si="1088"/>
        <v>1.3067519545131485</v>
      </c>
      <c r="BE159" s="161">
        <f t="shared" si="1088"/>
        <v>1.3347014925373137</v>
      </c>
      <c r="BF159" s="161">
        <f t="shared" si="1088"/>
        <v>1.5002665245202558</v>
      </c>
      <c r="BG159" s="161">
        <f t="shared" si="1088"/>
        <v>1.6825870646766168</v>
      </c>
      <c r="BH159" s="161">
        <f t="shared" si="1088"/>
        <v>1.6930525941719972</v>
      </c>
      <c r="BI159" s="161">
        <f t="shared" si="1088"/>
        <v>1.7258884150675193</v>
      </c>
      <c r="BJ159" s="161">
        <f t="shared" si="1088"/>
        <v>1.9234896943852167</v>
      </c>
      <c r="BK159" s="161">
        <f t="shared" si="1088"/>
        <v>2.0565565031982942</v>
      </c>
      <c r="BL159" s="161">
        <f t="shared" si="1088"/>
        <v>2.1241826581378818</v>
      </c>
      <c r="BM159" s="161">
        <f t="shared" si="1088"/>
        <v>2.178962331201137</v>
      </c>
      <c r="BN159" s="161">
        <f t="shared" si="1088"/>
        <v>2.5658315565031984</v>
      </c>
      <c r="BO159" s="161">
        <f t="shared" si="1088"/>
        <v>2.3981698649609098</v>
      </c>
      <c r="BP159" s="161">
        <f t="shared" si="1088"/>
        <v>2.8037313432835824</v>
      </c>
      <c r="BQ159" s="161">
        <f t="shared" si="1088"/>
        <v>2.8498578535891972</v>
      </c>
      <c r="BR159" s="161">
        <f t="shared" ref="BR159:DB159" si="1089">+BR$186/BR$132</f>
        <v>3.2356965174129355</v>
      </c>
      <c r="BS159" s="161">
        <f t="shared" si="1089"/>
        <v>3.2324982231698649</v>
      </c>
      <c r="BT159" s="161">
        <f t="shared" si="1089"/>
        <v>6.8207889125799568</v>
      </c>
      <c r="BU159" s="161">
        <f t="shared" si="1089"/>
        <v>6.356325515280739</v>
      </c>
      <c r="BV159" s="161">
        <f t="shared" si="1089"/>
        <v>8.5568585643212511</v>
      </c>
      <c r="BW159" s="161">
        <f t="shared" si="1089"/>
        <v>-7.973525230987919</v>
      </c>
      <c r="BX159" s="161">
        <f t="shared" si="1089"/>
        <v>3.1343283582089549</v>
      </c>
      <c r="BY159" s="161">
        <f t="shared" si="1089"/>
        <v>7.2215707178393727</v>
      </c>
      <c r="BZ159" s="161">
        <f t="shared" si="1089"/>
        <v>27.166844349680172</v>
      </c>
      <c r="CA159" s="161">
        <f t="shared" si="1089"/>
        <v>34.332089552238806</v>
      </c>
      <c r="CB159" s="161">
        <f t="shared" si="1089"/>
        <v>38.752309879175549</v>
      </c>
      <c r="CC159" s="161">
        <f t="shared" si="1089"/>
        <v>44.642501776830137</v>
      </c>
      <c r="CD159" s="161">
        <f t="shared" si="1089"/>
        <v>49.944385216773284</v>
      </c>
      <c r="CE159" s="161">
        <f t="shared" si="1089"/>
        <v>59.848436389481165</v>
      </c>
      <c r="CF159" s="161">
        <f t="shared" si="1089"/>
        <v>102.8002842928216</v>
      </c>
      <c r="CG159" s="161">
        <f t="shared" si="1089"/>
        <v>109.71730632551527</v>
      </c>
      <c r="CH159" s="161">
        <f t="shared" si="1089"/>
        <v>114.78464818763325</v>
      </c>
      <c r="CI159" s="161">
        <f t="shared" si="1089"/>
        <v>126.18461265103056</v>
      </c>
      <c r="CJ159" s="161">
        <f t="shared" si="1089"/>
        <v>136.909026297086</v>
      </c>
      <c r="CK159" s="161">
        <f t="shared" si="1089"/>
        <v>155.51936744847191</v>
      </c>
      <c r="CL159" s="161">
        <f t="shared" si="1089"/>
        <v>246.46215351812367</v>
      </c>
      <c r="CM159" s="21">
        <f t="shared" si="1089"/>
        <v>275.23275192608389</v>
      </c>
      <c r="CN159" s="21">
        <f t="shared" si="1089"/>
        <v>302.49647253336383</v>
      </c>
      <c r="CO159" s="21">
        <f t="shared" si="1089"/>
        <v>330.23964723823786</v>
      </c>
      <c r="CP159" s="21">
        <f t="shared" si="1089"/>
        <v>359.2639158656329</v>
      </c>
      <c r="CQ159" s="21">
        <f t="shared" si="1089"/>
        <v>389.87766325165859</v>
      </c>
      <c r="CR159" s="21">
        <f t="shared" si="1089"/>
        <v>421.51176421098609</v>
      </c>
      <c r="CS159" s="21">
        <f t="shared" si="1089"/>
        <v>457.4209874792511</v>
      </c>
      <c r="CT159" s="21">
        <f t="shared" si="1089"/>
        <v>495.77139532066934</v>
      </c>
      <c r="CU159" s="21">
        <f t="shared" si="1089"/>
        <v>531.57936472619326</v>
      </c>
      <c r="CV159" s="21">
        <f t="shared" si="1089"/>
        <v>565.48598028066306</v>
      </c>
      <c r="CW159" s="21">
        <f t="shared" si="1089"/>
        <v>604.05339631942661</v>
      </c>
      <c r="CX159" s="21">
        <f t="shared" si="1089"/>
        <v>644.88677983636023</v>
      </c>
      <c r="CY159" s="21">
        <f t="shared" si="1089"/>
        <v>687.96412734098863</v>
      </c>
      <c r="CZ159" s="21">
        <f t="shared" si="1089"/>
        <v>729.05467549002833</v>
      </c>
      <c r="DA159" s="21">
        <f t="shared" si="1089"/>
        <v>775.16789202745724</v>
      </c>
      <c r="DB159" s="21">
        <f t="shared" si="1089"/>
        <v>823.96828296920614</v>
      </c>
      <c r="DE159" s="22"/>
      <c r="DF159" s="161">
        <v>113.7547974413646</v>
      </c>
    </row>
    <row r="160" spans="1:110" s="161" customFormat="1" hidden="1" x14ac:dyDescent="0.2">
      <c r="A160" s="49" t="s">
        <v>501</v>
      </c>
      <c r="AB160" s="21"/>
      <c r="AC160" s="21"/>
      <c r="AD160" s="21"/>
      <c r="AE160" s="21"/>
      <c r="CM160" s="21"/>
      <c r="CN160" s="21"/>
      <c r="CO160" s="21"/>
      <c r="CP160" s="21"/>
      <c r="CQ160" s="21"/>
      <c r="CR160" s="21"/>
      <c r="CS160" s="21"/>
      <c r="CT160" s="21"/>
      <c r="CU160" s="21"/>
      <c r="CV160" s="21"/>
      <c r="CW160" s="21"/>
      <c r="CX160" s="21"/>
      <c r="CY160" s="21"/>
      <c r="CZ160" s="21"/>
      <c r="DA160" s="21"/>
      <c r="DB160" s="21"/>
      <c r="DE160" s="22"/>
    </row>
    <row r="161" spans="1:110" s="161" customFormat="1" hidden="1" x14ac:dyDescent="0.2">
      <c r="A161" s="49" t="s">
        <v>502</v>
      </c>
      <c r="E161" s="161">
        <f t="shared" ref="E161:AE163" ca="1" si="1090">+E144/E$159</f>
        <v>-0.43406485014675983</v>
      </c>
      <c r="F161" s="161">
        <f t="shared" ca="1" si="1090"/>
        <v>-3.2225944159161419</v>
      </c>
      <c r="G161" s="161">
        <f t="shared" ca="1" si="1090"/>
        <v>-15.288219517227157</v>
      </c>
      <c r="H161" s="161">
        <f t="shared" ca="1" si="1090"/>
        <v>-3.2032483817589488</v>
      </c>
      <c r="I161" s="161">
        <f t="shared" ca="1" si="1090"/>
        <v>-1292.0991413433997</v>
      </c>
      <c r="J161" s="161">
        <f t="shared" ca="1" si="1090"/>
        <v>6.9273877848519803</v>
      </c>
      <c r="K161" s="161">
        <f t="shared" ca="1" si="1090"/>
        <v>8.2742754058690728</v>
      </c>
      <c r="L161" s="161">
        <f t="shared" ca="1" si="1090"/>
        <v>10.092054442404944</v>
      </c>
      <c r="M161" s="161">
        <f t="shared" ca="1" si="1090"/>
        <v>5.8599486714361833</v>
      </c>
      <c r="N161" s="161">
        <f t="shared" ca="1" si="1090"/>
        <v>2.7001994409246373</v>
      </c>
      <c r="O161" s="161">
        <f t="shared" ca="1" si="1090"/>
        <v>2.7011952191235062</v>
      </c>
      <c r="P161" s="161">
        <f t="shared" ca="1" si="1090"/>
        <v>2.9357821232242651</v>
      </c>
      <c r="Q161" s="161">
        <f t="shared" ca="1" si="1090"/>
        <v>9.172557910618762</v>
      </c>
      <c r="R161" s="161">
        <f t="shared" ca="1" si="1090"/>
        <v>12.733464746826927</v>
      </c>
      <c r="S161" s="161">
        <f t="shared" ca="1" si="1090"/>
        <v>10.198272502999375</v>
      </c>
      <c r="T161" s="161">
        <f t="shared" ca="1" si="1090"/>
        <v>6.4778395155814836</v>
      </c>
      <c r="U161" s="161">
        <f t="shared" ca="1" si="1090"/>
        <v>2.2448784845452567</v>
      </c>
      <c r="V161" s="161">
        <f t="shared" ca="1" si="1090"/>
        <v>3.3995715665606654</v>
      </c>
      <c r="W161" s="161">
        <f t="shared" ca="1" si="1090"/>
        <v>15.502184476099506</v>
      </c>
      <c r="X161" s="161">
        <f t="shared" ca="1" si="1090"/>
        <v>10.479686059060139</v>
      </c>
      <c r="Y161" s="161">
        <f t="shared" ca="1" si="1090"/>
        <v>12.072428109446541</v>
      </c>
      <c r="Z161" s="161">
        <f t="shared" ca="1" si="1090"/>
        <v>11.300622293865157</v>
      </c>
      <c r="AA161" s="161">
        <f t="shared" ref="AA161" ca="1" si="1091">+AA144/AA$159</f>
        <v>11.300622293865157</v>
      </c>
      <c r="AB161" s="21">
        <f t="shared" ca="1" si="1090"/>
        <v>5.1605516672412186</v>
      </c>
      <c r="AC161" s="21">
        <f t="shared" ca="1" si="1090"/>
        <v>3.7396268068286123</v>
      </c>
      <c r="AD161" s="21">
        <f t="shared" ca="1" si="1090"/>
        <v>2.8749232546997661</v>
      </c>
      <c r="AE161" s="21">
        <f t="shared" ca="1" si="1090"/>
        <v>2.2500866093037333</v>
      </c>
      <c r="AL161" s="161">
        <f t="shared" ref="AL161:CI163" si="1092">+AL144/AL$159</f>
        <v>2.7001994409246368</v>
      </c>
      <c r="AM161" s="161">
        <f t="shared" si="1092"/>
        <v>2.2358426966292142</v>
      </c>
      <c r="AN161" s="161">
        <f t="shared" si="1092"/>
        <v>4.8039906450753422</v>
      </c>
      <c r="AO161" s="161">
        <f t="shared" si="1092"/>
        <v>2.9253521126760562</v>
      </c>
      <c r="AP161" s="161">
        <f t="shared" si="1092"/>
        <v>2.7011722731906223</v>
      </c>
      <c r="AQ161" s="161">
        <f t="shared" si="1092"/>
        <v>5.0535151753186049</v>
      </c>
      <c r="AR161" s="161">
        <f t="shared" si="1092"/>
        <v>3.9139913139742832</v>
      </c>
      <c r="AS161" s="161">
        <f t="shared" si="1092"/>
        <v>4.378754211392307</v>
      </c>
      <c r="AT161" s="161">
        <f t="shared" si="1092"/>
        <v>2.9357485714285714</v>
      </c>
      <c r="AU161" s="161">
        <f t="shared" si="1092"/>
        <v>2.5857665260196896</v>
      </c>
      <c r="AV161" s="161">
        <f t="shared" si="1092"/>
        <v>3.3192316658119259</v>
      </c>
      <c r="AW161" s="161">
        <f t="shared" si="1092"/>
        <v>3.2669267205349688</v>
      </c>
      <c r="AX161" s="161">
        <f t="shared" si="1092"/>
        <v>9.172483903761437</v>
      </c>
      <c r="AY161" s="161">
        <f t="shared" si="1092"/>
        <v>13.886507808726451</v>
      </c>
      <c r="AZ161" s="161">
        <f t="shared" si="1092"/>
        <v>12.127172815969496</v>
      </c>
      <c r="BA161" s="161">
        <f t="shared" si="1092"/>
        <v>9.5549198065173115</v>
      </c>
      <c r="BB161" s="161">
        <f t="shared" si="1092"/>
        <v>12.733408257423401</v>
      </c>
      <c r="BC161" s="161">
        <f t="shared" si="1092"/>
        <v>13.35478561435273</v>
      </c>
      <c r="BD161" s="161">
        <f t="shared" si="1092"/>
        <v>13.545034265201783</v>
      </c>
      <c r="BE161" s="161">
        <f t="shared" si="1092"/>
        <v>13.149007548224766</v>
      </c>
      <c r="BF161" s="161">
        <f t="shared" si="1092"/>
        <v>10.198187955231836</v>
      </c>
      <c r="BG161" s="161">
        <f t="shared" si="1092"/>
        <v>7.9044943820224729</v>
      </c>
      <c r="BH161" s="161">
        <f t="shared" si="1092"/>
        <v>8.0032953770268147</v>
      </c>
      <c r="BI161" s="161">
        <f t="shared" si="1092"/>
        <v>8.2566172155704045</v>
      </c>
      <c r="BJ161" s="161">
        <f t="shared" si="1092"/>
        <v>6.4778095959502657</v>
      </c>
      <c r="BK161" s="161">
        <f t="shared" si="1092"/>
        <v>4.3130349135584867</v>
      </c>
      <c r="BL161" s="161">
        <f t="shared" si="1092"/>
        <v>4.8960008030180102</v>
      </c>
      <c r="BM161" s="161">
        <f t="shared" si="1092"/>
        <v>3.4741307325983435</v>
      </c>
      <c r="BN161" s="161">
        <f t="shared" si="1092"/>
        <v>2.2448862574010593</v>
      </c>
      <c r="BO161" s="161">
        <f t="shared" si="1092"/>
        <v>4.4033578080892655</v>
      </c>
      <c r="BP161" s="161">
        <f t="shared" si="1092"/>
        <v>4.1551770029278678</v>
      </c>
      <c r="BQ161" s="161">
        <f t="shared" si="1092"/>
        <v>3.5335095704220958</v>
      </c>
      <c r="BR161" s="161">
        <f t="shared" si="1092"/>
        <v>3.3995771670190273</v>
      </c>
      <c r="BS161" s="161">
        <f t="shared" si="1092"/>
        <v>15.715399202968255</v>
      </c>
      <c r="BT161" s="161">
        <f t="shared" si="1092"/>
        <v>13.356226261742135</v>
      </c>
      <c r="BU161" s="161">
        <f t="shared" si="1092"/>
        <v>15.795289237254497</v>
      </c>
      <c r="BV161" s="161">
        <f t="shared" si="1092"/>
        <v>15.502184476099506</v>
      </c>
      <c r="BW161" s="161">
        <f t="shared" si="1092"/>
        <v>-17.545564345403896</v>
      </c>
      <c r="BX161" s="161">
        <f t="shared" si="1092"/>
        <v>56.822380952380954</v>
      </c>
      <c r="BY161" s="161">
        <f t="shared" si="1092"/>
        <v>33.967679551214239</v>
      </c>
      <c r="BZ161" s="161">
        <f t="shared" si="1092"/>
        <v>10.479686059060139</v>
      </c>
      <c r="CA161" s="161">
        <f t="shared" si="1092"/>
        <v>11.525660254320183</v>
      </c>
      <c r="CB161" s="161">
        <f t="shared" si="1092"/>
        <v>13.846916523764548</v>
      </c>
      <c r="CC161" s="161">
        <f t="shared" si="1092"/>
        <v>13.422186843278356</v>
      </c>
      <c r="CD161" s="161">
        <f t="shared" si="1092"/>
        <v>12.072428109446541</v>
      </c>
      <c r="CE161" s="161">
        <f t="shared" si="1092"/>
        <v>12.235073197813714</v>
      </c>
      <c r="CF161" s="161">
        <f t="shared" si="1092"/>
        <v>9.2280873202433629</v>
      </c>
      <c r="CG161" s="161">
        <f t="shared" si="1092"/>
        <v>11.222477485428891</v>
      </c>
      <c r="CH161" s="161">
        <f t="shared" si="1092"/>
        <v>11.199232826838058</v>
      </c>
      <c r="CI161" s="161">
        <f t="shared" si="1092"/>
        <v>12.605736678837513</v>
      </c>
      <c r="CJ161" s="161">
        <f t="shared" ref="CJ161:DB161" si="1093">+CJ144/CJ$159</f>
        <v>8.9585035638085255</v>
      </c>
      <c r="CK161" s="161">
        <f t="shared" ref="CK161:CL161" si="1094">+CK144/CK$159</f>
        <v>8.5005489778500873</v>
      </c>
      <c r="CL161" s="161">
        <f t="shared" si="1094"/>
        <v>5.1557611660102562</v>
      </c>
      <c r="CM161" s="21">
        <f t="shared" si="1093"/>
        <v>6.7361169302187829</v>
      </c>
      <c r="CN161" s="21">
        <f t="shared" si="1093"/>
        <v>6.1289970903561963</v>
      </c>
      <c r="CO161" s="21">
        <f t="shared" si="1093"/>
        <v>5.6141048341857864</v>
      </c>
      <c r="CP161" s="21">
        <f t="shared" si="1093"/>
        <v>5.1605516672412168</v>
      </c>
      <c r="CQ161" s="21">
        <f t="shared" si="1093"/>
        <v>4.7553378270949533</v>
      </c>
      <c r="CR161" s="21">
        <f t="shared" si="1093"/>
        <v>4.3984537500879508</v>
      </c>
      <c r="CS161" s="21">
        <f t="shared" si="1093"/>
        <v>4.0531590170730825</v>
      </c>
      <c r="CT161" s="21">
        <f t="shared" si="1093"/>
        <v>3.7396268068286118</v>
      </c>
      <c r="CU161" s="21">
        <f t="shared" si="1093"/>
        <v>3.4877200339688903</v>
      </c>
      <c r="CV161" s="21">
        <f t="shared" si="1093"/>
        <v>3.2785958708999634</v>
      </c>
      <c r="CW161" s="21">
        <f t="shared" si="1093"/>
        <v>3.0692650869884277</v>
      </c>
      <c r="CX161" s="21">
        <f t="shared" si="1093"/>
        <v>2.8749232546997656</v>
      </c>
      <c r="CY161" s="21">
        <f t="shared" si="1093"/>
        <v>2.6949079556891884</v>
      </c>
      <c r="CZ161" s="21">
        <f t="shared" si="1093"/>
        <v>2.5430191483976818</v>
      </c>
      <c r="DA161" s="21">
        <f t="shared" si="1093"/>
        <v>2.3917399302373705</v>
      </c>
      <c r="DB161" s="21">
        <f t="shared" si="1093"/>
        <v>2.2500866093037333</v>
      </c>
      <c r="DE161" s="22"/>
      <c r="DF161" s="161">
        <v>11.300622293865157</v>
      </c>
    </row>
    <row r="162" spans="1:110" s="161" customFormat="1" hidden="1" x14ac:dyDescent="0.2">
      <c r="A162" s="49" t="s">
        <v>503</v>
      </c>
      <c r="E162" s="161">
        <f t="shared" ca="1" si="1090"/>
        <v>-0.76051886736083074</v>
      </c>
      <c r="F162" s="161">
        <f t="shared" ca="1" si="1090"/>
        <v>-3.6098742299567808</v>
      </c>
      <c r="G162" s="161">
        <f t="shared" ca="1" si="1090"/>
        <v>-26.2028471219311</v>
      </c>
      <c r="H162" s="161">
        <f t="shared" ca="1" si="1090"/>
        <v>-5.9010532318794047</v>
      </c>
      <c r="I162" s="161">
        <f t="shared" ca="1" si="1090"/>
        <v>-2844.6745021618613</v>
      </c>
      <c r="J162" s="161">
        <f t="shared" ca="1" si="1090"/>
        <v>27.760487814296543</v>
      </c>
      <c r="K162" s="161">
        <f t="shared" ca="1" si="1090"/>
        <v>10.887940103331093</v>
      </c>
      <c r="L162" s="161">
        <f t="shared" ca="1" si="1090"/>
        <v>17.658144381096836</v>
      </c>
      <c r="M162" s="161">
        <f t="shared" ca="1" si="1090"/>
        <v>11.903020738854746</v>
      </c>
      <c r="N162" s="161">
        <f t="shared" ca="1" si="1090"/>
        <v>6.0292433259377338</v>
      </c>
      <c r="O162" s="161">
        <f t="shared" ca="1" si="1090"/>
        <v>6.1980648833238474</v>
      </c>
      <c r="P162" s="161">
        <f t="shared" ca="1" si="1090"/>
        <v>6.8042149053132031</v>
      </c>
      <c r="Q162" s="161">
        <f t="shared" ca="1" si="1090"/>
        <v>9.8082797460081821</v>
      </c>
      <c r="R162" s="161">
        <f t="shared" ca="1" si="1090"/>
        <v>16.977952995769233</v>
      </c>
      <c r="S162" s="161">
        <f t="shared" ca="1" si="1090"/>
        <v>15.330736442417361</v>
      </c>
      <c r="T162" s="161">
        <f t="shared" ca="1" si="1090"/>
        <v>10.345827155703974</v>
      </c>
      <c r="U162" s="161">
        <f t="shared" ca="1" si="1090"/>
        <v>5.2302550803120385</v>
      </c>
      <c r="V162" s="161">
        <f t="shared" ca="1" si="1090"/>
        <v>5.4053187908314575</v>
      </c>
      <c r="W162" s="161">
        <f t="shared" ca="1" si="1090"/>
        <v>17.372029569334273</v>
      </c>
      <c r="X162" s="161">
        <f t="shared" ca="1" si="1090"/>
        <v>11.955750024526635</v>
      </c>
      <c r="Y162" s="161">
        <f t="shared" ca="1" si="1090"/>
        <v>13.77231889059259</v>
      </c>
      <c r="Z162" s="161">
        <f t="shared" ca="1" si="1090"/>
        <v>12.988463196566139</v>
      </c>
      <c r="AA162" s="161">
        <f t="shared" ref="AA162" ca="1" si="1095">+AA145/AA$159</f>
        <v>12.988463196566139</v>
      </c>
      <c r="AB162" s="21">
        <f t="shared" ca="1" si="1090"/>
        <v>6.6074031803795004</v>
      </c>
      <c r="AC162" s="21">
        <f t="shared" ca="1" si="1090"/>
        <v>5.8064584034125692</v>
      </c>
      <c r="AD162" s="21">
        <f t="shared" ca="1" si="1090"/>
        <v>5.3420726691122757</v>
      </c>
      <c r="AE162" s="21">
        <f t="shared" ca="1" si="1090"/>
        <v>5.0890224365301302</v>
      </c>
      <c r="AL162" s="161">
        <f t="shared" si="1092"/>
        <v>4.0457913159096179</v>
      </c>
      <c r="AM162" s="161">
        <f t="shared" si="1092"/>
        <v>3.8769662921348322</v>
      </c>
      <c r="AN162" s="161">
        <f t="shared" si="1092"/>
        <v>5.0400248675212405</v>
      </c>
      <c r="AO162" s="161">
        <f t="shared" si="1092"/>
        <v>5.3523327464788721</v>
      </c>
      <c r="AP162" s="161">
        <f t="shared" si="1092"/>
        <v>3.4148827726809383</v>
      </c>
      <c r="AQ162" s="161">
        <f t="shared" si="1092"/>
        <v>5.6442352749976283</v>
      </c>
      <c r="AR162" s="161">
        <f t="shared" si="1092"/>
        <v>5.4955633143149116</v>
      </c>
      <c r="AS162" s="161">
        <f t="shared" si="1092"/>
        <v>6.0411815403901921</v>
      </c>
      <c r="AT162" s="161">
        <f t="shared" si="1092"/>
        <v>5.2374857142857145</v>
      </c>
      <c r="AU162" s="161">
        <f t="shared" si="1092"/>
        <v>3.6895546179090473</v>
      </c>
      <c r="AV162" s="161">
        <f t="shared" si="1092"/>
        <v>4.3731642500815893</v>
      </c>
      <c r="AW162" s="161">
        <f t="shared" si="1092"/>
        <v>4.0901922541097813</v>
      </c>
      <c r="AX162" s="161">
        <f t="shared" si="1092"/>
        <v>9.808200609962725</v>
      </c>
      <c r="AY162" s="161">
        <f t="shared" si="1092"/>
        <v>15.834696506198679</v>
      </c>
      <c r="AZ162" s="161">
        <f t="shared" si="1092"/>
        <v>15.688684535157563</v>
      </c>
      <c r="BA162" s="161">
        <f t="shared" si="1092"/>
        <v>18.268075356415476</v>
      </c>
      <c r="BB162" s="161">
        <f t="shared" si="1092"/>
        <v>16.012468945936355</v>
      </c>
      <c r="BC162" s="161">
        <f t="shared" si="1092"/>
        <v>17.754917290757966</v>
      </c>
      <c r="BD162" s="161">
        <f t="shared" si="1092"/>
        <v>16.988687044490373</v>
      </c>
      <c r="BE162" s="161">
        <f t="shared" si="1092"/>
        <v>17.194856024601616</v>
      </c>
      <c r="BF162" s="161">
        <f t="shared" si="1092"/>
        <v>15.030662639900516</v>
      </c>
      <c r="BG162" s="161">
        <f t="shared" si="1092"/>
        <v>11.82702542874039</v>
      </c>
      <c r="BH162" s="161">
        <f t="shared" si="1092"/>
        <v>10.867943537807628</v>
      </c>
      <c r="BI162" s="161">
        <f t="shared" si="1092"/>
        <v>8.9229407101602973</v>
      </c>
      <c r="BJ162" s="161">
        <f t="shared" si="1092"/>
        <v>7.8503149999076252</v>
      </c>
      <c r="BK162" s="161">
        <f t="shared" si="1092"/>
        <v>6.5254710868043855</v>
      </c>
      <c r="BL162" s="161">
        <f t="shared" si="1092"/>
        <v>5.7669240227856369</v>
      </c>
      <c r="BM162" s="161">
        <f t="shared" si="1092"/>
        <v>4.8325755104703507</v>
      </c>
      <c r="BN162" s="161">
        <f t="shared" si="1092"/>
        <v>3.4686610574426093</v>
      </c>
      <c r="BO162" s="161">
        <f t="shared" si="1092"/>
        <v>4.5242833539553526</v>
      </c>
      <c r="BP162" s="161">
        <f t="shared" si="1092"/>
        <v>4.4583444237423473</v>
      </c>
      <c r="BQ162" s="161">
        <f t="shared" si="1092"/>
        <v>4.2388079057297832</v>
      </c>
      <c r="BR162" s="161">
        <f t="shared" si="1092"/>
        <v>5.4053276955602527</v>
      </c>
      <c r="BS162" s="161">
        <f t="shared" si="1092"/>
        <v>15.715399202968255</v>
      </c>
      <c r="BT162" s="161">
        <f t="shared" si="1092"/>
        <v>13.356226261742135</v>
      </c>
      <c r="BU162" s="161">
        <f t="shared" si="1092"/>
        <v>16.015542274427368</v>
      </c>
      <c r="BV162" s="161">
        <f t="shared" si="1092"/>
        <v>17.372029569334273</v>
      </c>
      <c r="BW162" s="161">
        <f t="shared" si="1092"/>
        <v>-29.09628969359331</v>
      </c>
      <c r="BX162" s="161">
        <f t="shared" si="1092"/>
        <v>65.261190476190492</v>
      </c>
      <c r="BY162" s="161">
        <f t="shared" si="1092"/>
        <v>35.158556208941278</v>
      </c>
      <c r="BZ162" s="161">
        <f t="shared" si="1092"/>
        <v>11.955750024526635</v>
      </c>
      <c r="CA162" s="161">
        <f t="shared" si="1092"/>
        <v>11.767416585153788</v>
      </c>
      <c r="CB162" s="161">
        <f t="shared" si="1092"/>
        <v>17.749909673632956</v>
      </c>
      <c r="CC162" s="161">
        <f t="shared" si="1092"/>
        <v>14.695636980194866</v>
      </c>
      <c r="CD162" s="161">
        <f t="shared" si="1092"/>
        <v>12.7541864262666</v>
      </c>
      <c r="CE162" s="161">
        <f t="shared" si="1092"/>
        <v>12.94854212993614</v>
      </c>
      <c r="CF162" s="161">
        <f t="shared" si="1092"/>
        <v>9.3350909153761066</v>
      </c>
      <c r="CG162" s="161">
        <f t="shared" si="1092"/>
        <v>11.237971850510698</v>
      </c>
      <c r="CH162" s="161">
        <f t="shared" si="1092"/>
        <v>12.871930378571165</v>
      </c>
      <c r="CI162" s="161">
        <f t="shared" si="1092"/>
        <v>12.692910540760131</v>
      </c>
      <c r="CJ162" s="161">
        <f t="shared" ref="CJ162:CK163" si="1096">+CJ145/CJ$159</f>
        <v>11.784467712881105</v>
      </c>
      <c r="CK162" s="161">
        <f t="shared" si="1096"/>
        <v>8.9728374214378999</v>
      </c>
      <c r="CL162" s="161">
        <f t="shared" ref="CL162" si="1097">+CL145/CL$159</f>
        <v>5.5781383891012037</v>
      </c>
      <c r="CM162" s="94">
        <f t="shared" ref="CM162:DB162" si="1098">+CL162</f>
        <v>5.5781383891012037</v>
      </c>
      <c r="CN162" s="94">
        <f t="shared" si="1098"/>
        <v>5.5781383891012037</v>
      </c>
      <c r="CO162" s="94">
        <f t="shared" si="1098"/>
        <v>5.5781383891012037</v>
      </c>
      <c r="CP162" s="94">
        <f t="shared" si="1098"/>
        <v>5.5781383891012037</v>
      </c>
      <c r="CQ162" s="94">
        <f t="shared" si="1098"/>
        <v>5.5781383891012037</v>
      </c>
      <c r="CR162" s="94">
        <f t="shared" si="1098"/>
        <v>5.5781383891012037</v>
      </c>
      <c r="CS162" s="94">
        <f t="shared" si="1098"/>
        <v>5.5781383891012037</v>
      </c>
      <c r="CT162" s="94">
        <f t="shared" si="1098"/>
        <v>5.5781383891012037</v>
      </c>
      <c r="CU162" s="94">
        <f t="shared" si="1098"/>
        <v>5.5781383891012037</v>
      </c>
      <c r="CV162" s="94">
        <f t="shared" si="1098"/>
        <v>5.5781383891012037</v>
      </c>
      <c r="CW162" s="94">
        <f t="shared" si="1098"/>
        <v>5.5781383891012037</v>
      </c>
      <c r="CX162" s="94">
        <f t="shared" si="1098"/>
        <v>5.5781383891012037</v>
      </c>
      <c r="CY162" s="94">
        <f t="shared" si="1098"/>
        <v>5.5781383891012037</v>
      </c>
      <c r="CZ162" s="94">
        <f t="shared" si="1098"/>
        <v>5.5781383891012037</v>
      </c>
      <c r="DA162" s="94">
        <f t="shared" si="1098"/>
        <v>5.5781383891012037</v>
      </c>
      <c r="DB162" s="94">
        <f t="shared" si="1098"/>
        <v>5.5781383891012037</v>
      </c>
      <c r="DE162" s="22"/>
      <c r="DF162" s="161">
        <v>12.988463196566139</v>
      </c>
    </row>
    <row r="163" spans="1:110" s="161" customFormat="1" hidden="1" x14ac:dyDescent="0.2">
      <c r="A163" s="49" t="s">
        <v>504</v>
      </c>
      <c r="E163" s="161">
        <f t="shared" ca="1" si="1090"/>
        <v>-7.5017167188653366E-2</v>
      </c>
      <c r="F163" s="161">
        <f t="shared" ca="1" si="1090"/>
        <v>-0.29632235312834199</v>
      </c>
      <c r="G163" s="161">
        <f t="shared" ca="1" si="1090"/>
        <v>-8.5343098824014891</v>
      </c>
      <c r="H163" s="161">
        <f t="shared" ca="1" si="1090"/>
        <v>-2.2871319806641806</v>
      </c>
      <c r="I163" s="161">
        <f t="shared" ca="1" si="1090"/>
        <v>-81.056086718226538</v>
      </c>
      <c r="J163" s="161">
        <f t="shared" ca="1" si="1090"/>
        <v>4.7540896562709678</v>
      </c>
      <c r="K163" s="161">
        <f t="shared" ca="1" si="1090"/>
        <v>5.3391439274357868</v>
      </c>
      <c r="L163" s="161">
        <f t="shared" ca="1" si="1090"/>
        <v>7.0821434683543458</v>
      </c>
      <c r="M163" s="161">
        <f t="shared" ca="1" si="1090"/>
        <v>4.8871056302797857</v>
      </c>
      <c r="N163" s="161">
        <f t="shared" ca="1" si="1090"/>
        <v>2.6032807631619002</v>
      </c>
      <c r="O163" s="161">
        <f t="shared" ca="1" si="1090"/>
        <v>2.1001707455890726</v>
      </c>
      <c r="P163" s="161">
        <f t="shared" ca="1" si="1090"/>
        <v>2.8071406530360345</v>
      </c>
      <c r="Q163" s="161">
        <f t="shared" ca="1" si="1090"/>
        <v>2.5201829902937685</v>
      </c>
      <c r="R163" s="161">
        <f t="shared" ca="1" si="1090"/>
        <v>7.5318860103780194</v>
      </c>
      <c r="S163" s="161">
        <f t="shared" ca="1" si="1090"/>
        <v>8.9984757379406251</v>
      </c>
      <c r="T163" s="161">
        <f t="shared" ca="1" si="1090"/>
        <v>5.4588535243664182</v>
      </c>
      <c r="U163" s="161">
        <f t="shared" ca="1" si="1090"/>
        <v>1.6213011277271299</v>
      </c>
      <c r="V163" s="161">
        <f t="shared" ca="1" si="1090"/>
        <v>1.2732940776572674</v>
      </c>
      <c r="W163" s="161">
        <f t="shared" ca="1" si="1090"/>
        <v>1.2259171892520453</v>
      </c>
      <c r="X163" s="161">
        <f t="shared" ca="1" si="1090"/>
        <v>4.641687432551751</v>
      </c>
      <c r="Y163" s="161">
        <f t="shared" ca="1" si="1090"/>
        <v>5.5061244383411534</v>
      </c>
      <c r="Z163" s="161">
        <f t="shared" ca="1" si="1090"/>
        <v>5.2050552004648463</v>
      </c>
      <c r="AA163" s="161">
        <f t="shared" ref="AA163" ca="1" si="1099">+AA146/AA$159</f>
        <v>5.2050552004648463</v>
      </c>
      <c r="AB163" s="21">
        <f t="shared" ca="1" si="1090"/>
        <v>3.8735516538000825</v>
      </c>
      <c r="AC163" s="21">
        <f t="shared" ca="1" si="1090"/>
        <v>3.5244367332119544</v>
      </c>
      <c r="AD163" s="21">
        <f t="shared" ca="1" si="1090"/>
        <v>3.623667632467436</v>
      </c>
      <c r="AE163" s="21">
        <f t="shared" ca="1" si="1090"/>
        <v>3.3936406813877511</v>
      </c>
      <c r="AL163" s="161">
        <f t="shared" si="1092"/>
        <v>2.6032807631618993</v>
      </c>
      <c r="AM163" s="161">
        <f t="shared" si="1092"/>
        <v>2.2358426966292142</v>
      </c>
      <c r="AN163" s="161">
        <f t="shared" si="1092"/>
        <v>2.4769708990793093</v>
      </c>
      <c r="AO163" s="161">
        <f t="shared" si="1092"/>
        <v>2.5360915492957741</v>
      </c>
      <c r="AP163" s="161">
        <f t="shared" si="1092"/>
        <v>2.1001529051987773</v>
      </c>
      <c r="AQ163" s="161">
        <f t="shared" si="1092"/>
        <v>2.8850007448840005</v>
      </c>
      <c r="AR163" s="161">
        <f t="shared" si="1092"/>
        <v>3.6623775866473647</v>
      </c>
      <c r="AS163" s="161">
        <f t="shared" si="1092"/>
        <v>3.5541549792368579</v>
      </c>
      <c r="AT163" s="161">
        <f t="shared" si="1092"/>
        <v>2.8071085714285715</v>
      </c>
      <c r="AU163" s="161">
        <f t="shared" si="1092"/>
        <v>2.5198030942334735</v>
      </c>
      <c r="AV163" s="161">
        <f t="shared" si="1092"/>
        <v>2.427106158795282</v>
      </c>
      <c r="AW163" s="161">
        <f t="shared" si="1092"/>
        <v>2.6135413764279751</v>
      </c>
      <c r="AX163" s="161">
        <f t="shared" si="1092"/>
        <v>3.296645205015249</v>
      </c>
      <c r="AY163" s="161">
        <f t="shared" si="1092"/>
        <v>8.6988890677829644</v>
      </c>
      <c r="AZ163" s="161">
        <f t="shared" si="1092"/>
        <v>11.279623191656386</v>
      </c>
      <c r="BA163" s="161">
        <f t="shared" si="1092"/>
        <v>8.1042197046843185</v>
      </c>
      <c r="BB163" s="161">
        <f t="shared" si="1092"/>
        <v>8.6553886194250573</v>
      </c>
      <c r="BC163" s="161">
        <f t="shared" si="1092"/>
        <v>11.617891531561192</v>
      </c>
      <c r="BD163" s="161">
        <f t="shared" si="1092"/>
        <v>11.478842597628631</v>
      </c>
      <c r="BE163" s="161">
        <f t="shared" si="1092"/>
        <v>12.025160749231198</v>
      </c>
      <c r="BF163" s="161">
        <f t="shared" si="1092"/>
        <v>8.9984011369692674</v>
      </c>
      <c r="BG163" s="161">
        <f t="shared" si="1092"/>
        <v>6.8347131874630405</v>
      </c>
      <c r="BH163" s="161">
        <f t="shared" si="1092"/>
        <v>7.6784383691032163</v>
      </c>
      <c r="BI163" s="161">
        <f t="shared" si="1092"/>
        <v>6.9645290478004389</v>
      </c>
      <c r="BJ163" s="161">
        <f t="shared" si="1092"/>
        <v>5.4588283111940443</v>
      </c>
      <c r="BK163" s="161">
        <f t="shared" si="1092"/>
        <v>3.4183354500920142</v>
      </c>
      <c r="BL163" s="161">
        <f t="shared" si="1092"/>
        <v>3.7661544638600075</v>
      </c>
      <c r="BM163" s="161">
        <f t="shared" si="1092"/>
        <v>3.1666449213908283</v>
      </c>
      <c r="BN163" s="161">
        <f t="shared" si="1092"/>
        <v>1.6213067414563207</v>
      </c>
      <c r="BO163" s="161">
        <f t="shared" si="1092"/>
        <v>1.7179767205802814</v>
      </c>
      <c r="BP163" s="161">
        <f t="shared" si="1092"/>
        <v>3.2884748469523553</v>
      </c>
      <c r="BQ163" s="161">
        <f t="shared" si="1092"/>
        <v>3.2457759211920938</v>
      </c>
      <c r="BR163" s="161">
        <f t="shared" si="1092"/>
        <v>3.0287142033442245</v>
      </c>
      <c r="BS163" s="161">
        <f t="shared" si="1092"/>
        <v>3.2451680637625397</v>
      </c>
      <c r="BT163" s="161">
        <f t="shared" si="1092"/>
        <v>6.9273511621000647</v>
      </c>
      <c r="BU163" s="161">
        <f t="shared" si="1092"/>
        <v>11.264369615412569</v>
      </c>
      <c r="BV163" s="161">
        <f t="shared" si="1092"/>
        <v>11.97285186261888</v>
      </c>
      <c r="BW163" s="161">
        <f t="shared" si="1092"/>
        <v>-15.814836768802225</v>
      </c>
      <c r="BX163" s="161">
        <f t="shared" si="1092"/>
        <v>42.257857142857141</v>
      </c>
      <c r="BY163" s="161">
        <f t="shared" si="1092"/>
        <v>22.592037989321661</v>
      </c>
      <c r="BZ163" s="161">
        <f t="shared" si="1092"/>
        <v>8.6723359168056504</v>
      </c>
      <c r="CA163" s="161">
        <f t="shared" si="1092"/>
        <v>8.0099989131616134</v>
      </c>
      <c r="CB163" s="161">
        <f t="shared" si="1092"/>
        <v>10.198101770763602</v>
      </c>
      <c r="CC163" s="161">
        <f t="shared" si="1092"/>
        <v>10.870806533783353</v>
      </c>
      <c r="CD163" s="161">
        <f t="shared" si="1092"/>
        <v>10.459634205779704</v>
      </c>
      <c r="CE163" s="161">
        <f t="shared" si="1092"/>
        <v>9.8933244662690338</v>
      </c>
      <c r="CF163" s="161">
        <f t="shared" si="1092"/>
        <v>6.5661297013274336</v>
      </c>
      <c r="CG163" s="161">
        <f t="shared" si="1092"/>
        <v>8.0292711287164646</v>
      </c>
      <c r="CH163" s="161">
        <f t="shared" si="1092"/>
        <v>8.2175623212096447</v>
      </c>
      <c r="CI163" s="161">
        <f t="shared" si="1092"/>
        <v>7.9649172659388565</v>
      </c>
      <c r="CJ163" s="161">
        <f t="shared" si="1096"/>
        <v>8.7759005559852774</v>
      </c>
      <c r="CK163" s="161">
        <f t="shared" si="1096"/>
        <v>7.5276797945303304</v>
      </c>
      <c r="CL163" s="161">
        <f t="shared" ref="CL163" si="1100">+CL146/CL$159</f>
        <v>4.2359444851772308</v>
      </c>
      <c r="CM163" s="94">
        <f t="shared" ref="CM163:DB163" si="1101">+CL163</f>
        <v>4.2359444851772308</v>
      </c>
      <c r="CN163" s="94">
        <f t="shared" si="1101"/>
        <v>4.2359444851772308</v>
      </c>
      <c r="CO163" s="94">
        <f t="shared" si="1101"/>
        <v>4.2359444851772308</v>
      </c>
      <c r="CP163" s="94">
        <f t="shared" si="1101"/>
        <v>4.2359444851772308</v>
      </c>
      <c r="CQ163" s="94">
        <f t="shared" si="1101"/>
        <v>4.2359444851772308</v>
      </c>
      <c r="CR163" s="94">
        <f t="shared" si="1101"/>
        <v>4.2359444851772308</v>
      </c>
      <c r="CS163" s="94">
        <f t="shared" si="1101"/>
        <v>4.2359444851772308</v>
      </c>
      <c r="CT163" s="94">
        <f t="shared" si="1101"/>
        <v>4.2359444851772308</v>
      </c>
      <c r="CU163" s="94">
        <f t="shared" si="1101"/>
        <v>4.2359444851772308</v>
      </c>
      <c r="CV163" s="94">
        <f t="shared" si="1101"/>
        <v>4.2359444851772308</v>
      </c>
      <c r="CW163" s="94">
        <f t="shared" si="1101"/>
        <v>4.2359444851772308</v>
      </c>
      <c r="CX163" s="94">
        <f t="shared" si="1101"/>
        <v>4.2359444851772308</v>
      </c>
      <c r="CY163" s="94">
        <f t="shared" si="1101"/>
        <v>4.2359444851772308</v>
      </c>
      <c r="CZ163" s="94">
        <f t="shared" si="1101"/>
        <v>4.2359444851772308</v>
      </c>
      <c r="DA163" s="94">
        <f t="shared" si="1101"/>
        <v>4.2359444851772308</v>
      </c>
      <c r="DB163" s="94">
        <f t="shared" si="1101"/>
        <v>4.2359444851772308</v>
      </c>
      <c r="DE163" s="22"/>
      <c r="DF163" s="161">
        <v>5.2050552004648463</v>
      </c>
    </row>
    <row r="164" spans="1:110" s="4" customFormat="1" hidden="1" x14ac:dyDescent="0.2">
      <c r="A164" s="3"/>
      <c r="AB164" s="17"/>
      <c r="AC164" s="17"/>
      <c r="AD164" s="17"/>
      <c r="AE164" s="17"/>
      <c r="CM164" s="17"/>
      <c r="CN164" s="17"/>
      <c r="CO164" s="17"/>
      <c r="CP164" s="17"/>
      <c r="CQ164" s="17"/>
      <c r="CR164" s="17"/>
      <c r="CS164" s="17"/>
      <c r="CT164" s="17"/>
      <c r="CU164" s="17"/>
      <c r="CV164" s="17"/>
      <c r="CW164" s="17"/>
      <c r="CX164" s="17"/>
      <c r="CY164" s="17"/>
      <c r="CZ164" s="17"/>
      <c r="DA164" s="17"/>
      <c r="DB164" s="17"/>
      <c r="DC164" s="161"/>
      <c r="DE164" s="119"/>
    </row>
    <row r="165" spans="1:110" s="176" customFormat="1" hidden="1" x14ac:dyDescent="0.2">
      <c r="A165" s="176" t="s">
        <v>510</v>
      </c>
      <c r="E165" s="176">
        <f t="shared" ref="E165:Y165" si="1102">+E74</f>
        <v>175.82320000000001</v>
      </c>
      <c r="F165" s="176">
        <f t="shared" si="1102"/>
        <v>257.61700000000002</v>
      </c>
      <c r="G165" s="176">
        <f t="shared" si="1102"/>
        <v>254.01000000000002</v>
      </c>
      <c r="H165" s="176">
        <f t="shared" si="1102"/>
        <v>336.64049999999997</v>
      </c>
      <c r="I165" s="176">
        <f t="shared" si="1102"/>
        <v>381.99799999999999</v>
      </c>
      <c r="J165" s="176">
        <f t="shared" si="1102"/>
        <v>681.18369999999993</v>
      </c>
      <c r="K165" s="176">
        <f t="shared" si="1102"/>
        <v>567.89420000000007</v>
      </c>
      <c r="L165" s="176">
        <f t="shared" si="1102"/>
        <v>689.9973</v>
      </c>
      <c r="M165" s="176">
        <f t="shared" si="1102"/>
        <v>1006.8038999999999</v>
      </c>
      <c r="N165" s="176">
        <f t="shared" si="1102"/>
        <v>759.20220000000006</v>
      </c>
      <c r="O165" s="176">
        <f t="shared" si="1102"/>
        <v>567.74610000000007</v>
      </c>
      <c r="P165" s="176">
        <f t="shared" si="1102"/>
        <v>638.91579999999999</v>
      </c>
      <c r="Q165" s="176">
        <f t="shared" si="1102"/>
        <v>376.8698</v>
      </c>
      <c r="R165" s="176">
        <f t="shared" si="1102"/>
        <v>368.9434</v>
      </c>
      <c r="S165" s="176">
        <f t="shared" si="1102"/>
        <v>402.61759999999998</v>
      </c>
      <c r="T165" s="176">
        <f t="shared" si="1102"/>
        <v>477.28109999999998</v>
      </c>
      <c r="U165" s="176">
        <f t="shared" si="1102"/>
        <v>371.73849999999999</v>
      </c>
      <c r="V165" s="176">
        <f t="shared" si="1102"/>
        <v>253.4067</v>
      </c>
      <c r="W165" s="176">
        <f t="shared" si="1102"/>
        <v>697.5</v>
      </c>
      <c r="X165" s="176">
        <f t="shared" si="1102"/>
        <v>3392.31</v>
      </c>
      <c r="Y165" s="176">
        <f t="shared" si="1102"/>
        <v>6524.65</v>
      </c>
      <c r="Z165" s="176">
        <f>+Z74</f>
        <v>6721.05</v>
      </c>
      <c r="AA165" s="176">
        <f>+AA74</f>
        <v>17112.669999999998</v>
      </c>
      <c r="AB165" s="177">
        <f t="shared" ref="AB165:AE165" si="1103">+AB74</f>
        <v>22012.32508477247</v>
      </c>
      <c r="AC165" s="177">
        <f t="shared" si="1103"/>
        <v>30538.688081989392</v>
      </c>
      <c r="AD165" s="177">
        <f t="shared" si="1103"/>
        <v>34582.593728378532</v>
      </c>
      <c r="AE165" s="177">
        <f t="shared" si="1103"/>
        <v>41564.849969301016</v>
      </c>
      <c r="AL165" s="176">
        <f t="shared" ref="AL165:BQ165" si="1104">+SUM(AI72:AL72)</f>
        <v>792.16800000000001</v>
      </c>
      <c r="AM165" s="176">
        <f t="shared" si="1104"/>
        <v>678.87400000000002</v>
      </c>
      <c r="AN165" s="176">
        <f t="shared" si="1104"/>
        <v>663.99599999999998</v>
      </c>
      <c r="AO165" s="176">
        <f t="shared" si="1104"/>
        <v>656.14799999999991</v>
      </c>
      <c r="AP165" s="176">
        <f t="shared" si="1104"/>
        <v>599.64400000000001</v>
      </c>
      <c r="AQ165" s="176">
        <f t="shared" si="1104"/>
        <v>637.48700000000008</v>
      </c>
      <c r="AR165" s="176">
        <f t="shared" si="1104"/>
        <v>745.61500000000012</v>
      </c>
      <c r="AS165" s="176">
        <f t="shared" si="1104"/>
        <v>724.07900000000006</v>
      </c>
      <c r="AT165" s="176">
        <f t="shared" si="1104"/>
        <v>650.20299999999997</v>
      </c>
      <c r="AU165" s="176">
        <f t="shared" si="1104"/>
        <v>595.50400000000002</v>
      </c>
      <c r="AV165" s="176">
        <f t="shared" si="1104"/>
        <v>448.15299999999996</v>
      </c>
      <c r="AW165" s="176">
        <f t="shared" si="1104"/>
        <v>407.78500000000003</v>
      </c>
      <c r="AX165" s="176">
        <f t="shared" si="1104"/>
        <v>369.22</v>
      </c>
      <c r="AY165" s="176">
        <f t="shared" si="1104"/>
        <v>340.15199999999999</v>
      </c>
      <c r="AZ165" s="176">
        <f t="shared" si="1104"/>
        <v>358.279</v>
      </c>
      <c r="BA165" s="176">
        <f t="shared" si="1104"/>
        <v>407.11500000000001</v>
      </c>
      <c r="BB165" s="176">
        <f t="shared" si="1104"/>
        <v>405.26599999999996</v>
      </c>
      <c r="BC165" s="176">
        <f t="shared" si="1104"/>
        <v>413.44399999999996</v>
      </c>
      <c r="BD165" s="176">
        <f t="shared" si="1104"/>
        <v>395.173</v>
      </c>
      <c r="BE165" s="176">
        <f t="shared" si="1104"/>
        <v>388.32600000000002</v>
      </c>
      <c r="BF165" s="176">
        <f t="shared" si="1104"/>
        <v>414.67899999999997</v>
      </c>
      <c r="BG165" s="176">
        <f t="shared" si="1104"/>
        <v>439.452</v>
      </c>
      <c r="BH165" s="176">
        <f t="shared" si="1104"/>
        <v>464.34000000000003</v>
      </c>
      <c r="BI165" s="176">
        <f t="shared" si="1104"/>
        <v>453.00400000000002</v>
      </c>
      <c r="BJ165" s="176">
        <f t="shared" si="1104"/>
        <v>474.32900000000006</v>
      </c>
      <c r="BK165" s="176">
        <f t="shared" si="1104"/>
        <v>466.34399999999999</v>
      </c>
      <c r="BL165" s="176">
        <f t="shared" si="1104"/>
        <v>421.53899999999999</v>
      </c>
      <c r="BM165" s="176">
        <f t="shared" si="1104"/>
        <v>398.16500000000002</v>
      </c>
      <c r="BN165" s="176">
        <f t="shared" si="1104"/>
        <v>371.73900000000003</v>
      </c>
      <c r="BO165" s="176">
        <f t="shared" si="1104"/>
        <v>255.892</v>
      </c>
      <c r="BP165" s="176">
        <f t="shared" si="1104"/>
        <v>273.19799999999998</v>
      </c>
      <c r="BQ165" s="176">
        <f t="shared" si="1104"/>
        <v>262.149</v>
      </c>
      <c r="BR165" s="176">
        <f t="shared" ref="BR165:CW165" si="1105">+SUM(BO72:BR72)</f>
        <v>253.40700000000001</v>
      </c>
      <c r="BS165" s="176">
        <f t="shared" si="1105"/>
        <v>338.49700000000001</v>
      </c>
      <c r="BT165" s="176">
        <f t="shared" si="1105"/>
        <v>365.11700000000002</v>
      </c>
      <c r="BU165" s="176">
        <f t="shared" si="1105"/>
        <v>459.53499999999997</v>
      </c>
      <c r="BV165" s="176">
        <f t="shared" si="1105"/>
        <v>697.5</v>
      </c>
      <c r="BW165" s="176">
        <f t="shared" si="1105"/>
        <v>1444.48</v>
      </c>
      <c r="BX165" s="176">
        <f t="shared" si="1105"/>
        <v>2017.9199999999998</v>
      </c>
      <c r="BY165" s="176">
        <f t="shared" si="1105"/>
        <v>2849.27</v>
      </c>
      <c r="BZ165" s="176">
        <f t="shared" si="1105"/>
        <v>3392.31</v>
      </c>
      <c r="CA165" s="176">
        <f t="shared" si="1105"/>
        <v>4515.1499999999996</v>
      </c>
      <c r="CB165" s="176">
        <f t="shared" si="1105"/>
        <v>4932.7</v>
      </c>
      <c r="CC165" s="176">
        <f t="shared" si="1105"/>
        <v>5845.42</v>
      </c>
      <c r="CD165" s="176">
        <f t="shared" si="1105"/>
        <v>6523.46</v>
      </c>
      <c r="CE165" s="176">
        <f t="shared" si="1105"/>
        <v>6975.1799999999994</v>
      </c>
      <c r="CF165" s="176">
        <f t="shared" si="1105"/>
        <v>7319.5599999999995</v>
      </c>
      <c r="CG165" s="176">
        <f t="shared" si="1105"/>
        <v>7082.3899999999994</v>
      </c>
      <c r="CH165" s="176">
        <f t="shared" si="1105"/>
        <v>6721.4</v>
      </c>
      <c r="CI165" s="176">
        <f t="shared" si="1105"/>
        <v>6687.68</v>
      </c>
      <c r="CJ165" s="176">
        <f t="shared" si="1105"/>
        <v>8903.34</v>
      </c>
      <c r="CK165" s="176">
        <f t="shared" si="1105"/>
        <v>12286.25</v>
      </c>
      <c r="CL165" s="176">
        <f t="shared" si="1105"/>
        <v>17112.670000000002</v>
      </c>
      <c r="CM165" s="177">
        <f t="shared" si="1105"/>
        <v>20302.34776509093</v>
      </c>
      <c r="CN165" s="177">
        <f t="shared" si="1105"/>
        <v>21838.626143221547</v>
      </c>
      <c r="CO165" s="177">
        <f t="shared" si="1105"/>
        <v>22181.33895088037</v>
      </c>
      <c r="CP165" s="177">
        <f t="shared" si="1105"/>
        <v>22012.32508477247</v>
      </c>
      <c r="CQ165" s="177">
        <f t="shared" si="1105"/>
        <v>23663.81391100516</v>
      </c>
      <c r="CR165" s="177">
        <f t="shared" si="1105"/>
        <v>25563.331480253095</v>
      </c>
      <c r="CS165" s="177">
        <f t="shared" si="1105"/>
        <v>28074.710328431291</v>
      </c>
      <c r="CT165" s="177">
        <f t="shared" si="1105"/>
        <v>30538.688081989392</v>
      </c>
      <c r="CU165" s="177">
        <f t="shared" si="1105"/>
        <v>31647.101631346508</v>
      </c>
      <c r="CV165" s="177">
        <f t="shared" si="1105"/>
        <v>32400.654378102932</v>
      </c>
      <c r="CW165" s="177">
        <f t="shared" si="1105"/>
        <v>33400.452505837071</v>
      </c>
      <c r="CX165" s="177">
        <f t="shared" ref="CX165:DB165" si="1106">+SUM(CU72:CX72)</f>
        <v>34582.593728378532</v>
      </c>
      <c r="CY165" s="177">
        <f t="shared" si="1106"/>
        <v>36283.825486577996</v>
      </c>
      <c r="CZ165" s="177">
        <f t="shared" si="1106"/>
        <v>37985.442442526633</v>
      </c>
      <c r="DA165" s="177">
        <f t="shared" si="1106"/>
        <v>39758.598832397409</v>
      </c>
      <c r="DB165" s="177">
        <f t="shared" si="1106"/>
        <v>41564.849969301016</v>
      </c>
      <c r="DC165" s="161"/>
      <c r="DE165" s="178"/>
      <c r="DF165" s="176">
        <v>17112.669999999998</v>
      </c>
    </row>
    <row r="166" spans="1:110" s="162" customFormat="1" hidden="1" x14ac:dyDescent="0.2">
      <c r="A166" s="162" t="s">
        <v>511</v>
      </c>
      <c r="E166" s="162">
        <f t="shared" ref="E166:AE166" ca="1" si="1107">+E165/E132</f>
        <v>3.1240796019900499</v>
      </c>
      <c r="F166" s="162">
        <f t="shared" ca="1" si="1107"/>
        <v>4.5774164889836531</v>
      </c>
      <c r="G166" s="162">
        <f t="shared" ca="1" si="1107"/>
        <v>4.5133262260127935</v>
      </c>
      <c r="H166" s="162">
        <f t="shared" ca="1" si="1107"/>
        <v>5.9815298507462682</v>
      </c>
      <c r="I166" s="162">
        <f t="shared" ca="1" si="1107"/>
        <v>6.7874555792466236</v>
      </c>
      <c r="J166" s="162">
        <f t="shared" ca="1" si="1107"/>
        <v>12.103477256574269</v>
      </c>
      <c r="K166" s="162">
        <f t="shared" ca="1" si="1107"/>
        <v>10.090515280739162</v>
      </c>
      <c r="L166" s="162">
        <f t="shared" ca="1" si="1107"/>
        <v>12.260079957356076</v>
      </c>
      <c r="M166" s="162">
        <f t="shared" ca="1" si="1107"/>
        <v>17.889195095948825</v>
      </c>
      <c r="N166" s="162">
        <f t="shared" ca="1" si="1107"/>
        <v>13.489733475479746</v>
      </c>
      <c r="O166" s="162">
        <f t="shared" ca="1" si="1107"/>
        <v>10.087883795309169</v>
      </c>
      <c r="P166" s="162">
        <f t="shared" ca="1" si="1107"/>
        <v>11.352448471926083</v>
      </c>
      <c r="Q166" s="162">
        <f t="shared" ca="1" si="1107"/>
        <v>6.696336176261549</v>
      </c>
      <c r="R166" s="162">
        <f t="shared" ca="1" si="1107"/>
        <v>6.5554975124378103</v>
      </c>
      <c r="S166" s="162">
        <f t="shared" ca="1" si="1107"/>
        <v>7.1538308457711439</v>
      </c>
      <c r="T166" s="162">
        <f t="shared" ca="1" si="1107"/>
        <v>8.4804744136460553</v>
      </c>
      <c r="U166" s="162">
        <f t="shared" ca="1" si="1107"/>
        <v>6.6051616915422882</v>
      </c>
      <c r="V166" s="162">
        <f t="shared" ca="1" si="1107"/>
        <v>4.5026066098081019</v>
      </c>
      <c r="W166" s="162">
        <f t="shared" ca="1" si="1107"/>
        <v>12.393390191897653</v>
      </c>
      <c r="X166" s="162">
        <f t="shared" ca="1" si="1107"/>
        <v>60.275586353944561</v>
      </c>
      <c r="Y166" s="162">
        <f t="shared" ca="1" si="1107"/>
        <v>115.931947405828</v>
      </c>
      <c r="Z166" s="162">
        <f t="shared" ref="Z166:AA166" ca="1" si="1108">+Z165/Z132</f>
        <v>119.4278606965174</v>
      </c>
      <c r="AA166" s="162">
        <f t="shared" ca="1" si="1108"/>
        <v>119.4278606965174</v>
      </c>
      <c r="AB166" s="94">
        <f t="shared" ca="1" si="1107"/>
        <v>391.12162552900622</v>
      </c>
      <c r="AC166" s="94">
        <f t="shared" ca="1" si="1107"/>
        <v>542.62061268637865</v>
      </c>
      <c r="AD166" s="94">
        <f t="shared" ca="1" si="1107"/>
        <v>614.47394684396818</v>
      </c>
      <c r="AE166" s="94">
        <f t="shared" ca="1" si="1107"/>
        <v>738.53677983832654</v>
      </c>
      <c r="AL166" s="162">
        <f t="shared" ref="AL166:BQ166" si="1109">+AL165/AL132</f>
        <v>14.075479744136461</v>
      </c>
      <c r="AM166" s="162">
        <f t="shared" si="1109"/>
        <v>12.062437810945275</v>
      </c>
      <c r="AN166" s="162">
        <f t="shared" si="1109"/>
        <v>11.798081023454158</v>
      </c>
      <c r="AO166" s="162">
        <f t="shared" si="1109"/>
        <v>11.658635394456288</v>
      </c>
      <c r="AP166" s="162">
        <f t="shared" si="1109"/>
        <v>10.654655294953802</v>
      </c>
      <c r="AQ166" s="162">
        <f t="shared" si="1109"/>
        <v>11.327061122956646</v>
      </c>
      <c r="AR166" s="162">
        <f t="shared" si="1109"/>
        <v>13.248312011371715</v>
      </c>
      <c r="AS166" s="162">
        <f t="shared" si="1109"/>
        <v>12.865653873489695</v>
      </c>
      <c r="AT166" s="162">
        <f t="shared" si="1109"/>
        <v>11.553002842928215</v>
      </c>
      <c r="AU166" s="162">
        <f t="shared" si="1109"/>
        <v>10.581094527363184</v>
      </c>
      <c r="AV166" s="162">
        <f t="shared" si="1109"/>
        <v>7.9629175550817335</v>
      </c>
      <c r="AW166" s="162">
        <f t="shared" si="1109"/>
        <v>7.2456467661691546</v>
      </c>
      <c r="AX166" s="162">
        <f t="shared" si="1109"/>
        <v>6.560412224591329</v>
      </c>
      <c r="AY166" s="162">
        <f t="shared" si="1109"/>
        <v>6.0439232409381658</v>
      </c>
      <c r="AZ166" s="162">
        <f t="shared" si="1109"/>
        <v>6.3660092395167016</v>
      </c>
      <c r="BA166" s="162">
        <f t="shared" si="1109"/>
        <v>7.2337420042643927</v>
      </c>
      <c r="BB166" s="162">
        <f t="shared" si="1109"/>
        <v>7.200888415067519</v>
      </c>
      <c r="BC166" s="162">
        <f t="shared" si="1109"/>
        <v>7.3461975835110156</v>
      </c>
      <c r="BD166" s="162">
        <f t="shared" si="1109"/>
        <v>7.021552949538024</v>
      </c>
      <c r="BE166" s="162">
        <f t="shared" si="1109"/>
        <v>6.899893390191898</v>
      </c>
      <c r="BF166" s="162">
        <f t="shared" si="1109"/>
        <v>7.3681414356787487</v>
      </c>
      <c r="BG166" s="162">
        <f t="shared" si="1109"/>
        <v>7.8083155650319824</v>
      </c>
      <c r="BH166" s="162">
        <f t="shared" si="1109"/>
        <v>8.2505330490405129</v>
      </c>
      <c r="BI166" s="162">
        <f t="shared" si="1109"/>
        <v>8.049111584932481</v>
      </c>
      <c r="BJ166" s="162">
        <f t="shared" si="1109"/>
        <v>8.4280206112295666</v>
      </c>
      <c r="BK166" s="162">
        <f t="shared" si="1109"/>
        <v>8.2861407249466943</v>
      </c>
      <c r="BL166" s="162">
        <f t="shared" si="1109"/>
        <v>7.4900319829424307</v>
      </c>
      <c r="BM166" s="162">
        <f t="shared" si="1109"/>
        <v>7.0747157071783944</v>
      </c>
      <c r="BN166" s="162">
        <f t="shared" si="1109"/>
        <v>6.6051705756929646</v>
      </c>
      <c r="BO166" s="162">
        <f t="shared" si="1109"/>
        <v>4.5467661691542283</v>
      </c>
      <c r="BP166" s="162">
        <f t="shared" si="1109"/>
        <v>4.8542643923240938</v>
      </c>
      <c r="BQ166" s="162">
        <f t="shared" si="1109"/>
        <v>4.657942430703625</v>
      </c>
      <c r="BR166" s="162">
        <f t="shared" ref="BR166:CW166" si="1110">+BR165/BR132</f>
        <v>4.5026119402985074</v>
      </c>
      <c r="BS166" s="162">
        <f t="shared" si="1110"/>
        <v>6.0145167022032693</v>
      </c>
      <c r="BT166" s="162">
        <f t="shared" si="1110"/>
        <v>6.4875088841506754</v>
      </c>
      <c r="BU166" s="162">
        <f t="shared" si="1110"/>
        <v>8.1651563610518831</v>
      </c>
      <c r="BV166" s="162">
        <f t="shared" si="1110"/>
        <v>12.393390191897653</v>
      </c>
      <c r="BW166" s="162">
        <f t="shared" si="1110"/>
        <v>25.665955934612651</v>
      </c>
      <c r="BX166" s="162">
        <f t="shared" si="1110"/>
        <v>35.85501066098081</v>
      </c>
      <c r="BY166" s="162">
        <f t="shared" si="1110"/>
        <v>50.626687988628284</v>
      </c>
      <c r="BZ166" s="162">
        <f t="shared" si="1110"/>
        <v>60.275586353944561</v>
      </c>
      <c r="CA166" s="162">
        <f t="shared" si="1110"/>
        <v>80.226545842217476</v>
      </c>
      <c r="CB166" s="162">
        <f t="shared" si="1110"/>
        <v>87.645700071073207</v>
      </c>
      <c r="CC166" s="162">
        <f t="shared" si="1110"/>
        <v>103.86318407960199</v>
      </c>
      <c r="CD166" s="162">
        <f t="shared" si="1110"/>
        <v>115.91080312722103</v>
      </c>
      <c r="CE166" s="162">
        <f t="shared" si="1110"/>
        <v>123.93710021321961</v>
      </c>
      <c r="CF166" s="162">
        <f t="shared" si="1110"/>
        <v>130.05614783226721</v>
      </c>
      <c r="CG166" s="162">
        <f t="shared" si="1110"/>
        <v>125.84203980099501</v>
      </c>
      <c r="CH166" s="162">
        <f t="shared" si="1110"/>
        <v>119.4278606965174</v>
      </c>
      <c r="CI166" s="162">
        <f t="shared" si="1110"/>
        <v>118.82871357498223</v>
      </c>
      <c r="CJ166" s="162">
        <f t="shared" si="1110"/>
        <v>158.19722814498934</v>
      </c>
      <c r="CK166" s="162">
        <f t="shared" ref="CK166:CL166" si="1111">+CK165/CK132</f>
        <v>218.30579246624023</v>
      </c>
      <c r="CL166" s="162">
        <f t="shared" si="1111"/>
        <v>304.06307746979394</v>
      </c>
      <c r="CM166" s="50">
        <f t="shared" si="1110"/>
        <v>360.73823321057091</v>
      </c>
      <c r="CN166" s="50">
        <f t="shared" si="1110"/>
        <v>388.03529039128546</v>
      </c>
      <c r="CO166" s="50">
        <f t="shared" si="1110"/>
        <v>394.12471483440601</v>
      </c>
      <c r="CP166" s="50">
        <f t="shared" si="1110"/>
        <v>391.12162552900622</v>
      </c>
      <c r="CQ166" s="50">
        <f t="shared" si="1110"/>
        <v>420.46577667031198</v>
      </c>
      <c r="CR166" s="50">
        <f t="shared" si="1110"/>
        <v>454.21697726107135</v>
      </c>
      <c r="CS166" s="50">
        <f t="shared" si="1110"/>
        <v>498.83991344049912</v>
      </c>
      <c r="CT166" s="50">
        <f t="shared" si="1110"/>
        <v>542.62061268637865</v>
      </c>
      <c r="CU166" s="50">
        <f t="shared" si="1110"/>
        <v>562.31523865221232</v>
      </c>
      <c r="CV166" s="50">
        <f t="shared" si="1110"/>
        <v>575.70459093999523</v>
      </c>
      <c r="CW166" s="50">
        <f t="shared" si="1110"/>
        <v>593.46930536313198</v>
      </c>
      <c r="CX166" s="50">
        <f t="shared" ref="CX166:DB166" si="1112">+CX165/CX132</f>
        <v>614.47394684396818</v>
      </c>
      <c r="CY166" s="50">
        <f t="shared" si="1112"/>
        <v>644.7019453905117</v>
      </c>
      <c r="CZ166" s="50">
        <f t="shared" si="1112"/>
        <v>674.93678824674191</v>
      </c>
      <c r="DA166" s="50">
        <f t="shared" si="1112"/>
        <v>706.44276532333708</v>
      </c>
      <c r="DB166" s="50">
        <f t="shared" si="1112"/>
        <v>738.53677983832654</v>
      </c>
      <c r="DE166" s="163"/>
      <c r="DF166" s="162">
        <v>119.4278606965174</v>
      </c>
    </row>
    <row r="167" spans="1:110" s="162" customFormat="1" hidden="1" x14ac:dyDescent="0.2">
      <c r="AB167" s="94"/>
      <c r="AC167" s="94"/>
      <c r="AD167" s="94"/>
      <c r="AE167" s="94"/>
      <c r="CM167" s="94"/>
      <c r="CN167" s="94"/>
      <c r="CO167" s="94"/>
      <c r="CP167" s="94"/>
      <c r="CQ167" s="94"/>
      <c r="CR167" s="94"/>
      <c r="CS167" s="94"/>
      <c r="CT167" s="94"/>
      <c r="CU167" s="94"/>
      <c r="CV167" s="94"/>
      <c r="CW167" s="94"/>
      <c r="CX167" s="94"/>
      <c r="CY167" s="94"/>
      <c r="CZ167" s="94"/>
      <c r="DA167" s="94"/>
      <c r="DB167" s="94"/>
      <c r="DE167" s="163"/>
    </row>
    <row r="168" spans="1:110" s="162" customFormat="1" hidden="1" x14ac:dyDescent="0.2">
      <c r="A168" s="162" t="s">
        <v>506</v>
      </c>
      <c r="AB168" s="94"/>
      <c r="AC168" s="94"/>
      <c r="AD168" s="94"/>
      <c r="AE168" s="94"/>
      <c r="CM168" s="94"/>
      <c r="CN168" s="94"/>
      <c r="CO168" s="94"/>
      <c r="CP168" s="94"/>
      <c r="CQ168" s="94"/>
      <c r="CR168" s="94"/>
      <c r="CS168" s="94"/>
      <c r="CT168" s="94"/>
      <c r="CU168" s="94"/>
      <c r="CV168" s="94"/>
      <c r="CW168" s="94"/>
      <c r="CX168" s="94"/>
      <c r="CY168" s="94"/>
      <c r="CZ168" s="94"/>
      <c r="DA168" s="94"/>
      <c r="DB168" s="94"/>
      <c r="DE168" s="163"/>
    </row>
    <row r="169" spans="1:110" s="162" customFormat="1" hidden="1" x14ac:dyDescent="0.2">
      <c r="A169" s="162" t="s">
        <v>507</v>
      </c>
      <c r="E169" s="162">
        <f t="shared" ref="E169:AE171" ca="1" si="1113">+E144/E$166</f>
        <v>0.26855909800299388</v>
      </c>
      <c r="F169" s="162">
        <f t="shared" ca="1" si="1113"/>
        <v>0.990733530784071</v>
      </c>
      <c r="G169" s="162">
        <f t="shared" ca="1" si="1113"/>
        <v>0.87518601629857085</v>
      </c>
      <c r="H169" s="162">
        <f t="shared" ca="1" si="1113"/>
        <v>0.42380462243847672</v>
      </c>
      <c r="I169" s="162">
        <f t="shared" ca="1" si="1113"/>
        <v>5.5543641589746553</v>
      </c>
      <c r="J169" s="162">
        <f t="shared" ca="1" si="1113"/>
        <v>0.84273302488007285</v>
      </c>
      <c r="K169" s="162">
        <f t="shared" ca="1" si="1113"/>
        <v>1.4667239073757048</v>
      </c>
      <c r="L169" s="162">
        <f t="shared" ca="1" si="1113"/>
        <v>1.7434633439869982</v>
      </c>
      <c r="M169" s="162">
        <f t="shared" ca="1" si="1113"/>
        <v>0.71551570271032938</v>
      </c>
      <c r="N169" s="162">
        <f t="shared" ca="1" si="1113"/>
        <v>0.44404138976414975</v>
      </c>
      <c r="O169" s="162">
        <f t="shared" ca="1" si="1113"/>
        <v>0.39205447646403907</v>
      </c>
      <c r="P169" s="162">
        <f t="shared" ca="1" si="1113"/>
        <v>0.28143708451097937</v>
      </c>
      <c r="Q169" s="162">
        <f t="shared" ca="1" si="1113"/>
        <v>1.5082874775320283</v>
      </c>
      <c r="R169" s="162">
        <f t="shared" ca="1" si="1113"/>
        <v>2.3339189696847811</v>
      </c>
      <c r="S169" s="162">
        <f t="shared" ca="1" si="1113"/>
        <v>2.1387142539223323</v>
      </c>
      <c r="T169" s="162">
        <f t="shared" ca="1" si="1113"/>
        <v>1.4692574250268868</v>
      </c>
      <c r="U169" s="162">
        <f t="shared" ca="1" si="1113"/>
        <v>0.87204526838086449</v>
      </c>
      <c r="V169" s="162">
        <f t="shared" ca="1" si="1113"/>
        <v>2.4430293279538389</v>
      </c>
      <c r="W169" s="162">
        <f t="shared" ca="1" si="1113"/>
        <v>10.703286021505377</v>
      </c>
      <c r="X169" s="162">
        <f t="shared" ca="1" si="1113"/>
        <v>4.7233053582956748</v>
      </c>
      <c r="Y169" s="162">
        <f t="shared" ca="1" si="1113"/>
        <v>5.200895986757911</v>
      </c>
      <c r="Z169" s="162">
        <f ca="1">+Z144/Z$166</f>
        <v>10.76382003749219</v>
      </c>
      <c r="AA169" s="162">
        <f ca="1">+AA144/AA$166</f>
        <v>10.76382003749219</v>
      </c>
      <c r="AB169" s="50">
        <f t="shared" ref="AB169:AE169" ca="1" si="1114">+AB144/AB$166</f>
        <v>4.7402134757759748</v>
      </c>
      <c r="AC169" s="50">
        <f t="shared" ca="1" si="1114"/>
        <v>3.4167518827220933</v>
      </c>
      <c r="AD169" s="50">
        <f t="shared" ca="1" si="1114"/>
        <v>3.0172149844959684</v>
      </c>
      <c r="AE169" s="50">
        <f t="shared" ca="1" si="1114"/>
        <v>2.5103692200757557</v>
      </c>
      <c r="AL169" s="162">
        <f t="shared" ref="AL169:BQ169" si="1115">+AL144/AL166</f>
        <v>0.42556275941466964</v>
      </c>
      <c r="AM169" s="162">
        <f t="shared" si="1115"/>
        <v>0.36932832896826212</v>
      </c>
      <c r="AN169" s="162">
        <f t="shared" si="1115"/>
        <v>0.73317007933782741</v>
      </c>
      <c r="AO169" s="162">
        <f t="shared" si="1115"/>
        <v>0.4254357248669508</v>
      </c>
      <c r="AP169" s="162">
        <f t="shared" si="1115"/>
        <v>0.37119924488529865</v>
      </c>
      <c r="AQ169" s="162">
        <f t="shared" si="1115"/>
        <v>0.58532393601751875</v>
      </c>
      <c r="AR169" s="162">
        <f t="shared" si="1115"/>
        <v>0.36985843900672599</v>
      </c>
      <c r="AS169" s="162">
        <f t="shared" si="1115"/>
        <v>0.38591120582146421</v>
      </c>
      <c r="AT169" s="162">
        <f t="shared" si="1115"/>
        <v>0.27655147700025989</v>
      </c>
      <c r="AU169" s="162">
        <f t="shared" si="1115"/>
        <v>0.27785405303742711</v>
      </c>
      <c r="AV169" s="162">
        <f t="shared" si="1115"/>
        <v>0.47658411301497483</v>
      </c>
      <c r="AW169" s="162">
        <f t="shared" si="1115"/>
        <v>0.51755214144708606</v>
      </c>
      <c r="AX169" s="162">
        <f t="shared" si="1115"/>
        <v>1.5395374031742592</v>
      </c>
      <c r="AY169" s="162">
        <f t="shared" si="1115"/>
        <v>2.5356046708530307</v>
      </c>
      <c r="AZ169" s="162">
        <f t="shared" si="1115"/>
        <v>2.1127836127710529</v>
      </c>
      <c r="BA169" s="162">
        <f t="shared" si="1115"/>
        <v>1.4750318706016727</v>
      </c>
      <c r="BB169" s="162">
        <f t="shared" si="1115"/>
        <v>2.1247378265139441</v>
      </c>
      <c r="BC169" s="162">
        <f t="shared" si="1115"/>
        <v>2.3549598010855162</v>
      </c>
      <c r="BD169" s="162">
        <f t="shared" si="1115"/>
        <v>2.520809873144167</v>
      </c>
      <c r="BE169" s="162">
        <f t="shared" si="1115"/>
        <v>2.5435175599882571</v>
      </c>
      <c r="BF169" s="162">
        <f t="shared" si="1115"/>
        <v>2.076507370761481</v>
      </c>
      <c r="BG169" s="162">
        <f t="shared" si="1115"/>
        <v>1.7033123071461731</v>
      </c>
      <c r="BH169" s="162">
        <f t="shared" si="1115"/>
        <v>1.6423181289572295</v>
      </c>
      <c r="BI169" s="162">
        <f t="shared" si="1115"/>
        <v>1.7703817184837218</v>
      </c>
      <c r="BJ169" s="162">
        <f t="shared" si="1115"/>
        <v>1.4784017000858054</v>
      </c>
      <c r="BK169" s="162">
        <f t="shared" si="1115"/>
        <v>1.0704621481138388</v>
      </c>
      <c r="BL169" s="162">
        <f t="shared" si="1115"/>
        <v>1.3885120949663021</v>
      </c>
      <c r="BM169" s="162">
        <f t="shared" si="1115"/>
        <v>1.0700076601408963</v>
      </c>
      <c r="BN169" s="162">
        <f t="shared" si="1115"/>
        <v>0.87204409545406847</v>
      </c>
      <c r="BO169" s="162">
        <f t="shared" si="1115"/>
        <v>2.32252981726666</v>
      </c>
      <c r="BP169" s="162">
        <f t="shared" si="1115"/>
        <v>2.3999516833944612</v>
      </c>
      <c r="BQ169" s="162">
        <f t="shared" si="1115"/>
        <v>2.1618987674948218</v>
      </c>
      <c r="BR169" s="162">
        <f t="shared" ref="BR169:DB169" si="1116">+BR144/BR166</f>
        <v>2.4430264357338194</v>
      </c>
      <c r="BS169" s="162">
        <f t="shared" si="1116"/>
        <v>8.446231428934377</v>
      </c>
      <c r="BT169" s="162">
        <f t="shared" si="1116"/>
        <v>14.042369980033795</v>
      </c>
      <c r="BU169" s="162">
        <f t="shared" si="1116"/>
        <v>12.296151544496068</v>
      </c>
      <c r="BV169" s="162">
        <f t="shared" si="1116"/>
        <v>10.703286021505377</v>
      </c>
      <c r="BW169" s="162">
        <f t="shared" si="1116"/>
        <v>5.4508002879929114</v>
      </c>
      <c r="BX169" s="162">
        <f t="shared" si="1116"/>
        <v>4.9672276403425313</v>
      </c>
      <c r="BY169" s="162">
        <f t="shared" si="1116"/>
        <v>4.8452705429811855</v>
      </c>
      <c r="BZ169" s="162">
        <f t="shared" si="1116"/>
        <v>4.7233053582956748</v>
      </c>
      <c r="CA169" s="162">
        <f t="shared" si="1116"/>
        <v>4.9322826484169964</v>
      </c>
      <c r="CB169" s="162">
        <f t="shared" si="1116"/>
        <v>6.1223767916151397</v>
      </c>
      <c r="CC169" s="162">
        <f t="shared" si="1116"/>
        <v>5.7691279668526816</v>
      </c>
      <c r="CD169" s="162">
        <f t="shared" si="1116"/>
        <v>5.2018447265714824</v>
      </c>
      <c r="CE169" s="162">
        <f t="shared" si="1116"/>
        <v>5.9082389271674716</v>
      </c>
      <c r="CF169" s="162">
        <f t="shared" si="1116"/>
        <v>7.2941572990726229</v>
      </c>
      <c r="CG169" s="162">
        <f t="shared" si="1116"/>
        <v>9.7844885695365562</v>
      </c>
      <c r="CH169" s="162">
        <f t="shared" si="1116"/>
        <v>10.76382003749219</v>
      </c>
      <c r="CI169" s="162">
        <f t="shared" si="1116"/>
        <v>13.386074393511652</v>
      </c>
      <c r="CJ169" s="162">
        <f t="shared" si="1116"/>
        <v>7.7529803422086543</v>
      </c>
      <c r="CK169" s="162">
        <f t="shared" ref="CK169:CL169" si="1117">+CK144/CK166</f>
        <v>6.0557257096347543</v>
      </c>
      <c r="CL169" s="162">
        <f t="shared" si="1117"/>
        <v>4.1790670888879404</v>
      </c>
      <c r="CM169" s="50">
        <f t="shared" si="1116"/>
        <v>5.139460776029745</v>
      </c>
      <c r="CN169" s="50">
        <f t="shared" si="1116"/>
        <v>4.7779159419507202</v>
      </c>
      <c r="CO169" s="50">
        <f t="shared" si="1116"/>
        <v>4.7040947451848325</v>
      </c>
      <c r="CP169" s="50">
        <f t="shared" si="1116"/>
        <v>4.7402134757759748</v>
      </c>
      <c r="CQ169" s="50">
        <f t="shared" si="1116"/>
        <v>4.4093957293787671</v>
      </c>
      <c r="CR169" s="50">
        <f t="shared" si="1116"/>
        <v>4.0817496765083972</v>
      </c>
      <c r="CS169" s="50">
        <f t="shared" si="1116"/>
        <v>3.7166232092635916</v>
      </c>
      <c r="CT169" s="50">
        <f t="shared" si="1116"/>
        <v>3.4167518827220933</v>
      </c>
      <c r="CU169" s="50">
        <f t="shared" si="1116"/>
        <v>3.2970829751008845</v>
      </c>
      <c r="CV169" s="50">
        <f t="shared" si="1116"/>
        <v>3.2204016246819185</v>
      </c>
      <c r="CW169" s="50">
        <f t="shared" si="1116"/>
        <v>3.1240031847402361</v>
      </c>
      <c r="CX169" s="50">
        <f t="shared" si="1116"/>
        <v>3.0172149844959684</v>
      </c>
      <c r="CY169" s="50">
        <f t="shared" si="1116"/>
        <v>2.8757474880535483</v>
      </c>
      <c r="CZ169" s="50">
        <f t="shared" si="1116"/>
        <v>2.7469239079648724</v>
      </c>
      <c r="DA169" s="50">
        <f t="shared" si="1116"/>
        <v>2.6244164297604899</v>
      </c>
      <c r="DB169" s="50">
        <f t="shared" si="1116"/>
        <v>2.5103692200757557</v>
      </c>
      <c r="DE169" s="106"/>
      <c r="DF169" s="162">
        <v>10.76382003749219</v>
      </c>
    </row>
    <row r="170" spans="1:110" s="162" customFormat="1" hidden="1" x14ac:dyDescent="0.2">
      <c r="A170" s="162" t="s">
        <v>508</v>
      </c>
      <c r="E170" s="162">
        <f t="shared" ca="1" si="1113"/>
        <v>0.47053858648915498</v>
      </c>
      <c r="F170" s="162">
        <f t="shared" ca="1" si="1113"/>
        <v>1.1097963255530496</v>
      </c>
      <c r="G170" s="162">
        <f t="shared" ca="1" si="1113"/>
        <v>1.5000023621117278</v>
      </c>
      <c r="H170" s="162">
        <f t="shared" ca="1" si="1113"/>
        <v>0.78073672062630617</v>
      </c>
      <c r="I170" s="162">
        <f t="shared" ca="1" si="1113"/>
        <v>12.228440986602024</v>
      </c>
      <c r="J170" s="162">
        <f t="shared" ca="1" si="1113"/>
        <v>3.3771286658797037</v>
      </c>
      <c r="K170" s="162">
        <f t="shared" ca="1" si="1113"/>
        <v>1.9300302767663415</v>
      </c>
      <c r="L170" s="162">
        <f t="shared" ca="1" si="1113"/>
        <v>3.0505510673737417</v>
      </c>
      <c r="M170" s="162">
        <f t="shared" ca="1" si="1113"/>
        <v>1.4533912711303563</v>
      </c>
      <c r="N170" s="162">
        <f t="shared" ca="1" si="1113"/>
        <v>0.99149475594248793</v>
      </c>
      <c r="O170" s="162">
        <f t="shared" ca="1" si="1113"/>
        <v>0.89959402627336393</v>
      </c>
      <c r="P170" s="162">
        <f t="shared" ca="1" si="1113"/>
        <v>0.65228219430478951</v>
      </c>
      <c r="Q170" s="162">
        <f t="shared" ca="1" si="1113"/>
        <v>1.6128222532025651</v>
      </c>
      <c r="R170" s="162">
        <f t="shared" ca="1" si="1113"/>
        <v>3.1118919595797081</v>
      </c>
      <c r="S170" s="162">
        <f t="shared" ca="1" si="1113"/>
        <v>3.2150606431512188</v>
      </c>
      <c r="T170" s="162">
        <f t="shared" ca="1" si="1113"/>
        <v>2.3465668345132458</v>
      </c>
      <c r="U170" s="162">
        <f t="shared" ca="1" si="1113"/>
        <v>2.031744357929028</v>
      </c>
      <c r="V170" s="162">
        <f t="shared" ca="1" si="1113"/>
        <v>3.8844166314466033</v>
      </c>
      <c r="W170" s="162">
        <f t="shared" ca="1" si="1113"/>
        <v>11.99429677419355</v>
      </c>
      <c r="X170" s="162">
        <f t="shared" ca="1" si="1113"/>
        <v>5.388583000963945</v>
      </c>
      <c r="Y170" s="162">
        <f t="shared" ca="1" si="1113"/>
        <v>5.9332221651736115</v>
      </c>
      <c r="Z170" s="162">
        <f t="shared" ref="Z170:AA171" ca="1" si="1118">+Z145/Z$166</f>
        <v>12.37148510726932</v>
      </c>
      <c r="AA170" s="162">
        <f t="shared" ca="1" si="1118"/>
        <v>12.37148510726932</v>
      </c>
      <c r="AB170" s="94">
        <f t="shared" ca="1" si="1113"/>
        <v>6.0692157767434161</v>
      </c>
      <c r="AC170" s="94">
        <f t="shared" ca="1" si="1113"/>
        <v>5.3051357011295091</v>
      </c>
      <c r="AD170" s="94">
        <f t="shared" ca="1" si="1113"/>
        <v>5.6064737307901398</v>
      </c>
      <c r="AE170" s="94">
        <f t="shared" ca="1" si="1113"/>
        <v>5.6777037968744501</v>
      </c>
      <c r="AL170" s="162">
        <f t="shared" ref="AL170:BQ170" si="1119">+AL145/AL166</f>
        <v>0.63763368376405005</v>
      </c>
      <c r="AM170" s="162">
        <f t="shared" si="1119"/>
        <v>0.64041780949042082</v>
      </c>
      <c r="AN170" s="162">
        <f t="shared" si="1119"/>
        <v>0.76919288670413677</v>
      </c>
      <c r="AO170" s="162">
        <f t="shared" si="1119"/>
        <v>0.77839298450959238</v>
      </c>
      <c r="AP170" s="162">
        <f t="shared" si="1119"/>
        <v>0.46927843854020057</v>
      </c>
      <c r="AQ170" s="162">
        <f t="shared" si="1119"/>
        <v>0.65374415478276415</v>
      </c>
      <c r="AR170" s="162">
        <f t="shared" si="1119"/>
        <v>0.51931144089107639</v>
      </c>
      <c r="AS170" s="162">
        <f t="shared" si="1119"/>
        <v>0.53242532928036856</v>
      </c>
      <c r="AT170" s="162">
        <f t="shared" si="1119"/>
        <v>0.49337822187839803</v>
      </c>
      <c r="AU170" s="162">
        <f t="shared" si="1119"/>
        <v>0.39646182057551255</v>
      </c>
      <c r="AV170" s="162">
        <f t="shared" si="1119"/>
        <v>0.62791055733198264</v>
      </c>
      <c r="AW170" s="162">
        <f t="shared" si="1119"/>
        <v>0.64797528109175184</v>
      </c>
      <c r="AX170" s="162">
        <f t="shared" si="1119"/>
        <v>1.6462380152754457</v>
      </c>
      <c r="AY170" s="162">
        <f t="shared" si="1119"/>
        <v>2.8913338742679748</v>
      </c>
      <c r="AZ170" s="162">
        <f t="shared" si="1119"/>
        <v>2.7332665325067893</v>
      </c>
      <c r="BA170" s="162">
        <f t="shared" si="1119"/>
        <v>2.8201171659113515</v>
      </c>
      <c r="BB170" s="162">
        <f t="shared" si="1119"/>
        <v>2.6718925347796261</v>
      </c>
      <c r="BC170" s="162">
        <f t="shared" si="1119"/>
        <v>3.1308714118477958</v>
      </c>
      <c r="BD170" s="162">
        <f t="shared" si="1119"/>
        <v>3.1616937391977689</v>
      </c>
      <c r="BE170" s="162">
        <f t="shared" si="1119"/>
        <v>3.3261383476769515</v>
      </c>
      <c r="BF170" s="162">
        <f t="shared" si="1119"/>
        <v>3.0604732817432283</v>
      </c>
      <c r="BG170" s="162">
        <f t="shared" si="1119"/>
        <v>2.5485650309931458</v>
      </c>
      <c r="BH170" s="162">
        <f t="shared" si="1119"/>
        <v>2.2301589352629532</v>
      </c>
      <c r="BI170" s="162">
        <f t="shared" si="1119"/>
        <v>1.9132546290981978</v>
      </c>
      <c r="BJ170" s="162">
        <f t="shared" si="1119"/>
        <v>1.7916425097348043</v>
      </c>
      <c r="BK170" s="162">
        <f t="shared" si="1119"/>
        <v>1.6195718182286039</v>
      </c>
      <c r="BL170" s="162">
        <f t="shared" si="1119"/>
        <v>1.6355070349362693</v>
      </c>
      <c r="BM170" s="162">
        <f t="shared" si="1119"/>
        <v>1.4883990305526602</v>
      </c>
      <c r="BN170" s="162">
        <f t="shared" si="1119"/>
        <v>1.3474292447120155</v>
      </c>
      <c r="BO170" s="162">
        <f t="shared" si="1119"/>
        <v>2.3863114126272023</v>
      </c>
      <c r="BP170" s="162">
        <f t="shared" si="1119"/>
        <v>2.5750554542859025</v>
      </c>
      <c r="BQ170" s="162">
        <f t="shared" si="1119"/>
        <v>2.5934197727246717</v>
      </c>
      <c r="BR170" s="162">
        <f t="shared" ref="BR170:CJ170" si="1120">+BR145/BR166</f>
        <v>3.8844120328167726</v>
      </c>
      <c r="BS170" s="162">
        <f t="shared" si="1120"/>
        <v>8.446231428934377</v>
      </c>
      <c r="BT170" s="162">
        <f t="shared" si="1120"/>
        <v>14.042369980033795</v>
      </c>
      <c r="BU170" s="162">
        <f t="shared" si="1120"/>
        <v>12.467611824997007</v>
      </c>
      <c r="BV170" s="162">
        <f t="shared" si="1120"/>
        <v>11.99429677419355</v>
      </c>
      <c r="BW170" s="162">
        <f t="shared" si="1120"/>
        <v>9.0392113424900309</v>
      </c>
      <c r="BX170" s="162">
        <f t="shared" si="1120"/>
        <v>5.7049209086584209</v>
      </c>
      <c r="BY170" s="162">
        <f t="shared" si="1120"/>
        <v>5.015141422188842</v>
      </c>
      <c r="BZ170" s="162">
        <f t="shared" si="1120"/>
        <v>5.388583000963945</v>
      </c>
      <c r="CA170" s="162">
        <f t="shared" si="1120"/>
        <v>5.0357396764227111</v>
      </c>
      <c r="CB170" s="162">
        <f t="shared" si="1120"/>
        <v>7.8480746852636489</v>
      </c>
      <c r="CC170" s="162">
        <f t="shared" si="1120"/>
        <v>6.3164826479534399</v>
      </c>
      <c r="CD170" s="162">
        <f t="shared" si="1120"/>
        <v>5.4956050930027933</v>
      </c>
      <c r="CE170" s="162">
        <f t="shared" si="1120"/>
        <v>6.2527685307045848</v>
      </c>
      <c r="CF170" s="162">
        <f t="shared" si="1120"/>
        <v>7.3787361535392844</v>
      </c>
      <c r="CG170" s="162">
        <f t="shared" si="1120"/>
        <v>9.7979975686173741</v>
      </c>
      <c r="CH170" s="162">
        <f t="shared" si="1120"/>
        <v>12.37148510726932</v>
      </c>
      <c r="CI170" s="162">
        <f t="shared" si="1120"/>
        <v>13.478644612182402</v>
      </c>
      <c r="CJ170" s="162">
        <f t="shared" si="1120"/>
        <v>10.198661625861757</v>
      </c>
      <c r="CK170" s="162">
        <f t="shared" ref="CK170:CL170" si="1121">+CK145/CK166</f>
        <v>6.3921803642283042</v>
      </c>
      <c r="CL170" s="162">
        <f t="shared" si="1121"/>
        <v>4.5214302619053592</v>
      </c>
      <c r="CM170" s="94">
        <f t="shared" ref="CM170:DB170" si="1122">+CL170</f>
        <v>4.5214302619053592</v>
      </c>
      <c r="CN170" s="94">
        <f t="shared" si="1122"/>
        <v>4.5214302619053592</v>
      </c>
      <c r="CO170" s="94">
        <f t="shared" si="1122"/>
        <v>4.5214302619053592</v>
      </c>
      <c r="CP170" s="94">
        <f t="shared" si="1122"/>
        <v>4.5214302619053592</v>
      </c>
      <c r="CQ170" s="94">
        <f t="shared" si="1122"/>
        <v>4.5214302619053592</v>
      </c>
      <c r="CR170" s="94">
        <f t="shared" si="1122"/>
        <v>4.5214302619053592</v>
      </c>
      <c r="CS170" s="94">
        <f t="shared" si="1122"/>
        <v>4.5214302619053592</v>
      </c>
      <c r="CT170" s="94">
        <f t="shared" si="1122"/>
        <v>4.5214302619053592</v>
      </c>
      <c r="CU170" s="94">
        <f t="shared" si="1122"/>
        <v>4.5214302619053592</v>
      </c>
      <c r="CV170" s="94">
        <f t="shared" si="1122"/>
        <v>4.5214302619053592</v>
      </c>
      <c r="CW170" s="94">
        <f t="shared" si="1122"/>
        <v>4.5214302619053592</v>
      </c>
      <c r="CX170" s="94">
        <f t="shared" si="1122"/>
        <v>4.5214302619053592</v>
      </c>
      <c r="CY170" s="94">
        <f t="shared" si="1122"/>
        <v>4.5214302619053592</v>
      </c>
      <c r="CZ170" s="94">
        <f t="shared" si="1122"/>
        <v>4.5214302619053592</v>
      </c>
      <c r="DA170" s="94">
        <f t="shared" si="1122"/>
        <v>4.5214302619053592</v>
      </c>
      <c r="DB170" s="94">
        <f t="shared" si="1122"/>
        <v>4.5214302619053592</v>
      </c>
      <c r="DE170" s="163"/>
      <c r="DF170" s="162">
        <v>12.37148510726932</v>
      </c>
    </row>
    <row r="171" spans="1:110" s="162" customFormat="1" hidden="1" x14ac:dyDescent="0.2">
      <c r="A171" s="162" t="s">
        <v>509</v>
      </c>
      <c r="E171" s="162">
        <f t="shared" ca="1" si="1113"/>
        <v>4.6413670095869025E-2</v>
      </c>
      <c r="F171" s="162">
        <f t="shared" ca="1" si="1113"/>
        <v>9.1099422786539708E-2</v>
      </c>
      <c r="G171" s="162">
        <f t="shared" ca="1" si="1113"/>
        <v>0.48855320656667056</v>
      </c>
      <c r="H171" s="162">
        <f t="shared" ca="1" si="1113"/>
        <v>0.30259817223417862</v>
      </c>
      <c r="I171" s="162">
        <f t="shared" ca="1" si="1113"/>
        <v>0.34843690281100953</v>
      </c>
      <c r="J171" s="162">
        <f t="shared" ca="1" si="1113"/>
        <v>0.57834619354514805</v>
      </c>
      <c r="K171" s="162">
        <f t="shared" ca="1" si="1113"/>
        <v>0.94643333212418801</v>
      </c>
      <c r="L171" s="162">
        <f t="shared" ca="1" si="1113"/>
        <v>1.2234830484119286</v>
      </c>
      <c r="M171" s="162">
        <f t="shared" ca="1" si="1113"/>
        <v>0.59672891612755985</v>
      </c>
      <c r="N171" s="162">
        <f t="shared" ca="1" si="1113"/>
        <v>0.42810334322002752</v>
      </c>
      <c r="O171" s="162">
        <f t="shared" ca="1" si="1113"/>
        <v>0.30482111634056136</v>
      </c>
      <c r="P171" s="162">
        <f t="shared" ca="1" si="1113"/>
        <v>0.26910494309265792</v>
      </c>
      <c r="Q171" s="162">
        <f t="shared" ca="1" si="1113"/>
        <v>0.41440571783677016</v>
      </c>
      <c r="R171" s="162">
        <f t="shared" ca="1" si="1113"/>
        <v>1.3805206977547235</v>
      </c>
      <c r="S171" s="162">
        <f t="shared" ca="1" si="1113"/>
        <v>1.8871008122844108</v>
      </c>
      <c r="T171" s="162">
        <f t="shared" ca="1" si="1113"/>
        <v>1.2381382795170393</v>
      </c>
      <c r="U171" s="162">
        <f t="shared" ca="1" si="1113"/>
        <v>0.6298104716084022</v>
      </c>
      <c r="V171" s="162">
        <f t="shared" ca="1" si="1113"/>
        <v>0.91502553010634691</v>
      </c>
      <c r="W171" s="162">
        <f t="shared" ca="1" si="1113"/>
        <v>0.84641892473118285</v>
      </c>
      <c r="X171" s="162">
        <f t="shared" ca="1" si="1113"/>
        <v>2.0920576244505957</v>
      </c>
      <c r="Y171" s="162">
        <f t="shared" ca="1" si="1113"/>
        <v>2.372081261063812</v>
      </c>
      <c r="Z171" s="162">
        <f t="shared" ca="1" si="1118"/>
        <v>4.95780462403666</v>
      </c>
      <c r="AA171" s="162">
        <f t="shared" ca="1" si="1118"/>
        <v>4.95780462403666</v>
      </c>
      <c r="AB171" s="94">
        <f t="shared" ca="1" si="1113"/>
        <v>3.558042421126137</v>
      </c>
      <c r="AC171" s="94">
        <f t="shared" ca="1" si="1113"/>
        <v>3.2201410637413752</v>
      </c>
      <c r="AD171" s="94">
        <f t="shared" ca="1" si="1113"/>
        <v>3.8030177889585342</v>
      </c>
      <c r="AE171" s="94">
        <f t="shared" ca="1" si="1113"/>
        <v>3.7862058621774271</v>
      </c>
      <c r="AL171" s="162">
        <f t="shared" ref="AL171:BQ171" si="1123">+AL146/AL166</f>
        <v>0.41028796921865063</v>
      </c>
      <c r="AM171" s="162">
        <f t="shared" si="1123"/>
        <v>0.36932832896826212</v>
      </c>
      <c r="AN171" s="162">
        <f t="shared" si="1123"/>
        <v>0.37802757847938845</v>
      </c>
      <c r="AO171" s="162">
        <f t="shared" si="1123"/>
        <v>0.36882532599352591</v>
      </c>
      <c r="AP171" s="162">
        <f t="shared" si="1123"/>
        <v>0.28860623970222338</v>
      </c>
      <c r="AQ171" s="162">
        <f t="shared" si="1123"/>
        <v>0.33415552003413401</v>
      </c>
      <c r="AR171" s="162">
        <f t="shared" si="1123"/>
        <v>0.34608182507057927</v>
      </c>
      <c r="AS171" s="162">
        <f t="shared" si="1123"/>
        <v>0.31323709153282997</v>
      </c>
      <c r="AT171" s="162">
        <f t="shared" si="1123"/>
        <v>0.26443341541026422</v>
      </c>
      <c r="AU171" s="162">
        <f t="shared" si="1123"/>
        <v>0.27076593943953359</v>
      </c>
      <c r="AV171" s="162">
        <f t="shared" si="1123"/>
        <v>0.34849035931925038</v>
      </c>
      <c r="AW171" s="162">
        <f t="shared" si="1123"/>
        <v>0.41404171315766886</v>
      </c>
      <c r="AX171" s="162">
        <f t="shared" si="1123"/>
        <v>0.55331888846758026</v>
      </c>
      <c r="AY171" s="162">
        <f t="shared" si="1123"/>
        <v>1.5883722571085868</v>
      </c>
      <c r="AZ171" s="162">
        <f t="shared" si="1123"/>
        <v>1.9651243863022954</v>
      </c>
      <c r="BA171" s="162">
        <f t="shared" si="1123"/>
        <v>1.2510813897793007</v>
      </c>
      <c r="BB171" s="162">
        <f t="shared" si="1123"/>
        <v>1.4442662350160143</v>
      </c>
      <c r="BC171" s="162">
        <f t="shared" si="1123"/>
        <v>2.0486789021004057</v>
      </c>
      <c r="BD171" s="162">
        <f t="shared" si="1123"/>
        <v>2.136279553512006</v>
      </c>
      <c r="BE171" s="162">
        <f t="shared" si="1123"/>
        <v>2.3261228967413978</v>
      </c>
      <c r="BF171" s="162">
        <f t="shared" si="1123"/>
        <v>1.8322123859660124</v>
      </c>
      <c r="BG171" s="162">
        <f t="shared" si="1123"/>
        <v>1.4727888370060895</v>
      </c>
      <c r="BH171" s="162">
        <f t="shared" si="1123"/>
        <v>1.5756557694792606</v>
      </c>
      <c r="BI171" s="162">
        <f t="shared" si="1123"/>
        <v>1.4933325092052165</v>
      </c>
      <c r="BJ171" s="162">
        <f t="shared" si="1123"/>
        <v>1.2458441292857911</v>
      </c>
      <c r="BK171" s="162">
        <f t="shared" si="1123"/>
        <v>0.84840461118830746</v>
      </c>
      <c r="BL171" s="162">
        <f t="shared" si="1123"/>
        <v>1.0680862268971554</v>
      </c>
      <c r="BM171" s="162">
        <f t="shared" si="1123"/>
        <v>0.97530420805444973</v>
      </c>
      <c r="BN171" s="162">
        <f t="shared" si="1123"/>
        <v>0.62980962449460498</v>
      </c>
      <c r="BO171" s="162">
        <f t="shared" si="1123"/>
        <v>0.90613852719115895</v>
      </c>
      <c r="BP171" s="162">
        <f t="shared" si="1123"/>
        <v>1.8993609030812819</v>
      </c>
      <c r="BQ171" s="162">
        <f t="shared" si="1123"/>
        <v>1.985855372326425</v>
      </c>
      <c r="BR171" s="162">
        <f t="shared" ref="BR171:CJ171" si="1124">+BR146/BR166</f>
        <v>2.1765144609264939</v>
      </c>
      <c r="BS171" s="162">
        <f t="shared" si="1124"/>
        <v>1.7441135371953076</v>
      </c>
      <c r="BT171" s="162">
        <f t="shared" si="1124"/>
        <v>7.2832270203797682</v>
      </c>
      <c r="BU171" s="162">
        <f t="shared" si="1124"/>
        <v>8.7689686313338484</v>
      </c>
      <c r="BV171" s="162">
        <f t="shared" si="1124"/>
        <v>8.2665032258064528</v>
      </c>
      <c r="BW171" s="162">
        <f t="shared" si="1124"/>
        <v>4.9131230615861758</v>
      </c>
      <c r="BX171" s="162">
        <f t="shared" si="1124"/>
        <v>3.6940443625118933</v>
      </c>
      <c r="BY171" s="162">
        <f t="shared" si="1124"/>
        <v>3.2226085979917665</v>
      </c>
      <c r="BZ171" s="162">
        <f t="shared" si="1124"/>
        <v>3.9087135314873938</v>
      </c>
      <c r="CA171" s="162">
        <f t="shared" si="1124"/>
        <v>3.4277930965748649</v>
      </c>
      <c r="CB171" s="162">
        <f t="shared" si="1124"/>
        <v>4.5090631905447323</v>
      </c>
      <c r="CC171" s="162">
        <f t="shared" si="1124"/>
        <v>4.6724929945153644</v>
      </c>
      <c r="CD171" s="162">
        <f t="shared" si="1124"/>
        <v>4.5069138156745039</v>
      </c>
      <c r="CE171" s="162">
        <f t="shared" si="1124"/>
        <v>4.7774233783214202</v>
      </c>
      <c r="CF171" s="162">
        <f t="shared" si="1124"/>
        <v>5.190066069545165</v>
      </c>
      <c r="CG171" s="162">
        <f t="shared" si="1124"/>
        <v>7.0004427883807594</v>
      </c>
      <c r="CH171" s="162">
        <f t="shared" si="1124"/>
        <v>7.8980733180587386</v>
      </c>
      <c r="CI171" s="162">
        <f t="shared" si="1124"/>
        <v>8.4579725704579172</v>
      </c>
      <c r="CJ171" s="162">
        <f t="shared" si="1124"/>
        <v>7.594949760426986</v>
      </c>
      <c r="CK171" s="162">
        <f t="shared" ref="CK171:CL171" si="1125">+CK146/CK166</f>
        <v>5.3626611862854814</v>
      </c>
      <c r="CL171" s="162">
        <f t="shared" si="1125"/>
        <v>3.4334981040363655</v>
      </c>
      <c r="CM171" s="94">
        <f t="shared" ref="CM171:DB171" si="1126">+CL171</f>
        <v>3.4334981040363655</v>
      </c>
      <c r="CN171" s="94">
        <f t="shared" si="1126"/>
        <v>3.4334981040363655</v>
      </c>
      <c r="CO171" s="94">
        <f t="shared" si="1126"/>
        <v>3.4334981040363655</v>
      </c>
      <c r="CP171" s="94">
        <f t="shared" si="1126"/>
        <v>3.4334981040363655</v>
      </c>
      <c r="CQ171" s="94">
        <f t="shared" si="1126"/>
        <v>3.4334981040363655</v>
      </c>
      <c r="CR171" s="94">
        <f t="shared" si="1126"/>
        <v>3.4334981040363655</v>
      </c>
      <c r="CS171" s="94">
        <f t="shared" si="1126"/>
        <v>3.4334981040363655</v>
      </c>
      <c r="CT171" s="94">
        <f t="shared" si="1126"/>
        <v>3.4334981040363655</v>
      </c>
      <c r="CU171" s="94">
        <f t="shared" si="1126"/>
        <v>3.4334981040363655</v>
      </c>
      <c r="CV171" s="94">
        <f t="shared" si="1126"/>
        <v>3.4334981040363655</v>
      </c>
      <c r="CW171" s="94">
        <f t="shared" si="1126"/>
        <v>3.4334981040363655</v>
      </c>
      <c r="CX171" s="94">
        <f t="shared" si="1126"/>
        <v>3.4334981040363655</v>
      </c>
      <c r="CY171" s="94">
        <f t="shared" si="1126"/>
        <v>3.4334981040363655</v>
      </c>
      <c r="CZ171" s="94">
        <f t="shared" si="1126"/>
        <v>3.4334981040363655</v>
      </c>
      <c r="DA171" s="94">
        <f t="shared" si="1126"/>
        <v>3.4334981040363655</v>
      </c>
      <c r="DB171" s="94">
        <f t="shared" si="1126"/>
        <v>3.4334981040363655</v>
      </c>
      <c r="DE171" s="163"/>
      <c r="DF171" s="162">
        <v>4.95780462403666</v>
      </c>
    </row>
    <row r="172" spans="1:110" s="4" customFormat="1" x14ac:dyDescent="0.2">
      <c r="A172" s="3"/>
      <c r="AB172" s="17"/>
      <c r="AC172" s="17"/>
      <c r="AD172" s="17"/>
      <c r="AE172" s="17"/>
      <c r="CM172" s="17"/>
      <c r="CN172" s="17"/>
      <c r="CO172" s="17"/>
      <c r="CP172" s="17"/>
      <c r="CQ172" s="17"/>
      <c r="CR172" s="17"/>
      <c r="CS172" s="17"/>
      <c r="CT172" s="17"/>
      <c r="CU172" s="17"/>
      <c r="CV172" s="17"/>
      <c r="CW172" s="17"/>
      <c r="CX172" s="17"/>
      <c r="CY172" s="17"/>
      <c r="CZ172" s="17"/>
      <c r="DA172" s="17"/>
      <c r="DB172" s="17"/>
      <c r="DE172" s="119"/>
    </row>
    <row r="173" spans="1:110" s="161" customFormat="1" x14ac:dyDescent="0.2">
      <c r="A173" s="49" t="s">
        <v>340</v>
      </c>
      <c r="B173" s="161">
        <f t="shared" ref="B173:AE173" si="1127">+B145*B132</f>
        <v>1.8371878999999998</v>
      </c>
      <c r="C173" s="161">
        <f t="shared" si="1127"/>
        <v>0.56904049999999995</v>
      </c>
      <c r="D173" s="161">
        <f t="shared" si="1127"/>
        <v>1.47137615</v>
      </c>
      <c r="E173" s="161">
        <f t="shared" ca="1" si="1127"/>
        <v>82.7316</v>
      </c>
      <c r="F173" s="161">
        <f t="shared" ca="1" si="1127"/>
        <v>285.9024</v>
      </c>
      <c r="G173" s="161">
        <f t="shared" ca="1" si="1127"/>
        <v>381.01560000000001</v>
      </c>
      <c r="H173" s="161">
        <f t="shared" ca="1" si="1127"/>
        <v>262.82760000000002</v>
      </c>
      <c r="I173" s="161">
        <f t="shared" ca="1" si="1127"/>
        <v>4671.24</v>
      </c>
      <c r="J173" s="161">
        <f t="shared" ca="1" si="1127"/>
        <v>2300.4450000000002</v>
      </c>
      <c r="K173" s="161">
        <f t="shared" ca="1" si="1127"/>
        <v>1096.0530000000001</v>
      </c>
      <c r="L173" s="161">
        <f t="shared" ca="1" si="1127"/>
        <v>2104.8719999999998</v>
      </c>
      <c r="M173" s="161">
        <f t="shared" ca="1" si="1127"/>
        <v>1463.28</v>
      </c>
      <c r="N173" s="161">
        <f t="shared" ca="1" si="1127"/>
        <v>752.745</v>
      </c>
      <c r="O173" s="161">
        <f t="shared" ca="1" si="1127"/>
        <v>510.74099999999999</v>
      </c>
      <c r="P173" s="161">
        <f t="shared" ca="1" si="1127"/>
        <v>416.7534</v>
      </c>
      <c r="Q173" s="161">
        <f t="shared" ca="1" si="1127"/>
        <v>607.82400000000007</v>
      </c>
      <c r="R173" s="161">
        <f t="shared" ca="1" si="1127"/>
        <v>1148.1119999999999</v>
      </c>
      <c r="S173" s="161">
        <f t="shared" ca="1" si="1127"/>
        <v>1294.44</v>
      </c>
      <c r="T173" s="161">
        <f t="shared" ca="1" si="1127"/>
        <v>1119.972</v>
      </c>
      <c r="U173" s="161">
        <f t="shared" ca="1" si="1127"/>
        <v>755.27760000000001</v>
      </c>
      <c r="V173" s="161">
        <f t="shared" ca="1" si="1127"/>
        <v>984.33719999999994</v>
      </c>
      <c r="W173" s="161">
        <f t="shared" ca="1" si="1127"/>
        <v>8366.0220000000008</v>
      </c>
      <c r="X173" s="161">
        <f t="shared" ca="1" si="1127"/>
        <v>18279.744000000002</v>
      </c>
      <c r="Y173" s="161">
        <f t="shared" ca="1" si="1127"/>
        <v>38712.198000000004</v>
      </c>
      <c r="Z173" s="161">
        <f t="shared" ca="1" si="1127"/>
        <v>83153.7</v>
      </c>
      <c r="AA173" s="161">
        <f t="shared" ref="AA173" ca="1" si="1128">+AA145*AA132</f>
        <v>83153.7</v>
      </c>
      <c r="AB173" s="21">
        <f t="shared" ca="1" si="1127"/>
        <v>133597.55068730595</v>
      </c>
      <c r="AC173" s="21">
        <f t="shared" ca="1" si="1127"/>
        <v>162011.88440942016</v>
      </c>
      <c r="AD173" s="21">
        <f t="shared" ca="1" si="1127"/>
        <v>193886.40328074209</v>
      </c>
      <c r="AE173" s="21">
        <f t="shared" ca="1" si="1127"/>
        <v>235992.90648721726</v>
      </c>
      <c r="AL173" s="161">
        <f t="shared" ref="AL173:BQ173" si="1129">+AL145*AL132</f>
        <v>505.113</v>
      </c>
      <c r="AM173" s="161">
        <f t="shared" si="1129"/>
        <v>434.76299999999998</v>
      </c>
      <c r="AN173" s="161">
        <f t="shared" si="1129"/>
        <v>510.74099999999999</v>
      </c>
      <c r="AO173" s="161">
        <f t="shared" si="1129"/>
        <v>510.74099999999999</v>
      </c>
      <c r="AP173" s="161">
        <f t="shared" si="1129"/>
        <v>281.39999999999998</v>
      </c>
      <c r="AQ173" s="161">
        <f t="shared" si="1129"/>
        <v>416.7534</v>
      </c>
      <c r="AR173" s="161">
        <f t="shared" si="1129"/>
        <v>387.20639999999997</v>
      </c>
      <c r="AS173" s="161">
        <f t="shared" si="1129"/>
        <v>385.51799999999997</v>
      </c>
      <c r="AT173" s="161">
        <f t="shared" si="1129"/>
        <v>320.79599999999999</v>
      </c>
      <c r="AU173" s="161">
        <f t="shared" si="1129"/>
        <v>236.09460000000001</v>
      </c>
      <c r="AV173" s="161">
        <f t="shared" si="1129"/>
        <v>281.39999999999998</v>
      </c>
      <c r="AW173" s="161">
        <f t="shared" si="1129"/>
        <v>264.2346</v>
      </c>
      <c r="AX173" s="161">
        <f t="shared" si="1129"/>
        <v>607.82400000000007</v>
      </c>
      <c r="AY173" s="161">
        <f t="shared" si="1129"/>
        <v>983.49300000000005</v>
      </c>
      <c r="AZ173" s="161">
        <f t="shared" si="1129"/>
        <v>979.27199999999993</v>
      </c>
      <c r="BA173" s="161">
        <f t="shared" si="1129"/>
        <v>1148.1119999999999</v>
      </c>
      <c r="BB173" s="161">
        <f t="shared" si="1129"/>
        <v>1082.8271999999999</v>
      </c>
      <c r="BC173" s="161">
        <f t="shared" si="1129"/>
        <v>1294.44</v>
      </c>
      <c r="BD173" s="161">
        <f t="shared" si="1129"/>
        <v>1249.4159999999999</v>
      </c>
      <c r="BE173" s="161">
        <f t="shared" si="1129"/>
        <v>1291.626</v>
      </c>
      <c r="BF173" s="161">
        <f t="shared" si="1129"/>
        <v>1269.114</v>
      </c>
      <c r="BG173" s="161">
        <f t="shared" si="1129"/>
        <v>1119.972</v>
      </c>
      <c r="BH173" s="161">
        <f t="shared" si="1129"/>
        <v>1035.5519999999999</v>
      </c>
      <c r="BI173" s="161">
        <f t="shared" si="1129"/>
        <v>866.71199999999999</v>
      </c>
      <c r="BJ173" s="161">
        <f t="shared" si="1129"/>
        <v>849.82799999999997</v>
      </c>
      <c r="BK173" s="161">
        <f t="shared" si="1129"/>
        <v>755.27760000000001</v>
      </c>
      <c r="BL173" s="161">
        <f t="shared" si="1129"/>
        <v>689.43000000000006</v>
      </c>
      <c r="BM173" s="161">
        <f t="shared" si="1129"/>
        <v>592.62839999999994</v>
      </c>
      <c r="BN173" s="161">
        <f t="shared" si="1129"/>
        <v>500.89200000000005</v>
      </c>
      <c r="BO173" s="161">
        <f t="shared" si="1129"/>
        <v>610.63800000000003</v>
      </c>
      <c r="BP173" s="161">
        <f t="shared" si="1129"/>
        <v>703.5</v>
      </c>
      <c r="BQ173" s="161">
        <f t="shared" si="1129"/>
        <v>679.86239999999998</v>
      </c>
      <c r="BR173" s="161">
        <f t="shared" ref="BR173:CJ173" si="1130">+BR145*BR132</f>
        <v>984.33719999999994</v>
      </c>
      <c r="BS173" s="161">
        <f t="shared" si="1130"/>
        <v>2859.0239999999999</v>
      </c>
      <c r="BT173" s="161">
        <f t="shared" si="1130"/>
        <v>5127.1080000000002</v>
      </c>
      <c r="BU173" s="161">
        <f t="shared" si="1130"/>
        <v>5729.3040000000001</v>
      </c>
      <c r="BV173" s="161">
        <f t="shared" si="1130"/>
        <v>8366.0220000000008</v>
      </c>
      <c r="BW173" s="161">
        <f t="shared" si="1130"/>
        <v>13056.960000000001</v>
      </c>
      <c r="BX173" s="161">
        <f t="shared" si="1130"/>
        <v>11512.074000000001</v>
      </c>
      <c r="BY173" s="161">
        <f t="shared" si="1130"/>
        <v>14289.492</v>
      </c>
      <c r="BZ173" s="161">
        <f t="shared" si="1130"/>
        <v>18279.744000000002</v>
      </c>
      <c r="CA173" s="161">
        <f t="shared" si="1130"/>
        <v>22737.119999999999</v>
      </c>
      <c r="CB173" s="161">
        <f t="shared" si="1130"/>
        <v>38712.198000000004</v>
      </c>
      <c r="CC173" s="161">
        <f t="shared" si="1130"/>
        <v>36922.493999999999</v>
      </c>
      <c r="CD173" s="161">
        <f t="shared" si="1130"/>
        <v>35850.36</v>
      </c>
      <c r="CE173" s="161">
        <f t="shared" si="1130"/>
        <v>43614.186000000002</v>
      </c>
      <c r="CF173" s="161">
        <f t="shared" si="1130"/>
        <v>54009.101999999999</v>
      </c>
      <c r="CG173" s="161">
        <f t="shared" si="1130"/>
        <v>69393.240000000005</v>
      </c>
      <c r="CH173" s="161">
        <f t="shared" si="1130"/>
        <v>83153.7</v>
      </c>
      <c r="CI173" s="161">
        <f t="shared" si="1130"/>
        <v>90140.862000000008</v>
      </c>
      <c r="CJ173" s="161">
        <f t="shared" si="1130"/>
        <v>90802.152000000002</v>
      </c>
      <c r="CK173" s="161">
        <f t="shared" ref="CK173:CL173" si="1131">+CK145*CK132</f>
        <v>78535.926000000007</v>
      </c>
      <c r="CL173" s="161">
        <f t="shared" si="1131"/>
        <v>77373.744000000006</v>
      </c>
      <c r="CM173" s="21">
        <f t="shared" ref="CM173:DB173" si="1132">+CM176-CM175</f>
        <v>105648.49031613502</v>
      </c>
      <c r="CN173" s="21">
        <f t="shared" si="1132"/>
        <v>125809.52586009787</v>
      </c>
      <c r="CO173" s="21">
        <f t="shared" si="1132"/>
        <v>133597.55068730595</v>
      </c>
      <c r="CP173" s="21">
        <f t="shared" si="1132"/>
        <v>129994.65472845973</v>
      </c>
      <c r="CQ173" s="21">
        <f t="shared" si="1132"/>
        <v>131304.07458631275</v>
      </c>
      <c r="CR173" s="21">
        <f t="shared" si="1132"/>
        <v>138841.90546325551</v>
      </c>
      <c r="CS173" s="21">
        <f t="shared" si="1132"/>
        <v>149417.54707333527</v>
      </c>
      <c r="CT173" s="21">
        <f t="shared" si="1132"/>
        <v>162011.88440942016</v>
      </c>
      <c r="CU173" s="21">
        <f t="shared" si="1132"/>
        <v>172422.60191044738</v>
      </c>
      <c r="CV173" s="21">
        <f t="shared" si="1132"/>
        <v>179917.60126838903</v>
      </c>
      <c r="CW173" s="21">
        <f t="shared" si="1132"/>
        <v>186346.8007385525</v>
      </c>
      <c r="CX173" s="21">
        <f t="shared" si="1132"/>
        <v>193886.40328074212</v>
      </c>
      <c r="CY173" s="21">
        <f t="shared" si="1132"/>
        <v>204107.50982737384</v>
      </c>
      <c r="CZ173" s="21">
        <f t="shared" si="1132"/>
        <v>215561.45024379459</v>
      </c>
      <c r="DA173" s="21">
        <f t="shared" si="1132"/>
        <v>225202.93388760297</v>
      </c>
      <c r="DB173" s="21">
        <f t="shared" si="1132"/>
        <v>235992.90648721726</v>
      </c>
      <c r="DE173" s="22"/>
      <c r="DF173" s="161">
        <v>83153.7</v>
      </c>
    </row>
    <row r="174" spans="1:110" s="161" customFormat="1" x14ac:dyDescent="0.2">
      <c r="A174" s="49" t="s">
        <v>341</v>
      </c>
      <c r="B174" s="161">
        <f t="shared" ref="B174:AE174" si="1133">+B146*B132</f>
        <v>0.56091134999999992</v>
      </c>
      <c r="C174" s="161">
        <f t="shared" si="1133"/>
        <v>0.10567894999999999</v>
      </c>
      <c r="D174" s="161">
        <f t="shared" si="1133"/>
        <v>0.1300664</v>
      </c>
      <c r="E174" s="161">
        <f t="shared" ca="1" si="1133"/>
        <v>8.1605999999999987</v>
      </c>
      <c r="F174" s="161">
        <f t="shared" ca="1" si="1133"/>
        <v>23.46876</v>
      </c>
      <c r="G174" s="161">
        <f t="shared" ca="1" si="1133"/>
        <v>124.09740000000001</v>
      </c>
      <c r="H174" s="161">
        <f t="shared" ca="1" si="1133"/>
        <v>101.86680000000001</v>
      </c>
      <c r="I174" s="161">
        <f t="shared" ca="1" si="1133"/>
        <v>133.10220000000001</v>
      </c>
      <c r="J174" s="161">
        <f t="shared" ca="1" si="1133"/>
        <v>393.96000000000004</v>
      </c>
      <c r="K174" s="161">
        <f t="shared" ca="1" si="1133"/>
        <v>537.47400000000005</v>
      </c>
      <c r="L174" s="161">
        <f t="shared" ca="1" si="1133"/>
        <v>844.2</v>
      </c>
      <c r="M174" s="161">
        <f t="shared" ca="1" si="1133"/>
        <v>600.7890000000001</v>
      </c>
      <c r="N174" s="161">
        <f t="shared" ca="1" si="1133"/>
        <v>325.01700000000005</v>
      </c>
      <c r="O174" s="161">
        <f t="shared" ca="1" si="1133"/>
        <v>173.06100000000001</v>
      </c>
      <c r="P174" s="161">
        <f t="shared" ca="1" si="1133"/>
        <v>171.93540000000002</v>
      </c>
      <c r="Q174" s="161">
        <f t="shared" ca="1" si="1133"/>
        <v>156.17699999999999</v>
      </c>
      <c r="R174" s="161">
        <f t="shared" ca="1" si="1133"/>
        <v>509.33400000000006</v>
      </c>
      <c r="S174" s="161">
        <f t="shared" ca="1" si="1133"/>
        <v>759.78</v>
      </c>
      <c r="T174" s="161">
        <f t="shared" ca="1" si="1133"/>
        <v>590.94000000000005</v>
      </c>
      <c r="U174" s="161">
        <f t="shared" ca="1" si="1133"/>
        <v>234.12480000000002</v>
      </c>
      <c r="V174" s="161">
        <f t="shared" ca="1" si="1133"/>
        <v>231.87360000000001</v>
      </c>
      <c r="W174" s="161">
        <f t="shared" ca="1" si="1133"/>
        <v>590.37720000000002</v>
      </c>
      <c r="X174" s="161">
        <f t="shared" ca="1" si="1133"/>
        <v>7096.9079999999994</v>
      </c>
      <c r="Y174" s="161">
        <f t="shared" ca="1" si="1133"/>
        <v>15477</v>
      </c>
      <c r="Z174" s="161">
        <f t="shared" ca="1" si="1133"/>
        <v>33323.387999999999</v>
      </c>
      <c r="AA174" s="161">
        <f t="shared" ref="AA174" ca="1" si="1134">+AA146*AA132</f>
        <v>33323.387999999999</v>
      </c>
      <c r="AB174" s="21">
        <f t="shared" ca="1" si="1133"/>
        <v>78320.78643923944</v>
      </c>
      <c r="AC174" s="21">
        <f t="shared" ca="1" si="1133"/>
        <v>98338.883525603378</v>
      </c>
      <c r="AD174" s="21">
        <f t="shared" ca="1" si="1133"/>
        <v>131518.21913734937</v>
      </c>
      <c r="AE174" s="21">
        <f t="shared" ca="1" si="1133"/>
        <v>157373.07861429275</v>
      </c>
      <c r="AL174" s="161">
        <f t="shared" ref="AL174:BQ174" si="1135">+AL146*AL132</f>
        <v>325.01700000000005</v>
      </c>
      <c r="AM174" s="161">
        <f t="shared" si="1135"/>
        <v>250.72740000000002</v>
      </c>
      <c r="AN174" s="161">
        <f t="shared" si="1135"/>
        <v>251.00880000000001</v>
      </c>
      <c r="AO174" s="161">
        <f t="shared" si="1135"/>
        <v>242.00399999999999</v>
      </c>
      <c r="AP174" s="161">
        <f t="shared" si="1135"/>
        <v>173.06100000000001</v>
      </c>
      <c r="AQ174" s="161">
        <f t="shared" si="1135"/>
        <v>213.0198</v>
      </c>
      <c r="AR174" s="161">
        <f t="shared" si="1135"/>
        <v>258.04379999999998</v>
      </c>
      <c r="AS174" s="161">
        <f t="shared" si="1135"/>
        <v>226.80840000000001</v>
      </c>
      <c r="AT174" s="161">
        <f t="shared" si="1135"/>
        <v>171.93540000000002</v>
      </c>
      <c r="AU174" s="161">
        <f t="shared" si="1135"/>
        <v>161.24220000000003</v>
      </c>
      <c r="AV174" s="161">
        <f t="shared" si="1135"/>
        <v>156.17699999999999</v>
      </c>
      <c r="AW174" s="161">
        <f t="shared" si="1135"/>
        <v>168.84</v>
      </c>
      <c r="AX174" s="161">
        <f t="shared" si="1135"/>
        <v>204.29640000000001</v>
      </c>
      <c r="AY174" s="161">
        <f t="shared" si="1135"/>
        <v>540.28800000000001</v>
      </c>
      <c r="AZ174" s="161">
        <f t="shared" si="1135"/>
        <v>704.06280000000004</v>
      </c>
      <c r="BA174" s="161">
        <f t="shared" si="1135"/>
        <v>509.33400000000006</v>
      </c>
      <c r="BB174" s="161">
        <f t="shared" si="1135"/>
        <v>585.31200000000001</v>
      </c>
      <c r="BC174" s="161">
        <f t="shared" si="1135"/>
        <v>847.01400000000001</v>
      </c>
      <c r="BD174" s="161">
        <f t="shared" si="1135"/>
        <v>844.2</v>
      </c>
      <c r="BE174" s="161">
        <f t="shared" si="1135"/>
        <v>903.2940000000001</v>
      </c>
      <c r="BF174" s="161">
        <f t="shared" si="1135"/>
        <v>759.78</v>
      </c>
      <c r="BG174" s="161">
        <f t="shared" si="1135"/>
        <v>647.22</v>
      </c>
      <c r="BH174" s="161">
        <f t="shared" si="1135"/>
        <v>731.64</v>
      </c>
      <c r="BI174" s="161">
        <f t="shared" si="1135"/>
        <v>676.48559999999998</v>
      </c>
      <c r="BJ174" s="161">
        <f t="shared" si="1135"/>
        <v>590.94000000000005</v>
      </c>
      <c r="BK174" s="161">
        <f t="shared" si="1135"/>
        <v>395.64840000000004</v>
      </c>
      <c r="BL174" s="161">
        <f t="shared" si="1135"/>
        <v>450.24</v>
      </c>
      <c r="BM174" s="161">
        <f t="shared" si="1135"/>
        <v>388.33200000000005</v>
      </c>
      <c r="BN174" s="161">
        <f t="shared" si="1135"/>
        <v>234.12480000000002</v>
      </c>
      <c r="BO174" s="161">
        <f t="shared" si="1135"/>
        <v>231.87360000000001</v>
      </c>
      <c r="BP174" s="161">
        <f t="shared" si="1135"/>
        <v>518.90160000000003</v>
      </c>
      <c r="BQ174" s="161">
        <f t="shared" si="1135"/>
        <v>520.59</v>
      </c>
      <c r="BR174" s="161">
        <f t="shared" ref="BR174:CJ174" si="1136">+BR146*BR132</f>
        <v>551.5440000000001</v>
      </c>
      <c r="BS174" s="161">
        <f t="shared" si="1136"/>
        <v>590.37720000000002</v>
      </c>
      <c r="BT174" s="161">
        <f t="shared" si="1136"/>
        <v>2659.23</v>
      </c>
      <c r="BU174" s="161">
        <f t="shared" si="1136"/>
        <v>4029.6479999999997</v>
      </c>
      <c r="BV174" s="161">
        <f t="shared" si="1136"/>
        <v>5765.8860000000004</v>
      </c>
      <c r="BW174" s="161">
        <f t="shared" si="1136"/>
        <v>7096.9079999999994</v>
      </c>
      <c r="BX174" s="161">
        <f t="shared" si="1136"/>
        <v>7454.2859999999991</v>
      </c>
      <c r="BY174" s="161">
        <f t="shared" si="1136"/>
        <v>9182.0820000000003</v>
      </c>
      <c r="BZ174" s="161">
        <f t="shared" si="1136"/>
        <v>13259.567999999999</v>
      </c>
      <c r="CA174" s="161">
        <f t="shared" si="1136"/>
        <v>15477</v>
      </c>
      <c r="CB174" s="161">
        <f t="shared" si="1136"/>
        <v>22241.856</v>
      </c>
      <c r="CC174" s="161">
        <f t="shared" si="1136"/>
        <v>27312.684000000001</v>
      </c>
      <c r="CD174" s="161">
        <f t="shared" si="1136"/>
        <v>29400.671999999999</v>
      </c>
      <c r="CE174" s="161">
        <f t="shared" si="1136"/>
        <v>33323.387999999999</v>
      </c>
      <c r="CF174" s="161">
        <f t="shared" si="1136"/>
        <v>37989</v>
      </c>
      <c r="CG174" s="161">
        <f t="shared" si="1136"/>
        <v>49579.866000000002</v>
      </c>
      <c r="CH174" s="161">
        <f t="shared" si="1136"/>
        <v>53086.11</v>
      </c>
      <c r="CI174" s="161">
        <f t="shared" si="1136"/>
        <v>56564.214</v>
      </c>
      <c r="CJ174" s="161">
        <f t="shared" si="1136"/>
        <v>67620.42</v>
      </c>
      <c r="CK174" s="161">
        <f t="shared" ref="CK174:CL174" si="1137">+CK146*CK132</f>
        <v>65886.995999999999</v>
      </c>
      <c r="CL174" s="161">
        <f t="shared" si="1137"/>
        <v>58756.32</v>
      </c>
      <c r="CM174" s="21">
        <f t="shared" ref="CM174:DB174" si="1138">+CM177-CM175</f>
        <v>78320.786439239455</v>
      </c>
      <c r="CN174" s="21">
        <f t="shared" si="1138"/>
        <v>94356.561081242224</v>
      </c>
      <c r="CO174" s="21">
        <f t="shared" si="1138"/>
        <v>100459.79879686286</v>
      </c>
      <c r="CP174" s="21">
        <f t="shared" si="1138"/>
        <v>97648.144868829229</v>
      </c>
      <c r="CQ174" s="21">
        <f t="shared" si="1138"/>
        <v>98338.883525603378</v>
      </c>
      <c r="CR174" s="21">
        <f t="shared" si="1138"/>
        <v>104590.14050696613</v>
      </c>
      <c r="CS174" s="21">
        <f t="shared" si="1138"/>
        <v>112942.48361630723</v>
      </c>
      <c r="CT174" s="21">
        <f t="shared" si="1138"/>
        <v>123031.58009777365</v>
      </c>
      <c r="CU174" s="21">
        <f t="shared" si="1138"/>
        <v>131518.21913734937</v>
      </c>
      <c r="CV174" s="21">
        <f t="shared" si="1138"/>
        <v>137882.99665828</v>
      </c>
      <c r="CW174" s="21">
        <f t="shared" si="1138"/>
        <v>142970.81300771536</v>
      </c>
      <c r="CX174" s="21">
        <f t="shared" si="1138"/>
        <v>149108.40803909246</v>
      </c>
      <c r="CY174" s="21">
        <f t="shared" si="1138"/>
        <v>157373.07861429278</v>
      </c>
      <c r="CZ174" s="21">
        <f t="shared" si="1138"/>
        <v>166905.73605943401</v>
      </c>
      <c r="DA174" s="21">
        <f t="shared" si="1138"/>
        <v>174562.84819897628</v>
      </c>
      <c r="DB174" s="21">
        <f t="shared" si="1138"/>
        <v>183317.07082247973</v>
      </c>
      <c r="DE174" s="22"/>
      <c r="DF174" s="161">
        <v>33323.387999999999</v>
      </c>
    </row>
    <row r="175" spans="1:110" s="161" customFormat="1" x14ac:dyDescent="0.2">
      <c r="A175" s="49" t="s">
        <v>80</v>
      </c>
      <c r="B175" s="161">
        <f>+B234</f>
        <v>403.84030000000001</v>
      </c>
      <c r="C175" s="161">
        <f t="shared" ref="C175:W175" si="1139">+C234</f>
        <v>478.56869999999998</v>
      </c>
      <c r="D175" s="161">
        <f t="shared" si="1139"/>
        <v>506.40039999999999</v>
      </c>
      <c r="E175" s="161">
        <f t="shared" si="1139"/>
        <v>485.28149999999999</v>
      </c>
      <c r="F175" s="161">
        <f t="shared" si="1139"/>
        <v>309.33640000000003</v>
      </c>
      <c r="G175" s="161">
        <f t="shared" si="1139"/>
        <v>209.0385</v>
      </c>
      <c r="H175" s="161">
        <f t="shared" si="1139"/>
        <v>192.49550000000002</v>
      </c>
      <c r="I175" s="161">
        <f t="shared" si="1139"/>
        <v>134.26519999999999</v>
      </c>
      <c r="J175" s="161">
        <f t="shared" si="1139"/>
        <v>57.715199999999996</v>
      </c>
      <c r="K175" s="161">
        <f t="shared" si="1139"/>
        <v>40.506299999999996</v>
      </c>
      <c r="L175" s="161">
        <f t="shared" si="1139"/>
        <v>30.132799999999996</v>
      </c>
      <c r="M175" s="161">
        <f t="shared" si="1139"/>
        <v>20.290199999999999</v>
      </c>
      <c r="N175" s="161">
        <f t="shared" si="1139"/>
        <v>18.3705</v>
      </c>
      <c r="O175" s="161">
        <f t="shared" si="1139"/>
        <v>11.5528</v>
      </c>
      <c r="P175" s="161">
        <f t="shared" si="1139"/>
        <v>12.933300000000001</v>
      </c>
      <c r="Q175" s="161">
        <f t="shared" si="1139"/>
        <v>4.7161000000000008</v>
      </c>
      <c r="R175" s="161">
        <f t="shared" si="1139"/>
        <v>17.874099999999999</v>
      </c>
      <c r="S175" s="161">
        <f t="shared" si="1139"/>
        <v>22.3705</v>
      </c>
      <c r="T175" s="161">
        <f t="shared" si="1139"/>
        <v>84.056399999999996</v>
      </c>
      <c r="U175" s="161">
        <f t="shared" si="1139"/>
        <v>101.974</v>
      </c>
      <c r="V175" s="161">
        <f t="shared" si="1139"/>
        <v>165.81380000000001</v>
      </c>
      <c r="W175" s="161">
        <f t="shared" si="1139"/>
        <v>73.55</v>
      </c>
      <c r="X175" s="161">
        <f t="shared" ref="X175:Y175" si="1140">+X234</f>
        <v>-299.76000000000005</v>
      </c>
      <c r="Y175" s="161">
        <f t="shared" si="1140"/>
        <v>-316.15999999999997</v>
      </c>
      <c r="Z175" s="161">
        <f t="shared" ref="Z175:AA175" si="1141">+Z234</f>
        <v>217.91999999999985</v>
      </c>
      <c r="AA175" s="161">
        <f t="shared" si="1141"/>
        <v>17572.450000000004</v>
      </c>
      <c r="AB175" s="21">
        <f t="shared" ref="AB175:AD175" si="1142">+AB234</f>
        <v>14885.241271540248</v>
      </c>
      <c r="AC175" s="21">
        <f t="shared" si="1142"/>
        <v>12580.751990215495</v>
      </c>
      <c r="AD175" s="21">
        <f t="shared" si="1142"/>
        <v>6674.0689881755497</v>
      </c>
      <c r="AE175" s="21">
        <f t="shared" ref="AE175" si="1143">+AE234</f>
        <v>-58.036668546821602</v>
      </c>
      <c r="AL175" s="161">
        <f t="shared" ref="AL175:AM175" si="1144">+AL234</f>
        <v>12.73</v>
      </c>
      <c r="AM175" s="161">
        <f t="shared" si="1144"/>
        <v>96.784039151339783</v>
      </c>
      <c r="AN175" s="161">
        <f t="shared" ref="AN175:AO175" si="1145">+AN234</f>
        <v>10.494</v>
      </c>
      <c r="AO175" s="161">
        <f t="shared" si="1145"/>
        <v>-4.6730725980740218</v>
      </c>
      <c r="AP175" s="161">
        <f t="shared" ref="AP175:CD175" si="1146">+AP234</f>
        <v>5.8060000000000009</v>
      </c>
      <c r="AQ175" s="161">
        <f t="shared" si="1146"/>
        <v>20.496285572896852</v>
      </c>
      <c r="AR175" s="161">
        <f t="shared" si="1146"/>
        <v>4.3460000000000001</v>
      </c>
      <c r="AS175" s="161">
        <f t="shared" si="1146"/>
        <v>115.77429090372915</v>
      </c>
      <c r="AT175" s="161">
        <f t="shared" si="1146"/>
        <v>7.5709999999999997</v>
      </c>
      <c r="AU175" s="161">
        <f t="shared" si="1146"/>
        <v>4.1429444737675425</v>
      </c>
      <c r="AV175" s="161">
        <f t="shared" si="1146"/>
        <v>2.6260000000000003</v>
      </c>
      <c r="AW175" s="161">
        <f t="shared" si="1146"/>
        <v>2.2374410437511827</v>
      </c>
      <c r="AX175" s="161">
        <f t="shared" si="1146"/>
        <v>4.5050000000000008</v>
      </c>
      <c r="AY175" s="161">
        <f t="shared" si="1146"/>
        <v>6.1111740872978508</v>
      </c>
      <c r="AZ175" s="161">
        <f t="shared" si="1146"/>
        <v>15.957999999999998</v>
      </c>
      <c r="BA175" s="161">
        <f t="shared" si="1146"/>
        <v>23.194315281977513</v>
      </c>
      <c r="BB175" s="161">
        <f t="shared" si="1146"/>
        <v>17.874000000000002</v>
      </c>
      <c r="BC175" s="161">
        <f t="shared" si="1146"/>
        <v>16.042981821478214</v>
      </c>
      <c r="BD175" s="161">
        <f t="shared" si="1146"/>
        <v>7.463000000000001</v>
      </c>
      <c r="BE175" s="161">
        <f t="shared" si="1146"/>
        <v>14.767206431576071</v>
      </c>
      <c r="BF175" s="161">
        <f t="shared" si="1146"/>
        <v>22.048000000000002</v>
      </c>
      <c r="BG175" s="161">
        <f t="shared" si="1146"/>
        <v>15.457807751540072</v>
      </c>
      <c r="BH175" s="161">
        <f t="shared" si="1146"/>
        <v>20.201000000000001</v>
      </c>
      <c r="BI175" s="161">
        <f t="shared" si="1146"/>
        <v>20.226270644966867</v>
      </c>
      <c r="BJ175" s="161">
        <f t="shared" si="1146"/>
        <v>76.837000000000003</v>
      </c>
      <c r="BK175" s="161">
        <f t="shared" si="1146"/>
        <v>68.355640465291046</v>
      </c>
      <c r="BL175" s="161">
        <f t="shared" si="1146"/>
        <v>96.058000000000007</v>
      </c>
      <c r="BM175" s="161">
        <f t="shared" si="1146"/>
        <v>104.20107823527327</v>
      </c>
      <c r="BN175" s="161">
        <f t="shared" si="1146"/>
        <v>80.287000000000006</v>
      </c>
      <c r="BO175" s="161">
        <f t="shared" si="1146"/>
        <v>61.992849721599825</v>
      </c>
      <c r="BP175" s="161">
        <f t="shared" si="1146"/>
        <v>92.685999999999993</v>
      </c>
      <c r="BQ175" s="161">
        <f t="shared" si="1146"/>
        <v>90.154714464043366</v>
      </c>
      <c r="BR175" s="161">
        <f t="shared" si="1146"/>
        <v>94.822000000000003</v>
      </c>
      <c r="BS175" s="161">
        <f t="shared" si="1146"/>
        <v>95.419375137802504</v>
      </c>
      <c r="BT175" s="161">
        <f t="shared" si="1146"/>
        <v>56.575000000000003</v>
      </c>
      <c r="BU175" s="161">
        <f t="shared" si="1146"/>
        <v>138.57325956937802</v>
      </c>
      <c r="BV175" s="161">
        <f t="shared" si="1146"/>
        <v>34.849999999999994</v>
      </c>
      <c r="BW175" s="161">
        <f t="shared" si="1146"/>
        <v>1233.3623414663427</v>
      </c>
      <c r="BX175" s="161">
        <f t="shared" si="1146"/>
        <v>27.980000000000004</v>
      </c>
      <c r="BY175" s="161">
        <f t="shared" si="1146"/>
        <v>-150.44518226074547</v>
      </c>
      <c r="BZ175" s="161">
        <f t="shared" si="1146"/>
        <v>-301.32000000000005</v>
      </c>
      <c r="CA175" s="161">
        <f t="shared" si="1146"/>
        <v>-431.44515902995744</v>
      </c>
      <c r="CB175" s="161">
        <f t="shared" si="1146"/>
        <v>-455.93</v>
      </c>
      <c r="CC175" s="161">
        <f t="shared" si="1146"/>
        <v>-558.45704043763919</v>
      </c>
      <c r="CD175" s="161">
        <f t="shared" si="1146"/>
        <v>-316.15999999999997</v>
      </c>
      <c r="CE175" s="161">
        <f t="shared" ref="CE175:CF175" si="1147">+CE234</f>
        <v>-920.24165914983689</v>
      </c>
      <c r="CF175" s="161">
        <f t="shared" si="1147"/>
        <v>-1097.67</v>
      </c>
      <c r="CG175" s="161">
        <f t="shared" ref="CG175:CH175" si="1148">+CG234</f>
        <v>-1410.0796623226468</v>
      </c>
      <c r="CH175" s="161">
        <f t="shared" si="1148"/>
        <v>217.91999999999985</v>
      </c>
      <c r="CI175" s="161">
        <f t="shared" ref="CI175:CJ175" si="1149">+CI234</f>
        <v>339.25621067627412</v>
      </c>
      <c r="CJ175" s="161">
        <f t="shared" si="1149"/>
        <v>6954.38</v>
      </c>
      <c r="CK175" s="161">
        <f t="shared" ref="CK175:CL175" si="1150">+CK234</f>
        <v>7251.9010602379985</v>
      </c>
      <c r="CL175" s="161">
        <f t="shared" si="1150"/>
        <v>17572.440000000002</v>
      </c>
      <c r="CM175" s="21">
        <f t="shared" ref="CM175:DB175" si="1151">+CM234</f>
        <v>16752.192563864992</v>
      </c>
      <c r="CN175" s="21">
        <f t="shared" si="1151"/>
        <v>15068.185083902114</v>
      </c>
      <c r="CO175" s="21">
        <f t="shared" si="1151"/>
        <v>14826.31539269405</v>
      </c>
      <c r="CP175" s="21">
        <f t="shared" si="1151"/>
        <v>14885.241271540248</v>
      </c>
      <c r="CQ175" s="21">
        <f t="shared" si="1151"/>
        <v>16346.892186343508</v>
      </c>
      <c r="CR175" s="21">
        <f t="shared" si="1151"/>
        <v>14571.620948658177</v>
      </c>
      <c r="CS175" s="21">
        <f t="shared" si="1151"/>
        <v>13954.124961144629</v>
      </c>
      <c r="CT175" s="21">
        <f t="shared" si="1151"/>
        <v>12580.751990215495</v>
      </c>
      <c r="CU175" s="21">
        <f t="shared" si="1151"/>
        <v>10787.974681209913</v>
      </c>
      <c r="CV175" s="21">
        <f t="shared" si="1151"/>
        <v>8355.2346802644406</v>
      </c>
      <c r="CW175" s="21">
        <f t="shared" si="1151"/>
        <v>7934.0851626489311</v>
      </c>
      <c r="CX175" s="21">
        <f t="shared" si="1151"/>
        <v>6674.0689881755497</v>
      </c>
      <c r="CY175" s="21">
        <f t="shared" si="1151"/>
        <v>5215.8317990629439</v>
      </c>
      <c r="CZ175" s="21">
        <f t="shared" si="1151"/>
        <v>2367.3105846976869</v>
      </c>
      <c r="DA175" s="21">
        <f t="shared" si="1151"/>
        <v>1613.8194449042239</v>
      </c>
      <c r="DB175" s="21">
        <f t="shared" si="1151"/>
        <v>-58.036668546821602</v>
      </c>
      <c r="DE175" s="22"/>
      <c r="DF175" s="161">
        <v>17572.450000000004</v>
      </c>
    </row>
    <row r="176" spans="1:110" s="161" customFormat="1" x14ac:dyDescent="0.2">
      <c r="A176" s="49" t="s">
        <v>342</v>
      </c>
      <c r="B176" s="161">
        <f t="shared" ref="B176:AE176" si="1152">+B173+B175</f>
        <v>405.67748790000002</v>
      </c>
      <c r="C176" s="161">
        <f t="shared" si="1152"/>
        <v>479.13774050000001</v>
      </c>
      <c r="D176" s="161">
        <f t="shared" si="1152"/>
        <v>507.87177615000002</v>
      </c>
      <c r="E176" s="161">
        <f t="shared" ca="1" si="1152"/>
        <v>568.01310000000001</v>
      </c>
      <c r="F176" s="161">
        <f t="shared" ca="1" si="1152"/>
        <v>595.23880000000008</v>
      </c>
      <c r="G176" s="161">
        <f t="shared" ca="1" si="1152"/>
        <v>590.05410000000006</v>
      </c>
      <c r="H176" s="161">
        <f t="shared" ca="1" si="1152"/>
        <v>455.32310000000007</v>
      </c>
      <c r="I176" s="161">
        <f t="shared" ca="1" si="1152"/>
        <v>4805.5051999999996</v>
      </c>
      <c r="J176" s="161">
        <f t="shared" ca="1" si="1152"/>
        <v>2358.1602000000003</v>
      </c>
      <c r="K176" s="161">
        <f t="shared" ca="1" si="1152"/>
        <v>1136.5593000000001</v>
      </c>
      <c r="L176" s="161">
        <f t="shared" ca="1" si="1152"/>
        <v>2135.0047999999997</v>
      </c>
      <c r="M176" s="161">
        <f t="shared" ca="1" si="1152"/>
        <v>1483.5701999999999</v>
      </c>
      <c r="N176" s="161">
        <f t="shared" ca="1" si="1152"/>
        <v>771.1155</v>
      </c>
      <c r="O176" s="161">
        <f t="shared" ca="1" si="1152"/>
        <v>522.29380000000003</v>
      </c>
      <c r="P176" s="161">
        <f t="shared" ca="1" si="1152"/>
        <v>429.68669999999997</v>
      </c>
      <c r="Q176" s="161">
        <f t="shared" ca="1" si="1152"/>
        <v>612.54010000000005</v>
      </c>
      <c r="R176" s="161">
        <f t="shared" ca="1" si="1152"/>
        <v>1165.9860999999999</v>
      </c>
      <c r="S176" s="161">
        <f t="shared" ca="1" si="1152"/>
        <v>1316.8105</v>
      </c>
      <c r="T176" s="161">
        <f t="shared" ca="1" si="1152"/>
        <v>1204.0283999999999</v>
      </c>
      <c r="U176" s="161">
        <f t="shared" ca="1" si="1152"/>
        <v>857.25160000000005</v>
      </c>
      <c r="V176" s="161">
        <f t="shared" ca="1" si="1152"/>
        <v>1150.1509999999998</v>
      </c>
      <c r="W176" s="161">
        <f t="shared" ca="1" si="1152"/>
        <v>8439.5720000000001</v>
      </c>
      <c r="X176" s="161">
        <f t="shared" ca="1" si="1152"/>
        <v>17979.984000000004</v>
      </c>
      <c r="Y176" s="161">
        <f t="shared" ca="1" si="1152"/>
        <v>38396.038</v>
      </c>
      <c r="Z176" s="161">
        <f t="shared" ca="1" si="1152"/>
        <v>83095.12</v>
      </c>
      <c r="AA176" s="161">
        <f t="shared" ref="AA176" ca="1" si="1153">+AA173+AA175</f>
        <v>83095.12</v>
      </c>
      <c r="AB176" s="21">
        <f t="shared" ca="1" si="1152"/>
        <v>148482.79195884621</v>
      </c>
      <c r="AC176" s="21">
        <f t="shared" ca="1" si="1152"/>
        <v>174592.63639963567</v>
      </c>
      <c r="AD176" s="21">
        <f t="shared" ca="1" si="1152"/>
        <v>200560.47226891766</v>
      </c>
      <c r="AE176" s="21">
        <f t="shared" ca="1" si="1152"/>
        <v>235934.86981867044</v>
      </c>
      <c r="AL176" s="161">
        <f t="shared" ref="AL176:BQ176" si="1154">+AL173+AL175</f>
        <v>517.84299999999996</v>
      </c>
      <c r="AM176" s="161">
        <f t="shared" si="1154"/>
        <v>531.54703915133973</v>
      </c>
      <c r="AN176" s="161">
        <f t="shared" si="1154"/>
        <v>521.23500000000001</v>
      </c>
      <c r="AO176" s="161">
        <f t="shared" si="1154"/>
        <v>506.06792740192594</v>
      </c>
      <c r="AP176" s="161">
        <f t="shared" si="1154"/>
        <v>287.20599999999996</v>
      </c>
      <c r="AQ176" s="161">
        <f t="shared" si="1154"/>
        <v>437.24968557289685</v>
      </c>
      <c r="AR176" s="161">
        <f t="shared" si="1154"/>
        <v>391.55239999999998</v>
      </c>
      <c r="AS176" s="161">
        <f t="shared" si="1154"/>
        <v>501.29229090372911</v>
      </c>
      <c r="AT176" s="161">
        <f t="shared" si="1154"/>
        <v>328.36700000000002</v>
      </c>
      <c r="AU176" s="161">
        <f t="shared" si="1154"/>
        <v>240.23754447376757</v>
      </c>
      <c r="AV176" s="161">
        <f t="shared" si="1154"/>
        <v>284.02599999999995</v>
      </c>
      <c r="AW176" s="161">
        <f t="shared" si="1154"/>
        <v>266.47204104375118</v>
      </c>
      <c r="AX176" s="161">
        <f t="shared" si="1154"/>
        <v>612.32900000000006</v>
      </c>
      <c r="AY176" s="161">
        <f t="shared" si="1154"/>
        <v>989.60417408729791</v>
      </c>
      <c r="AZ176" s="161">
        <f t="shared" si="1154"/>
        <v>995.2299999999999</v>
      </c>
      <c r="BA176" s="161">
        <f t="shared" si="1154"/>
        <v>1171.3063152819773</v>
      </c>
      <c r="BB176" s="161">
        <f t="shared" si="1154"/>
        <v>1100.7012</v>
      </c>
      <c r="BC176" s="161">
        <f t="shared" si="1154"/>
        <v>1310.4829818214782</v>
      </c>
      <c r="BD176" s="161">
        <f t="shared" si="1154"/>
        <v>1256.8789999999999</v>
      </c>
      <c r="BE176" s="161">
        <f t="shared" si="1154"/>
        <v>1306.3932064315761</v>
      </c>
      <c r="BF176" s="161">
        <f t="shared" si="1154"/>
        <v>1291.162</v>
      </c>
      <c r="BG176" s="161">
        <f t="shared" si="1154"/>
        <v>1135.42980775154</v>
      </c>
      <c r="BH176" s="161">
        <f t="shared" si="1154"/>
        <v>1055.7529999999999</v>
      </c>
      <c r="BI176" s="161">
        <f t="shared" si="1154"/>
        <v>886.93827064496691</v>
      </c>
      <c r="BJ176" s="161">
        <f t="shared" si="1154"/>
        <v>926.66499999999996</v>
      </c>
      <c r="BK176" s="161">
        <f t="shared" si="1154"/>
        <v>823.63324046529101</v>
      </c>
      <c r="BL176" s="161">
        <f t="shared" si="1154"/>
        <v>785.48800000000006</v>
      </c>
      <c r="BM176" s="161">
        <f t="shared" si="1154"/>
        <v>696.8294782352732</v>
      </c>
      <c r="BN176" s="161">
        <f t="shared" si="1154"/>
        <v>581.17900000000009</v>
      </c>
      <c r="BO176" s="161">
        <f t="shared" si="1154"/>
        <v>672.63084972159982</v>
      </c>
      <c r="BP176" s="161">
        <f t="shared" si="1154"/>
        <v>796.18600000000004</v>
      </c>
      <c r="BQ176" s="161">
        <f t="shared" si="1154"/>
        <v>770.01711446404329</v>
      </c>
      <c r="BR176" s="161">
        <f t="shared" ref="BR176:CJ176" si="1155">+BR173+BR175</f>
        <v>1079.1592000000001</v>
      </c>
      <c r="BS176" s="161">
        <f t="shared" si="1155"/>
        <v>2954.4433751378024</v>
      </c>
      <c r="BT176" s="161">
        <f t="shared" si="1155"/>
        <v>5183.683</v>
      </c>
      <c r="BU176" s="161">
        <f t="shared" si="1155"/>
        <v>5867.8772595693781</v>
      </c>
      <c r="BV176" s="161">
        <f t="shared" si="1155"/>
        <v>8400.8720000000012</v>
      </c>
      <c r="BW176" s="161">
        <f t="shared" si="1155"/>
        <v>14290.322341466344</v>
      </c>
      <c r="BX176" s="161">
        <f t="shared" si="1155"/>
        <v>11540.054</v>
      </c>
      <c r="BY176" s="161">
        <f t="shared" si="1155"/>
        <v>14139.046817739254</v>
      </c>
      <c r="BZ176" s="161">
        <f t="shared" si="1155"/>
        <v>17978.424000000003</v>
      </c>
      <c r="CA176" s="161">
        <f t="shared" si="1155"/>
        <v>22305.674840970041</v>
      </c>
      <c r="CB176" s="161">
        <f t="shared" si="1155"/>
        <v>38256.268000000004</v>
      </c>
      <c r="CC176" s="161">
        <f t="shared" si="1155"/>
        <v>36364.036959562356</v>
      </c>
      <c r="CD176" s="161">
        <f t="shared" si="1155"/>
        <v>35534.199999999997</v>
      </c>
      <c r="CE176" s="161">
        <f t="shared" si="1155"/>
        <v>42693.944340850161</v>
      </c>
      <c r="CF176" s="161">
        <f t="shared" si="1155"/>
        <v>52911.432000000001</v>
      </c>
      <c r="CG176" s="161">
        <f t="shared" si="1155"/>
        <v>67983.160337677356</v>
      </c>
      <c r="CH176" s="161">
        <f t="shared" si="1155"/>
        <v>83371.62</v>
      </c>
      <c r="CI176" s="161">
        <f t="shared" si="1155"/>
        <v>90480.118210676286</v>
      </c>
      <c r="CJ176" s="161">
        <f t="shared" si="1155"/>
        <v>97756.532000000007</v>
      </c>
      <c r="CK176" s="161">
        <f t="shared" ref="CK176:CL176" si="1156">+CK173+CK175</f>
        <v>85787.827060238007</v>
      </c>
      <c r="CL176" s="161">
        <f t="shared" si="1156"/>
        <v>94946.184000000008</v>
      </c>
      <c r="CM176" s="21">
        <f t="shared" ref="CM176:DB176" si="1157">+CM178*CM179</f>
        <v>122400.68288000001</v>
      </c>
      <c r="CN176" s="21">
        <f t="shared" si="1157"/>
        <v>140877.71094399999</v>
      </c>
      <c r="CO176" s="21">
        <f t="shared" si="1157"/>
        <v>148423.86608000001</v>
      </c>
      <c r="CP176" s="21">
        <f t="shared" si="1157"/>
        <v>144879.89599999998</v>
      </c>
      <c r="CQ176" s="21">
        <f t="shared" si="1157"/>
        <v>147650.96677265625</v>
      </c>
      <c r="CR176" s="21">
        <f t="shared" si="1157"/>
        <v>153413.52641191368</v>
      </c>
      <c r="CS176" s="21">
        <f t="shared" si="1157"/>
        <v>163371.67203447991</v>
      </c>
      <c r="CT176" s="21">
        <f t="shared" si="1157"/>
        <v>174592.63639963567</v>
      </c>
      <c r="CU176" s="21">
        <f t="shared" si="1157"/>
        <v>183210.5765916573</v>
      </c>
      <c r="CV176" s="21">
        <f t="shared" si="1157"/>
        <v>188272.83594865346</v>
      </c>
      <c r="CW176" s="21">
        <f t="shared" si="1157"/>
        <v>194280.88590120143</v>
      </c>
      <c r="CX176" s="21">
        <f t="shared" si="1157"/>
        <v>200560.47226891766</v>
      </c>
      <c r="CY176" s="21">
        <f t="shared" si="1157"/>
        <v>209323.3416264368</v>
      </c>
      <c r="CZ176" s="21">
        <f t="shared" si="1157"/>
        <v>217928.76082849229</v>
      </c>
      <c r="DA176" s="21">
        <f t="shared" si="1157"/>
        <v>226816.75333250719</v>
      </c>
      <c r="DB176" s="21">
        <f t="shared" si="1157"/>
        <v>235934.86981867044</v>
      </c>
      <c r="DE176" s="22"/>
      <c r="DF176" s="161">
        <v>83095.12</v>
      </c>
    </row>
    <row r="177" spans="1:110" s="161" customFormat="1" x14ac:dyDescent="0.2">
      <c r="A177" s="49" t="s">
        <v>345</v>
      </c>
      <c r="B177" s="161">
        <f t="shared" ref="B177:AE177" si="1158">+B174+B175</f>
        <v>404.40121135000004</v>
      </c>
      <c r="C177" s="161">
        <f t="shared" si="1158"/>
        <v>478.67437895</v>
      </c>
      <c r="D177" s="161">
        <f t="shared" si="1158"/>
        <v>506.53046639999997</v>
      </c>
      <c r="E177" s="161">
        <f t="shared" ca="1" si="1158"/>
        <v>493.44209999999998</v>
      </c>
      <c r="F177" s="161">
        <f t="shared" ca="1" si="1158"/>
        <v>332.80516</v>
      </c>
      <c r="G177" s="161">
        <f t="shared" ca="1" si="1158"/>
        <v>333.13589999999999</v>
      </c>
      <c r="H177" s="161">
        <f t="shared" ca="1" si="1158"/>
        <v>294.3623</v>
      </c>
      <c r="I177" s="161">
        <f t="shared" ca="1" si="1158"/>
        <v>267.36739999999998</v>
      </c>
      <c r="J177" s="161">
        <f t="shared" ca="1" si="1158"/>
        <v>451.67520000000002</v>
      </c>
      <c r="K177" s="161">
        <f t="shared" ca="1" si="1158"/>
        <v>577.98030000000006</v>
      </c>
      <c r="L177" s="161">
        <f t="shared" ca="1" si="1158"/>
        <v>874.33280000000002</v>
      </c>
      <c r="M177" s="161">
        <f t="shared" ca="1" si="1158"/>
        <v>621.07920000000013</v>
      </c>
      <c r="N177" s="161">
        <f t="shared" ca="1" si="1158"/>
        <v>343.38750000000005</v>
      </c>
      <c r="O177" s="161">
        <f t="shared" ca="1" si="1158"/>
        <v>184.6138</v>
      </c>
      <c r="P177" s="161">
        <f t="shared" ca="1" si="1158"/>
        <v>184.86870000000002</v>
      </c>
      <c r="Q177" s="161">
        <f t="shared" ca="1" si="1158"/>
        <v>160.8931</v>
      </c>
      <c r="R177" s="161">
        <f t="shared" ca="1" si="1158"/>
        <v>527.20810000000006</v>
      </c>
      <c r="S177" s="161">
        <f t="shared" ca="1" si="1158"/>
        <v>782.15049999999997</v>
      </c>
      <c r="T177" s="161">
        <f t="shared" ca="1" si="1158"/>
        <v>674.99639999999999</v>
      </c>
      <c r="U177" s="161">
        <f t="shared" ca="1" si="1158"/>
        <v>336.09880000000004</v>
      </c>
      <c r="V177" s="161">
        <f t="shared" ca="1" si="1158"/>
        <v>397.68740000000003</v>
      </c>
      <c r="W177" s="161">
        <f t="shared" ca="1" si="1158"/>
        <v>663.92719999999997</v>
      </c>
      <c r="X177" s="161">
        <f t="shared" ca="1" si="1158"/>
        <v>6797.1479999999992</v>
      </c>
      <c r="Y177" s="161">
        <f t="shared" ca="1" si="1158"/>
        <v>15160.84</v>
      </c>
      <c r="Z177" s="161">
        <f t="shared" ca="1" si="1158"/>
        <v>33264.807999999997</v>
      </c>
      <c r="AA177" s="161">
        <f t="shared" ref="AA177" ca="1" si="1159">+AA174+AA175</f>
        <v>33264.807999999997</v>
      </c>
      <c r="AB177" s="21">
        <f t="shared" ca="1" si="1158"/>
        <v>93206.027710779686</v>
      </c>
      <c r="AC177" s="21">
        <f t="shared" ca="1" si="1158"/>
        <v>110919.63551581888</v>
      </c>
      <c r="AD177" s="21">
        <f t="shared" ca="1" si="1158"/>
        <v>138192.28812552494</v>
      </c>
      <c r="AE177" s="21">
        <f t="shared" ca="1" si="1158"/>
        <v>157315.04194574594</v>
      </c>
      <c r="AL177" s="161">
        <f t="shared" ref="AL177:BQ177" si="1160">+AL174+AL175</f>
        <v>337.74700000000007</v>
      </c>
      <c r="AM177" s="161">
        <f t="shared" si="1160"/>
        <v>347.5114391513398</v>
      </c>
      <c r="AN177" s="161">
        <f t="shared" si="1160"/>
        <v>261.50279999999998</v>
      </c>
      <c r="AO177" s="161">
        <f t="shared" si="1160"/>
        <v>237.33092740192598</v>
      </c>
      <c r="AP177" s="161">
        <f t="shared" si="1160"/>
        <v>178.86700000000002</v>
      </c>
      <c r="AQ177" s="161">
        <f t="shared" si="1160"/>
        <v>233.51608557289686</v>
      </c>
      <c r="AR177" s="161">
        <f t="shared" si="1160"/>
        <v>262.38979999999998</v>
      </c>
      <c r="AS177" s="161">
        <f t="shared" si="1160"/>
        <v>342.58269090372914</v>
      </c>
      <c r="AT177" s="161">
        <f t="shared" si="1160"/>
        <v>179.50640000000001</v>
      </c>
      <c r="AU177" s="161">
        <f t="shared" si="1160"/>
        <v>165.38514447376758</v>
      </c>
      <c r="AV177" s="161">
        <f t="shared" si="1160"/>
        <v>158.803</v>
      </c>
      <c r="AW177" s="161">
        <f t="shared" si="1160"/>
        <v>171.07744104375118</v>
      </c>
      <c r="AX177" s="161">
        <f t="shared" si="1160"/>
        <v>208.8014</v>
      </c>
      <c r="AY177" s="161">
        <f t="shared" si="1160"/>
        <v>546.39917408729787</v>
      </c>
      <c r="AZ177" s="161">
        <f t="shared" si="1160"/>
        <v>720.02080000000001</v>
      </c>
      <c r="BA177" s="161">
        <f t="shared" si="1160"/>
        <v>532.5283152819776</v>
      </c>
      <c r="BB177" s="161">
        <f t="shared" si="1160"/>
        <v>603.18600000000004</v>
      </c>
      <c r="BC177" s="161">
        <f t="shared" si="1160"/>
        <v>863.05698182147819</v>
      </c>
      <c r="BD177" s="161">
        <f t="shared" si="1160"/>
        <v>851.66300000000001</v>
      </c>
      <c r="BE177" s="161">
        <f t="shared" si="1160"/>
        <v>918.06120643157612</v>
      </c>
      <c r="BF177" s="161">
        <f t="shared" si="1160"/>
        <v>781.82799999999997</v>
      </c>
      <c r="BG177" s="161">
        <f t="shared" si="1160"/>
        <v>662.67780775154006</v>
      </c>
      <c r="BH177" s="161">
        <f t="shared" si="1160"/>
        <v>751.84100000000001</v>
      </c>
      <c r="BI177" s="161">
        <f t="shared" si="1160"/>
        <v>696.71187064496689</v>
      </c>
      <c r="BJ177" s="161">
        <f t="shared" si="1160"/>
        <v>667.77700000000004</v>
      </c>
      <c r="BK177" s="161">
        <f t="shared" si="1160"/>
        <v>464.0040404652911</v>
      </c>
      <c r="BL177" s="161">
        <f t="shared" si="1160"/>
        <v>546.298</v>
      </c>
      <c r="BM177" s="161">
        <f t="shared" si="1160"/>
        <v>492.53307823527331</v>
      </c>
      <c r="BN177" s="161">
        <f t="shared" si="1160"/>
        <v>314.41180000000003</v>
      </c>
      <c r="BO177" s="161">
        <f t="shared" si="1160"/>
        <v>293.86644972159985</v>
      </c>
      <c r="BP177" s="161">
        <f t="shared" si="1160"/>
        <v>611.58760000000007</v>
      </c>
      <c r="BQ177" s="161">
        <f t="shared" si="1160"/>
        <v>610.74471446404345</v>
      </c>
      <c r="BR177" s="161">
        <f t="shared" ref="BR177:CJ177" si="1161">+BR174+BR175</f>
        <v>646.3660000000001</v>
      </c>
      <c r="BS177" s="161">
        <f t="shared" si="1161"/>
        <v>685.79657513780251</v>
      </c>
      <c r="BT177" s="161">
        <f t="shared" si="1161"/>
        <v>2715.8049999999998</v>
      </c>
      <c r="BU177" s="161">
        <f t="shared" si="1161"/>
        <v>4168.2212595693782</v>
      </c>
      <c r="BV177" s="161">
        <f t="shared" si="1161"/>
        <v>5800.7360000000008</v>
      </c>
      <c r="BW177" s="161">
        <f t="shared" si="1161"/>
        <v>8330.2703414663429</v>
      </c>
      <c r="BX177" s="161">
        <f t="shared" si="1161"/>
        <v>7482.2659999999987</v>
      </c>
      <c r="BY177" s="161">
        <f t="shared" si="1161"/>
        <v>9031.6368177392542</v>
      </c>
      <c r="BZ177" s="161">
        <f t="shared" si="1161"/>
        <v>12958.248</v>
      </c>
      <c r="CA177" s="161">
        <f t="shared" si="1161"/>
        <v>15045.554840970042</v>
      </c>
      <c r="CB177" s="161">
        <f t="shared" si="1161"/>
        <v>21785.925999999999</v>
      </c>
      <c r="CC177" s="161">
        <f t="shared" si="1161"/>
        <v>26754.226959562362</v>
      </c>
      <c r="CD177" s="161">
        <f t="shared" si="1161"/>
        <v>29084.511999999999</v>
      </c>
      <c r="CE177" s="161">
        <f t="shared" si="1161"/>
        <v>32403.146340850162</v>
      </c>
      <c r="CF177" s="161">
        <f t="shared" si="1161"/>
        <v>36891.33</v>
      </c>
      <c r="CG177" s="161">
        <f t="shared" si="1161"/>
        <v>48169.786337677353</v>
      </c>
      <c r="CH177" s="161">
        <f t="shared" si="1161"/>
        <v>53304.03</v>
      </c>
      <c r="CI177" s="161">
        <f t="shared" si="1161"/>
        <v>56903.470210676271</v>
      </c>
      <c r="CJ177" s="161">
        <f t="shared" si="1161"/>
        <v>74574.8</v>
      </c>
      <c r="CK177" s="161">
        <f t="shared" ref="CK177:CL177" si="1162">+CK174+CK175</f>
        <v>73138.897060238</v>
      </c>
      <c r="CL177" s="161">
        <f t="shared" si="1162"/>
        <v>76328.760000000009</v>
      </c>
      <c r="CM177" s="21">
        <f t="shared" ref="CM177:DB177" si="1163">+CM178*CM180</f>
        <v>95072.979003104439</v>
      </c>
      <c r="CN177" s="21">
        <f t="shared" si="1163"/>
        <v>109424.74616514433</v>
      </c>
      <c r="CO177" s="21">
        <f t="shared" si="1163"/>
        <v>115286.11418955692</v>
      </c>
      <c r="CP177" s="21">
        <f t="shared" si="1163"/>
        <v>112533.38614036948</v>
      </c>
      <c r="CQ177" s="21">
        <f t="shared" si="1163"/>
        <v>114685.77571194689</v>
      </c>
      <c r="CR177" s="21">
        <f t="shared" si="1163"/>
        <v>119161.76145562431</v>
      </c>
      <c r="CS177" s="21">
        <f t="shared" si="1163"/>
        <v>126896.60857745186</v>
      </c>
      <c r="CT177" s="21">
        <f t="shared" si="1163"/>
        <v>135612.33208798914</v>
      </c>
      <c r="CU177" s="21">
        <f t="shared" si="1163"/>
        <v>142306.19381855929</v>
      </c>
      <c r="CV177" s="21">
        <f t="shared" si="1163"/>
        <v>146238.23133854443</v>
      </c>
      <c r="CW177" s="21">
        <f t="shared" si="1163"/>
        <v>150904.89817036429</v>
      </c>
      <c r="CX177" s="21">
        <f t="shared" si="1163"/>
        <v>155782.477027268</v>
      </c>
      <c r="CY177" s="21">
        <f t="shared" si="1163"/>
        <v>162588.91041335571</v>
      </c>
      <c r="CZ177" s="21">
        <f t="shared" si="1163"/>
        <v>169273.04664413171</v>
      </c>
      <c r="DA177" s="21">
        <f t="shared" si="1163"/>
        <v>176176.6676438805</v>
      </c>
      <c r="DB177" s="21">
        <f t="shared" si="1163"/>
        <v>183259.03415393291</v>
      </c>
      <c r="DE177" s="22"/>
      <c r="DF177" s="161">
        <v>33264.807999999997</v>
      </c>
    </row>
    <row r="178" spans="1:110" s="161" customFormat="1" x14ac:dyDescent="0.2">
      <c r="A178" s="49" t="s">
        <v>13</v>
      </c>
      <c r="B178" s="161">
        <f t="shared" ref="B178:AE178" si="1164">+B95</f>
        <v>6.4892000000000181</v>
      </c>
      <c r="C178" s="161">
        <f t="shared" si="1164"/>
        <v>3.0330000000000048</v>
      </c>
      <c r="D178" s="161">
        <f t="shared" si="1164"/>
        <v>7.0851999999999933</v>
      </c>
      <c r="E178" s="161">
        <f t="shared" si="1164"/>
        <v>6.5686000000000249</v>
      </c>
      <c r="F178" s="161">
        <f t="shared" si="1164"/>
        <v>25.353000000000023</v>
      </c>
      <c r="G178" s="161">
        <f t="shared" si="1164"/>
        <v>-0.70329999999997739</v>
      </c>
      <c r="H178" s="161">
        <f t="shared" si="1164"/>
        <v>1.4717999999999591</v>
      </c>
      <c r="I178" s="161">
        <f t="shared" si="1164"/>
        <v>34.690799999999975</v>
      </c>
      <c r="J178" s="161">
        <f t="shared" si="1164"/>
        <v>50.786400000000029</v>
      </c>
      <c r="K178" s="161">
        <f t="shared" si="1164"/>
        <v>34.34080000000008</v>
      </c>
      <c r="L178" s="161">
        <f t="shared" si="1164"/>
        <v>22.161200000000022</v>
      </c>
      <c r="M178" s="161">
        <f t="shared" si="1164"/>
        <v>27.49099999999995</v>
      </c>
      <c r="N178" s="161">
        <f t="shared" si="1164"/>
        <v>20.670400000000058</v>
      </c>
      <c r="O178" s="161">
        <f t="shared" si="1164"/>
        <v>-25.236199999999954</v>
      </c>
      <c r="P178" s="161">
        <f t="shared" si="1164"/>
        <v>-26.374799999999944</v>
      </c>
      <c r="Q178" s="161">
        <f t="shared" si="1164"/>
        <v>13.185599999999994</v>
      </c>
      <c r="R178" s="161">
        <f t="shared" si="1164"/>
        <v>14.788100000000021</v>
      </c>
      <c r="S178" s="161">
        <f t="shared" si="1164"/>
        <v>16.444600000000001</v>
      </c>
      <c r="T178" s="161">
        <f t="shared" si="1164"/>
        <v>15.756699999999981</v>
      </c>
      <c r="U178" s="161">
        <f t="shared" si="1164"/>
        <v>21.127900000000025</v>
      </c>
      <c r="V178" s="161">
        <f t="shared" si="1164"/>
        <v>10.871800000000022</v>
      </c>
      <c r="W178" s="161">
        <f t="shared" si="1164"/>
        <v>145.53</v>
      </c>
      <c r="X178" s="161">
        <f t="shared" si="1164"/>
        <v>810.29</v>
      </c>
      <c r="Y178" s="161">
        <f t="shared" si="1164"/>
        <v>1731.2499999999991</v>
      </c>
      <c r="Z178" s="161">
        <f t="shared" si="1164"/>
        <v>1955.7399999999998</v>
      </c>
      <c r="AA178" s="161">
        <f t="shared" ref="AA178" si="1165">+AA95</f>
        <v>6152.159999999998</v>
      </c>
      <c r="AB178" s="21">
        <f t="shared" si="1164"/>
        <v>9054.9935000000005</v>
      </c>
      <c r="AC178" s="21">
        <f t="shared" si="1164"/>
        <v>10912.039774977227</v>
      </c>
      <c r="AD178" s="21">
        <f t="shared" si="1164"/>
        <v>12535.029516807357</v>
      </c>
      <c r="AE178" s="21">
        <f t="shared" si="1164"/>
        <v>14745.929363666903</v>
      </c>
      <c r="AL178" s="161">
        <f t="shared" ref="AL178:BQ178" si="1166">+SUM(AI95:AL95)</f>
        <v>20.672000000000004</v>
      </c>
      <c r="AM178" s="161">
        <f t="shared" si="1166"/>
        <v>4.5189999999999699</v>
      </c>
      <c r="AN178" s="161">
        <f t="shared" si="1166"/>
        <v>4.1549999999999638</v>
      </c>
      <c r="AO178" s="161">
        <f t="shared" si="1166"/>
        <v>3.0999999999999623</v>
      </c>
      <c r="AP178" s="161">
        <f t="shared" si="1166"/>
        <v>-25.237000000000013</v>
      </c>
      <c r="AQ178" s="161">
        <f t="shared" si="1166"/>
        <v>-24.609999999999957</v>
      </c>
      <c r="AR178" s="161">
        <f t="shared" si="1166"/>
        <v>-26.210999999999938</v>
      </c>
      <c r="AS178" s="161">
        <f t="shared" si="1166"/>
        <v>-31.004999999999953</v>
      </c>
      <c r="AT178" s="161">
        <f t="shared" si="1166"/>
        <v>-26.372999999999969</v>
      </c>
      <c r="AU178" s="161">
        <f t="shared" si="1166"/>
        <v>-15.758999999999975</v>
      </c>
      <c r="AV178" s="161">
        <f t="shared" si="1166"/>
        <v>-6.8490000000000091</v>
      </c>
      <c r="AW178" s="161">
        <f t="shared" si="1166"/>
        <v>0.81699999999999839</v>
      </c>
      <c r="AX178" s="161">
        <f t="shared" si="1166"/>
        <v>13.187000000000005</v>
      </c>
      <c r="AY178" s="161">
        <f t="shared" si="1166"/>
        <v>12.067999999999996</v>
      </c>
      <c r="AZ178" s="161">
        <f t="shared" si="1166"/>
        <v>10.725999999999988</v>
      </c>
      <c r="BA178" s="161">
        <f t="shared" si="1166"/>
        <v>15.858999999999995</v>
      </c>
      <c r="BB178" s="161">
        <f t="shared" si="1166"/>
        <v>19.058999999999983</v>
      </c>
      <c r="BC178" s="161">
        <f t="shared" si="1166"/>
        <v>25.571999999999971</v>
      </c>
      <c r="BD178" s="161">
        <f t="shared" si="1166"/>
        <v>24.627999999999997</v>
      </c>
      <c r="BE178" s="161">
        <f t="shared" si="1166"/>
        <v>20.508000000000017</v>
      </c>
      <c r="BF178" s="161">
        <f t="shared" si="1166"/>
        <v>16.444000000000006</v>
      </c>
      <c r="BG178" s="161">
        <f t="shared" si="1166"/>
        <v>16.822000000000013</v>
      </c>
      <c r="BH178" s="161">
        <f t="shared" si="1166"/>
        <v>22.648</v>
      </c>
      <c r="BI178" s="161">
        <f t="shared" si="1166"/>
        <v>27.976999999999986</v>
      </c>
      <c r="BJ178" s="161">
        <f t="shared" si="1166"/>
        <v>15.757000000000019</v>
      </c>
      <c r="BK178" s="161">
        <f t="shared" si="1166"/>
        <v>16.402000000000015</v>
      </c>
      <c r="BL178" s="161">
        <f t="shared" si="1166"/>
        <v>14.315000000000015</v>
      </c>
      <c r="BM178" s="161">
        <f t="shared" si="1166"/>
        <v>13.450000000000006</v>
      </c>
      <c r="BN178" s="161">
        <f t="shared" si="1166"/>
        <v>21.127999999999979</v>
      </c>
      <c r="BO178" s="161">
        <f t="shared" si="1166"/>
        <v>5.3169999999999771</v>
      </c>
      <c r="BP178" s="161">
        <f t="shared" si="1166"/>
        <v>6.2579999999999814</v>
      </c>
      <c r="BQ178" s="161">
        <f t="shared" si="1166"/>
        <v>7.159999999999993</v>
      </c>
      <c r="BR178" s="161">
        <f t="shared" ref="BR178:CW178" si="1167">+SUM(BO95:BR95)</f>
        <v>10.87300000000001</v>
      </c>
      <c r="BS178" s="161">
        <f t="shared" si="1167"/>
        <v>20.468000000000014</v>
      </c>
      <c r="BT178" s="161">
        <f t="shared" si="1167"/>
        <v>16.235000000000014</v>
      </c>
      <c r="BU178" s="161">
        <f t="shared" si="1167"/>
        <v>40.771000000000015</v>
      </c>
      <c r="BV178" s="161">
        <f t="shared" si="1167"/>
        <v>145.53999999999996</v>
      </c>
      <c r="BW178" s="161">
        <f t="shared" si="1167"/>
        <v>405.4899999999999</v>
      </c>
      <c r="BX178" s="161">
        <f t="shared" si="1167"/>
        <v>563.00999999999988</v>
      </c>
      <c r="BY178" s="161">
        <f t="shared" si="1167"/>
        <v>757.87999999999977</v>
      </c>
      <c r="BZ178" s="161">
        <f t="shared" si="1167"/>
        <v>810.28999999999985</v>
      </c>
      <c r="CA178" s="161">
        <f t="shared" si="1167"/>
        <v>1084.3</v>
      </c>
      <c r="CB178" s="161">
        <f t="shared" si="1167"/>
        <v>1213.6999999999998</v>
      </c>
      <c r="CC178" s="161">
        <f t="shared" si="1167"/>
        <v>1436.2099999999998</v>
      </c>
      <c r="CD178" s="161">
        <f t="shared" si="1167"/>
        <v>1730.07</v>
      </c>
      <c r="CE178" s="161">
        <f t="shared" si="1167"/>
        <v>1912.8699999999992</v>
      </c>
      <c r="CF178" s="161">
        <f t="shared" si="1167"/>
        <v>2037.2599999999993</v>
      </c>
      <c r="CG178" s="161">
        <f t="shared" si="1167"/>
        <v>2124.2199999999993</v>
      </c>
      <c r="CH178" s="161">
        <f t="shared" si="1167"/>
        <v>1926.9099999999994</v>
      </c>
      <c r="CI178" s="161">
        <f t="shared" si="1167"/>
        <v>2002.4299999999998</v>
      </c>
      <c r="CJ178" s="161">
        <f t="shared" si="1167"/>
        <v>2634.81</v>
      </c>
      <c r="CK178" s="161">
        <f t="shared" si="1167"/>
        <v>3857.59</v>
      </c>
      <c r="CL178" s="161">
        <f t="shared" si="1167"/>
        <v>6141.7900000000009</v>
      </c>
      <c r="CM178" s="21">
        <f t="shared" si="1167"/>
        <v>7650.0426800000005</v>
      </c>
      <c r="CN178" s="21">
        <f t="shared" si="1167"/>
        <v>8804.8569339999995</v>
      </c>
      <c r="CO178" s="21">
        <f t="shared" si="1167"/>
        <v>9276.4916300000004</v>
      </c>
      <c r="CP178" s="21">
        <f t="shared" si="1167"/>
        <v>9054.9934999999987</v>
      </c>
      <c r="CQ178" s="21">
        <f t="shared" si="1167"/>
        <v>9228.1854232910155</v>
      </c>
      <c r="CR178" s="21">
        <f t="shared" si="1167"/>
        <v>9588.3454007446053</v>
      </c>
      <c r="CS178" s="21">
        <f t="shared" si="1167"/>
        <v>10210.729502154994</v>
      </c>
      <c r="CT178" s="21">
        <f t="shared" si="1167"/>
        <v>10912.039774977229</v>
      </c>
      <c r="CU178" s="21">
        <f t="shared" si="1167"/>
        <v>11450.661036978581</v>
      </c>
      <c r="CV178" s="21">
        <f t="shared" si="1167"/>
        <v>11767.052246790841</v>
      </c>
      <c r="CW178" s="21">
        <f t="shared" si="1167"/>
        <v>12142.555368825089</v>
      </c>
      <c r="CX178" s="21">
        <f t="shared" ref="CX178:DB178" si="1168">+SUM(CU95:CX95)</f>
        <v>12535.029516807354</v>
      </c>
      <c r="CY178" s="21">
        <f t="shared" si="1168"/>
        <v>13082.7088516523</v>
      </c>
      <c r="CZ178" s="21">
        <f t="shared" si="1168"/>
        <v>13620.547551780768</v>
      </c>
      <c r="DA178" s="21">
        <f t="shared" si="1168"/>
        <v>14176.047083281699</v>
      </c>
      <c r="DB178" s="21">
        <f t="shared" si="1168"/>
        <v>14745.929363666903</v>
      </c>
      <c r="DE178" s="22"/>
      <c r="DF178" s="161">
        <v>6152.159999999998</v>
      </c>
    </row>
    <row r="179" spans="1:110" s="161" customFormat="1" x14ac:dyDescent="0.2">
      <c r="A179" s="49" t="s">
        <v>343</v>
      </c>
      <c r="B179" s="161">
        <f>+B176/B178</f>
        <v>62.515793610922593</v>
      </c>
      <c r="C179" s="161">
        <f t="shared" ref="C179:W179" si="1169">+C176/C178</f>
        <v>157.97485674249893</v>
      </c>
      <c r="D179" s="161">
        <f t="shared" si="1169"/>
        <v>71.680654907412702</v>
      </c>
      <c r="E179" s="161">
        <f t="shared" ca="1" si="1169"/>
        <v>86.473997503272827</v>
      </c>
      <c r="F179" s="161">
        <f t="shared" ca="1" si="1169"/>
        <v>23.47804204630614</v>
      </c>
      <c r="G179" s="161">
        <f t="shared" ca="1" si="1169"/>
        <v>-838.97924072233616</v>
      </c>
      <c r="H179" s="161">
        <f t="shared" ca="1" si="1169"/>
        <v>309.36479141188522</v>
      </c>
      <c r="I179" s="161">
        <f t="shared" ca="1" si="1169"/>
        <v>138.52390835610603</v>
      </c>
      <c r="J179" s="161">
        <f t="shared" ca="1" si="1169"/>
        <v>46.432907235007775</v>
      </c>
      <c r="K179" s="161">
        <f t="shared" ca="1" si="1169"/>
        <v>33.096471252853675</v>
      </c>
      <c r="L179" s="161">
        <f t="shared" ca="1" si="1169"/>
        <v>96.339764994675264</v>
      </c>
      <c r="M179" s="161">
        <f t="shared" ca="1" si="1169"/>
        <v>53.965668764322963</v>
      </c>
      <c r="N179" s="161">
        <f t="shared" ca="1" si="1169"/>
        <v>37.305301300410143</v>
      </c>
      <c r="O179" s="161">
        <f t="shared" ca="1" si="1169"/>
        <v>-20.696214168535715</v>
      </c>
      <c r="P179" s="161">
        <f t="shared" ca="1" si="1169"/>
        <v>-16.291562400473214</v>
      </c>
      <c r="Q179" s="161">
        <f t="shared" ca="1" si="1169"/>
        <v>46.455231464628106</v>
      </c>
      <c r="R179" s="161">
        <f t="shared" ca="1" si="1169"/>
        <v>78.846241234505996</v>
      </c>
      <c r="S179" s="161">
        <f t="shared" ca="1" si="1169"/>
        <v>80.075556717706718</v>
      </c>
      <c r="T179" s="161">
        <f t="shared" ca="1" si="1169"/>
        <v>76.413741456015629</v>
      </c>
      <c r="U179" s="161">
        <f t="shared" ca="1" si="1169"/>
        <v>40.574387421371696</v>
      </c>
      <c r="V179" s="161">
        <f t="shared" ca="1" si="1169"/>
        <v>105.79214113578226</v>
      </c>
      <c r="W179" s="161">
        <f t="shared" ca="1" si="1169"/>
        <v>57.991974163402737</v>
      </c>
      <c r="X179" s="161">
        <f t="shared" ref="X179:Y179" ca="1" si="1170">+X176/X178</f>
        <v>22.189566698342574</v>
      </c>
      <c r="Y179" s="161">
        <f t="shared" ca="1" si="1170"/>
        <v>22.178216895306871</v>
      </c>
      <c r="Z179" s="161">
        <f t="shared" ref="Z179:AA179" ca="1" si="1171">+Z176/Z178</f>
        <v>42.549385276331222</v>
      </c>
      <c r="AA179" s="161">
        <f t="shared" ca="1" si="1171"/>
        <v>42.549385276331222</v>
      </c>
      <c r="AB179" s="21">
        <f t="shared" ref="AB179:AD179" ca="1" si="1172">+AB176/AB178</f>
        <v>16.397890507469299</v>
      </c>
      <c r="AC179" s="21">
        <f t="shared" ca="1" si="1172"/>
        <v>16.000000000000004</v>
      </c>
      <c r="AD179" s="21">
        <f t="shared" ca="1" si="1172"/>
        <v>15.999999999999995</v>
      </c>
      <c r="AE179" s="21">
        <f t="shared" ref="AE179" ca="1" si="1173">+AE176/AE178</f>
        <v>16</v>
      </c>
      <c r="AL179" s="161">
        <f t="shared" ref="AL179" si="1174">+AL176/AL178</f>
        <v>25.050454721362222</v>
      </c>
      <c r="AM179" s="161">
        <f t="shared" ref="AM179:AO179" si="1175">+AM176/AM178</f>
        <v>117.62492568075753</v>
      </c>
      <c r="AN179" s="161">
        <f t="shared" si="1175"/>
        <v>125.44765342960399</v>
      </c>
      <c r="AO179" s="161">
        <f t="shared" si="1175"/>
        <v>163.24771851675229</v>
      </c>
      <c r="AP179" s="161">
        <f t="shared" ref="AP179:CD179" si="1176">+AP176/AP178</f>
        <v>-11.380354241787844</v>
      </c>
      <c r="AQ179" s="161">
        <f t="shared" si="1176"/>
        <v>-17.767155041564308</v>
      </c>
      <c r="AR179" s="161">
        <f t="shared" si="1176"/>
        <v>-14.938476212277322</v>
      </c>
      <c r="AS179" s="161">
        <f t="shared" si="1176"/>
        <v>-16.1681113015233</v>
      </c>
      <c r="AT179" s="161">
        <f t="shared" si="1176"/>
        <v>-12.450877791680901</v>
      </c>
      <c r="AU179" s="161">
        <f t="shared" si="1176"/>
        <v>-15.244466303304014</v>
      </c>
      <c r="AV179" s="161">
        <f t="shared" si="1176"/>
        <v>-41.469703606365833</v>
      </c>
      <c r="AW179" s="161">
        <f t="shared" si="1176"/>
        <v>326.15916896420038</v>
      </c>
      <c r="AX179" s="161">
        <f t="shared" si="1176"/>
        <v>46.434291347539229</v>
      </c>
      <c r="AY179" s="161">
        <f t="shared" si="1176"/>
        <v>82.002334611145031</v>
      </c>
      <c r="AZ179" s="161">
        <f t="shared" si="1176"/>
        <v>92.786686556032166</v>
      </c>
      <c r="BA179" s="161">
        <f t="shared" si="1176"/>
        <v>73.857514047668687</v>
      </c>
      <c r="BB179" s="161">
        <f t="shared" si="1176"/>
        <v>57.752305997166744</v>
      </c>
      <c r="BC179" s="161">
        <f t="shared" si="1176"/>
        <v>51.246792656870007</v>
      </c>
      <c r="BD179" s="161">
        <f t="shared" si="1176"/>
        <v>51.034554165989931</v>
      </c>
      <c r="BE179" s="161">
        <f t="shared" si="1176"/>
        <v>63.70163869863346</v>
      </c>
      <c r="BF179" s="161">
        <f t="shared" si="1176"/>
        <v>78.51873023595229</v>
      </c>
      <c r="BG179" s="161">
        <f t="shared" si="1176"/>
        <v>67.496719043605935</v>
      </c>
      <c r="BH179" s="161">
        <f t="shared" si="1176"/>
        <v>46.61572765807135</v>
      </c>
      <c r="BI179" s="161">
        <f t="shared" si="1176"/>
        <v>31.70240807252269</v>
      </c>
      <c r="BJ179" s="161">
        <f t="shared" si="1176"/>
        <v>58.809735355714849</v>
      </c>
      <c r="BK179" s="161">
        <f t="shared" si="1176"/>
        <v>50.215415221637009</v>
      </c>
      <c r="BL179" s="161">
        <f t="shared" si="1176"/>
        <v>54.871673070206022</v>
      </c>
      <c r="BM179" s="161">
        <f t="shared" si="1176"/>
        <v>51.808883140168987</v>
      </c>
      <c r="BN179" s="161">
        <f t="shared" si="1176"/>
        <v>27.5075255585006</v>
      </c>
      <c r="BO179" s="161">
        <f t="shared" si="1176"/>
        <v>126.50570805371501</v>
      </c>
      <c r="BP179" s="161">
        <f t="shared" si="1176"/>
        <v>127.226909555769</v>
      </c>
      <c r="BQ179" s="161">
        <f t="shared" si="1176"/>
        <v>107.54428972961509</v>
      </c>
      <c r="BR179" s="161">
        <f t="shared" si="1176"/>
        <v>99.251282994573629</v>
      </c>
      <c r="BS179" s="161">
        <f t="shared" si="1176"/>
        <v>144.34450728638853</v>
      </c>
      <c r="BT179" s="161">
        <f t="shared" si="1176"/>
        <v>319.29060671388947</v>
      </c>
      <c r="BU179" s="161">
        <f t="shared" si="1176"/>
        <v>143.92281915011591</v>
      </c>
      <c r="BV179" s="161">
        <f t="shared" si="1176"/>
        <v>57.722083276075331</v>
      </c>
      <c r="BW179" s="161">
        <f t="shared" si="1176"/>
        <v>35.242107922430513</v>
      </c>
      <c r="BX179" s="161">
        <f t="shared" si="1176"/>
        <v>20.497067547645695</v>
      </c>
      <c r="BY179" s="161">
        <f t="shared" si="1176"/>
        <v>18.656049529924605</v>
      </c>
      <c r="BZ179" s="161">
        <f t="shared" si="1176"/>
        <v>22.187641461698906</v>
      </c>
      <c r="CA179" s="161">
        <f t="shared" si="1176"/>
        <v>20.571497593811714</v>
      </c>
      <c r="CB179" s="161">
        <f t="shared" si="1176"/>
        <v>31.520365823514879</v>
      </c>
      <c r="CC179" s="161">
        <f t="shared" si="1176"/>
        <v>25.319442810983325</v>
      </c>
      <c r="CD179" s="161">
        <f t="shared" si="1176"/>
        <v>20.539168935360998</v>
      </c>
      <c r="CE179" s="161">
        <f t="shared" ref="CE179:CF179" si="1177">+CE176/CE178</f>
        <v>22.319313043149915</v>
      </c>
      <c r="CF179" s="161">
        <f t="shared" si="1177"/>
        <v>25.971860243660611</v>
      </c>
      <c r="CG179" s="161">
        <f t="shared" ref="CG179:CH179" si="1178">+CG176/CG178</f>
        <v>32.003822738547505</v>
      </c>
      <c r="CH179" s="161">
        <f t="shared" si="1178"/>
        <v>43.267002610396965</v>
      </c>
      <c r="CI179" s="161">
        <f t="shared" ref="CI179:CJ179" si="1179">+CI176/CI178</f>
        <v>45.185159136986705</v>
      </c>
      <c r="CJ179" s="161">
        <f t="shared" si="1179"/>
        <v>37.101928412295386</v>
      </c>
      <c r="CK179" s="161">
        <f t="shared" ref="CK179:CL179" si="1180">+CK176/CK178</f>
        <v>22.238710453997964</v>
      </c>
      <c r="CL179" s="161">
        <f t="shared" si="1180"/>
        <v>15.459041093883053</v>
      </c>
      <c r="CM179" s="21">
        <v>16</v>
      </c>
      <c r="CN179" s="21">
        <f t="shared" ref="CN179:CN180" si="1181">+CM179</f>
        <v>16</v>
      </c>
      <c r="CO179" s="21">
        <f t="shared" ref="CO179:CO180" si="1182">+CN179</f>
        <v>16</v>
      </c>
      <c r="CP179" s="21">
        <f t="shared" ref="CP179:CP180" si="1183">+CO179</f>
        <v>16</v>
      </c>
      <c r="CQ179" s="21">
        <f t="shared" ref="CQ179:CQ180" si="1184">+CP179</f>
        <v>16</v>
      </c>
      <c r="CR179" s="21">
        <f t="shared" ref="CR179:CR180" si="1185">+CQ179</f>
        <v>16</v>
      </c>
      <c r="CS179" s="21">
        <f t="shared" ref="CS179:CS180" si="1186">+CR179</f>
        <v>16</v>
      </c>
      <c r="CT179" s="21">
        <f t="shared" ref="CT179:CT180" si="1187">+CS179</f>
        <v>16</v>
      </c>
      <c r="CU179" s="21">
        <f t="shared" ref="CU179:CU180" si="1188">+CT179</f>
        <v>16</v>
      </c>
      <c r="CV179" s="21">
        <f t="shared" ref="CV179:CV180" si="1189">+CU179</f>
        <v>16</v>
      </c>
      <c r="CW179" s="21">
        <f t="shared" ref="CW179:CW180" si="1190">+CV179</f>
        <v>16</v>
      </c>
      <c r="CX179" s="21">
        <f t="shared" ref="CX179:CX180" si="1191">+CW179</f>
        <v>16</v>
      </c>
      <c r="CY179" s="21">
        <f t="shared" ref="CY179:CY180" si="1192">+CX179</f>
        <v>16</v>
      </c>
      <c r="CZ179" s="21">
        <f t="shared" ref="CZ179:CZ180" si="1193">+CY179</f>
        <v>16</v>
      </c>
      <c r="DA179" s="21">
        <f t="shared" ref="DA179:DA180" si="1194">+CZ179</f>
        <v>16</v>
      </c>
      <c r="DB179" s="21">
        <f t="shared" ref="DB179:DB180" si="1195">+DA179</f>
        <v>16</v>
      </c>
      <c r="DE179" s="22"/>
      <c r="DF179" s="161">
        <v>42.549385276331222</v>
      </c>
    </row>
    <row r="180" spans="1:110" s="161" customFormat="1" x14ac:dyDescent="0.2">
      <c r="A180" s="49" t="s">
        <v>344</v>
      </c>
      <c r="B180" s="161">
        <f>+B177/B178</f>
        <v>62.319116586019682</v>
      </c>
      <c r="C180" s="161">
        <f t="shared" ref="C180:W180" si="1196">+C177/C178</f>
        <v>157.82208339927439</v>
      </c>
      <c r="D180" s="161">
        <f t="shared" si="1196"/>
        <v>71.491343420087006</v>
      </c>
      <c r="E180" s="161">
        <f t="shared" ca="1" si="1196"/>
        <v>75.1213500593731</v>
      </c>
      <c r="F180" s="161">
        <f t="shared" ca="1" si="1196"/>
        <v>13.126855204512275</v>
      </c>
      <c r="G180" s="161">
        <f t="shared" ca="1" si="1196"/>
        <v>-473.67538745913652</v>
      </c>
      <c r="H180" s="161">
        <f t="shared" ca="1" si="1196"/>
        <v>200.00156271233061</v>
      </c>
      <c r="I180" s="161">
        <f t="shared" ca="1" si="1196"/>
        <v>7.7071557877016437</v>
      </c>
      <c r="J180" s="161">
        <f t="shared" ca="1" si="1196"/>
        <v>8.8936250649780213</v>
      </c>
      <c r="K180" s="161">
        <f t="shared" ca="1" si="1196"/>
        <v>16.830717397381502</v>
      </c>
      <c r="L180" s="161">
        <f t="shared" ca="1" si="1196"/>
        <v>39.45331480244748</v>
      </c>
      <c r="M180" s="161">
        <f t="shared" ca="1" si="1196"/>
        <v>22.592091957367913</v>
      </c>
      <c r="N180" s="161">
        <f t="shared" ca="1" si="1196"/>
        <v>16.612523221611536</v>
      </c>
      <c r="O180" s="161">
        <f t="shared" ca="1" si="1196"/>
        <v>-7.3154357629120206</v>
      </c>
      <c r="P180" s="161">
        <f t="shared" ca="1" si="1196"/>
        <v>-7.0092929614632302</v>
      </c>
      <c r="Q180" s="161">
        <f t="shared" ca="1" si="1196"/>
        <v>12.202182684140281</v>
      </c>
      <c r="R180" s="161">
        <f t="shared" ca="1" si="1196"/>
        <v>35.65083411662075</v>
      </c>
      <c r="S180" s="161">
        <f t="shared" ca="1" si="1196"/>
        <v>47.562756163117371</v>
      </c>
      <c r="T180" s="161">
        <f t="shared" ca="1" si="1196"/>
        <v>42.838690842625731</v>
      </c>
      <c r="U180" s="161">
        <f t="shared" ca="1" si="1196"/>
        <v>15.907818571651685</v>
      </c>
      <c r="V180" s="161">
        <f t="shared" ca="1" si="1196"/>
        <v>36.57972000956596</v>
      </c>
      <c r="W180" s="161">
        <f t="shared" ca="1" si="1196"/>
        <v>4.5621328935614649</v>
      </c>
      <c r="X180" s="161">
        <f t="shared" ref="X180:Y180" ca="1" si="1197">+X177/X178</f>
        <v>8.3885374372138362</v>
      </c>
      <c r="Y180" s="161">
        <f t="shared" ca="1" si="1197"/>
        <v>8.7571638989169713</v>
      </c>
      <c r="Z180" s="161">
        <f t="shared" ref="Z180:AA180" ca="1" si="1198">+Z177/Z178</f>
        <v>17.03345673891782</v>
      </c>
      <c r="AA180" s="161">
        <f t="shared" ca="1" si="1198"/>
        <v>17.03345673891782</v>
      </c>
      <c r="AB180" s="21">
        <f t="shared" ref="AB180:AD180" ca="1" si="1199">+AB177/AB178</f>
        <v>10.293329057693931</v>
      </c>
      <c r="AC180" s="21">
        <f t="shared" ca="1" si="1199"/>
        <v>10.164885557892898</v>
      </c>
      <c r="AD180" s="21">
        <f t="shared" ca="1" si="1199"/>
        <v>11.024488449766507</v>
      </c>
      <c r="AE180" s="21">
        <f t="shared" ref="AE180" ca="1" si="1200">+AE177/AE178</f>
        <v>10.668370779895426</v>
      </c>
      <c r="AL180" s="161">
        <f t="shared" ref="AL180:AM180" si="1201">+AL177/AL178</f>
        <v>16.338380417956657</v>
      </c>
      <c r="AM180" s="161">
        <f t="shared" si="1201"/>
        <v>76.90007505008677</v>
      </c>
      <c r="AN180" s="161">
        <f t="shared" ref="AN180:AO180" si="1202">+AN177/AN178</f>
        <v>62.936895306859746</v>
      </c>
      <c r="AO180" s="161">
        <f t="shared" si="1202"/>
        <v>76.558363678041573</v>
      </c>
      <c r="AP180" s="161">
        <f t="shared" ref="AP180:CD180" si="1203">+AP177/AP178</f>
        <v>-7.0874905892142461</v>
      </c>
      <c r="AQ180" s="161">
        <f t="shared" si="1203"/>
        <v>-9.4886666222225617</v>
      </c>
      <c r="AR180" s="161">
        <f t="shared" si="1203"/>
        <v>-10.010674907481615</v>
      </c>
      <c r="AS180" s="161">
        <f t="shared" si="1203"/>
        <v>-11.049272404571187</v>
      </c>
      <c r="AT180" s="161">
        <f t="shared" si="1203"/>
        <v>-6.8064459864255191</v>
      </c>
      <c r="AU180" s="161">
        <f t="shared" si="1203"/>
        <v>-10.494647152342651</v>
      </c>
      <c r="AV180" s="161">
        <f t="shared" si="1203"/>
        <v>-23.18630457001019</v>
      </c>
      <c r="AW180" s="161">
        <f t="shared" si="1203"/>
        <v>209.39711266065058</v>
      </c>
      <c r="AX180" s="161">
        <f t="shared" si="1203"/>
        <v>15.833881853340406</v>
      </c>
      <c r="AY180" s="161">
        <f t="shared" si="1203"/>
        <v>45.27669656010093</v>
      </c>
      <c r="AZ180" s="161">
        <f t="shared" si="1203"/>
        <v>67.128547454782847</v>
      </c>
      <c r="BA180" s="161">
        <f t="shared" si="1203"/>
        <v>33.578934061540942</v>
      </c>
      <c r="BB180" s="161">
        <f t="shared" si="1203"/>
        <v>31.648355107823104</v>
      </c>
      <c r="BC180" s="161">
        <f t="shared" si="1203"/>
        <v>33.750077499666794</v>
      </c>
      <c r="BD180" s="161">
        <f t="shared" si="1203"/>
        <v>34.581086568133834</v>
      </c>
      <c r="BE180" s="161">
        <f t="shared" si="1203"/>
        <v>44.766003824438044</v>
      </c>
      <c r="BF180" s="161">
        <f t="shared" si="1203"/>
        <v>47.54487959134029</v>
      </c>
      <c r="BG180" s="161">
        <f t="shared" si="1203"/>
        <v>39.393520850763259</v>
      </c>
      <c r="BH180" s="161">
        <f t="shared" si="1203"/>
        <v>33.196794418933237</v>
      </c>
      <c r="BI180" s="161">
        <f t="shared" si="1203"/>
        <v>24.903022863243638</v>
      </c>
      <c r="BJ180" s="161">
        <f t="shared" si="1203"/>
        <v>42.379704258424781</v>
      </c>
      <c r="BK180" s="161">
        <f t="shared" si="1203"/>
        <v>28.289479360156729</v>
      </c>
      <c r="BL180" s="161">
        <f t="shared" si="1203"/>
        <v>38.162626615438313</v>
      </c>
      <c r="BM180" s="161">
        <f t="shared" si="1203"/>
        <v>36.619559720094649</v>
      </c>
      <c r="BN180" s="161">
        <f t="shared" si="1203"/>
        <v>14.881285497917471</v>
      </c>
      <c r="BO180" s="161">
        <f t="shared" si="1203"/>
        <v>55.26922131307149</v>
      </c>
      <c r="BP180" s="161">
        <f t="shared" si="1203"/>
        <v>97.728922978587704</v>
      </c>
      <c r="BQ180" s="161">
        <f t="shared" si="1203"/>
        <v>85.299541126263136</v>
      </c>
      <c r="BR180" s="161">
        <f t="shared" si="1203"/>
        <v>59.446886783776279</v>
      </c>
      <c r="BS180" s="161">
        <f t="shared" si="1203"/>
        <v>33.50579319610133</v>
      </c>
      <c r="BT180" s="161">
        <f t="shared" si="1203"/>
        <v>167.28087465352618</v>
      </c>
      <c r="BU180" s="161">
        <f t="shared" si="1203"/>
        <v>102.23495277450581</v>
      </c>
      <c r="BV180" s="161">
        <f t="shared" si="1203"/>
        <v>39.856644221519872</v>
      </c>
      <c r="BW180" s="161">
        <f t="shared" si="1203"/>
        <v>20.543713387423477</v>
      </c>
      <c r="BX180" s="161">
        <f t="shared" si="1203"/>
        <v>13.289756842684856</v>
      </c>
      <c r="BY180" s="161">
        <f t="shared" si="1203"/>
        <v>11.916974742359288</v>
      </c>
      <c r="BZ180" s="161">
        <f t="shared" si="1203"/>
        <v>15.992111466265166</v>
      </c>
      <c r="CA180" s="161">
        <f t="shared" si="1203"/>
        <v>13.875822965018946</v>
      </c>
      <c r="CB180" s="161">
        <f t="shared" si="1203"/>
        <v>17.950009063195189</v>
      </c>
      <c r="CC180" s="161">
        <f t="shared" si="1203"/>
        <v>18.628353067839917</v>
      </c>
      <c r="CD180" s="161">
        <f t="shared" si="1203"/>
        <v>16.811176426387373</v>
      </c>
      <c r="CE180" s="161">
        <f t="shared" ref="CE180:CF180" si="1204">+CE177/CE178</f>
        <v>16.939544423222788</v>
      </c>
      <c r="CF180" s="161">
        <f t="shared" si="1204"/>
        <v>18.108307236189791</v>
      </c>
      <c r="CG180" s="161">
        <f t="shared" ref="CG180:CH180" si="1205">+CG177/CG178</f>
        <v>22.676458341262848</v>
      </c>
      <c r="CH180" s="161">
        <f t="shared" si="1205"/>
        <v>27.662957792527941</v>
      </c>
      <c r="CI180" s="161">
        <f t="shared" ref="CI180:CJ180" si="1206">+CI177/CI178</f>
        <v>28.417208197378322</v>
      </c>
      <c r="CJ180" s="161">
        <f t="shared" si="1206"/>
        <v>28.303672750596817</v>
      </c>
      <c r="CK180" s="161">
        <f t="shared" ref="CK180:CL180" si="1207">+CK177/CK178</f>
        <v>18.959738349653019</v>
      </c>
      <c r="CL180" s="161">
        <f t="shared" si="1207"/>
        <v>12.42777105697199</v>
      </c>
      <c r="CM180" s="21">
        <f t="shared" ref="CM180" si="1208">+CL180</f>
        <v>12.42777105697199</v>
      </c>
      <c r="CN180" s="21">
        <f t="shared" si="1181"/>
        <v>12.42777105697199</v>
      </c>
      <c r="CO180" s="21">
        <f t="shared" si="1182"/>
        <v>12.42777105697199</v>
      </c>
      <c r="CP180" s="21">
        <f t="shared" si="1183"/>
        <v>12.42777105697199</v>
      </c>
      <c r="CQ180" s="21">
        <f t="shared" si="1184"/>
        <v>12.42777105697199</v>
      </c>
      <c r="CR180" s="21">
        <f t="shared" si="1185"/>
        <v>12.42777105697199</v>
      </c>
      <c r="CS180" s="21">
        <f t="shared" si="1186"/>
        <v>12.42777105697199</v>
      </c>
      <c r="CT180" s="21">
        <f t="shared" si="1187"/>
        <v>12.42777105697199</v>
      </c>
      <c r="CU180" s="21">
        <f t="shared" si="1188"/>
        <v>12.42777105697199</v>
      </c>
      <c r="CV180" s="21">
        <f t="shared" si="1189"/>
        <v>12.42777105697199</v>
      </c>
      <c r="CW180" s="21">
        <f t="shared" si="1190"/>
        <v>12.42777105697199</v>
      </c>
      <c r="CX180" s="21">
        <f t="shared" si="1191"/>
        <v>12.42777105697199</v>
      </c>
      <c r="CY180" s="21">
        <f t="shared" si="1192"/>
        <v>12.42777105697199</v>
      </c>
      <c r="CZ180" s="21">
        <f t="shared" si="1193"/>
        <v>12.42777105697199</v>
      </c>
      <c r="DA180" s="21">
        <f t="shared" si="1194"/>
        <v>12.42777105697199</v>
      </c>
      <c r="DB180" s="21">
        <f t="shared" si="1195"/>
        <v>12.42777105697199</v>
      </c>
      <c r="DE180" s="22"/>
      <c r="DF180" s="161">
        <v>17.03345673891782</v>
      </c>
    </row>
    <row r="181" spans="1:110" s="10" customFormat="1" x14ac:dyDescent="0.2">
      <c r="A181" s="149" t="s">
        <v>490</v>
      </c>
      <c r="AB181" s="20"/>
      <c r="AC181" s="20"/>
      <c r="AD181" s="20"/>
      <c r="AE181" s="20"/>
      <c r="CM181" s="21"/>
      <c r="CN181" s="21"/>
      <c r="CO181" s="21"/>
      <c r="CP181" s="21"/>
      <c r="CQ181" s="21"/>
      <c r="CR181" s="21"/>
      <c r="CS181" s="21"/>
      <c r="CT181" s="21"/>
      <c r="CU181" s="21"/>
      <c r="CV181" s="21"/>
      <c r="CW181" s="21"/>
      <c r="CX181" s="21"/>
      <c r="CY181" s="21"/>
      <c r="CZ181" s="21"/>
      <c r="DA181" s="21"/>
      <c r="DB181" s="21"/>
      <c r="DE181" s="126"/>
    </row>
    <row r="182" spans="1:110" x14ac:dyDescent="0.2">
      <c r="A182" s="152" t="s">
        <v>491</v>
      </c>
      <c r="AA182" s="2"/>
      <c r="DF182" s="111"/>
    </row>
    <row r="183" spans="1:110" s="23" customFormat="1" outlineLevel="1" x14ac:dyDescent="0.2">
      <c r="A183" s="23" t="s">
        <v>41</v>
      </c>
      <c r="B183" s="23">
        <f>'Annual Raw'!C41</f>
        <v>39.430500000000002</v>
      </c>
      <c r="C183" s="23">
        <f>'Annual Raw'!D41</f>
        <v>39.430500000000002</v>
      </c>
      <c r="D183" s="23">
        <f>'Annual Raw'!E41</f>
        <v>39.430500000000002</v>
      </c>
      <c r="E183" s="23">
        <f>'Annual Raw'!F41</f>
        <v>39.430500000000002</v>
      </c>
      <c r="F183" s="23">
        <f>'Annual Raw'!G41</f>
        <v>39.430500000000002</v>
      </c>
      <c r="G183" s="23">
        <f>'Annual Raw'!H41</f>
        <v>39.430500000000002</v>
      </c>
      <c r="H183" s="23">
        <f>'Annual Raw'!I41</f>
        <v>21.430499999999999</v>
      </c>
      <c r="I183" s="23">
        <f>'Annual Raw'!J41</f>
        <v>22.430499999999999</v>
      </c>
      <c r="J183" s="23">
        <f>'Annual Raw'!K41</f>
        <v>22.430499999999999</v>
      </c>
      <c r="K183" s="23">
        <f>'Annual Raw'!L41</f>
        <v>22.430499999999999</v>
      </c>
      <c r="L183" s="23">
        <f>'Annual Raw'!M41</f>
        <v>22.430499999999999</v>
      </c>
      <c r="M183" s="23">
        <f>'Annual Raw'!N41</f>
        <v>22.430499999999999</v>
      </c>
      <c r="N183" s="23">
        <f>'Annual Raw'!O41</f>
        <v>22.430499999999999</v>
      </c>
      <c r="O183" s="23">
        <f>'Annual Raw'!P41</f>
        <v>22.430499999999999</v>
      </c>
      <c r="P183" s="23">
        <f>'Annual Raw'!Q41</f>
        <v>22.430499999999999</v>
      </c>
      <c r="Q183" s="23">
        <f>'Annual Raw'!R41</f>
        <v>22.430499999999999</v>
      </c>
      <c r="R183" s="23">
        <f>'Annual Raw'!S41</f>
        <v>22.430499999999999</v>
      </c>
      <c r="S183" s="23">
        <f>'Annual Raw'!T41</f>
        <v>22.430499999999999</v>
      </c>
      <c r="T183" s="23">
        <f>'Annual Raw'!U41</f>
        <v>22.430499999999999</v>
      </c>
      <c r="U183" s="23">
        <f>'Annual Raw'!V41</f>
        <v>22.690100000000001</v>
      </c>
      <c r="V183" s="23">
        <f>'Annual Raw'!W41</f>
        <v>25.347200000000001</v>
      </c>
      <c r="W183" s="23">
        <f>'Annual Raw'!X41</f>
        <v>37.04</v>
      </c>
      <c r="X183" s="23">
        <f>'Annual Raw'!Y41</f>
        <v>50.48</v>
      </c>
      <c r="Y183" s="23">
        <f>'Annual Raw'!Z41</f>
        <v>50.53</v>
      </c>
      <c r="Z183" s="23">
        <f>'Annual Raw'!AA41</f>
        <v>52.32</v>
      </c>
      <c r="AA183" s="23">
        <f>'Annual Raw'!AB41</f>
        <v>56.28</v>
      </c>
      <c r="AB183" s="24">
        <f>+CP183</f>
        <v>56.28</v>
      </c>
      <c r="AC183" s="24">
        <f>+CT183</f>
        <v>56.28</v>
      </c>
      <c r="AD183" s="24">
        <f>+CX183</f>
        <v>56.28</v>
      </c>
      <c r="AE183" s="24">
        <f>+DB183</f>
        <v>56.28</v>
      </c>
      <c r="AJ183" s="23">
        <f>+'QTR Raw'!D56</f>
        <v>22.431000000000001</v>
      </c>
      <c r="AK183" s="23">
        <f t="shared" ref="AK183:CE183" si="1209">+AJ183</f>
        <v>22.431000000000001</v>
      </c>
      <c r="AL183" s="23">
        <f>+'QTR Raw'!F56</f>
        <v>22.431000000000001</v>
      </c>
      <c r="AM183" s="23">
        <f t="shared" si="1209"/>
        <v>22.431000000000001</v>
      </c>
      <c r="AN183" s="23">
        <f>+'QTR Raw'!H56</f>
        <v>22.431000000000001</v>
      </c>
      <c r="AO183" s="23">
        <f t="shared" si="1209"/>
        <v>22.431000000000001</v>
      </c>
      <c r="AP183" s="23">
        <f>+'QTR Raw'!J56</f>
        <v>22.431000000000001</v>
      </c>
      <c r="AQ183" s="23">
        <f t="shared" si="1209"/>
        <v>22.431000000000001</v>
      </c>
      <c r="AR183" s="23">
        <f>+'QTR Raw'!L56</f>
        <v>22.431000000000001</v>
      </c>
      <c r="AS183" s="23">
        <f t="shared" si="1209"/>
        <v>22.431000000000001</v>
      </c>
      <c r="AT183" s="23">
        <f>+'QTR Raw'!N56</f>
        <v>22.431000000000001</v>
      </c>
      <c r="AU183" s="23">
        <f t="shared" si="1209"/>
        <v>22.431000000000001</v>
      </c>
      <c r="AV183" s="23">
        <f>+'QTR Raw'!P56</f>
        <v>22.431000000000001</v>
      </c>
      <c r="AW183" s="23">
        <f t="shared" si="1209"/>
        <v>22.431000000000001</v>
      </c>
      <c r="AX183" s="23">
        <f>+'QTR Raw'!R56</f>
        <v>22.431000000000001</v>
      </c>
      <c r="AY183" s="23">
        <f t="shared" si="1209"/>
        <v>22.431000000000001</v>
      </c>
      <c r="AZ183" s="23">
        <f>+'QTR Raw'!T56</f>
        <v>22.431000000000001</v>
      </c>
      <c r="BA183" s="23">
        <f t="shared" si="1209"/>
        <v>22.431000000000001</v>
      </c>
      <c r="BB183" s="23">
        <f>+'QTR Raw'!V56</f>
        <v>22.431000000000001</v>
      </c>
      <c r="BC183" s="23">
        <f t="shared" si="1209"/>
        <v>22.431000000000001</v>
      </c>
      <c r="BD183" s="23">
        <f>+'QTR Raw'!X56</f>
        <v>22.431000000000001</v>
      </c>
      <c r="BE183" s="23">
        <f t="shared" si="1209"/>
        <v>22.431000000000001</v>
      </c>
      <c r="BF183" s="23">
        <f>+'QTR Raw'!Z56</f>
        <v>22.431000000000001</v>
      </c>
      <c r="BG183" s="23">
        <f t="shared" si="1209"/>
        <v>22.431000000000001</v>
      </c>
      <c r="BH183" s="23">
        <f>+'QTR Raw'!AB56</f>
        <v>22.431000000000001</v>
      </c>
      <c r="BI183" s="23">
        <f t="shared" si="1209"/>
        <v>22.431000000000001</v>
      </c>
      <c r="BJ183" s="23">
        <f>+'QTR Raw'!AD56</f>
        <v>22.431000000000001</v>
      </c>
      <c r="BK183" s="23">
        <f t="shared" si="1209"/>
        <v>22.431000000000001</v>
      </c>
      <c r="BL183" s="23">
        <f>+'QTR Raw'!AF56</f>
        <v>22.69</v>
      </c>
      <c r="BM183" s="23">
        <f t="shared" si="1209"/>
        <v>22.69</v>
      </c>
      <c r="BN183" s="23">
        <f>+'QTR Raw'!AH56</f>
        <v>22.69</v>
      </c>
      <c r="BO183" s="23">
        <f t="shared" si="1209"/>
        <v>22.69</v>
      </c>
      <c r="BP183" s="23">
        <f>+'QTR Raw'!AJ56</f>
        <v>25.347000000000001</v>
      </c>
      <c r="BQ183" s="23">
        <f t="shared" si="1209"/>
        <v>25.347000000000001</v>
      </c>
      <c r="BR183" s="23">
        <f>+'QTR Raw'!AL56</f>
        <v>25.347000000000001</v>
      </c>
      <c r="BS183" s="23">
        <f t="shared" si="1209"/>
        <v>25.347000000000001</v>
      </c>
      <c r="BT183" s="23">
        <f>+'QTR Raw'!AN56</f>
        <v>37.043999999999997</v>
      </c>
      <c r="BU183" s="23">
        <f t="shared" si="1209"/>
        <v>37.043999999999997</v>
      </c>
      <c r="BV183" s="23">
        <f>+'QTR Raw'!AP56</f>
        <v>37.04</v>
      </c>
      <c r="BW183" s="23">
        <f t="shared" si="1209"/>
        <v>37.04</v>
      </c>
      <c r="BX183" s="23">
        <f>+'QTR Raw'!AR56</f>
        <v>44.64</v>
      </c>
      <c r="BY183" s="23">
        <f t="shared" si="1209"/>
        <v>44.64</v>
      </c>
      <c r="BZ183" s="23">
        <f>+'QTR Raw'!AT56</f>
        <v>50.48</v>
      </c>
      <c r="CA183" s="23">
        <f t="shared" si="1209"/>
        <v>50.48</v>
      </c>
      <c r="CB183" s="23">
        <f>+'QTR Raw'!AV56</f>
        <v>50.48</v>
      </c>
      <c r="CC183" s="23">
        <f t="shared" si="1209"/>
        <v>50.48</v>
      </c>
      <c r="CD183" s="23">
        <f>+'QTR Raw'!AX56</f>
        <v>50.53</v>
      </c>
      <c r="CE183" s="23">
        <f t="shared" si="1209"/>
        <v>50.53</v>
      </c>
      <c r="CF183" s="23">
        <f>+'QTR Raw'!AZ56</f>
        <v>52.28</v>
      </c>
      <c r="CG183" s="23">
        <f t="shared" ref="CG183:CG184" si="1210">+CF183</f>
        <v>52.28</v>
      </c>
      <c r="CH183" s="23">
        <f>Z183</f>
        <v>52.32</v>
      </c>
      <c r="CI183" s="23">
        <f>CH183</f>
        <v>52.32</v>
      </c>
      <c r="CJ183" s="23">
        <f>+'QTR Raw'!BD56</f>
        <v>52.64</v>
      </c>
      <c r="CK183" s="23">
        <f t="shared" ref="CK183:DB183" si="1211">CJ183</f>
        <v>52.64</v>
      </c>
      <c r="CL183" s="23">
        <f>+'QTR Raw'!BF56</f>
        <v>56.28</v>
      </c>
      <c r="CM183" s="24">
        <f t="shared" si="1211"/>
        <v>56.28</v>
      </c>
      <c r="CN183" s="24">
        <f t="shared" si="1211"/>
        <v>56.28</v>
      </c>
      <c r="CO183" s="24">
        <f t="shared" si="1211"/>
        <v>56.28</v>
      </c>
      <c r="CP183" s="24">
        <f t="shared" si="1211"/>
        <v>56.28</v>
      </c>
      <c r="CQ183" s="24">
        <f t="shared" si="1211"/>
        <v>56.28</v>
      </c>
      <c r="CR183" s="24">
        <f t="shared" si="1211"/>
        <v>56.28</v>
      </c>
      <c r="CS183" s="24">
        <f t="shared" si="1211"/>
        <v>56.28</v>
      </c>
      <c r="CT183" s="24">
        <f t="shared" si="1211"/>
        <v>56.28</v>
      </c>
      <c r="CU183" s="24">
        <f t="shared" si="1211"/>
        <v>56.28</v>
      </c>
      <c r="CV183" s="24">
        <f t="shared" si="1211"/>
        <v>56.28</v>
      </c>
      <c r="CW183" s="24">
        <f t="shared" si="1211"/>
        <v>56.28</v>
      </c>
      <c r="CX183" s="24">
        <f t="shared" si="1211"/>
        <v>56.28</v>
      </c>
      <c r="CY183" s="24">
        <f t="shared" si="1211"/>
        <v>56.28</v>
      </c>
      <c r="CZ183" s="24">
        <f t="shared" si="1211"/>
        <v>56.28</v>
      </c>
      <c r="DA183" s="24">
        <f t="shared" si="1211"/>
        <v>56.28</v>
      </c>
      <c r="DB183" s="24">
        <f t="shared" si="1211"/>
        <v>56.28</v>
      </c>
      <c r="DE183" s="123"/>
      <c r="DF183" s="23">
        <v>56.28</v>
      </c>
    </row>
    <row r="184" spans="1:110" s="23" customFormat="1" outlineLevel="1" x14ac:dyDescent="0.2">
      <c r="A184" s="23" t="s">
        <v>42</v>
      </c>
      <c r="B184" s="23">
        <f>'Annual Raw'!C42</f>
        <v>0</v>
      </c>
      <c r="C184" s="23">
        <f>'Annual Raw'!D42</f>
        <v>0</v>
      </c>
      <c r="D184" s="23">
        <f>'Annual Raw'!E42</f>
        <v>0</v>
      </c>
      <c r="E184" s="23">
        <f>'Annual Raw'!F42</f>
        <v>0</v>
      </c>
      <c r="F184" s="23">
        <f>'Annual Raw'!G42</f>
        <v>0</v>
      </c>
      <c r="G184" s="23">
        <f>'Annual Raw'!H42</f>
        <v>0</v>
      </c>
      <c r="H184" s="23">
        <f>'Annual Raw'!I42</f>
        <v>0</v>
      </c>
      <c r="I184" s="23">
        <f>'Annual Raw'!J42</f>
        <v>0</v>
      </c>
      <c r="J184" s="23">
        <f>'Annual Raw'!K42</f>
        <v>0</v>
      </c>
      <c r="K184" s="23">
        <f>'Annual Raw'!L42</f>
        <v>0</v>
      </c>
      <c r="L184" s="23">
        <f>'Annual Raw'!M42</f>
        <v>0</v>
      </c>
      <c r="M184" s="23">
        <f>'Annual Raw'!N42</f>
        <v>0</v>
      </c>
      <c r="N184" s="23">
        <f>'Annual Raw'!O42</f>
        <v>0</v>
      </c>
      <c r="O184" s="23">
        <f>'Annual Raw'!P42</f>
        <v>0</v>
      </c>
      <c r="P184" s="23">
        <f>'Annual Raw'!Q42</f>
        <v>0</v>
      </c>
      <c r="Q184" s="23">
        <f>'Annual Raw'!R42</f>
        <v>0</v>
      </c>
      <c r="R184" s="23">
        <f>'Annual Raw'!S42</f>
        <v>0</v>
      </c>
      <c r="S184" s="23">
        <f>'Annual Raw'!T42</f>
        <v>0</v>
      </c>
      <c r="T184" s="23">
        <f>'Annual Raw'!U42</f>
        <v>2.9289000000000001</v>
      </c>
      <c r="U184" s="23">
        <f>'Annual Raw'!V42</f>
        <v>3.0550000000000002</v>
      </c>
      <c r="V184" s="23">
        <f>'Annual Raw'!W42</f>
        <v>16.328800000000001</v>
      </c>
      <c r="W184" s="23">
        <f>'Annual Raw'!X42</f>
        <v>16.149999999999999</v>
      </c>
      <c r="X184" s="23">
        <f>'Annual Raw'!Y42</f>
        <v>7.29</v>
      </c>
      <c r="Y184" s="23">
        <f>'Annual Raw'!Z42</f>
        <v>37.58</v>
      </c>
      <c r="Z184" s="23">
        <f>'Annual Raw'!AA42</f>
        <v>1043.83</v>
      </c>
      <c r="AA184" s="23">
        <f>'Annual Raw'!AB42</f>
        <v>271</v>
      </c>
      <c r="AB184" s="24">
        <f t="shared" ref="AB184:AB185" si="1212">+CP184</f>
        <v>0</v>
      </c>
      <c r="AC184" s="24">
        <f t="shared" ref="AC184:AC185" si="1213">+CT184</f>
        <v>0</v>
      </c>
      <c r="AD184" s="24">
        <f t="shared" ref="AD184:AD185" si="1214">+CX184</f>
        <v>0</v>
      </c>
      <c r="AE184" s="24">
        <f t="shared" ref="AE184:AE185" si="1215">+DB184</f>
        <v>0</v>
      </c>
      <c r="AJ184" s="23">
        <f>+'QTR Raw'!D57</f>
        <v>0</v>
      </c>
      <c r="AK184" s="23">
        <f t="shared" ref="AK184:CE184" si="1216">+AJ184</f>
        <v>0</v>
      </c>
      <c r="AL184" s="23">
        <f>+'QTR Raw'!F57</f>
        <v>0</v>
      </c>
      <c r="AM184" s="23">
        <f t="shared" si="1216"/>
        <v>0</v>
      </c>
      <c r="AN184" s="23">
        <f>+'QTR Raw'!H57</f>
        <v>0</v>
      </c>
      <c r="AO184" s="23">
        <f t="shared" si="1216"/>
        <v>0</v>
      </c>
      <c r="AP184" s="23">
        <f>+'QTR Raw'!J57</f>
        <v>0</v>
      </c>
      <c r="AQ184" s="23">
        <f t="shared" si="1216"/>
        <v>0</v>
      </c>
      <c r="AR184" s="23">
        <f>+'QTR Raw'!L57</f>
        <v>0</v>
      </c>
      <c r="AS184" s="23">
        <f t="shared" si="1216"/>
        <v>0</v>
      </c>
      <c r="AT184" s="23">
        <f>+'QTR Raw'!N57</f>
        <v>0</v>
      </c>
      <c r="AU184" s="23">
        <f t="shared" si="1216"/>
        <v>0</v>
      </c>
      <c r="AV184" s="23">
        <f>+'QTR Raw'!P57</f>
        <v>0</v>
      </c>
      <c r="AW184" s="23">
        <f t="shared" si="1216"/>
        <v>0</v>
      </c>
      <c r="AX184" s="23">
        <f>+'QTR Raw'!R57</f>
        <v>0</v>
      </c>
      <c r="AY184" s="23">
        <f t="shared" si="1216"/>
        <v>0</v>
      </c>
      <c r="AZ184" s="23">
        <f>+'QTR Raw'!T57</f>
        <v>0</v>
      </c>
      <c r="BA184" s="23">
        <f t="shared" si="1216"/>
        <v>0</v>
      </c>
      <c r="BB184" s="23">
        <f>+'QTR Raw'!V57</f>
        <v>0</v>
      </c>
      <c r="BC184" s="23">
        <f t="shared" si="1216"/>
        <v>0</v>
      </c>
      <c r="BD184" s="23">
        <f>+'QTR Raw'!X57</f>
        <v>0</v>
      </c>
      <c r="BE184" s="23">
        <f t="shared" si="1216"/>
        <v>0</v>
      </c>
      <c r="BF184" s="23">
        <f>+'QTR Raw'!Z57</f>
        <v>0</v>
      </c>
      <c r="BG184" s="23">
        <f t="shared" si="1216"/>
        <v>0</v>
      </c>
      <c r="BH184" s="23">
        <f>+'QTR Raw'!AB57</f>
        <v>0</v>
      </c>
      <c r="BI184" s="23">
        <f t="shared" si="1216"/>
        <v>0</v>
      </c>
      <c r="BJ184" s="23">
        <f>+'QTR Raw'!AD57</f>
        <v>0</v>
      </c>
      <c r="BK184" s="23">
        <f t="shared" si="1216"/>
        <v>0</v>
      </c>
      <c r="BL184" s="23">
        <f>+'QTR Raw'!AF57</f>
        <v>0</v>
      </c>
      <c r="BM184" s="23">
        <f t="shared" si="1216"/>
        <v>0</v>
      </c>
      <c r="BN184" s="23">
        <f>+'QTR Raw'!AH57</f>
        <v>0</v>
      </c>
      <c r="BO184" s="23">
        <f t="shared" si="1216"/>
        <v>0</v>
      </c>
      <c r="BP184" s="23">
        <f>+'QTR Raw'!AJ57</f>
        <v>0</v>
      </c>
      <c r="BQ184" s="23">
        <f t="shared" si="1216"/>
        <v>0</v>
      </c>
      <c r="BR184" s="23">
        <f>+'QTR Raw'!AL57</f>
        <v>0</v>
      </c>
      <c r="BS184" s="23">
        <f t="shared" si="1216"/>
        <v>0</v>
      </c>
      <c r="BT184" s="23">
        <f>+'QTR Raw'!AN57</f>
        <v>0</v>
      </c>
      <c r="BU184" s="23">
        <f t="shared" si="1216"/>
        <v>0</v>
      </c>
      <c r="BV184" s="23">
        <f>+'QTR Raw'!AP57</f>
        <v>0</v>
      </c>
      <c r="BW184" s="23">
        <f t="shared" si="1216"/>
        <v>0</v>
      </c>
      <c r="BX184" s="23">
        <f>+'QTR Raw'!AR57</f>
        <v>0</v>
      </c>
      <c r="BY184" s="23">
        <f t="shared" si="1216"/>
        <v>0</v>
      </c>
      <c r="BZ184" s="23">
        <f>+'QTR Raw'!AT57</f>
        <v>0</v>
      </c>
      <c r="CA184" s="23">
        <f t="shared" si="1216"/>
        <v>0</v>
      </c>
      <c r="CB184" s="23">
        <f>+'QTR Raw'!AV57</f>
        <v>0</v>
      </c>
      <c r="CC184" s="23">
        <f t="shared" si="1216"/>
        <v>0</v>
      </c>
      <c r="CD184" s="23">
        <f>+'QTR Raw'!AX57</f>
        <v>0</v>
      </c>
      <c r="CE184" s="23">
        <f t="shared" si="1216"/>
        <v>0</v>
      </c>
      <c r="CF184" s="23">
        <f>+'QTR Raw'!AZ57</f>
        <v>0</v>
      </c>
      <c r="CG184" s="23">
        <f t="shared" si="1210"/>
        <v>0</v>
      </c>
      <c r="CH184" s="23">
        <f t="shared" ref="CH184:CH185" si="1217">Z184</f>
        <v>1043.83</v>
      </c>
      <c r="CI184" s="23">
        <f>CH184</f>
        <v>1043.83</v>
      </c>
      <c r="CJ184" s="23">
        <f>+'QTR Raw'!BD57</f>
        <v>0</v>
      </c>
      <c r="CK184" s="23">
        <f t="shared" ref="CK184:DB184" si="1218">CJ184</f>
        <v>0</v>
      </c>
      <c r="CL184" s="23">
        <f>+'QTR Raw'!BF57</f>
        <v>0</v>
      </c>
      <c r="CM184" s="24">
        <f t="shared" si="1218"/>
        <v>0</v>
      </c>
      <c r="CN184" s="24">
        <f t="shared" si="1218"/>
        <v>0</v>
      </c>
      <c r="CO184" s="24">
        <f t="shared" si="1218"/>
        <v>0</v>
      </c>
      <c r="CP184" s="24">
        <f t="shared" si="1218"/>
        <v>0</v>
      </c>
      <c r="CQ184" s="24">
        <f t="shared" si="1218"/>
        <v>0</v>
      </c>
      <c r="CR184" s="24">
        <f t="shared" si="1218"/>
        <v>0</v>
      </c>
      <c r="CS184" s="24">
        <f t="shared" si="1218"/>
        <v>0</v>
      </c>
      <c r="CT184" s="24">
        <f t="shared" si="1218"/>
        <v>0</v>
      </c>
      <c r="CU184" s="24">
        <f t="shared" si="1218"/>
        <v>0</v>
      </c>
      <c r="CV184" s="24">
        <f t="shared" si="1218"/>
        <v>0</v>
      </c>
      <c r="CW184" s="24">
        <f t="shared" si="1218"/>
        <v>0</v>
      </c>
      <c r="CX184" s="24">
        <f t="shared" si="1218"/>
        <v>0</v>
      </c>
      <c r="CY184" s="24">
        <f t="shared" si="1218"/>
        <v>0</v>
      </c>
      <c r="CZ184" s="24">
        <f t="shared" si="1218"/>
        <v>0</v>
      </c>
      <c r="DA184" s="24">
        <f t="shared" si="1218"/>
        <v>0</v>
      </c>
      <c r="DB184" s="24">
        <f t="shared" si="1218"/>
        <v>0</v>
      </c>
      <c r="DE184" s="123"/>
      <c r="DF184" s="23">
        <v>271</v>
      </c>
    </row>
    <row r="185" spans="1:110" s="23" customFormat="1" outlineLevel="1" x14ac:dyDescent="0.2">
      <c r="A185" s="23" t="s">
        <v>43</v>
      </c>
      <c r="B185" s="23">
        <f>'Annual Raw'!C43</f>
        <v>-28.336600000000001</v>
      </c>
      <c r="C185" s="23">
        <f>'Annual Raw'!D43</f>
        <v>-114.6459</v>
      </c>
      <c r="D185" s="23">
        <f>'Annual Raw'!E43</f>
        <v>-147.41079999999999</v>
      </c>
      <c r="E185" s="23">
        <f>'Annual Raw'!F43</f>
        <v>-148.21360000000001</v>
      </c>
      <c r="F185" s="23">
        <f>'Annual Raw'!G43</f>
        <v>-118.6306</v>
      </c>
      <c r="G185" s="23">
        <f>'Annual Raw'!H43</f>
        <v>-53.971499999999999</v>
      </c>
      <c r="H185" s="23">
        <f>'Annual Raw'!I43</f>
        <v>-65.9696</v>
      </c>
      <c r="I185" s="23">
        <f>'Annual Raw'!J43</f>
        <v>-24.072600000000001</v>
      </c>
      <c r="J185" s="23">
        <f>'Annual Raw'!K43</f>
        <v>60.437100000000001</v>
      </c>
      <c r="K185" s="23">
        <f>'Annual Raw'!L43</f>
        <v>78.236199999999997</v>
      </c>
      <c r="L185" s="23">
        <f>'Annual Raw'!M43</f>
        <v>96.770700000000005</v>
      </c>
      <c r="M185" s="23">
        <f>'Annual Raw'!N43</f>
        <v>100.503</v>
      </c>
      <c r="N185" s="23">
        <f>'Annual Raw'!O43</f>
        <v>102.41849999999999</v>
      </c>
      <c r="O185" s="23">
        <f>'Annual Raw'!P43</f>
        <v>59.972799999999999</v>
      </c>
      <c r="P185" s="23">
        <f>'Annual Raw'!Q43</f>
        <v>38.818800000000003</v>
      </c>
      <c r="Q185" s="23">
        <f>'Annual Raw'!R43</f>
        <v>39.54</v>
      </c>
      <c r="R185" s="23">
        <f>'Annual Raw'!S43</f>
        <v>45.193199999999997</v>
      </c>
      <c r="S185" s="23">
        <f>'Annual Raw'!T43</f>
        <v>62.003799999999998</v>
      </c>
      <c r="T185" s="23">
        <f>'Annual Raw'!U43</f>
        <v>82.894099999999995</v>
      </c>
      <c r="U185" s="23">
        <f>'Annual Raw'!V43</f>
        <v>118.6604</v>
      </c>
      <c r="V185" s="23">
        <f>'Annual Raw'!W43</f>
        <v>140.42930000000001</v>
      </c>
      <c r="W185" s="23">
        <f>'Annual Raw'!X43</f>
        <v>428.39</v>
      </c>
      <c r="X185" s="23">
        <f>'Annual Raw'!Y43</f>
        <v>1471.18</v>
      </c>
      <c r="Y185" s="23">
        <f>'Annual Raw'!Z43</f>
        <v>2722.76</v>
      </c>
      <c r="Z185" s="23">
        <f>'Annual Raw'!AA43</f>
        <v>5363.93</v>
      </c>
      <c r="AA185" s="23">
        <f>'Annual Raw'!AB43</f>
        <v>13543.61</v>
      </c>
      <c r="AB185" s="24">
        <f t="shared" si="1212"/>
        <v>20163.09318491782</v>
      </c>
      <c r="AC185" s="24">
        <f t="shared" si="1213"/>
        <v>27845.734128647273</v>
      </c>
      <c r="AD185" s="24">
        <f t="shared" si="1214"/>
        <v>36237.947969190354</v>
      </c>
      <c r="AE185" s="24">
        <f t="shared" si="1215"/>
        <v>46316.654965506925</v>
      </c>
      <c r="AJ185" s="23">
        <f>+'QTR Raw'!D58</f>
        <v>100.69</v>
      </c>
      <c r="AK185" s="23">
        <f>+AJ185+AK115</f>
        <v>94.430999999999997</v>
      </c>
      <c r="AL185" s="23">
        <f>+'QTR Raw'!F58</f>
        <v>102.41800000000001</v>
      </c>
      <c r="AM185" s="23">
        <f>+AL185+AM115</f>
        <v>89.708999999999975</v>
      </c>
      <c r="AN185" s="23">
        <f>+'QTR Raw'!H58</f>
        <v>78.906000000000006</v>
      </c>
      <c r="AO185" s="23">
        <f>+AN185+AO115</f>
        <v>72.993000000000009</v>
      </c>
      <c r="AP185" s="23">
        <f>+'QTR Raw'!J58</f>
        <v>59.972999999999999</v>
      </c>
      <c r="AQ185" s="23">
        <f>+AP185+AQ115</f>
        <v>51.406000000000027</v>
      </c>
      <c r="AR185" s="23">
        <f>+'QTR Raw'!L58</f>
        <v>48.027000000000001</v>
      </c>
      <c r="AS185" s="23">
        <f>+AR185+AS115</f>
        <v>41.383999999999986</v>
      </c>
      <c r="AT185" s="23">
        <f>+'QTR Raw'!N58</f>
        <v>38.819000000000003</v>
      </c>
      <c r="AU185" s="23">
        <f>+AT185+AU115</f>
        <v>41.559000000000019</v>
      </c>
      <c r="AV185" s="23">
        <f>+'QTR Raw'!P58</f>
        <v>41.915999999999997</v>
      </c>
      <c r="AW185" s="23">
        <f>+AV185+AW115</f>
        <v>42.170999999999992</v>
      </c>
      <c r="AX185" s="23">
        <f>+'QTR Raw'!R58</f>
        <v>39.54</v>
      </c>
      <c r="AY185" s="23">
        <f>+AX185+AY115</f>
        <v>39.679000000000009</v>
      </c>
      <c r="AZ185" s="23">
        <f>+'QTR Raw'!T58</f>
        <v>39.988</v>
      </c>
      <c r="BA185" s="23">
        <f>+AZ185+BA115</f>
        <v>40.416999999999994</v>
      </c>
      <c r="BB185" s="23">
        <f>+'QTR Raw'!V58</f>
        <v>45.192999999999998</v>
      </c>
      <c r="BC185" s="23">
        <f>+BB185+BC115</f>
        <v>50.474999999999994</v>
      </c>
      <c r="BD185" s="23">
        <f>+'QTR Raw'!X58</f>
        <v>51.113</v>
      </c>
      <c r="BE185" s="23">
        <f>+BD185+BE115</f>
        <v>52.686000000000014</v>
      </c>
      <c r="BF185" s="23">
        <f>+'QTR Raw'!Z58</f>
        <v>62.003999999999998</v>
      </c>
      <c r="BG185" s="23">
        <f>+BF185+BG115</f>
        <v>72.265000000000001</v>
      </c>
      <c r="BH185" s="23">
        <f>+'QTR Raw'!AB58</f>
        <v>72.853999999999999</v>
      </c>
      <c r="BI185" s="23">
        <f>+BH185+BI115</f>
        <v>74.701999999999998</v>
      </c>
      <c r="BJ185" s="23">
        <f>+'QTR Raw'!AD58</f>
        <v>85.822999999999993</v>
      </c>
      <c r="BK185" s="23">
        <f>+BJ185+BK115</f>
        <v>93.311999999999998</v>
      </c>
      <c r="BL185" s="23">
        <f>+'QTR Raw'!AF58</f>
        <v>96.858999999999995</v>
      </c>
      <c r="BM185" s="23">
        <f>+BL185+BM115</f>
        <v>99.941999999999993</v>
      </c>
      <c r="BN185" s="23">
        <f>+'QTR Raw'!AH58</f>
        <v>121.715</v>
      </c>
      <c r="BO185" s="23">
        <f>+BN185+BO115</f>
        <v>112.279</v>
      </c>
      <c r="BP185" s="23">
        <f>+'QTR Raw'!AJ58</f>
        <v>132.447</v>
      </c>
      <c r="BQ185" s="23">
        <f>+BP185+BQ115</f>
        <v>135.04300000000001</v>
      </c>
      <c r="BR185" s="23">
        <f>+'QTR Raw'!AL58</f>
        <v>156.75800000000001</v>
      </c>
      <c r="BS185" s="23">
        <f>+BR185+BS115</f>
        <v>156.578</v>
      </c>
      <c r="BT185" s="23">
        <f>+'QTR Raw'!AN58</f>
        <v>346.83</v>
      </c>
      <c r="BU185" s="23">
        <f>+BT185+BU115</f>
        <v>320.69</v>
      </c>
      <c r="BV185" s="23">
        <f>+'QTR Raw'!AP58</f>
        <v>444.54</v>
      </c>
      <c r="BW185" s="23">
        <f>+BV185+BW115</f>
        <v>-485.79000000000013</v>
      </c>
      <c r="BX185" s="23">
        <f>+'QTR Raw'!AR58</f>
        <v>131.76</v>
      </c>
      <c r="BY185" s="23">
        <f>+BX185+BY115</f>
        <v>361.78999999999991</v>
      </c>
      <c r="BZ185" s="23">
        <f>+'QTR Raw'!AT58</f>
        <v>1478.47</v>
      </c>
      <c r="CA185" s="23">
        <f>+BZ185+CA115</f>
        <v>1881.73</v>
      </c>
      <c r="CB185" s="23">
        <f>+'QTR Raw'!AV58</f>
        <v>2130.5</v>
      </c>
      <c r="CC185" s="23">
        <f>+CB185+CC115</f>
        <v>2462</v>
      </c>
      <c r="CD185" s="23">
        <f>+'QTR Raw'!AX58</f>
        <v>2760.34</v>
      </c>
      <c r="CE185" s="23">
        <f>+CD185+CE115</f>
        <v>3317.74</v>
      </c>
      <c r="CF185" s="23">
        <f>+'QTR Raw'!AZ58</f>
        <v>5733.32</v>
      </c>
      <c r="CG185" s="23">
        <f>+CF185+CG115</f>
        <v>6122.61</v>
      </c>
      <c r="CH185" s="23">
        <f t="shared" si="1217"/>
        <v>5363.93</v>
      </c>
      <c r="CI185" s="23">
        <f>CH185+CI115</f>
        <v>6005.52</v>
      </c>
      <c r="CJ185" s="23">
        <f>+'QTR Raw'!BD58</f>
        <v>7652.6</v>
      </c>
      <c r="CK185" s="23">
        <f t="shared" ref="CK185:DB185" si="1219">CJ185+CK115</f>
        <v>8699.99</v>
      </c>
      <c r="CL185" s="23">
        <f>+'QTR Raw'!BF58</f>
        <v>13814.61</v>
      </c>
      <c r="CM185" s="24">
        <f t="shared" si="1219"/>
        <v>15433.8192784</v>
      </c>
      <c r="CN185" s="24">
        <f t="shared" si="1219"/>
        <v>16968.221474177717</v>
      </c>
      <c r="CO185" s="24">
        <f t="shared" si="1219"/>
        <v>18529.607346568027</v>
      </c>
      <c r="CP185" s="24">
        <f t="shared" si="1219"/>
        <v>20163.09318491782</v>
      </c>
      <c r="CQ185" s="24">
        <f t="shared" si="1219"/>
        <v>21886.034887803347</v>
      </c>
      <c r="CR185" s="24">
        <f t="shared" si="1219"/>
        <v>23666.402089794297</v>
      </c>
      <c r="CS185" s="24">
        <f t="shared" si="1219"/>
        <v>25687.373175332254</v>
      </c>
      <c r="CT185" s="24">
        <f t="shared" si="1219"/>
        <v>27845.734128647273</v>
      </c>
      <c r="CU185" s="24">
        <f t="shared" si="1219"/>
        <v>29861.00664679016</v>
      </c>
      <c r="CV185" s="24">
        <f t="shared" si="1219"/>
        <v>31769.270970195721</v>
      </c>
      <c r="CW185" s="24">
        <f t="shared" si="1219"/>
        <v>33939.845144857332</v>
      </c>
      <c r="CX185" s="24">
        <f t="shared" si="1219"/>
        <v>36237.947969190354</v>
      </c>
      <c r="CY185" s="24">
        <f t="shared" si="1219"/>
        <v>38662.341086750843</v>
      </c>
      <c r="CZ185" s="24">
        <f t="shared" si="1219"/>
        <v>40974.917136578799</v>
      </c>
      <c r="DA185" s="24">
        <f t="shared" si="1219"/>
        <v>43570.168963305296</v>
      </c>
      <c r="DB185" s="24">
        <f t="shared" si="1219"/>
        <v>46316.654965506925</v>
      </c>
      <c r="DE185" s="123"/>
      <c r="DF185" s="23">
        <v>13543.61</v>
      </c>
    </row>
    <row r="186" spans="1:110" s="22" customFormat="1" x14ac:dyDescent="0.2">
      <c r="A186" s="22" t="s">
        <v>44</v>
      </c>
      <c r="B186" s="22">
        <f>B183+B184+B185</f>
        <v>11.093900000000001</v>
      </c>
      <c r="C186" s="22">
        <f t="shared" ref="C186:V186" si="1220">C183+C184+C185</f>
        <v>-75.215399999999988</v>
      </c>
      <c r="D186" s="22">
        <f t="shared" si="1220"/>
        <v>-107.9803</v>
      </c>
      <c r="E186" s="22">
        <f t="shared" si="1220"/>
        <v>-108.78310000000002</v>
      </c>
      <c r="F186" s="22">
        <f t="shared" si="1220"/>
        <v>-79.200099999999992</v>
      </c>
      <c r="G186" s="22">
        <f t="shared" si="1220"/>
        <v>-14.540999999999997</v>
      </c>
      <c r="H186" s="22">
        <f t="shared" si="1220"/>
        <v>-44.539100000000005</v>
      </c>
      <c r="I186" s="22">
        <f t="shared" si="1220"/>
        <v>-1.6421000000000028</v>
      </c>
      <c r="J186" s="22">
        <f t="shared" si="1220"/>
        <v>82.867599999999996</v>
      </c>
      <c r="K186" s="22">
        <f t="shared" si="1220"/>
        <v>100.66669999999999</v>
      </c>
      <c r="L186" s="22">
        <f t="shared" si="1220"/>
        <v>119.2012</v>
      </c>
      <c r="M186" s="22">
        <f>M183+M184+M185</f>
        <v>122.9335</v>
      </c>
      <c r="N186" s="22">
        <f t="shared" si="1220"/>
        <v>124.84899999999999</v>
      </c>
      <c r="O186" s="22">
        <f t="shared" si="1220"/>
        <v>82.403300000000002</v>
      </c>
      <c r="P186" s="22">
        <f t="shared" si="1220"/>
        <v>61.249300000000005</v>
      </c>
      <c r="Q186" s="22">
        <f t="shared" si="1220"/>
        <v>61.970500000000001</v>
      </c>
      <c r="R186" s="22">
        <f t="shared" si="1220"/>
        <v>67.623699999999999</v>
      </c>
      <c r="S186" s="22">
        <f t="shared" si="1220"/>
        <v>84.434299999999993</v>
      </c>
      <c r="T186" s="22">
        <f t="shared" si="1220"/>
        <v>108.25349999999999</v>
      </c>
      <c r="U186" s="22">
        <f t="shared" si="1220"/>
        <v>144.40549999999999</v>
      </c>
      <c r="V186" s="22">
        <f t="shared" si="1220"/>
        <v>182.1053</v>
      </c>
      <c r="W186" s="22">
        <f t="shared" ref="W186" si="1221">W183+W184+W185</f>
        <v>481.58</v>
      </c>
      <c r="X186" s="22">
        <f t="shared" ref="X186:Y186" si="1222">X183+X184+X185</f>
        <v>1528.95</v>
      </c>
      <c r="Y186" s="22">
        <f t="shared" si="1222"/>
        <v>2810.8700000000003</v>
      </c>
      <c r="Z186" s="22">
        <f t="shared" ref="Z186:AA186" si="1223">Z183+Z184+Z185</f>
        <v>6460.08</v>
      </c>
      <c r="AA186" s="22">
        <f t="shared" si="1223"/>
        <v>13870.890000000001</v>
      </c>
      <c r="AB186" s="21">
        <f t="shared" ref="AB186:AD186" si="1224">AB183+AB184+AB185</f>
        <v>20219.373184917818</v>
      </c>
      <c r="AC186" s="21">
        <f t="shared" si="1224"/>
        <v>27902.014128647272</v>
      </c>
      <c r="AD186" s="21">
        <f t="shared" si="1224"/>
        <v>36294.227969190353</v>
      </c>
      <c r="AE186" s="21">
        <f t="shared" ref="AE186" si="1225">AE183+AE184+AE185</f>
        <v>46372.934965506924</v>
      </c>
      <c r="AJ186" s="22">
        <f t="shared" ref="AJ186" si="1226">AJ183+AJ184+AJ185</f>
        <v>123.121</v>
      </c>
      <c r="AK186" s="22">
        <f t="shared" ref="AK186" si="1227">AK183+AK184+AK185</f>
        <v>116.86199999999999</v>
      </c>
      <c r="AL186" s="22">
        <f t="shared" ref="AL186:AM186" si="1228">AL183+AL184+AL185</f>
        <v>124.849</v>
      </c>
      <c r="AM186" s="22">
        <f t="shared" si="1228"/>
        <v>112.13999999999997</v>
      </c>
      <c r="AN186" s="22">
        <f t="shared" ref="AN186:AO186" si="1229">AN183+AN184+AN185</f>
        <v>101.337</v>
      </c>
      <c r="AO186" s="22">
        <f t="shared" si="1229"/>
        <v>95.424000000000007</v>
      </c>
      <c r="AP186" s="22">
        <f t="shared" ref="AP186:CE186" si="1230">AP183+AP184+AP185</f>
        <v>82.403999999999996</v>
      </c>
      <c r="AQ186" s="22">
        <f t="shared" si="1230"/>
        <v>73.837000000000032</v>
      </c>
      <c r="AR186" s="22">
        <f t="shared" si="1230"/>
        <v>70.457999999999998</v>
      </c>
      <c r="AS186" s="22">
        <f t="shared" si="1230"/>
        <v>63.814999999999984</v>
      </c>
      <c r="AT186" s="22">
        <f t="shared" si="1230"/>
        <v>61.25</v>
      </c>
      <c r="AU186" s="22">
        <f t="shared" si="1230"/>
        <v>63.990000000000023</v>
      </c>
      <c r="AV186" s="22">
        <f t="shared" si="1230"/>
        <v>64.346999999999994</v>
      </c>
      <c r="AW186" s="22">
        <f t="shared" si="1230"/>
        <v>64.60199999999999</v>
      </c>
      <c r="AX186" s="22">
        <f t="shared" si="1230"/>
        <v>61.971000000000004</v>
      </c>
      <c r="AY186" s="22">
        <f t="shared" si="1230"/>
        <v>62.110000000000014</v>
      </c>
      <c r="AZ186" s="22">
        <f t="shared" si="1230"/>
        <v>62.418999999999997</v>
      </c>
      <c r="BA186" s="22">
        <f t="shared" si="1230"/>
        <v>62.847999999999999</v>
      </c>
      <c r="BB186" s="22">
        <f t="shared" si="1230"/>
        <v>67.623999999999995</v>
      </c>
      <c r="BC186" s="22">
        <f t="shared" si="1230"/>
        <v>72.905999999999992</v>
      </c>
      <c r="BD186" s="22">
        <f t="shared" si="1230"/>
        <v>73.543999999999997</v>
      </c>
      <c r="BE186" s="22">
        <f t="shared" si="1230"/>
        <v>75.117000000000019</v>
      </c>
      <c r="BF186" s="22">
        <f t="shared" si="1230"/>
        <v>84.435000000000002</v>
      </c>
      <c r="BG186" s="22">
        <f t="shared" si="1230"/>
        <v>94.695999999999998</v>
      </c>
      <c r="BH186" s="22">
        <f t="shared" si="1230"/>
        <v>95.284999999999997</v>
      </c>
      <c r="BI186" s="22">
        <f t="shared" si="1230"/>
        <v>97.132999999999996</v>
      </c>
      <c r="BJ186" s="22">
        <f t="shared" si="1230"/>
        <v>108.25399999999999</v>
      </c>
      <c r="BK186" s="22">
        <f t="shared" si="1230"/>
        <v>115.74299999999999</v>
      </c>
      <c r="BL186" s="22">
        <f t="shared" si="1230"/>
        <v>119.54899999999999</v>
      </c>
      <c r="BM186" s="22">
        <f t="shared" si="1230"/>
        <v>122.63199999999999</v>
      </c>
      <c r="BN186" s="22">
        <f t="shared" si="1230"/>
        <v>144.405</v>
      </c>
      <c r="BO186" s="22">
        <f t="shared" si="1230"/>
        <v>134.96899999999999</v>
      </c>
      <c r="BP186" s="22">
        <f t="shared" si="1230"/>
        <v>157.79400000000001</v>
      </c>
      <c r="BQ186" s="22">
        <f t="shared" si="1230"/>
        <v>160.39000000000001</v>
      </c>
      <c r="BR186" s="22">
        <f t="shared" si="1230"/>
        <v>182.10500000000002</v>
      </c>
      <c r="BS186" s="22">
        <f t="shared" si="1230"/>
        <v>181.92500000000001</v>
      </c>
      <c r="BT186" s="22">
        <f t="shared" si="1230"/>
        <v>383.87399999999997</v>
      </c>
      <c r="BU186" s="22">
        <f t="shared" si="1230"/>
        <v>357.73399999999998</v>
      </c>
      <c r="BV186" s="22">
        <f t="shared" si="1230"/>
        <v>481.58000000000004</v>
      </c>
      <c r="BW186" s="22">
        <f t="shared" si="1230"/>
        <v>-448.75000000000011</v>
      </c>
      <c r="BX186" s="22">
        <f t="shared" si="1230"/>
        <v>176.39999999999998</v>
      </c>
      <c r="BY186" s="22">
        <f t="shared" si="1230"/>
        <v>406.42999999999989</v>
      </c>
      <c r="BZ186" s="22">
        <f t="shared" si="1230"/>
        <v>1528.95</v>
      </c>
      <c r="CA186" s="22">
        <f t="shared" si="1230"/>
        <v>1932.21</v>
      </c>
      <c r="CB186" s="22">
        <f t="shared" si="1230"/>
        <v>2180.98</v>
      </c>
      <c r="CC186" s="22">
        <f t="shared" si="1230"/>
        <v>2512.48</v>
      </c>
      <c r="CD186" s="22">
        <f t="shared" si="1230"/>
        <v>2810.8700000000003</v>
      </c>
      <c r="CE186" s="22">
        <f t="shared" si="1230"/>
        <v>3368.27</v>
      </c>
      <c r="CF186" s="22">
        <f t="shared" ref="CF186:CG186" si="1231">CF183+CF184+CF185</f>
        <v>5785.5999999999995</v>
      </c>
      <c r="CG186" s="22">
        <f t="shared" si="1231"/>
        <v>6174.8899999999994</v>
      </c>
      <c r="CH186" s="22">
        <f t="shared" ref="CH186:CI186" si="1232">CH183+CH184+CH185</f>
        <v>6460.08</v>
      </c>
      <c r="CI186" s="22">
        <f t="shared" si="1232"/>
        <v>7101.67</v>
      </c>
      <c r="CJ186" s="22">
        <f t="shared" ref="CJ186:DB186" si="1233">CJ183+CJ184+CJ185</f>
        <v>7705.2400000000007</v>
      </c>
      <c r="CK186" s="22">
        <f t="shared" si="1233"/>
        <v>8752.6299999999992</v>
      </c>
      <c r="CL186" s="22">
        <f t="shared" ref="CL186" si="1234">CL183+CL184+CL185</f>
        <v>13870.890000000001</v>
      </c>
      <c r="CM186" s="21">
        <f t="shared" si="1233"/>
        <v>15490.099278400001</v>
      </c>
      <c r="CN186" s="21">
        <f t="shared" si="1233"/>
        <v>17024.501474177716</v>
      </c>
      <c r="CO186" s="21">
        <f t="shared" si="1233"/>
        <v>18585.887346568026</v>
      </c>
      <c r="CP186" s="21">
        <f t="shared" si="1233"/>
        <v>20219.373184917818</v>
      </c>
      <c r="CQ186" s="21">
        <f t="shared" si="1233"/>
        <v>21942.314887803346</v>
      </c>
      <c r="CR186" s="21">
        <f t="shared" si="1233"/>
        <v>23722.682089794296</v>
      </c>
      <c r="CS186" s="21">
        <f t="shared" si="1233"/>
        <v>25743.653175332252</v>
      </c>
      <c r="CT186" s="21">
        <f t="shared" si="1233"/>
        <v>27902.014128647272</v>
      </c>
      <c r="CU186" s="21">
        <f t="shared" si="1233"/>
        <v>29917.286646790159</v>
      </c>
      <c r="CV186" s="21">
        <f t="shared" si="1233"/>
        <v>31825.55097019572</v>
      </c>
      <c r="CW186" s="21">
        <f t="shared" si="1233"/>
        <v>33996.125144857331</v>
      </c>
      <c r="CX186" s="21">
        <f t="shared" si="1233"/>
        <v>36294.227969190353</v>
      </c>
      <c r="CY186" s="21">
        <f t="shared" si="1233"/>
        <v>38718.621086750842</v>
      </c>
      <c r="CZ186" s="21">
        <f t="shared" si="1233"/>
        <v>41031.197136578798</v>
      </c>
      <c r="DA186" s="21">
        <f t="shared" si="1233"/>
        <v>43626.448963305294</v>
      </c>
      <c r="DB186" s="21">
        <f t="shared" si="1233"/>
        <v>46372.934965506924</v>
      </c>
      <c r="DE186" s="126"/>
      <c r="DF186" s="22">
        <v>13870.890000000001</v>
      </c>
    </row>
    <row r="187" spans="1:110" s="22" customFormat="1" x14ac:dyDescent="0.2">
      <c r="AB187" s="21"/>
      <c r="AC187" s="21"/>
      <c r="AD187" s="21"/>
      <c r="AE187" s="21"/>
      <c r="CM187" s="21"/>
      <c r="CN187" s="21"/>
      <c r="CO187" s="21"/>
      <c r="CP187" s="21"/>
      <c r="CQ187" s="21"/>
      <c r="CR187" s="21"/>
      <c r="CS187" s="21"/>
      <c r="CT187" s="21"/>
      <c r="CU187" s="21"/>
      <c r="CV187" s="21"/>
      <c r="CW187" s="21"/>
      <c r="CX187" s="21"/>
      <c r="CY187" s="21"/>
      <c r="CZ187" s="21"/>
      <c r="DA187" s="21"/>
      <c r="DB187" s="21"/>
      <c r="DE187" s="126"/>
    </row>
    <row r="188" spans="1:110" s="23" customFormat="1" x14ac:dyDescent="0.2">
      <c r="A188" s="23" t="s">
        <v>23</v>
      </c>
      <c r="B188" s="23">
        <f>'Annual Raw'!C45</f>
        <v>0</v>
      </c>
      <c r="C188" s="23">
        <f>'Annual Raw'!D45</f>
        <v>0</v>
      </c>
      <c r="D188" s="23">
        <f>'Annual Raw'!E45</f>
        <v>0</v>
      </c>
      <c r="E188" s="23">
        <f>'Annual Raw'!F45</f>
        <v>0</v>
      </c>
      <c r="F188" s="23">
        <f>'Annual Raw'!G45</f>
        <v>0</v>
      </c>
      <c r="G188" s="23">
        <f>'Annual Raw'!H45</f>
        <v>0</v>
      </c>
      <c r="H188" s="23">
        <f>'Annual Raw'!I45</f>
        <v>0</v>
      </c>
      <c r="I188" s="23">
        <f>'Annual Raw'!J45</f>
        <v>0</v>
      </c>
      <c r="J188" s="23">
        <f>'Annual Raw'!K45</f>
        <v>0</v>
      </c>
      <c r="K188" s="23">
        <f>'Annual Raw'!L45</f>
        <v>0</v>
      </c>
      <c r="L188" s="23">
        <f>'Annual Raw'!M45</f>
        <v>0</v>
      </c>
      <c r="M188" s="23">
        <f>'Annual Raw'!N45</f>
        <v>0</v>
      </c>
      <c r="N188" s="23">
        <f>'Annual Raw'!O45</f>
        <v>0</v>
      </c>
      <c r="O188" s="23">
        <f>'Annual Raw'!P45</f>
        <v>0</v>
      </c>
      <c r="P188" s="23">
        <f>'Annual Raw'!Q45</f>
        <v>0</v>
      </c>
      <c r="Q188" s="23">
        <f>'Annual Raw'!R45</f>
        <v>0</v>
      </c>
      <c r="R188" s="23">
        <f>'Annual Raw'!S45</f>
        <v>0</v>
      </c>
      <c r="S188" s="23">
        <f>'Annual Raw'!T45</f>
        <v>0</v>
      </c>
      <c r="T188" s="23">
        <f>'Annual Raw'!U45</f>
        <v>0</v>
      </c>
      <c r="U188" s="23">
        <f>'Annual Raw'!V45</f>
        <v>0</v>
      </c>
      <c r="V188" s="23">
        <f>'Annual Raw'!W45</f>
        <v>0</v>
      </c>
      <c r="W188" s="23">
        <f>'Annual Raw'!X45</f>
        <v>0</v>
      </c>
      <c r="X188" s="23">
        <f>'Annual Raw'!Y45</f>
        <v>0</v>
      </c>
      <c r="Y188" s="23">
        <f>'Annual Raw'!Z45</f>
        <v>0</v>
      </c>
      <c r="Z188" s="23">
        <f>'Annual Raw'!AA45</f>
        <v>0</v>
      </c>
      <c r="AA188" s="23">
        <f>'Annual Raw'!AB45</f>
        <v>395.16</v>
      </c>
      <c r="AB188" s="24">
        <f>+CP188</f>
        <v>395.16</v>
      </c>
      <c r="AC188" s="24">
        <f>+CT188</f>
        <v>395.16</v>
      </c>
      <c r="AD188" s="24">
        <f>+CX188</f>
        <v>395.16</v>
      </c>
      <c r="AE188" s="24">
        <f>+DB188</f>
        <v>395.16</v>
      </c>
      <c r="AJ188" s="23">
        <f>+'QTR Raw'!D60</f>
        <v>0</v>
      </c>
      <c r="AK188" s="23">
        <f t="shared" ref="AK188:CE188" si="1235">+AJ188</f>
        <v>0</v>
      </c>
      <c r="AL188" s="23">
        <f>+'QTR Raw'!F60</f>
        <v>0</v>
      </c>
      <c r="AM188" s="23">
        <f t="shared" si="1235"/>
        <v>0</v>
      </c>
      <c r="AN188" s="23">
        <f>+'QTR Raw'!H60</f>
        <v>0</v>
      </c>
      <c r="AO188" s="23">
        <f t="shared" si="1235"/>
        <v>0</v>
      </c>
      <c r="AP188" s="23">
        <f>+'QTR Raw'!J60</f>
        <v>0</v>
      </c>
      <c r="AQ188" s="23">
        <f t="shared" si="1235"/>
        <v>0</v>
      </c>
      <c r="AR188" s="23">
        <f>+'QTR Raw'!L60</f>
        <v>0</v>
      </c>
      <c r="AS188" s="23">
        <f t="shared" si="1235"/>
        <v>0</v>
      </c>
      <c r="AT188" s="23">
        <f>+'QTR Raw'!N60</f>
        <v>0</v>
      </c>
      <c r="AU188" s="23">
        <f t="shared" si="1235"/>
        <v>0</v>
      </c>
      <c r="AV188" s="23">
        <f>+'QTR Raw'!P60</f>
        <v>0</v>
      </c>
      <c r="AW188" s="23">
        <f t="shared" si="1235"/>
        <v>0</v>
      </c>
      <c r="AX188" s="23">
        <f>+'QTR Raw'!R60</f>
        <v>0</v>
      </c>
      <c r="AY188" s="23">
        <f t="shared" si="1235"/>
        <v>0</v>
      </c>
      <c r="AZ188" s="23">
        <f>+'QTR Raw'!T60</f>
        <v>0</v>
      </c>
      <c r="BA188" s="23">
        <f t="shared" si="1235"/>
        <v>0</v>
      </c>
      <c r="BB188" s="23">
        <f>+'QTR Raw'!V60</f>
        <v>0</v>
      </c>
      <c r="BC188" s="23">
        <f t="shared" si="1235"/>
        <v>0</v>
      </c>
      <c r="BD188" s="23">
        <f>+'QTR Raw'!X60</f>
        <v>0</v>
      </c>
      <c r="BE188" s="23">
        <f t="shared" si="1235"/>
        <v>0</v>
      </c>
      <c r="BF188" s="23">
        <f>+'QTR Raw'!Z60</f>
        <v>0</v>
      </c>
      <c r="BG188" s="23">
        <f t="shared" si="1235"/>
        <v>0</v>
      </c>
      <c r="BH188" s="22">
        <f>+'QTR Raw'!AB60</f>
        <v>0</v>
      </c>
      <c r="BI188" s="23">
        <f t="shared" si="1235"/>
        <v>0</v>
      </c>
      <c r="BJ188" s="23">
        <f>+'QTR Raw'!AD60</f>
        <v>0</v>
      </c>
      <c r="BK188" s="23">
        <f t="shared" si="1235"/>
        <v>0</v>
      </c>
      <c r="BL188" s="23">
        <f>+'QTR Raw'!AF60</f>
        <v>0</v>
      </c>
      <c r="BM188" s="23">
        <f t="shared" si="1235"/>
        <v>0</v>
      </c>
      <c r="BN188" s="23">
        <f>+'QTR Raw'!AH60</f>
        <v>0</v>
      </c>
      <c r="BO188" s="23">
        <f t="shared" si="1235"/>
        <v>0</v>
      </c>
      <c r="BP188" s="23">
        <f>+'QTR Raw'!AJ60</f>
        <v>0</v>
      </c>
      <c r="BQ188" s="23">
        <f t="shared" si="1235"/>
        <v>0</v>
      </c>
      <c r="BR188" s="23">
        <f>+'QTR Raw'!AL60</f>
        <v>0</v>
      </c>
      <c r="BS188" s="23">
        <f t="shared" si="1235"/>
        <v>0</v>
      </c>
      <c r="BT188" s="23">
        <f>+'QTR Raw'!AN60</f>
        <v>0</v>
      </c>
      <c r="BU188" s="23">
        <f t="shared" si="1235"/>
        <v>0</v>
      </c>
      <c r="BV188" s="23">
        <f>+'QTR Raw'!AP60</f>
        <v>0</v>
      </c>
      <c r="BW188" s="23">
        <f t="shared" si="1235"/>
        <v>0</v>
      </c>
      <c r="BX188" s="23">
        <f>+'QTR Raw'!AR60</f>
        <v>0</v>
      </c>
      <c r="BY188" s="23">
        <f t="shared" si="1235"/>
        <v>0</v>
      </c>
      <c r="BZ188" s="23">
        <f>+'QTR Raw'!AT60</f>
        <v>0</v>
      </c>
      <c r="CA188" s="23">
        <f t="shared" si="1235"/>
        <v>0</v>
      </c>
      <c r="CB188" s="23">
        <f>+'QTR Raw'!AV60</f>
        <v>0</v>
      </c>
      <c r="CC188" s="23">
        <f t="shared" si="1235"/>
        <v>0</v>
      </c>
      <c r="CD188" s="23">
        <f>+'QTR Raw'!AX60</f>
        <v>0</v>
      </c>
      <c r="CE188" s="23">
        <f t="shared" si="1235"/>
        <v>0</v>
      </c>
      <c r="CF188" s="23">
        <f>+'QTR Raw'!AZ60</f>
        <v>0</v>
      </c>
      <c r="CG188" s="23">
        <f t="shared" ref="CG188:CI188" si="1236">+CF188</f>
        <v>0</v>
      </c>
      <c r="CH188" s="23">
        <f t="shared" ref="CH188:CH193" si="1237">Z188</f>
        <v>0</v>
      </c>
      <c r="CI188" s="23">
        <f t="shared" si="1236"/>
        <v>0</v>
      </c>
      <c r="CJ188" s="23">
        <f>+'QTR Raw'!BD60</f>
        <v>453.83</v>
      </c>
      <c r="CK188" s="23">
        <f t="shared" ref="CK188" si="1238">+CJ188</f>
        <v>453.83</v>
      </c>
      <c r="CL188" s="23">
        <f>+'QTR Raw'!BF60</f>
        <v>395.16</v>
      </c>
      <c r="CM188" s="24">
        <f t="shared" ref="CM188" si="1239">+CL188</f>
        <v>395.16</v>
      </c>
      <c r="CN188" s="24">
        <f t="shared" ref="CN188" si="1240">+CM188</f>
        <v>395.16</v>
      </c>
      <c r="CO188" s="24">
        <f t="shared" ref="CO188" si="1241">+CN188</f>
        <v>395.16</v>
      </c>
      <c r="CP188" s="24">
        <f t="shared" ref="CP188" si="1242">+CO188</f>
        <v>395.16</v>
      </c>
      <c r="CQ188" s="24">
        <f t="shared" ref="CQ188" si="1243">+CP188</f>
        <v>395.16</v>
      </c>
      <c r="CR188" s="24">
        <f t="shared" ref="CR188" si="1244">+CQ188</f>
        <v>395.16</v>
      </c>
      <c r="CS188" s="24">
        <f t="shared" ref="CS188" si="1245">+CR188</f>
        <v>395.16</v>
      </c>
      <c r="CT188" s="24">
        <f t="shared" ref="CT188" si="1246">+CS188</f>
        <v>395.16</v>
      </c>
      <c r="CU188" s="24">
        <f t="shared" ref="CU188" si="1247">+CT188</f>
        <v>395.16</v>
      </c>
      <c r="CV188" s="24">
        <f t="shared" ref="CV188" si="1248">+CU188</f>
        <v>395.16</v>
      </c>
      <c r="CW188" s="24">
        <f t="shared" ref="CW188" si="1249">+CV188</f>
        <v>395.16</v>
      </c>
      <c r="CX188" s="24">
        <f t="shared" ref="CX188" si="1250">+CW188</f>
        <v>395.16</v>
      </c>
      <c r="CY188" s="24">
        <f t="shared" ref="CY188" si="1251">+CX188</f>
        <v>395.16</v>
      </c>
      <c r="CZ188" s="24">
        <f t="shared" ref="CZ188" si="1252">+CY188</f>
        <v>395.16</v>
      </c>
      <c r="DA188" s="24">
        <f t="shared" ref="DA188" si="1253">+CZ188</f>
        <v>395.16</v>
      </c>
      <c r="DB188" s="24">
        <f t="shared" ref="DB188" si="1254">+DA188</f>
        <v>395.16</v>
      </c>
      <c r="DE188" s="123"/>
      <c r="DF188" s="23">
        <v>395.16</v>
      </c>
    </row>
    <row r="189" spans="1:110" s="23" customFormat="1" x14ac:dyDescent="0.2">
      <c r="AB189" s="24"/>
      <c r="AC189" s="24"/>
      <c r="AD189" s="24"/>
      <c r="AE189" s="24"/>
      <c r="BH189" s="22"/>
      <c r="CM189" s="24"/>
      <c r="CN189" s="24"/>
      <c r="CO189" s="24"/>
      <c r="CP189" s="24"/>
      <c r="CQ189" s="24"/>
      <c r="CR189" s="24"/>
      <c r="CS189" s="24"/>
      <c r="CT189" s="24"/>
      <c r="CU189" s="24"/>
      <c r="CV189" s="24"/>
      <c r="CW189" s="24"/>
      <c r="CX189" s="24"/>
      <c r="CY189" s="24"/>
      <c r="CZ189" s="24"/>
      <c r="DA189" s="24"/>
      <c r="DB189" s="24"/>
      <c r="DE189" s="123"/>
    </row>
    <row r="190" spans="1:110" s="23" customFormat="1" outlineLevel="1" x14ac:dyDescent="0.2">
      <c r="A190" s="23" t="s">
        <v>45</v>
      </c>
      <c r="B190" s="23">
        <f>'Annual Raw'!C47</f>
        <v>361.21530000000001</v>
      </c>
      <c r="C190" s="23">
        <f>'Annual Raw'!D47</f>
        <v>454.98759999999999</v>
      </c>
      <c r="D190" s="23">
        <f>'Annual Raw'!E47</f>
        <v>478.03149999999999</v>
      </c>
      <c r="E190" s="23">
        <f>'Annual Raw'!F47</f>
        <v>458.10410000000002</v>
      </c>
      <c r="F190" s="23">
        <f>'Annual Raw'!G47</f>
        <v>305.89069999999998</v>
      </c>
      <c r="G190" s="23">
        <f>'Annual Raw'!H47</f>
        <v>205.86850000000001</v>
      </c>
      <c r="H190" s="23">
        <f>'Annual Raw'!I47</f>
        <v>188.58580000000001</v>
      </c>
      <c r="I190" s="23">
        <f>'Annual Raw'!J47</f>
        <v>124.3943</v>
      </c>
      <c r="J190" s="23">
        <f>'Annual Raw'!K47</f>
        <v>55.172199999999997</v>
      </c>
      <c r="K190" s="23">
        <f>'Annual Raw'!L47</f>
        <v>35.913699999999999</v>
      </c>
      <c r="L190" s="23">
        <f>'Annual Raw'!M47</f>
        <v>22.565799999999999</v>
      </c>
      <c r="M190" s="23">
        <f>'Annual Raw'!N47</f>
        <v>16.931899999999999</v>
      </c>
      <c r="N190" s="23">
        <f>'Annual Raw'!O47</f>
        <v>10.8203</v>
      </c>
      <c r="O190" s="23">
        <f>'Annual Raw'!P47</f>
        <v>5.8982000000000001</v>
      </c>
      <c r="P190" s="23">
        <f>'Annual Raw'!Q47</f>
        <v>0.46839999999999998</v>
      </c>
      <c r="Q190" s="23">
        <f>'Annual Raw'!R47</f>
        <v>0.25779999999999997</v>
      </c>
      <c r="R190" s="23">
        <f>'Annual Raw'!S47</f>
        <v>4.7100000000000003E-2</v>
      </c>
      <c r="S190" s="23">
        <f>'Annual Raw'!T47</f>
        <v>2.7568999999999999</v>
      </c>
      <c r="T190" s="23">
        <f>'Annual Raw'!U47</f>
        <v>52.521299999999997</v>
      </c>
      <c r="U190" s="23">
        <f>'Annual Raw'!V47</f>
        <v>58.526499999999999</v>
      </c>
      <c r="V190" s="23">
        <f>'Annual Raw'!W47</f>
        <v>67.1434</v>
      </c>
      <c r="W190" s="23">
        <f>'Annual Raw'!X47</f>
        <v>56.72</v>
      </c>
      <c r="X190" s="23">
        <f>'Annual Raw'!Y47</f>
        <v>0</v>
      </c>
      <c r="Y190" s="23">
        <f>'Annual Raw'!Z47</f>
        <v>0</v>
      </c>
      <c r="Z190" s="23">
        <f>'Annual Raw'!AA47</f>
        <v>752.64</v>
      </c>
      <c r="AA190" s="23">
        <f>'Annual Raw'!AB47</f>
        <v>3827.02</v>
      </c>
      <c r="AB190" s="24">
        <f t="shared" ref="AB190:AB193" si="1255">+CP190</f>
        <v>0</v>
      </c>
      <c r="AC190" s="24">
        <f t="shared" ref="AC190:AC193" si="1256">+CT190</f>
        <v>0</v>
      </c>
      <c r="AD190" s="24">
        <f t="shared" ref="AD190:AD193" si="1257">+CX190</f>
        <v>0</v>
      </c>
      <c r="AE190" s="24">
        <f t="shared" ref="AE190:AE193" si="1258">+DB190</f>
        <v>0</v>
      </c>
      <c r="AJ190" s="23">
        <f>+'QTR Raw'!D62</f>
        <v>0</v>
      </c>
      <c r="AK190" s="23">
        <f t="shared" ref="AK190:CC193" si="1259">+AJ190</f>
        <v>0</v>
      </c>
      <c r="AL190" s="23">
        <f>+'QTR Raw'!F62</f>
        <v>0</v>
      </c>
      <c r="AM190" s="23">
        <f t="shared" si="1259"/>
        <v>0</v>
      </c>
      <c r="AN190" s="23">
        <f>+'QTR Raw'!H62</f>
        <v>0</v>
      </c>
      <c r="AO190" s="23">
        <f t="shared" si="1259"/>
        <v>0</v>
      </c>
      <c r="AP190" s="23">
        <f>+'QTR Raw'!J62</f>
        <v>0</v>
      </c>
      <c r="AQ190" s="23">
        <f t="shared" si="1259"/>
        <v>0</v>
      </c>
      <c r="AR190" s="23">
        <f>+'QTR Raw'!L62</f>
        <v>0</v>
      </c>
      <c r="AS190" s="23">
        <f t="shared" si="1259"/>
        <v>0</v>
      </c>
      <c r="AT190" s="23">
        <f>+'QTR Raw'!N62</f>
        <v>0</v>
      </c>
      <c r="AU190" s="23">
        <f t="shared" si="1259"/>
        <v>0</v>
      </c>
      <c r="AV190" s="23">
        <f>+'QTR Raw'!P62</f>
        <v>0</v>
      </c>
      <c r="AW190" s="23">
        <f t="shared" si="1259"/>
        <v>0</v>
      </c>
      <c r="AX190" s="23">
        <f>+'QTR Raw'!R62</f>
        <v>0</v>
      </c>
      <c r="AY190" s="23">
        <f t="shared" si="1259"/>
        <v>0</v>
      </c>
      <c r="AZ190" s="23">
        <f>+'QTR Raw'!T62</f>
        <v>0</v>
      </c>
      <c r="BA190" s="23">
        <f t="shared" si="1259"/>
        <v>0</v>
      </c>
      <c r="BB190" s="23">
        <f>+'QTR Raw'!V62</f>
        <v>0</v>
      </c>
      <c r="BC190" s="23">
        <f t="shared" si="1259"/>
        <v>0</v>
      </c>
      <c r="BD190" s="23">
        <f>+'QTR Raw'!X62</f>
        <v>0</v>
      </c>
      <c r="BE190" s="23">
        <f t="shared" si="1259"/>
        <v>0</v>
      </c>
      <c r="BF190" s="23">
        <f>+'QTR Raw'!Z62</f>
        <v>0</v>
      </c>
      <c r="BG190" s="23">
        <f t="shared" si="1259"/>
        <v>0</v>
      </c>
      <c r="BH190" s="22">
        <f>+'QTR Raw'!AB62</f>
        <v>0</v>
      </c>
      <c r="BI190" s="23">
        <f t="shared" si="1259"/>
        <v>0</v>
      </c>
      <c r="BJ190" s="23">
        <f>+'QTR Raw'!AD62</f>
        <v>0</v>
      </c>
      <c r="BK190" s="23">
        <f t="shared" si="1259"/>
        <v>0</v>
      </c>
      <c r="BL190" s="23">
        <f>+'QTR Raw'!AF62</f>
        <v>0</v>
      </c>
      <c r="BM190" s="23">
        <f t="shared" si="1259"/>
        <v>0</v>
      </c>
      <c r="BN190" s="23">
        <f>+'QTR Raw'!AH62</f>
        <v>0</v>
      </c>
      <c r="BO190" s="23">
        <f t="shared" si="1259"/>
        <v>0</v>
      </c>
      <c r="BP190" s="23">
        <f>+'QTR Raw'!AJ62</f>
        <v>0</v>
      </c>
      <c r="BQ190" s="23">
        <f t="shared" si="1259"/>
        <v>0</v>
      </c>
      <c r="BR190" s="23">
        <f>+'QTR Raw'!AL62</f>
        <v>0</v>
      </c>
      <c r="BS190" s="23">
        <f t="shared" si="1259"/>
        <v>0</v>
      </c>
      <c r="BT190" s="23">
        <f>+'QTR Raw'!AN62</f>
        <v>0</v>
      </c>
      <c r="BU190" s="23">
        <f t="shared" si="1259"/>
        <v>0</v>
      </c>
      <c r="BV190" s="23">
        <f>+'QTR Raw'!AP62</f>
        <v>0</v>
      </c>
      <c r="BW190" s="23">
        <f t="shared" si="1259"/>
        <v>0</v>
      </c>
      <c r="BX190" s="23">
        <f>+'QTR Raw'!AR62</f>
        <v>0</v>
      </c>
      <c r="BY190" s="23">
        <f t="shared" si="1259"/>
        <v>0</v>
      </c>
      <c r="BZ190" s="23">
        <f>+'QTR Raw'!AT62</f>
        <v>0</v>
      </c>
      <c r="CA190" s="23">
        <f t="shared" si="1259"/>
        <v>0</v>
      </c>
      <c r="CB190" s="23">
        <f>+'QTR Raw'!AV62</f>
        <v>0</v>
      </c>
      <c r="CC190" s="23">
        <f t="shared" si="1259"/>
        <v>0</v>
      </c>
      <c r="CD190" s="23">
        <f>+'QTR Raw'!AX62</f>
        <v>0</v>
      </c>
      <c r="CE190" s="23">
        <f t="shared" ref="CE190:CE193" si="1260">+CD190</f>
        <v>0</v>
      </c>
      <c r="CF190" s="23">
        <f>+'QTR Raw'!AZ62</f>
        <v>0</v>
      </c>
      <c r="CG190" s="23">
        <f t="shared" ref="CG190:CI193" si="1261">+CF190</f>
        <v>0</v>
      </c>
      <c r="CH190" s="23">
        <f t="shared" si="1237"/>
        <v>752.64</v>
      </c>
      <c r="CI190" s="23">
        <f t="shared" si="1261"/>
        <v>752.64</v>
      </c>
      <c r="CJ190" s="23">
        <f>+'QTR Raw'!BD62</f>
        <v>0</v>
      </c>
      <c r="CK190" s="23">
        <f t="shared" ref="CK190:CK193" si="1262">+CJ190</f>
        <v>0</v>
      </c>
      <c r="CL190" s="23">
        <f>+'QTR Raw'!BF62</f>
        <v>0</v>
      </c>
      <c r="CM190" s="24">
        <f t="shared" ref="CM190:CM193" si="1263">+CL190</f>
        <v>0</v>
      </c>
      <c r="CN190" s="24">
        <f t="shared" ref="CN190:CN193" si="1264">+CM190</f>
        <v>0</v>
      </c>
      <c r="CO190" s="24">
        <f t="shared" ref="CO190:CO193" si="1265">+CN190</f>
        <v>0</v>
      </c>
      <c r="CP190" s="24">
        <f t="shared" ref="CP190:CP193" si="1266">+CO190</f>
        <v>0</v>
      </c>
      <c r="CQ190" s="24">
        <f t="shared" ref="CQ190:CQ193" si="1267">+CP190</f>
        <v>0</v>
      </c>
      <c r="CR190" s="24">
        <f t="shared" ref="CR190:CR193" si="1268">+CQ190</f>
        <v>0</v>
      </c>
      <c r="CS190" s="24">
        <f t="shared" ref="CS190:CS193" si="1269">+CR190</f>
        <v>0</v>
      </c>
      <c r="CT190" s="24">
        <f t="shared" ref="CT190:CT193" si="1270">+CS190</f>
        <v>0</v>
      </c>
      <c r="CU190" s="24">
        <f t="shared" ref="CU190:CU193" si="1271">+CT190</f>
        <v>0</v>
      </c>
      <c r="CV190" s="24">
        <f t="shared" ref="CV190:CV193" si="1272">+CU190</f>
        <v>0</v>
      </c>
      <c r="CW190" s="24">
        <f t="shared" ref="CW190:CW193" si="1273">+CV190</f>
        <v>0</v>
      </c>
      <c r="CX190" s="24">
        <f t="shared" ref="CX190:CX193" si="1274">+CW190</f>
        <v>0</v>
      </c>
      <c r="CY190" s="24">
        <f t="shared" ref="CY190:CY193" si="1275">+CX190</f>
        <v>0</v>
      </c>
      <c r="CZ190" s="24">
        <f t="shared" ref="CZ190:CZ193" si="1276">+CY190</f>
        <v>0</v>
      </c>
      <c r="DA190" s="24">
        <f t="shared" ref="DA190:DA193" si="1277">+CZ190</f>
        <v>0</v>
      </c>
      <c r="DB190" s="24">
        <f t="shared" ref="DB190:DB193" si="1278">+DA190</f>
        <v>0</v>
      </c>
      <c r="DE190" s="123"/>
      <c r="DF190" s="23">
        <v>3827.02</v>
      </c>
    </row>
    <row r="191" spans="1:110" s="23" customFormat="1" outlineLevel="1" x14ac:dyDescent="0.2">
      <c r="A191" s="23" t="s">
        <v>46</v>
      </c>
      <c r="B191" s="23">
        <f>'Annual Raw'!C48</f>
        <v>43.743000000000002</v>
      </c>
      <c r="C191" s="23">
        <f>'Annual Raw'!D48</f>
        <v>23.887499999999999</v>
      </c>
      <c r="D191" s="23">
        <f>'Annual Raw'!E48</f>
        <v>28.9392</v>
      </c>
      <c r="E191" s="23">
        <f>'Annual Raw'!F48</f>
        <v>27.6357</v>
      </c>
      <c r="F191" s="23">
        <f>'Annual Raw'!G48</f>
        <v>4.5073999999999996</v>
      </c>
      <c r="G191" s="23">
        <f>'Annual Raw'!H48</f>
        <v>4.5073999999999996</v>
      </c>
      <c r="H191" s="23">
        <f>'Annual Raw'!I48</f>
        <v>4.4950999999999999</v>
      </c>
      <c r="I191" s="23">
        <f>'Annual Raw'!J48</f>
        <v>10.743399999999999</v>
      </c>
      <c r="J191" s="23">
        <f>'Annual Raw'!K48</f>
        <v>10.429500000000001</v>
      </c>
      <c r="K191" s="23">
        <f>'Annual Raw'!L48</f>
        <v>9.5</v>
      </c>
      <c r="L191" s="23">
        <f>'Annual Raw'!M48</f>
        <v>9.7651000000000003</v>
      </c>
      <c r="M191" s="23">
        <f>'Annual Raw'!N48</f>
        <v>9.7651000000000003</v>
      </c>
      <c r="N191" s="23">
        <f>'Annual Raw'!O48</f>
        <v>9.7651000000000003</v>
      </c>
      <c r="O191" s="23">
        <f>'Annual Raw'!P48</f>
        <v>9.7651000000000003</v>
      </c>
      <c r="P191" s="23">
        <f>'Annual Raw'!Q48</f>
        <v>9.7651000000000003</v>
      </c>
      <c r="Q191" s="23">
        <f>'Annual Raw'!R48</f>
        <v>9.7863000000000007</v>
      </c>
      <c r="R191" s="23">
        <f>'Annual Raw'!S48</f>
        <v>9.2434999999999992</v>
      </c>
      <c r="S191" s="23">
        <f>'Annual Raw'!T48</f>
        <v>7.2770000000000001</v>
      </c>
      <c r="T191" s="23">
        <f>'Annual Raw'!U48</f>
        <v>30.096699999999998</v>
      </c>
      <c r="U191" s="23">
        <f>'Annual Raw'!V48</f>
        <v>22.369199999999999</v>
      </c>
      <c r="V191" s="23">
        <f>'Annual Raw'!W48</f>
        <v>26.0228</v>
      </c>
      <c r="W191" s="23">
        <f>'Annual Raw'!X48</f>
        <v>0</v>
      </c>
      <c r="X191" s="23">
        <f>'Annual Raw'!Y48</f>
        <v>0</v>
      </c>
      <c r="Y191" s="23">
        <f>'Annual Raw'!Z48</f>
        <v>0</v>
      </c>
      <c r="Z191" s="23">
        <f>'Annual Raw'!AA48</f>
        <v>1.28</v>
      </c>
      <c r="AA191" s="23">
        <f>'Annual Raw'!AB48</f>
        <v>10022.24</v>
      </c>
      <c r="AB191" s="24">
        <f t="shared" si="1255"/>
        <v>13849.25</v>
      </c>
      <c r="AC191" s="24">
        <f t="shared" si="1256"/>
        <v>13849.25</v>
      </c>
      <c r="AD191" s="24">
        <f t="shared" si="1257"/>
        <v>13849.25</v>
      </c>
      <c r="AE191" s="24">
        <f t="shared" si="1258"/>
        <v>13849.25</v>
      </c>
      <c r="AJ191" s="23">
        <f>+'QTR Raw'!D63</f>
        <v>26.696999999999999</v>
      </c>
      <c r="AK191" s="23">
        <f t="shared" si="1259"/>
        <v>26.696999999999999</v>
      </c>
      <c r="AL191" s="23">
        <f>+'QTR Raw'!F63</f>
        <v>20.585000000000001</v>
      </c>
      <c r="AM191" s="23">
        <f t="shared" si="1259"/>
        <v>20.585000000000001</v>
      </c>
      <c r="AN191" s="23">
        <f>+'QTR Raw'!H63</f>
        <v>18.123999999999999</v>
      </c>
      <c r="AO191" s="23">
        <f t="shared" si="1259"/>
        <v>18.123999999999999</v>
      </c>
      <c r="AP191" s="23">
        <f>+'QTR Raw'!J63</f>
        <v>15.663</v>
      </c>
      <c r="AQ191" s="23">
        <f t="shared" si="1259"/>
        <v>15.663</v>
      </c>
      <c r="AR191" s="23">
        <f>+'QTR Raw'!L63</f>
        <v>12.747</v>
      </c>
      <c r="AS191" s="23">
        <f t="shared" si="1259"/>
        <v>12.747</v>
      </c>
      <c r="AT191" s="23">
        <f>+'QTR Raw'!N63</f>
        <v>10.233000000000001</v>
      </c>
      <c r="AU191" s="23">
        <f t="shared" si="1259"/>
        <v>10.233000000000001</v>
      </c>
      <c r="AV191" s="23">
        <f>+'QTR Raw'!P63</f>
        <v>10.14</v>
      </c>
      <c r="AW191" s="23">
        <f t="shared" si="1259"/>
        <v>10.14</v>
      </c>
      <c r="AX191" s="23">
        <f>+'QTR Raw'!R63</f>
        <v>10.044</v>
      </c>
      <c r="AY191" s="23">
        <f t="shared" si="1259"/>
        <v>10.044</v>
      </c>
      <c r="AZ191" s="23">
        <f>+'QTR Raw'!T63</f>
        <v>9.4</v>
      </c>
      <c r="BA191" s="23">
        <f t="shared" si="1259"/>
        <v>9.4</v>
      </c>
      <c r="BB191" s="23">
        <f>+'QTR Raw'!V63</f>
        <v>9.2910000000000004</v>
      </c>
      <c r="BC191" s="23">
        <f t="shared" si="1259"/>
        <v>9.2910000000000004</v>
      </c>
      <c r="BD191" s="23">
        <f>+'QTR Raw'!X63</f>
        <v>7.3390000000000004</v>
      </c>
      <c r="BE191" s="23">
        <f t="shared" si="1259"/>
        <v>7.3390000000000004</v>
      </c>
      <c r="BF191" s="23">
        <f>+'QTR Raw'!Z63</f>
        <v>10.034000000000001</v>
      </c>
      <c r="BG191" s="23">
        <f t="shared" si="1259"/>
        <v>10.034000000000001</v>
      </c>
      <c r="BH191" s="23">
        <f>+'QTR Raw'!AB63</f>
        <v>8.7479999999999993</v>
      </c>
      <c r="BI191" s="23">
        <f t="shared" si="1259"/>
        <v>8.7479999999999993</v>
      </c>
      <c r="BJ191" s="23">
        <f>+'QTR Raw'!AD63</f>
        <v>82.617999999999995</v>
      </c>
      <c r="BK191" s="23">
        <f t="shared" si="1259"/>
        <v>82.617999999999995</v>
      </c>
      <c r="BL191" s="23">
        <f>+'QTR Raw'!AF63</f>
        <v>85.432000000000002</v>
      </c>
      <c r="BM191" s="23">
        <f t="shared" si="1259"/>
        <v>85.432000000000002</v>
      </c>
      <c r="BN191" s="23">
        <f>+'QTR Raw'!AH63</f>
        <v>80.896000000000001</v>
      </c>
      <c r="BO191" s="23">
        <f t="shared" si="1259"/>
        <v>80.896000000000001</v>
      </c>
      <c r="BP191" s="23">
        <f>+'QTR Raw'!AJ63</f>
        <v>95.317999999999998</v>
      </c>
      <c r="BQ191" s="23">
        <f t="shared" si="1259"/>
        <v>95.317999999999998</v>
      </c>
      <c r="BR191" s="23">
        <f>+'QTR Raw'!AL63</f>
        <v>93.165999999999997</v>
      </c>
      <c r="BS191" s="23">
        <f t="shared" si="1259"/>
        <v>93.165999999999997</v>
      </c>
      <c r="BT191" s="23">
        <f>+'QTR Raw'!AN63</f>
        <v>76.432000000000002</v>
      </c>
      <c r="BU191" s="23">
        <f t="shared" si="1259"/>
        <v>76.432000000000002</v>
      </c>
      <c r="BV191" s="23">
        <f>+'QTR Raw'!AP63</f>
        <v>56.72</v>
      </c>
      <c r="BW191" s="23">
        <f t="shared" si="1259"/>
        <v>56.72</v>
      </c>
      <c r="BX191" s="23">
        <f>+'QTR Raw'!AR63</f>
        <v>50.2</v>
      </c>
      <c r="BY191" s="23">
        <f t="shared" si="1259"/>
        <v>50.2</v>
      </c>
      <c r="BZ191" s="23">
        <f>+'QTR Raw'!AT63</f>
        <v>0</v>
      </c>
      <c r="CA191" s="23">
        <f t="shared" si="1259"/>
        <v>0</v>
      </c>
      <c r="CB191" s="23">
        <f>+'QTR Raw'!AV63</f>
        <v>0</v>
      </c>
      <c r="CC191" s="23">
        <f t="shared" si="1259"/>
        <v>0</v>
      </c>
      <c r="CD191" s="23">
        <f>+'QTR Raw'!AX63</f>
        <v>0</v>
      </c>
      <c r="CE191" s="23">
        <f t="shared" si="1260"/>
        <v>0</v>
      </c>
      <c r="CF191" s="23">
        <f>+'QTR Raw'!AZ63</f>
        <v>0</v>
      </c>
      <c r="CG191" s="23">
        <f t="shared" si="1261"/>
        <v>0</v>
      </c>
      <c r="CH191" s="23">
        <f t="shared" si="1237"/>
        <v>1.28</v>
      </c>
      <c r="CI191" s="23">
        <f t="shared" si="1261"/>
        <v>1.28</v>
      </c>
      <c r="CJ191" s="23">
        <f>+'QTR Raw'!BD63</f>
        <v>5462.96</v>
      </c>
      <c r="CK191" s="23">
        <f t="shared" si="1262"/>
        <v>5462.96</v>
      </c>
      <c r="CL191" s="23">
        <f>+'QTR Raw'!BF63</f>
        <v>13849.25</v>
      </c>
      <c r="CM191" s="24">
        <f t="shared" si="1263"/>
        <v>13849.25</v>
      </c>
      <c r="CN191" s="24">
        <f t="shared" si="1264"/>
        <v>13849.25</v>
      </c>
      <c r="CO191" s="24">
        <f t="shared" si="1265"/>
        <v>13849.25</v>
      </c>
      <c r="CP191" s="24">
        <f t="shared" si="1266"/>
        <v>13849.25</v>
      </c>
      <c r="CQ191" s="24">
        <f t="shared" si="1267"/>
        <v>13849.25</v>
      </c>
      <c r="CR191" s="24">
        <f t="shared" si="1268"/>
        <v>13849.25</v>
      </c>
      <c r="CS191" s="24">
        <f t="shared" si="1269"/>
        <v>13849.25</v>
      </c>
      <c r="CT191" s="24">
        <f t="shared" si="1270"/>
        <v>13849.25</v>
      </c>
      <c r="CU191" s="24">
        <f t="shared" si="1271"/>
        <v>13849.25</v>
      </c>
      <c r="CV191" s="24">
        <f t="shared" si="1272"/>
        <v>13849.25</v>
      </c>
      <c r="CW191" s="24">
        <f t="shared" si="1273"/>
        <v>13849.25</v>
      </c>
      <c r="CX191" s="24">
        <f t="shared" si="1274"/>
        <v>13849.25</v>
      </c>
      <c r="CY191" s="24">
        <f t="shared" si="1275"/>
        <v>13849.25</v>
      </c>
      <c r="CZ191" s="24">
        <f t="shared" si="1276"/>
        <v>13849.25</v>
      </c>
      <c r="DA191" s="24">
        <f t="shared" si="1277"/>
        <v>13849.25</v>
      </c>
      <c r="DB191" s="24">
        <f t="shared" si="1278"/>
        <v>13849.25</v>
      </c>
      <c r="DE191" s="123"/>
      <c r="DF191" s="23">
        <v>10022.24</v>
      </c>
    </row>
    <row r="192" spans="1:110" s="23" customFormat="1" outlineLevel="1" x14ac:dyDescent="0.2">
      <c r="A192" s="23" t="s">
        <v>47</v>
      </c>
      <c r="B192" s="23">
        <f>'Annual Raw'!C87+'Annual Raw'!C88+'Annual Raw'!C89+'Annual Raw'!C90</f>
        <v>0</v>
      </c>
      <c r="C192" s="23">
        <f>'Annual Raw'!D87+'Annual Raw'!D88+'Annual Raw'!D89+'Annual Raw'!D90</f>
        <v>0</v>
      </c>
      <c r="D192" s="23">
        <f>'Annual Raw'!E87+'Annual Raw'!E88+'Annual Raw'!E89+'Annual Raw'!E90</f>
        <v>0</v>
      </c>
      <c r="E192" s="23">
        <f>'Annual Raw'!F87+'Annual Raw'!F88+'Annual Raw'!F89+'Annual Raw'!F90</f>
        <v>0</v>
      </c>
      <c r="F192" s="23">
        <f>'Annual Raw'!G87+'Annual Raw'!G88+'Annual Raw'!G89+'Annual Raw'!G90</f>
        <v>0</v>
      </c>
      <c r="G192" s="23">
        <f>'Annual Raw'!H87+'Annual Raw'!H88+'Annual Raw'!H89+'Annual Raw'!H90</f>
        <v>0</v>
      </c>
      <c r="H192" s="23">
        <f>'Annual Raw'!I87+'Annual Raw'!I88+'Annual Raw'!I89+'Annual Raw'!I90</f>
        <v>0</v>
      </c>
      <c r="I192" s="23">
        <f>'Annual Raw'!J87+'Annual Raw'!J88+'Annual Raw'!J89+'Annual Raw'!J90</f>
        <v>0</v>
      </c>
      <c r="J192" s="23">
        <f>'Annual Raw'!K87+'Annual Raw'!K88+'Annual Raw'!K89+'Annual Raw'!K90</f>
        <v>0</v>
      </c>
      <c r="K192" s="23">
        <f>'Annual Raw'!L87+'Annual Raw'!L88+'Annual Raw'!L89+'Annual Raw'!L90</f>
        <v>0</v>
      </c>
      <c r="L192" s="23">
        <f>'Annual Raw'!M87+'Annual Raw'!M88+'Annual Raw'!M89+'Annual Raw'!M90</f>
        <v>5.6414</v>
      </c>
      <c r="M192" s="23">
        <f>'Annual Raw'!N87+'Annual Raw'!N88+'Annual Raw'!N89+'Annual Raw'!N90</f>
        <v>5.6414</v>
      </c>
      <c r="N192" s="23">
        <f>'Annual Raw'!O87+'Annual Raw'!O88+'Annual Raw'!O89+'Annual Raw'!O90</f>
        <v>5.6414</v>
      </c>
      <c r="O192" s="23">
        <f>'Annual Raw'!P87+'Annual Raw'!P88+'Annual Raw'!P89+'Annual Raw'!P90</f>
        <v>5.7469000000000001</v>
      </c>
      <c r="P192" s="23">
        <f>'Annual Raw'!Q87+'Annual Raw'!Q88+'Annual Raw'!Q89+'Annual Raw'!Q90</f>
        <v>5.3621999999999996</v>
      </c>
      <c r="Q192" s="23">
        <f>'Annual Raw'!R87+'Annual Raw'!R88+'Annual Raw'!R89+'Annual Raw'!R90</f>
        <v>0.21060000000000001</v>
      </c>
      <c r="R192" s="23">
        <f>'Annual Raw'!S87+'Annual Raw'!S88+'Annual Raw'!S89+'Annual Raw'!S90</f>
        <v>0.21060000000000001</v>
      </c>
      <c r="S192" s="23">
        <f>'Annual Raw'!T87+'Annual Raw'!T88+'Annual Raw'!T89+'Annual Raw'!T90</f>
        <v>0.32290000000000002</v>
      </c>
      <c r="T192" s="23">
        <f>'Annual Raw'!U87+'Annual Raw'!U88+'Annual Raw'!U89+'Annual Raw'!U90</f>
        <v>7.2191999999999998</v>
      </c>
      <c r="U192" s="23">
        <f>'Annual Raw'!V87+'Annual Raw'!V88+'Annual Raw'!V89+'Annual Raw'!V90</f>
        <v>21.687899999999999</v>
      </c>
      <c r="V192" s="23">
        <f>'Annual Raw'!W87+'Annual Raw'!W88+'Annual Raw'!W89+'Annual Raw'!W90</f>
        <v>70.991600000000005</v>
      </c>
      <c r="W192" s="23">
        <f>'Annual Raw'!X87+'Annual Raw'!X88+'Annual Raw'!X89+'Annual Raw'!X90</f>
        <v>38.700000000000003</v>
      </c>
      <c r="X192" s="23">
        <f>'Annual Raw'!Y87+'Annual Raw'!Y88+'Annual Raw'!Y89+'Annual Raw'!Y90</f>
        <v>1.57</v>
      </c>
      <c r="Y192" s="23">
        <f>'Annual Raw'!Z87+'Annual Raw'!Z88+'Annual Raw'!Z89+'Annual Raw'!Z90</f>
        <v>0</v>
      </c>
      <c r="Z192" s="23">
        <f>'Annual Raw'!AA87+'Annual Raw'!AA88+'Annual Raw'!AA89+'Annual Raw'!AA90</f>
        <v>0</v>
      </c>
      <c r="AA192" s="23">
        <f>'Annual Raw'!AB87+'Annual Raw'!AB88+'Annual Raw'!AB89+'Annual Raw'!AB90</f>
        <v>4502.6000000000004</v>
      </c>
      <c r="AB192" s="24">
        <f t="shared" si="1255"/>
        <v>0</v>
      </c>
      <c r="AC192" s="24">
        <f t="shared" si="1256"/>
        <v>0</v>
      </c>
      <c r="AD192" s="24">
        <f t="shared" si="1257"/>
        <v>0</v>
      </c>
      <c r="AE192" s="24">
        <f t="shared" si="1258"/>
        <v>0</v>
      </c>
      <c r="AJ192" s="23">
        <f>+'QTR Raw'!D90</f>
        <v>0</v>
      </c>
      <c r="AK192" s="23">
        <f t="shared" si="1259"/>
        <v>0</v>
      </c>
      <c r="AL192" s="23">
        <f>+'QTR Raw'!F90</f>
        <v>0</v>
      </c>
      <c r="AM192" s="23">
        <f t="shared" si="1259"/>
        <v>0</v>
      </c>
      <c r="AN192" s="23">
        <f>+'QTR Raw'!H90</f>
        <v>0</v>
      </c>
      <c r="AO192" s="23">
        <f t="shared" si="1259"/>
        <v>0</v>
      </c>
      <c r="AP192" s="23">
        <f>+'QTR Raw'!J90</f>
        <v>0</v>
      </c>
      <c r="AQ192" s="23">
        <f t="shared" si="1259"/>
        <v>0</v>
      </c>
      <c r="AR192" s="23">
        <f>+'QTR Raw'!L90</f>
        <v>0</v>
      </c>
      <c r="AS192" s="23">
        <f t="shared" si="1259"/>
        <v>0</v>
      </c>
      <c r="AT192" s="23">
        <f>+'QTR Raw'!N90</f>
        <v>0</v>
      </c>
      <c r="AU192" s="23">
        <f t="shared" si="1259"/>
        <v>0</v>
      </c>
      <c r="AV192" s="23">
        <f>+'QTR Raw'!P90</f>
        <v>0</v>
      </c>
      <c r="AW192" s="23">
        <f t="shared" si="1259"/>
        <v>0</v>
      </c>
      <c r="AX192" s="23">
        <f>+'QTR Raw'!R90</f>
        <v>0</v>
      </c>
      <c r="AY192" s="23">
        <f t="shared" si="1259"/>
        <v>0</v>
      </c>
      <c r="AZ192" s="23">
        <f>+'QTR Raw'!T90</f>
        <v>0</v>
      </c>
      <c r="BA192" s="23">
        <f t="shared" si="1259"/>
        <v>0</v>
      </c>
      <c r="BB192" s="23">
        <f>+'QTR Raw'!V90</f>
        <v>0</v>
      </c>
      <c r="BC192" s="23">
        <f t="shared" si="1259"/>
        <v>0</v>
      </c>
      <c r="BD192" s="23">
        <f>+'QTR Raw'!X90</f>
        <v>0</v>
      </c>
      <c r="BE192" s="23">
        <f t="shared" si="1259"/>
        <v>0</v>
      </c>
      <c r="BF192" s="23">
        <f>+'QTR Raw'!Z90</f>
        <v>0</v>
      </c>
      <c r="BG192" s="23">
        <f t="shared" si="1259"/>
        <v>0</v>
      </c>
      <c r="BH192" s="22">
        <f>+'QTR Raw'!AB90</f>
        <v>0</v>
      </c>
      <c r="BI192" s="23">
        <f t="shared" si="1259"/>
        <v>0</v>
      </c>
      <c r="BJ192" s="23">
        <f>+'QTR Raw'!AD90</f>
        <v>0</v>
      </c>
      <c r="BK192" s="23">
        <f t="shared" si="1259"/>
        <v>0</v>
      </c>
      <c r="BL192" s="23">
        <f>+'QTR Raw'!AF90</f>
        <v>0</v>
      </c>
      <c r="BM192" s="23">
        <f t="shared" si="1259"/>
        <v>0</v>
      </c>
      <c r="BN192" s="23">
        <f>+'QTR Raw'!AH90</f>
        <v>0</v>
      </c>
      <c r="BO192" s="23">
        <f t="shared" si="1259"/>
        <v>0</v>
      </c>
      <c r="BP192" s="23">
        <f>+'QTR Raw'!AJ90</f>
        <v>0</v>
      </c>
      <c r="BQ192" s="23">
        <f t="shared" si="1259"/>
        <v>0</v>
      </c>
      <c r="BR192" s="23">
        <f>+'QTR Raw'!AL90</f>
        <v>0</v>
      </c>
      <c r="BS192" s="23">
        <f t="shared" si="1259"/>
        <v>0</v>
      </c>
      <c r="BT192" s="23">
        <f>+'QTR Raw'!AN90</f>
        <v>0</v>
      </c>
      <c r="BU192" s="23">
        <f t="shared" si="1259"/>
        <v>0</v>
      </c>
      <c r="BV192" s="23">
        <f>+'QTR Raw'!AP90</f>
        <v>0</v>
      </c>
      <c r="BW192" s="23">
        <f t="shared" si="1259"/>
        <v>0</v>
      </c>
      <c r="BX192" s="23">
        <f>+'QTR Raw'!AR90</f>
        <v>0</v>
      </c>
      <c r="BY192" s="23">
        <f t="shared" si="1259"/>
        <v>0</v>
      </c>
      <c r="BZ192" s="23">
        <f>+'QTR Raw'!AT90</f>
        <v>0</v>
      </c>
      <c r="CA192" s="23">
        <f t="shared" si="1259"/>
        <v>0</v>
      </c>
      <c r="CB192" s="23">
        <f>+'QTR Raw'!AV90</f>
        <v>0</v>
      </c>
      <c r="CC192" s="23">
        <f t="shared" si="1259"/>
        <v>0</v>
      </c>
      <c r="CD192" s="23">
        <f>+'QTR Raw'!AX90</f>
        <v>0</v>
      </c>
      <c r="CE192" s="23">
        <f t="shared" si="1260"/>
        <v>0</v>
      </c>
      <c r="CF192" s="23">
        <f>+'QTR Raw'!AZ90</f>
        <v>0</v>
      </c>
      <c r="CG192" s="23">
        <f t="shared" si="1261"/>
        <v>0</v>
      </c>
      <c r="CH192" s="23">
        <f>+Z192</f>
        <v>0</v>
      </c>
      <c r="CI192" s="23">
        <f t="shared" si="1261"/>
        <v>0</v>
      </c>
      <c r="CJ192" s="23">
        <f>+'QTR Raw'!BD90</f>
        <v>0</v>
      </c>
      <c r="CK192" s="23">
        <f t="shared" si="1262"/>
        <v>0</v>
      </c>
      <c r="CL192" s="23">
        <f>+'QTR Raw'!BF90</f>
        <v>0</v>
      </c>
      <c r="CM192" s="24">
        <f t="shared" si="1263"/>
        <v>0</v>
      </c>
      <c r="CN192" s="24">
        <f t="shared" si="1264"/>
        <v>0</v>
      </c>
      <c r="CO192" s="24">
        <f t="shared" si="1265"/>
        <v>0</v>
      </c>
      <c r="CP192" s="24">
        <f t="shared" si="1266"/>
        <v>0</v>
      </c>
      <c r="CQ192" s="24">
        <f t="shared" si="1267"/>
        <v>0</v>
      </c>
      <c r="CR192" s="24">
        <f t="shared" si="1268"/>
        <v>0</v>
      </c>
      <c r="CS192" s="24">
        <f t="shared" si="1269"/>
        <v>0</v>
      </c>
      <c r="CT192" s="24">
        <f t="shared" si="1270"/>
        <v>0</v>
      </c>
      <c r="CU192" s="24">
        <f t="shared" si="1271"/>
        <v>0</v>
      </c>
      <c r="CV192" s="24">
        <f t="shared" si="1272"/>
        <v>0</v>
      </c>
      <c r="CW192" s="24">
        <f t="shared" si="1273"/>
        <v>0</v>
      </c>
      <c r="CX192" s="24">
        <f t="shared" si="1274"/>
        <v>0</v>
      </c>
      <c r="CY192" s="24">
        <f t="shared" si="1275"/>
        <v>0</v>
      </c>
      <c r="CZ192" s="24">
        <f t="shared" si="1276"/>
        <v>0</v>
      </c>
      <c r="DA192" s="24">
        <f t="shared" si="1277"/>
        <v>0</v>
      </c>
      <c r="DB192" s="24">
        <f t="shared" si="1278"/>
        <v>0</v>
      </c>
      <c r="DE192" s="123"/>
      <c r="DF192" s="23">
        <v>4502.6000000000004</v>
      </c>
    </row>
    <row r="193" spans="1:110" s="23" customFormat="1" outlineLevel="1" x14ac:dyDescent="0.2">
      <c r="A193" s="23" t="s">
        <v>48</v>
      </c>
      <c r="B193" s="23">
        <f>'Annual Raw'!C56</f>
        <v>0</v>
      </c>
      <c r="C193" s="23">
        <f>'Annual Raw'!D56</f>
        <v>0</v>
      </c>
      <c r="D193" s="23">
        <f>'Annual Raw'!E56</f>
        <v>0</v>
      </c>
      <c r="E193" s="23">
        <f>'Annual Raw'!F56</f>
        <v>0</v>
      </c>
      <c r="F193" s="23">
        <f>'Annual Raw'!G56</f>
        <v>0</v>
      </c>
      <c r="G193" s="23">
        <f>'Annual Raw'!H56</f>
        <v>0</v>
      </c>
      <c r="H193" s="23">
        <f>'Annual Raw'!I56</f>
        <v>0</v>
      </c>
      <c r="I193" s="23">
        <f>'Annual Raw'!J56</f>
        <v>0</v>
      </c>
      <c r="J193" s="23">
        <f>'Annual Raw'!K56</f>
        <v>0</v>
      </c>
      <c r="K193" s="23">
        <f>'Annual Raw'!L56</f>
        <v>0</v>
      </c>
      <c r="L193" s="23">
        <f>'Annual Raw'!M56</f>
        <v>0</v>
      </c>
      <c r="M193" s="23">
        <f>'Annual Raw'!N56</f>
        <v>0</v>
      </c>
      <c r="N193" s="23">
        <f>'Annual Raw'!O56</f>
        <v>0</v>
      </c>
      <c r="O193" s="23">
        <f>'Annual Raw'!P56</f>
        <v>0</v>
      </c>
      <c r="P193" s="23">
        <f>'Annual Raw'!Q56</f>
        <v>7.5</v>
      </c>
      <c r="Q193" s="23">
        <f>'Annual Raw'!R56</f>
        <v>1.9349000000000001</v>
      </c>
      <c r="R193" s="23">
        <f>'Annual Raw'!S56</f>
        <v>16.5335</v>
      </c>
      <c r="S193" s="23">
        <f>'Annual Raw'!T56</f>
        <v>19.1479</v>
      </c>
      <c r="T193" s="23">
        <f>'Annual Raw'!U56</f>
        <v>2.6709000000000001</v>
      </c>
      <c r="U193" s="23">
        <f>'Annual Raw'!V56</f>
        <v>17.988099999999999</v>
      </c>
      <c r="V193" s="23">
        <f>'Annual Raw'!W56</f>
        <v>9.6936</v>
      </c>
      <c r="W193" s="23">
        <f>'Annual Raw'!X56</f>
        <v>0</v>
      </c>
      <c r="X193" s="23">
        <f>'Annual Raw'!Y56</f>
        <v>0</v>
      </c>
      <c r="Y193" s="23">
        <f>'Annual Raw'!Z56</f>
        <v>0</v>
      </c>
      <c r="Z193" s="23">
        <f>'Annual Raw'!AA56</f>
        <v>279.93</v>
      </c>
      <c r="AA193" s="23">
        <f>'Annual Raw'!AB56</f>
        <v>2028.58</v>
      </c>
      <c r="AB193" s="24">
        <f t="shared" si="1255"/>
        <v>6531.18</v>
      </c>
      <c r="AC193" s="24">
        <f t="shared" si="1256"/>
        <v>6531.18</v>
      </c>
      <c r="AD193" s="24">
        <f t="shared" si="1257"/>
        <v>6531.18</v>
      </c>
      <c r="AE193" s="24">
        <f t="shared" si="1258"/>
        <v>6531.18</v>
      </c>
      <c r="AJ193" s="23">
        <f>+'QTR Raw'!D88</f>
        <v>0</v>
      </c>
      <c r="AK193" s="23">
        <f t="shared" si="1259"/>
        <v>0</v>
      </c>
      <c r="AL193" s="23">
        <f>+'QTR Raw'!F88</f>
        <v>0</v>
      </c>
      <c r="AM193" s="23">
        <f t="shared" si="1259"/>
        <v>0</v>
      </c>
      <c r="AN193" s="23">
        <f>+'QTR Raw'!H88</f>
        <v>0</v>
      </c>
      <c r="AO193" s="23">
        <f t="shared" si="1259"/>
        <v>0</v>
      </c>
      <c r="AP193" s="23">
        <f>+'QTR Raw'!J88</f>
        <v>0</v>
      </c>
      <c r="AQ193" s="23">
        <f t="shared" si="1259"/>
        <v>0</v>
      </c>
      <c r="AR193" s="23">
        <f>+'QTR Raw'!L88</f>
        <v>0</v>
      </c>
      <c r="AS193" s="23">
        <f t="shared" si="1259"/>
        <v>0</v>
      </c>
      <c r="AT193" s="23">
        <f>+'QTR Raw'!N88</f>
        <v>7.5</v>
      </c>
      <c r="AU193" s="23">
        <f t="shared" si="1259"/>
        <v>7.5</v>
      </c>
      <c r="AV193" s="23">
        <f>+'QTR Raw'!P88</f>
        <v>0</v>
      </c>
      <c r="AW193" s="23">
        <f t="shared" si="1259"/>
        <v>0</v>
      </c>
      <c r="AX193" s="23">
        <f>+'QTR Raw'!R88</f>
        <v>1.9350000000000001</v>
      </c>
      <c r="AY193" s="23">
        <f t="shared" si="1259"/>
        <v>1.9350000000000001</v>
      </c>
      <c r="AZ193" s="23">
        <f>+'QTR Raw'!T88</f>
        <v>13.840999999999999</v>
      </c>
      <c r="BA193" s="23">
        <f t="shared" si="1259"/>
        <v>13.840999999999999</v>
      </c>
      <c r="BB193" s="23">
        <f>+'QTR Raw'!V88</f>
        <v>16.744</v>
      </c>
      <c r="BC193" s="23">
        <f t="shared" si="1259"/>
        <v>16.744</v>
      </c>
      <c r="BD193" s="23">
        <f>+'QTR Raw'!X88</f>
        <v>8.4969999999999999</v>
      </c>
      <c r="BE193" s="23">
        <f t="shared" si="1259"/>
        <v>8.4969999999999999</v>
      </c>
      <c r="BF193" s="23">
        <f>+'QTR Raw'!Z88</f>
        <v>19.148</v>
      </c>
      <c r="BG193" s="23">
        <f t="shared" si="1259"/>
        <v>19.148</v>
      </c>
      <c r="BH193" s="23">
        <f>+'QTR Raw'!AB88</f>
        <v>18.489000000000001</v>
      </c>
      <c r="BI193" s="23">
        <f t="shared" si="1259"/>
        <v>18.489000000000001</v>
      </c>
      <c r="BJ193" s="23">
        <f>+'QTR Raw'!AD88</f>
        <v>2.6709999999999998</v>
      </c>
      <c r="BK193" s="23">
        <f t="shared" si="1259"/>
        <v>2.6709999999999998</v>
      </c>
      <c r="BL193" s="23">
        <f>+'QTR Raw'!AF88</f>
        <v>17.846</v>
      </c>
      <c r="BM193" s="23">
        <f t="shared" si="1259"/>
        <v>17.846</v>
      </c>
      <c r="BN193" s="23">
        <f>+'QTR Raw'!AH88</f>
        <v>17.988</v>
      </c>
      <c r="BO193" s="23">
        <f t="shared" si="1259"/>
        <v>17.988</v>
      </c>
      <c r="BP193" s="23">
        <f>+'QTR Raw'!AJ88</f>
        <v>16.648</v>
      </c>
      <c r="BQ193" s="23">
        <f t="shared" si="1259"/>
        <v>16.648</v>
      </c>
      <c r="BR193" s="23">
        <f>+'QTR Raw'!AL88</f>
        <v>9.6940000000000008</v>
      </c>
      <c r="BS193" s="23">
        <f t="shared" si="1259"/>
        <v>9.6940000000000008</v>
      </c>
      <c r="BT193" s="23">
        <f>+'QTR Raw'!AN88</f>
        <v>0</v>
      </c>
      <c r="BU193" s="23">
        <f t="shared" si="1259"/>
        <v>0</v>
      </c>
      <c r="BV193" s="23">
        <f>+'QTR Raw'!AP88</f>
        <v>0</v>
      </c>
      <c r="BW193" s="23">
        <f t="shared" si="1259"/>
        <v>0</v>
      </c>
      <c r="BX193" s="23">
        <f>+'QTR Raw'!AR88</f>
        <v>0</v>
      </c>
      <c r="BY193" s="23">
        <f t="shared" si="1259"/>
        <v>0</v>
      </c>
      <c r="BZ193" s="23">
        <f>+'QTR Raw'!AT88</f>
        <v>0</v>
      </c>
      <c r="CA193" s="23">
        <f t="shared" si="1259"/>
        <v>0</v>
      </c>
      <c r="CB193" s="23">
        <f>+'QTR Raw'!AV88</f>
        <v>0</v>
      </c>
      <c r="CC193" s="23">
        <f t="shared" si="1259"/>
        <v>0</v>
      </c>
      <c r="CD193" s="23">
        <f>+'QTR Raw'!AX88</f>
        <v>0</v>
      </c>
      <c r="CE193" s="23">
        <f t="shared" si="1260"/>
        <v>0</v>
      </c>
      <c r="CF193" s="23">
        <f>+'QTR Raw'!AZ88</f>
        <v>0</v>
      </c>
      <c r="CG193" s="23">
        <f t="shared" si="1261"/>
        <v>0</v>
      </c>
      <c r="CH193" s="23">
        <f t="shared" si="1237"/>
        <v>279.93</v>
      </c>
      <c r="CI193" s="23">
        <f t="shared" si="1261"/>
        <v>279.93</v>
      </c>
      <c r="CJ193" s="23">
        <f>+'QTR Raw'!BD88</f>
        <v>2519.25</v>
      </c>
      <c r="CK193" s="23">
        <f t="shared" si="1262"/>
        <v>2519.25</v>
      </c>
      <c r="CL193" s="23">
        <f>+'QTR Raw'!BF88</f>
        <v>6531.18</v>
      </c>
      <c r="CM193" s="24">
        <f t="shared" si="1263"/>
        <v>6531.18</v>
      </c>
      <c r="CN193" s="24">
        <f t="shared" si="1264"/>
        <v>6531.18</v>
      </c>
      <c r="CO193" s="24">
        <f t="shared" si="1265"/>
        <v>6531.18</v>
      </c>
      <c r="CP193" s="24">
        <f t="shared" si="1266"/>
        <v>6531.18</v>
      </c>
      <c r="CQ193" s="24">
        <f t="shared" si="1267"/>
        <v>6531.18</v>
      </c>
      <c r="CR193" s="24">
        <f t="shared" si="1268"/>
        <v>6531.18</v>
      </c>
      <c r="CS193" s="24">
        <f t="shared" si="1269"/>
        <v>6531.18</v>
      </c>
      <c r="CT193" s="24">
        <f t="shared" si="1270"/>
        <v>6531.18</v>
      </c>
      <c r="CU193" s="24">
        <f t="shared" si="1271"/>
        <v>6531.18</v>
      </c>
      <c r="CV193" s="24">
        <f t="shared" si="1272"/>
        <v>6531.18</v>
      </c>
      <c r="CW193" s="24">
        <f t="shared" si="1273"/>
        <v>6531.18</v>
      </c>
      <c r="CX193" s="24">
        <f t="shared" si="1274"/>
        <v>6531.18</v>
      </c>
      <c r="CY193" s="24">
        <f t="shared" si="1275"/>
        <v>6531.18</v>
      </c>
      <c r="CZ193" s="24">
        <f t="shared" si="1276"/>
        <v>6531.18</v>
      </c>
      <c r="DA193" s="24">
        <f t="shared" si="1277"/>
        <v>6531.18</v>
      </c>
      <c r="DB193" s="24">
        <f t="shared" si="1278"/>
        <v>6531.18</v>
      </c>
      <c r="DE193" s="123"/>
      <c r="DF193" s="23">
        <v>2028.58</v>
      </c>
    </row>
    <row r="194" spans="1:110" s="22" customFormat="1" x14ac:dyDescent="0.2">
      <c r="A194" s="22" t="s">
        <v>49</v>
      </c>
      <c r="B194" s="22">
        <f>SUM(B190:B193)</f>
        <v>404.95830000000001</v>
      </c>
      <c r="C194" s="22">
        <f t="shared" ref="C194:V194" si="1279">SUM(C190:C193)</f>
        <v>478.87509999999997</v>
      </c>
      <c r="D194" s="22">
        <f t="shared" si="1279"/>
        <v>506.97069999999997</v>
      </c>
      <c r="E194" s="22">
        <f t="shared" si="1279"/>
        <v>485.7398</v>
      </c>
      <c r="F194" s="22">
        <f t="shared" si="1279"/>
        <v>310.3981</v>
      </c>
      <c r="G194" s="22">
        <f t="shared" si="1279"/>
        <v>210.3759</v>
      </c>
      <c r="H194" s="22">
        <f t="shared" si="1279"/>
        <v>193.08090000000001</v>
      </c>
      <c r="I194" s="22">
        <f t="shared" si="1279"/>
        <v>135.1377</v>
      </c>
      <c r="J194" s="22">
        <f t="shared" si="1279"/>
        <v>65.601699999999994</v>
      </c>
      <c r="K194" s="22">
        <f t="shared" si="1279"/>
        <v>45.413699999999999</v>
      </c>
      <c r="L194" s="22">
        <f t="shared" si="1279"/>
        <v>37.972299999999997</v>
      </c>
      <c r="M194" s="22">
        <f t="shared" si="1279"/>
        <v>32.3384</v>
      </c>
      <c r="N194" s="22">
        <f t="shared" si="1279"/>
        <v>26.226800000000001</v>
      </c>
      <c r="O194" s="22">
        <f t="shared" si="1279"/>
        <v>21.4102</v>
      </c>
      <c r="P194" s="22">
        <f t="shared" si="1279"/>
        <v>23.095700000000001</v>
      </c>
      <c r="Q194" s="22">
        <f t="shared" si="1279"/>
        <v>12.1896</v>
      </c>
      <c r="R194" s="22">
        <f t="shared" si="1279"/>
        <v>26.034700000000001</v>
      </c>
      <c r="S194" s="22">
        <f t="shared" si="1279"/>
        <v>29.5047</v>
      </c>
      <c r="T194" s="22">
        <f t="shared" si="1279"/>
        <v>92.508099999999999</v>
      </c>
      <c r="U194" s="22">
        <f t="shared" si="1279"/>
        <v>120.57170000000001</v>
      </c>
      <c r="V194" s="22">
        <f t="shared" si="1279"/>
        <v>173.85140000000001</v>
      </c>
      <c r="W194" s="22">
        <f t="shared" ref="W194" si="1280">SUM(W190:W193)</f>
        <v>95.42</v>
      </c>
      <c r="X194" s="22">
        <f t="shared" ref="X194:Y194" si="1281">SUM(X190:X193)</f>
        <v>1.57</v>
      </c>
      <c r="Y194" s="22">
        <f t="shared" si="1281"/>
        <v>0</v>
      </c>
      <c r="Z194" s="22">
        <f t="shared" ref="Z194:AA194" si="1282">SUM(Z190:Z193)</f>
        <v>1033.8499999999999</v>
      </c>
      <c r="AA194" s="22">
        <f t="shared" si="1282"/>
        <v>20380.440000000002</v>
      </c>
      <c r="AB194" s="21">
        <f t="shared" ref="AB194:AD194" si="1283">SUM(AB190:AB193)</f>
        <v>20380.43</v>
      </c>
      <c r="AC194" s="21">
        <f t="shared" si="1283"/>
        <v>20380.43</v>
      </c>
      <c r="AD194" s="21">
        <f t="shared" si="1283"/>
        <v>20380.43</v>
      </c>
      <c r="AE194" s="21">
        <f t="shared" ref="AE194" si="1284">SUM(AE190:AE193)</f>
        <v>20380.43</v>
      </c>
      <c r="AJ194" s="22">
        <f t="shared" ref="AJ194" si="1285">SUM(AJ190:AJ193)</f>
        <v>26.696999999999999</v>
      </c>
      <c r="AK194" s="22">
        <f t="shared" ref="AK194" si="1286">SUM(AK190:AK193)</f>
        <v>26.696999999999999</v>
      </c>
      <c r="AL194" s="22">
        <f t="shared" ref="AL194:AM194" si="1287">SUM(AL190:AL193)</f>
        <v>20.585000000000001</v>
      </c>
      <c r="AM194" s="22">
        <f t="shared" si="1287"/>
        <v>20.585000000000001</v>
      </c>
      <c r="AN194" s="22">
        <f t="shared" ref="AN194:AO194" si="1288">SUM(AN190:AN193)</f>
        <v>18.123999999999999</v>
      </c>
      <c r="AO194" s="22">
        <f t="shared" si="1288"/>
        <v>18.123999999999999</v>
      </c>
      <c r="AP194" s="22">
        <f t="shared" ref="AP194:CE194" si="1289">SUM(AP190:AP193)</f>
        <v>15.663</v>
      </c>
      <c r="AQ194" s="22">
        <f t="shared" si="1289"/>
        <v>15.663</v>
      </c>
      <c r="AR194" s="22">
        <f t="shared" si="1289"/>
        <v>12.747</v>
      </c>
      <c r="AS194" s="22">
        <f t="shared" si="1289"/>
        <v>12.747</v>
      </c>
      <c r="AT194" s="22">
        <f t="shared" si="1289"/>
        <v>17.733000000000001</v>
      </c>
      <c r="AU194" s="22">
        <f t="shared" si="1289"/>
        <v>17.733000000000001</v>
      </c>
      <c r="AV194" s="22">
        <f t="shared" si="1289"/>
        <v>10.14</v>
      </c>
      <c r="AW194" s="22">
        <f t="shared" si="1289"/>
        <v>10.14</v>
      </c>
      <c r="AX194" s="22">
        <f t="shared" si="1289"/>
        <v>11.979000000000001</v>
      </c>
      <c r="AY194" s="22">
        <f t="shared" si="1289"/>
        <v>11.979000000000001</v>
      </c>
      <c r="AZ194" s="22">
        <f t="shared" si="1289"/>
        <v>23.241</v>
      </c>
      <c r="BA194" s="22">
        <f t="shared" si="1289"/>
        <v>23.241</v>
      </c>
      <c r="BB194" s="22">
        <f t="shared" si="1289"/>
        <v>26.035</v>
      </c>
      <c r="BC194" s="22">
        <f t="shared" si="1289"/>
        <v>26.035</v>
      </c>
      <c r="BD194" s="22">
        <f t="shared" si="1289"/>
        <v>15.836</v>
      </c>
      <c r="BE194" s="22">
        <f t="shared" si="1289"/>
        <v>15.836</v>
      </c>
      <c r="BF194" s="22">
        <f t="shared" si="1289"/>
        <v>29.182000000000002</v>
      </c>
      <c r="BG194" s="22">
        <f t="shared" si="1289"/>
        <v>29.182000000000002</v>
      </c>
      <c r="BH194" s="22">
        <f t="shared" ref="BH194" si="1290">SUM(BH190:BH193)</f>
        <v>27.237000000000002</v>
      </c>
      <c r="BI194" s="22">
        <f t="shared" si="1289"/>
        <v>27.237000000000002</v>
      </c>
      <c r="BJ194" s="22">
        <f t="shared" si="1289"/>
        <v>85.289000000000001</v>
      </c>
      <c r="BK194" s="22">
        <f t="shared" si="1289"/>
        <v>85.289000000000001</v>
      </c>
      <c r="BL194" s="22">
        <f t="shared" si="1289"/>
        <v>103.27800000000001</v>
      </c>
      <c r="BM194" s="22">
        <f t="shared" si="1289"/>
        <v>103.27800000000001</v>
      </c>
      <c r="BN194" s="22">
        <f t="shared" si="1289"/>
        <v>98.884</v>
      </c>
      <c r="BO194" s="22">
        <f t="shared" si="1289"/>
        <v>98.884</v>
      </c>
      <c r="BP194" s="22">
        <f t="shared" si="1289"/>
        <v>111.96599999999999</v>
      </c>
      <c r="BQ194" s="22">
        <f t="shared" si="1289"/>
        <v>111.96599999999999</v>
      </c>
      <c r="BR194" s="22">
        <f t="shared" si="1289"/>
        <v>102.86</v>
      </c>
      <c r="BS194" s="22">
        <f t="shared" si="1289"/>
        <v>102.86</v>
      </c>
      <c r="BT194" s="22">
        <f t="shared" si="1289"/>
        <v>76.432000000000002</v>
      </c>
      <c r="BU194" s="22">
        <f t="shared" si="1289"/>
        <v>76.432000000000002</v>
      </c>
      <c r="BV194" s="22">
        <f t="shared" si="1289"/>
        <v>56.72</v>
      </c>
      <c r="BW194" s="22">
        <f t="shared" si="1289"/>
        <v>56.72</v>
      </c>
      <c r="BX194" s="22">
        <f t="shared" si="1289"/>
        <v>50.2</v>
      </c>
      <c r="BY194" s="22">
        <f t="shared" si="1289"/>
        <v>50.2</v>
      </c>
      <c r="BZ194" s="22">
        <f t="shared" si="1289"/>
        <v>0</v>
      </c>
      <c r="CA194" s="22">
        <f t="shared" si="1289"/>
        <v>0</v>
      </c>
      <c r="CB194" s="22">
        <f t="shared" si="1289"/>
        <v>0</v>
      </c>
      <c r="CC194" s="22">
        <f t="shared" si="1289"/>
        <v>0</v>
      </c>
      <c r="CD194" s="22">
        <f t="shared" si="1289"/>
        <v>0</v>
      </c>
      <c r="CE194" s="22">
        <f t="shared" si="1289"/>
        <v>0</v>
      </c>
      <c r="CF194" s="22">
        <f t="shared" ref="CF194:CG194" si="1291">SUM(CF190:CF193)</f>
        <v>0</v>
      </c>
      <c r="CG194" s="22">
        <f t="shared" si="1291"/>
        <v>0</v>
      </c>
      <c r="CH194" s="22">
        <f t="shared" ref="CH194:CI194" si="1292">SUM(CH190:CH193)</f>
        <v>1033.8499999999999</v>
      </c>
      <c r="CI194" s="22">
        <f t="shared" si="1292"/>
        <v>1033.8499999999999</v>
      </c>
      <c r="CJ194" s="22">
        <f t="shared" ref="CJ194:DB194" si="1293">SUM(CJ190:CJ193)</f>
        <v>7982.21</v>
      </c>
      <c r="CK194" s="22">
        <f t="shared" si="1293"/>
        <v>7982.21</v>
      </c>
      <c r="CL194" s="22">
        <f t="shared" ref="CL194" si="1294">SUM(CL190:CL193)</f>
        <v>20380.43</v>
      </c>
      <c r="CM194" s="21">
        <f t="shared" si="1293"/>
        <v>20380.43</v>
      </c>
      <c r="CN194" s="21">
        <f t="shared" si="1293"/>
        <v>20380.43</v>
      </c>
      <c r="CO194" s="21">
        <f t="shared" si="1293"/>
        <v>20380.43</v>
      </c>
      <c r="CP194" s="21">
        <f t="shared" si="1293"/>
        <v>20380.43</v>
      </c>
      <c r="CQ194" s="21">
        <f t="shared" si="1293"/>
        <v>20380.43</v>
      </c>
      <c r="CR194" s="21">
        <f t="shared" si="1293"/>
        <v>20380.43</v>
      </c>
      <c r="CS194" s="21">
        <f t="shared" si="1293"/>
        <v>20380.43</v>
      </c>
      <c r="CT194" s="21">
        <f t="shared" si="1293"/>
        <v>20380.43</v>
      </c>
      <c r="CU194" s="21">
        <f t="shared" si="1293"/>
        <v>20380.43</v>
      </c>
      <c r="CV194" s="21">
        <f t="shared" si="1293"/>
        <v>20380.43</v>
      </c>
      <c r="CW194" s="21">
        <f t="shared" si="1293"/>
        <v>20380.43</v>
      </c>
      <c r="CX194" s="21">
        <f t="shared" si="1293"/>
        <v>20380.43</v>
      </c>
      <c r="CY194" s="21">
        <f t="shared" si="1293"/>
        <v>20380.43</v>
      </c>
      <c r="CZ194" s="21">
        <f t="shared" si="1293"/>
        <v>20380.43</v>
      </c>
      <c r="DA194" s="21">
        <f t="shared" si="1293"/>
        <v>20380.43</v>
      </c>
      <c r="DB194" s="21">
        <f t="shared" si="1293"/>
        <v>20380.43</v>
      </c>
      <c r="DE194" s="126"/>
      <c r="DF194" s="22">
        <v>20380.440000000002</v>
      </c>
    </row>
    <row r="195" spans="1:110" s="26" customFormat="1" x14ac:dyDescent="0.2">
      <c r="A195" s="26" t="s">
        <v>437</v>
      </c>
      <c r="B195" s="26">
        <f>B194+B186+B188</f>
        <v>416.05220000000003</v>
      </c>
      <c r="C195" s="26">
        <f t="shared" ref="C195:V195" si="1295">C194+C186+C188</f>
        <v>403.65969999999999</v>
      </c>
      <c r="D195" s="26">
        <f>D194+D186+D188</f>
        <v>398.99039999999997</v>
      </c>
      <c r="E195" s="26">
        <f t="shared" si="1295"/>
        <v>376.95669999999996</v>
      </c>
      <c r="F195" s="26">
        <f t="shared" si="1295"/>
        <v>231.19800000000001</v>
      </c>
      <c r="G195" s="26">
        <f t="shared" si="1295"/>
        <v>195.8349</v>
      </c>
      <c r="H195" s="26">
        <f t="shared" si="1295"/>
        <v>148.54180000000002</v>
      </c>
      <c r="I195" s="26">
        <f t="shared" si="1295"/>
        <v>133.4956</v>
      </c>
      <c r="J195" s="26">
        <f t="shared" si="1295"/>
        <v>148.46929999999998</v>
      </c>
      <c r="K195" s="26">
        <f t="shared" si="1295"/>
        <v>146.0804</v>
      </c>
      <c r="L195" s="26">
        <f t="shared" si="1295"/>
        <v>157.17349999999999</v>
      </c>
      <c r="M195" s="26">
        <f t="shared" si="1295"/>
        <v>155.27189999999999</v>
      </c>
      <c r="N195" s="26">
        <f t="shared" si="1295"/>
        <v>151.07579999999999</v>
      </c>
      <c r="O195" s="26">
        <f t="shared" si="1295"/>
        <v>103.8135</v>
      </c>
      <c r="P195" s="26">
        <f t="shared" si="1295"/>
        <v>84.344999999999999</v>
      </c>
      <c r="Q195" s="26">
        <f t="shared" si="1295"/>
        <v>74.1601</v>
      </c>
      <c r="R195" s="26">
        <f t="shared" si="1295"/>
        <v>93.6584</v>
      </c>
      <c r="S195" s="26">
        <f t="shared" si="1295"/>
        <v>113.93899999999999</v>
      </c>
      <c r="T195" s="26">
        <f t="shared" si="1295"/>
        <v>200.76159999999999</v>
      </c>
      <c r="U195" s="26">
        <f t="shared" si="1295"/>
        <v>264.97719999999998</v>
      </c>
      <c r="V195" s="26">
        <f t="shared" si="1295"/>
        <v>355.95670000000001</v>
      </c>
      <c r="W195" s="26">
        <f t="shared" ref="W195" si="1296">W194+W186+W188</f>
        <v>577</v>
      </c>
      <c r="X195" s="26">
        <f t="shared" ref="X195:Y195" si="1297">X194+X186+X188</f>
        <v>1530.52</v>
      </c>
      <c r="Y195" s="26">
        <f t="shared" si="1297"/>
        <v>2810.8700000000003</v>
      </c>
      <c r="Z195" s="26">
        <f t="shared" ref="Z195:AA195" si="1298">Z194+Z186+Z188</f>
        <v>7493.93</v>
      </c>
      <c r="AA195" s="26">
        <f t="shared" si="1298"/>
        <v>34646.490000000005</v>
      </c>
      <c r="AB195" s="27">
        <f t="shared" ref="AB195:AD195" si="1299">AB194+AB186+AB188</f>
        <v>40994.963184917826</v>
      </c>
      <c r="AC195" s="27">
        <f t="shared" si="1299"/>
        <v>48677.604128647276</v>
      </c>
      <c r="AD195" s="27">
        <f t="shared" si="1299"/>
        <v>57069.817969190357</v>
      </c>
      <c r="AE195" s="27">
        <f t="shared" ref="AE195" si="1300">AE194+AE186+AE188</f>
        <v>67148.52496550692</v>
      </c>
      <c r="AJ195" s="26">
        <f t="shared" ref="AJ195" si="1301">AJ194+AJ186+AJ188</f>
        <v>149.81799999999998</v>
      </c>
      <c r="AK195" s="26">
        <f t="shared" ref="AK195" si="1302">AK194+AK186+AK188</f>
        <v>143.559</v>
      </c>
      <c r="AL195" s="26">
        <f t="shared" ref="AL195" si="1303">AL194+AL186+AL188</f>
        <v>145.434</v>
      </c>
      <c r="AM195" s="26">
        <f t="shared" ref="AM195:AO195" si="1304">AM194+AM186+AM188</f>
        <v>132.72499999999997</v>
      </c>
      <c r="AN195" s="26">
        <f t="shared" si="1304"/>
        <v>119.461</v>
      </c>
      <c r="AO195" s="26">
        <f t="shared" si="1304"/>
        <v>113.548</v>
      </c>
      <c r="AP195" s="26">
        <f t="shared" ref="AP195:CE195" si="1305">AP194+AP186+AP188</f>
        <v>98.066999999999993</v>
      </c>
      <c r="AQ195" s="26">
        <f t="shared" si="1305"/>
        <v>89.500000000000028</v>
      </c>
      <c r="AR195" s="26">
        <f t="shared" si="1305"/>
        <v>83.204999999999998</v>
      </c>
      <c r="AS195" s="26">
        <f t="shared" si="1305"/>
        <v>76.561999999999983</v>
      </c>
      <c r="AT195" s="26">
        <f t="shared" si="1305"/>
        <v>78.983000000000004</v>
      </c>
      <c r="AU195" s="26">
        <f t="shared" si="1305"/>
        <v>81.723000000000027</v>
      </c>
      <c r="AV195" s="26">
        <f t="shared" si="1305"/>
        <v>74.486999999999995</v>
      </c>
      <c r="AW195" s="26">
        <f t="shared" si="1305"/>
        <v>74.74199999999999</v>
      </c>
      <c r="AX195" s="26">
        <f t="shared" si="1305"/>
        <v>73.95</v>
      </c>
      <c r="AY195" s="26">
        <f t="shared" si="1305"/>
        <v>74.089000000000013</v>
      </c>
      <c r="AZ195" s="26">
        <f t="shared" si="1305"/>
        <v>85.66</v>
      </c>
      <c r="BA195" s="26">
        <f t="shared" si="1305"/>
        <v>86.088999999999999</v>
      </c>
      <c r="BB195" s="26">
        <f t="shared" si="1305"/>
        <v>93.658999999999992</v>
      </c>
      <c r="BC195" s="26">
        <f t="shared" si="1305"/>
        <v>98.940999999999988</v>
      </c>
      <c r="BD195" s="26">
        <f t="shared" si="1305"/>
        <v>89.38</v>
      </c>
      <c r="BE195" s="26">
        <f t="shared" si="1305"/>
        <v>90.953000000000017</v>
      </c>
      <c r="BF195" s="26">
        <f t="shared" si="1305"/>
        <v>113.617</v>
      </c>
      <c r="BG195" s="26">
        <f t="shared" si="1305"/>
        <v>123.878</v>
      </c>
      <c r="BH195" s="26">
        <f t="shared" ref="BH195" si="1306">BH194+BH186+BH188</f>
        <v>122.52199999999999</v>
      </c>
      <c r="BI195" s="26">
        <f t="shared" si="1305"/>
        <v>124.37</v>
      </c>
      <c r="BJ195" s="26">
        <f t="shared" si="1305"/>
        <v>193.54300000000001</v>
      </c>
      <c r="BK195" s="26">
        <f t="shared" si="1305"/>
        <v>201.03199999999998</v>
      </c>
      <c r="BL195" s="26">
        <f t="shared" si="1305"/>
        <v>222.827</v>
      </c>
      <c r="BM195" s="26">
        <f t="shared" si="1305"/>
        <v>225.91</v>
      </c>
      <c r="BN195" s="26">
        <f t="shared" si="1305"/>
        <v>243.28899999999999</v>
      </c>
      <c r="BO195" s="26">
        <f t="shared" si="1305"/>
        <v>233.85300000000001</v>
      </c>
      <c r="BP195" s="26">
        <f t="shared" si="1305"/>
        <v>269.76</v>
      </c>
      <c r="BQ195" s="26">
        <f t="shared" si="1305"/>
        <v>272.35599999999999</v>
      </c>
      <c r="BR195" s="26">
        <f t="shared" si="1305"/>
        <v>284.96500000000003</v>
      </c>
      <c r="BS195" s="26">
        <f t="shared" si="1305"/>
        <v>284.78500000000003</v>
      </c>
      <c r="BT195" s="26">
        <f t="shared" si="1305"/>
        <v>460.30599999999998</v>
      </c>
      <c r="BU195" s="26">
        <f t="shared" si="1305"/>
        <v>434.166</v>
      </c>
      <c r="BV195" s="26">
        <f t="shared" si="1305"/>
        <v>538.30000000000007</v>
      </c>
      <c r="BW195" s="26">
        <f t="shared" si="1305"/>
        <v>-392.03000000000009</v>
      </c>
      <c r="BX195" s="26">
        <f t="shared" si="1305"/>
        <v>226.59999999999997</v>
      </c>
      <c r="BY195" s="26">
        <f t="shared" si="1305"/>
        <v>456.62999999999988</v>
      </c>
      <c r="BZ195" s="26">
        <f t="shared" si="1305"/>
        <v>1528.95</v>
      </c>
      <c r="CA195" s="26">
        <f t="shared" si="1305"/>
        <v>1932.21</v>
      </c>
      <c r="CB195" s="26">
        <f t="shared" si="1305"/>
        <v>2180.98</v>
      </c>
      <c r="CC195" s="26">
        <f t="shared" si="1305"/>
        <v>2512.48</v>
      </c>
      <c r="CD195" s="26">
        <f t="shared" si="1305"/>
        <v>2810.8700000000003</v>
      </c>
      <c r="CE195" s="26">
        <f t="shared" si="1305"/>
        <v>3368.27</v>
      </c>
      <c r="CF195" s="26">
        <f t="shared" ref="CF195:CG195" si="1307">CF194+CF186+CF188</f>
        <v>5785.5999999999995</v>
      </c>
      <c r="CG195" s="26">
        <f t="shared" si="1307"/>
        <v>6174.8899999999994</v>
      </c>
      <c r="CH195" s="26">
        <f t="shared" ref="CH195:CI195" si="1308">CH194+CH186+CH188</f>
        <v>7493.93</v>
      </c>
      <c r="CI195" s="26">
        <f t="shared" si="1308"/>
        <v>8135.52</v>
      </c>
      <c r="CJ195" s="26">
        <f t="shared" ref="CJ195:DB195" si="1309">CJ194+CJ186+CJ188</f>
        <v>16141.28</v>
      </c>
      <c r="CK195" s="26">
        <f t="shared" si="1309"/>
        <v>17188.670000000002</v>
      </c>
      <c r="CL195" s="26">
        <f t="shared" ref="CL195" si="1310">CL194+CL186+CL188</f>
        <v>34646.480000000003</v>
      </c>
      <c r="CM195" s="27">
        <f t="shared" si="1309"/>
        <v>36265.689278400008</v>
      </c>
      <c r="CN195" s="27">
        <f t="shared" si="1309"/>
        <v>37800.091474177723</v>
      </c>
      <c r="CO195" s="27">
        <f t="shared" si="1309"/>
        <v>39361.477346568034</v>
      </c>
      <c r="CP195" s="27">
        <f t="shared" si="1309"/>
        <v>40994.963184917826</v>
      </c>
      <c r="CQ195" s="27">
        <f t="shared" si="1309"/>
        <v>42717.90488780335</v>
      </c>
      <c r="CR195" s="27">
        <f t="shared" si="1309"/>
        <v>44498.2720897943</v>
      </c>
      <c r="CS195" s="27">
        <f t="shared" si="1309"/>
        <v>46519.24317533226</v>
      </c>
      <c r="CT195" s="27">
        <f t="shared" si="1309"/>
        <v>48677.604128647276</v>
      </c>
      <c r="CU195" s="27">
        <f t="shared" si="1309"/>
        <v>50692.876646790159</v>
      </c>
      <c r="CV195" s="27">
        <f t="shared" si="1309"/>
        <v>52601.140970195724</v>
      </c>
      <c r="CW195" s="27">
        <f t="shared" si="1309"/>
        <v>54771.715144857335</v>
      </c>
      <c r="CX195" s="27">
        <f t="shared" si="1309"/>
        <v>57069.817969190357</v>
      </c>
      <c r="CY195" s="27">
        <f t="shared" si="1309"/>
        <v>59494.211086750845</v>
      </c>
      <c r="CZ195" s="27">
        <f t="shared" si="1309"/>
        <v>61806.787136578801</v>
      </c>
      <c r="DA195" s="27">
        <f t="shared" si="1309"/>
        <v>64402.038963305298</v>
      </c>
      <c r="DB195" s="27">
        <f t="shared" si="1309"/>
        <v>67148.52496550692</v>
      </c>
      <c r="DE195" s="121"/>
      <c r="DF195" s="26">
        <v>34646.490000000005</v>
      </c>
    </row>
    <row r="196" spans="1:110" s="23" customFormat="1" x14ac:dyDescent="0.2">
      <c r="AB196" s="24"/>
      <c r="AC196" s="24"/>
      <c r="AD196" s="24"/>
      <c r="AE196" s="24"/>
      <c r="CM196" s="24"/>
      <c r="CN196" s="24"/>
      <c r="CO196" s="24"/>
      <c r="CP196" s="24"/>
      <c r="CQ196" s="24"/>
      <c r="CR196" s="24"/>
      <c r="CS196" s="24"/>
      <c r="CT196" s="24"/>
      <c r="CU196" s="24"/>
      <c r="CV196" s="24"/>
      <c r="CW196" s="24"/>
      <c r="CX196" s="24"/>
      <c r="CY196" s="24"/>
      <c r="CZ196" s="24"/>
      <c r="DA196" s="24"/>
      <c r="DB196" s="24"/>
      <c r="DE196" s="123"/>
    </row>
    <row r="197" spans="1:110" s="23" customFormat="1" outlineLevel="1" x14ac:dyDescent="0.2">
      <c r="A197" s="23" t="s">
        <v>50</v>
      </c>
      <c r="B197" s="23">
        <f>'Annual Raw'!C62</f>
        <v>304.06909999999999</v>
      </c>
      <c r="C197" s="23">
        <f>'Annual Raw'!D62</f>
        <v>303.6044</v>
      </c>
      <c r="D197" s="23">
        <f>'Annual Raw'!E62</f>
        <v>304.03550000000001</v>
      </c>
      <c r="E197" s="23">
        <f>'Annual Raw'!F62-E201</f>
        <v>306.06959999999998</v>
      </c>
      <c r="F197" s="23">
        <f>'Annual Raw'!G62-F201</f>
        <v>306.45999999999998</v>
      </c>
      <c r="G197" s="23">
        <f>'Annual Raw'!H62-G201</f>
        <v>387.58800000000002</v>
      </c>
      <c r="H197" s="23">
        <f>'Annual Raw'!I62-H201</f>
        <v>398.51650000000001</v>
      </c>
      <c r="I197" s="23">
        <f>'Annual Raw'!J62-I201</f>
        <v>393.09480000000002</v>
      </c>
      <c r="J197" s="23">
        <f>'Annual Raw'!K62-J201</f>
        <v>347.46170000000001</v>
      </c>
      <c r="K197" s="23">
        <f>'Annual Raw'!L62-K201</f>
        <v>334.46890000000002</v>
      </c>
      <c r="L197" s="23">
        <f>'Annual Raw'!M62-L201</f>
        <v>507.35980000000001</v>
      </c>
      <c r="M197" s="23">
        <f>'Annual Raw'!N62-M201</f>
        <v>515.80669999999998</v>
      </c>
      <c r="N197" s="23">
        <f>'Annual Raw'!O62-N201</f>
        <v>520.4239</v>
      </c>
      <c r="O197" s="23">
        <f>'Annual Raw'!P62-O201</f>
        <v>527.56029999999998</v>
      </c>
      <c r="P197" s="23">
        <f>'Annual Raw'!Q62-P201</f>
        <v>534.08339999999998</v>
      </c>
      <c r="Q197" s="23">
        <f>'Annual Raw'!R62-Q201</f>
        <v>566.36419999999998</v>
      </c>
      <c r="R197" s="23">
        <f>'Annual Raw'!S62-R201</f>
        <v>605.75049999999999</v>
      </c>
      <c r="S197" s="23">
        <f>'Annual Raw'!T62-S201</f>
        <v>647.51909999999998</v>
      </c>
      <c r="T197" s="23">
        <f>'Annual Raw'!U62-T201</f>
        <v>671.78650000000005</v>
      </c>
      <c r="U197" s="23">
        <f>'Annual Raw'!V62-U201</f>
        <v>704.63260000000002</v>
      </c>
      <c r="V197" s="23">
        <f>'Annual Raw'!W62-V201</f>
        <v>706.20119999999997</v>
      </c>
      <c r="W197" s="23">
        <f>'Annual Raw'!X62-W201</f>
        <v>761.44</v>
      </c>
      <c r="X197" s="23">
        <f>'Annual Raw'!Y62-X201</f>
        <v>916.24</v>
      </c>
      <c r="Y197" s="23">
        <f>'Annual Raw'!Z62-Y201</f>
        <v>1665.44</v>
      </c>
      <c r="Z197" s="23">
        <f>'Annual Raw'!AA62-Z201</f>
        <v>2203.75</v>
      </c>
      <c r="AA197" s="23">
        <f>'Annual Raw'!AB62-AA201</f>
        <v>17245.04</v>
      </c>
      <c r="AB197" s="24">
        <f t="shared" ref="AB197:AB203" si="1311">+CP197</f>
        <v>13806.099999999999</v>
      </c>
      <c r="AC197" s="24">
        <f t="shared" ref="AC197:AC203" si="1312">+CT197</f>
        <v>15406.099999999999</v>
      </c>
      <c r="AD197" s="24">
        <f t="shared" ref="AD197:AD203" si="1313">+CX197</f>
        <v>17006.099999999999</v>
      </c>
      <c r="AE197" s="24">
        <f t="shared" ref="AE197:AE203" si="1314">+DB197</f>
        <v>18606.099999999999</v>
      </c>
      <c r="AJ197" s="23">
        <f>+'QTR Raw'!D68</f>
        <v>307.09300000000002</v>
      </c>
      <c r="AL197" s="23">
        <f>+'QTR Raw'!F68</f>
        <v>298.85300000000001</v>
      </c>
      <c r="AN197" s="23">
        <f>+'QTR Raw'!H68</f>
        <v>290.08300000000003</v>
      </c>
      <c r="AP197" s="23">
        <f>+'QTR Raw'!J68</f>
        <v>280.06299999999999</v>
      </c>
      <c r="AR197" s="23">
        <f>+'QTR Raw'!L68</f>
        <v>281.29300000000001</v>
      </c>
      <c r="AT197" s="23">
        <f>+'QTR Raw'!N68</f>
        <v>276.42500000000001</v>
      </c>
      <c r="AV197" s="23">
        <f>+'QTR Raw'!P68</f>
        <v>283.125</v>
      </c>
      <c r="AX197" s="23">
        <f>+'QTR Raw'!R68</f>
        <v>292.65899999999999</v>
      </c>
      <c r="AZ197" s="23">
        <f>+'QTR Raw'!T68</f>
        <v>295.14</v>
      </c>
      <c r="BB197" s="23">
        <f>+'QTR Raw'!V68</f>
        <v>319.88799999999998</v>
      </c>
      <c r="BD197" s="23">
        <f>+'QTR Raw'!X68</f>
        <v>314.45999999999998</v>
      </c>
      <c r="BF197" s="23">
        <f>+'QTR Raw'!Z68</f>
        <v>348.23500000000001</v>
      </c>
      <c r="BH197" s="23">
        <f>+'QTR Raw'!AB68</f>
        <v>379.16899999999998</v>
      </c>
      <c r="BJ197" s="23">
        <f>+'QTR Raw'!AD68</f>
        <v>358.17700000000002</v>
      </c>
      <c r="BL197" s="23">
        <f>+'QTR Raw'!AF68</f>
        <v>370.24599999999998</v>
      </c>
      <c r="BN197" s="23">
        <f>+'QTR Raw'!AH68</f>
        <v>370.94600000000003</v>
      </c>
      <c r="BP197" s="23">
        <f>+'QTR Raw'!AJ68</f>
        <v>366.46199999999999</v>
      </c>
      <c r="BR197" s="23">
        <f>+'QTR Raw'!AL68</f>
        <v>360.88600000000002</v>
      </c>
      <c r="BT197" s="23">
        <f>+'QTR Raw'!AN68</f>
        <v>355.02699999999999</v>
      </c>
      <c r="BV197" s="23">
        <f>+'QTR Raw'!AP68</f>
        <v>399.06</v>
      </c>
      <c r="BX197" s="23">
        <f>+'QTR Raw'!AR68</f>
        <v>403.57</v>
      </c>
      <c r="BZ197" s="23">
        <f>+'QTR Raw'!AT68</f>
        <v>481.74</v>
      </c>
      <c r="CB197" s="23">
        <f>+'QTR Raw'!AV68</f>
        <v>897.33</v>
      </c>
      <c r="CD197" s="23">
        <f>+'QTR Raw'!AX68</f>
        <v>1156.75</v>
      </c>
      <c r="CF197" s="23">
        <f>+'QTR Raw'!AZ68</f>
        <v>1447.77</v>
      </c>
      <c r="CH197" s="23">
        <f t="shared" ref="CH197:CH203" si="1315">Z197</f>
        <v>2203.75</v>
      </c>
      <c r="CI197" s="23">
        <f>CH197</f>
        <v>2203.75</v>
      </c>
      <c r="CJ197" s="23">
        <f>+CJ198+CJ200</f>
        <v>7146.54</v>
      </c>
      <c r="CK197" s="23">
        <f>+CJ197</f>
        <v>7146.54</v>
      </c>
      <c r="CL197" s="23">
        <f>+CL198+CL200</f>
        <v>12206.099999999999</v>
      </c>
      <c r="CM197" s="24">
        <f t="shared" ref="CM197:DB197" si="1316">+CL197+400</f>
        <v>12606.099999999999</v>
      </c>
      <c r="CN197" s="24">
        <f t="shared" si="1316"/>
        <v>13006.099999999999</v>
      </c>
      <c r="CO197" s="24">
        <f t="shared" si="1316"/>
        <v>13406.099999999999</v>
      </c>
      <c r="CP197" s="24">
        <f t="shared" si="1316"/>
        <v>13806.099999999999</v>
      </c>
      <c r="CQ197" s="24">
        <f t="shared" si="1316"/>
        <v>14206.099999999999</v>
      </c>
      <c r="CR197" s="24">
        <f t="shared" si="1316"/>
        <v>14606.099999999999</v>
      </c>
      <c r="CS197" s="24">
        <f t="shared" si="1316"/>
        <v>15006.099999999999</v>
      </c>
      <c r="CT197" s="24">
        <f t="shared" si="1316"/>
        <v>15406.099999999999</v>
      </c>
      <c r="CU197" s="24">
        <f t="shared" si="1316"/>
        <v>15806.099999999999</v>
      </c>
      <c r="CV197" s="24">
        <f t="shared" si="1316"/>
        <v>16206.099999999999</v>
      </c>
      <c r="CW197" s="24">
        <f t="shared" si="1316"/>
        <v>16606.099999999999</v>
      </c>
      <c r="CX197" s="24">
        <f t="shared" si="1316"/>
        <v>17006.099999999999</v>
      </c>
      <c r="CY197" s="24">
        <f t="shared" si="1316"/>
        <v>17406.099999999999</v>
      </c>
      <c r="CZ197" s="24">
        <f t="shared" si="1316"/>
        <v>17806.099999999999</v>
      </c>
      <c r="DA197" s="24">
        <f t="shared" si="1316"/>
        <v>18206.099999999999</v>
      </c>
      <c r="DB197" s="24">
        <f t="shared" si="1316"/>
        <v>18606.099999999999</v>
      </c>
      <c r="DE197" s="123"/>
      <c r="DF197" s="23">
        <v>17245.04</v>
      </c>
    </row>
    <row r="198" spans="1:110" s="23" customFormat="1" outlineLevel="1" x14ac:dyDescent="0.2">
      <c r="A198" s="23" t="s">
        <v>51</v>
      </c>
      <c r="B198" s="23">
        <f>'Annual Raw'!C63</f>
        <v>74.650899999999993</v>
      </c>
      <c r="C198" s="23">
        <f>'Annual Raw'!D63</f>
        <v>90.485299999999995</v>
      </c>
      <c r="D198" s="23">
        <f>'Annual Raw'!E63</f>
        <v>106.37820000000001</v>
      </c>
      <c r="E198" s="23">
        <f>'Annual Raw'!F63</f>
        <v>122.35590000000001</v>
      </c>
      <c r="F198" s="23">
        <f>'Annual Raw'!G63</f>
        <v>138.4299</v>
      </c>
      <c r="G198" s="23">
        <f>'Annual Raw'!H63</f>
        <v>154.26079999999999</v>
      </c>
      <c r="H198" s="23">
        <f>'Annual Raw'!I63</f>
        <v>174.9358</v>
      </c>
      <c r="I198" s="23">
        <f>'Annual Raw'!J63</f>
        <v>195.8451</v>
      </c>
      <c r="J198" s="23">
        <f>'Annual Raw'!K63</f>
        <v>156.63550000000001</v>
      </c>
      <c r="K198" s="23">
        <f>'Annual Raw'!L63</f>
        <v>173.02629999999999</v>
      </c>
      <c r="L198" s="23">
        <f>'Annual Raw'!M63</f>
        <v>172.98840000000001</v>
      </c>
      <c r="M198" s="23">
        <f>'Annual Raw'!N63</f>
        <v>198.9982</v>
      </c>
      <c r="N198" s="23">
        <f>'Annual Raw'!O63</f>
        <v>225.512</v>
      </c>
      <c r="O198" s="23">
        <f>'Annual Raw'!P63</f>
        <v>252.19049999999999</v>
      </c>
      <c r="P198" s="23">
        <f>'Annual Raw'!Q63</f>
        <v>263.06119999999999</v>
      </c>
      <c r="Q198" s="23">
        <f>'Annual Raw'!R63</f>
        <v>273.70479999999998</v>
      </c>
      <c r="R198" s="23">
        <f>'Annual Raw'!S63</f>
        <v>285.8621</v>
      </c>
      <c r="S198" s="23">
        <f>'Annual Raw'!T63</f>
        <v>299.28390000000002</v>
      </c>
      <c r="T198" s="23">
        <f>'Annual Raw'!U63</f>
        <v>313.61</v>
      </c>
      <c r="U198" s="23">
        <f>'Annual Raw'!V63</f>
        <v>330.70530000000002</v>
      </c>
      <c r="V198" s="23">
        <f>'Annual Raw'!W63</f>
        <v>344.52659999999997</v>
      </c>
      <c r="W198" s="23">
        <f>'Annual Raw'!X63</f>
        <v>361.78</v>
      </c>
      <c r="X198" s="23">
        <f>'Annual Raw'!Y63</f>
        <v>383.87</v>
      </c>
      <c r="Y198" s="23">
        <f>'Annual Raw'!Z63</f>
        <v>430.74</v>
      </c>
      <c r="Z198" s="23">
        <f>'Annual Raw'!AA63</f>
        <v>513.23</v>
      </c>
      <c r="AA198" s="23">
        <f>'Annual Raw'!AB63</f>
        <v>5751.2</v>
      </c>
      <c r="AB198" s="24">
        <f t="shared" si="1311"/>
        <v>1851.0207295995492</v>
      </c>
      <c r="AC198" s="24">
        <f t="shared" si="1312"/>
        <v>2635.969928076534</v>
      </c>
      <c r="AD198" s="24">
        <f t="shared" si="1313"/>
        <v>3471.8437601970154</v>
      </c>
      <c r="AE198" s="24">
        <f t="shared" si="1314"/>
        <v>4355.4604386332849</v>
      </c>
      <c r="AJ198" s="23">
        <f>+'QTR Raw'!D69</f>
        <v>0</v>
      </c>
      <c r="AL198" s="23">
        <f>+'QTR Raw'!F69</f>
        <v>0</v>
      </c>
      <c r="AN198" s="23">
        <f>+'QTR Raw'!H69</f>
        <v>0</v>
      </c>
      <c r="AP198" s="23">
        <f>+'QTR Raw'!J69</f>
        <v>0</v>
      </c>
      <c r="AR198" s="23">
        <f>+'QTR Raw'!L69</f>
        <v>0</v>
      </c>
      <c r="AT198" s="23">
        <f>+'QTR Raw'!N69</f>
        <v>0</v>
      </c>
      <c r="AV198" s="23">
        <f>+'QTR Raw'!P69</f>
        <v>0</v>
      </c>
      <c r="AX198" s="23">
        <f>+'QTR Raw'!R69</f>
        <v>0</v>
      </c>
      <c r="AZ198" s="23">
        <f>+'QTR Raw'!T69</f>
        <v>0</v>
      </c>
      <c r="BB198" s="23">
        <f>+'QTR Raw'!V69</f>
        <v>0</v>
      </c>
      <c r="BD198" s="23">
        <f>+'QTR Raw'!X69</f>
        <v>0</v>
      </c>
      <c r="BF198" s="23">
        <f>+'QTR Raw'!Z69</f>
        <v>0</v>
      </c>
      <c r="BH198" s="23">
        <f>+'QTR Raw'!AB69</f>
        <v>0</v>
      </c>
      <c r="BJ198" s="23">
        <f>+'QTR Raw'!AD69</f>
        <v>0</v>
      </c>
      <c r="BL198" s="23">
        <f>+'QTR Raw'!AF69</f>
        <v>0</v>
      </c>
      <c r="BN198" s="23">
        <f>+'QTR Raw'!AH69</f>
        <v>0</v>
      </c>
      <c r="BP198" s="23">
        <f>+'QTR Raw'!AJ69</f>
        <v>0</v>
      </c>
      <c r="BR198" s="23">
        <f>+'QTR Raw'!AL69</f>
        <v>0</v>
      </c>
      <c r="BT198" s="23">
        <f>+'QTR Raw'!AN69</f>
        <v>0</v>
      </c>
      <c r="BV198" s="23">
        <f>+'QTR Raw'!AP69</f>
        <v>0</v>
      </c>
      <c r="BX198" s="23">
        <f>+'QTR Raw'!AR69</f>
        <v>0</v>
      </c>
      <c r="BZ198" s="23">
        <f>+'QTR Raw'!AT69</f>
        <v>0</v>
      </c>
      <c r="CB198" s="23">
        <f>+'QTR Raw'!AV69</f>
        <v>0</v>
      </c>
      <c r="CD198" s="23">
        <f>+'QTR Raw'!AX69</f>
        <v>0</v>
      </c>
      <c r="CF198" s="23">
        <f>+'QTR Raw'!AZ69</f>
        <v>0</v>
      </c>
      <c r="CH198" s="23">
        <f t="shared" si="1315"/>
        <v>513.23</v>
      </c>
      <c r="CI198" s="23">
        <f t="shared" ref="CI198:DB198" si="1317">CH198+CI99</f>
        <v>543.96</v>
      </c>
      <c r="CJ198" s="23">
        <f t="shared" si="1317"/>
        <v>710.49</v>
      </c>
      <c r="CK198" s="23">
        <f t="shared" si="1317"/>
        <v>896.04</v>
      </c>
      <c r="CL198" s="23">
        <f t="shared" si="1317"/>
        <v>1120.3899999999999</v>
      </c>
      <c r="CM198" s="24">
        <f t="shared" si="1317"/>
        <v>1297.76136</v>
      </c>
      <c r="CN198" s="24">
        <f t="shared" si="1317"/>
        <v>1478.69477824</v>
      </c>
      <c r="CO198" s="24">
        <f t="shared" si="1317"/>
        <v>1663.1332617881599</v>
      </c>
      <c r="CP198" s="24">
        <f t="shared" si="1317"/>
        <v>1851.0207295995492</v>
      </c>
      <c r="CQ198" s="24">
        <f t="shared" si="1317"/>
        <v>2042.3019979259564</v>
      </c>
      <c r="CR198" s="24">
        <f t="shared" si="1317"/>
        <v>2236.9227659591411</v>
      </c>
      <c r="CS198" s="24">
        <f t="shared" si="1317"/>
        <v>2434.8296017037947</v>
      </c>
      <c r="CT198" s="24">
        <f t="shared" si="1317"/>
        <v>2635.969928076534</v>
      </c>
      <c r="CU198" s="24">
        <f t="shared" si="1317"/>
        <v>2840.2920092273093</v>
      </c>
      <c r="CV198" s="24">
        <f t="shared" si="1317"/>
        <v>3047.7449370796726</v>
      </c>
      <c r="CW198" s="24">
        <f t="shared" si="1317"/>
        <v>3258.2786180863977</v>
      </c>
      <c r="CX198" s="24">
        <f t="shared" si="1317"/>
        <v>3471.8437601970154</v>
      </c>
      <c r="CY198" s="24">
        <f t="shared" si="1317"/>
        <v>3688.3918600338629</v>
      </c>
      <c r="CZ198" s="24">
        <f t="shared" si="1317"/>
        <v>3907.8751902733211</v>
      </c>
      <c r="DA198" s="24">
        <f t="shared" si="1317"/>
        <v>4130.2467872289481</v>
      </c>
      <c r="DB198" s="24">
        <f t="shared" si="1317"/>
        <v>4355.4604386332849</v>
      </c>
      <c r="DE198" s="123"/>
      <c r="DF198" s="23">
        <v>5751.2</v>
      </c>
    </row>
    <row r="199" spans="1:110" s="23" customFormat="1" outlineLevel="1" x14ac:dyDescent="0.2">
      <c r="A199" s="23" t="s">
        <v>52</v>
      </c>
      <c r="B199" s="23">
        <f>'Annual Raw'!C64</f>
        <v>0</v>
      </c>
      <c r="C199" s="23">
        <f>'Annual Raw'!D64</f>
        <v>0</v>
      </c>
      <c r="D199" s="23">
        <f>'Annual Raw'!E64</f>
        <v>0</v>
      </c>
      <c r="E199" s="23">
        <f>'Annual Raw'!F64</f>
        <v>0</v>
      </c>
      <c r="F199" s="23">
        <f>'Annual Raw'!G64</f>
        <v>0</v>
      </c>
      <c r="G199" s="23">
        <f>'Annual Raw'!H64</f>
        <v>0</v>
      </c>
      <c r="H199" s="23">
        <f>'Annual Raw'!I64</f>
        <v>0</v>
      </c>
      <c r="I199" s="23">
        <f>'Annual Raw'!J64</f>
        <v>0</v>
      </c>
      <c r="J199" s="23">
        <f>'Annual Raw'!K64</f>
        <v>0</v>
      </c>
      <c r="K199" s="23">
        <f>'Annual Raw'!L64</f>
        <v>0</v>
      </c>
      <c r="L199" s="23">
        <f>'Annual Raw'!M64</f>
        <v>0</v>
      </c>
      <c r="M199" s="23">
        <f>'Annual Raw'!N64</f>
        <v>0</v>
      </c>
      <c r="N199" s="23">
        <f>'Annual Raw'!O64</f>
        <v>0</v>
      </c>
      <c r="O199" s="23">
        <f>'Annual Raw'!P64</f>
        <v>0</v>
      </c>
      <c r="P199" s="23">
        <f>'Annual Raw'!Q64</f>
        <v>0</v>
      </c>
      <c r="Q199" s="23">
        <f>'Annual Raw'!R64</f>
        <v>0</v>
      </c>
      <c r="R199" s="23">
        <f>'Annual Raw'!S64</f>
        <v>0</v>
      </c>
      <c r="S199" s="23">
        <f>'Annual Raw'!T64</f>
        <v>0</v>
      </c>
      <c r="T199" s="23">
        <f>'Annual Raw'!U64</f>
        <v>0</v>
      </c>
      <c r="U199" s="23">
        <f>'Annual Raw'!V64</f>
        <v>0</v>
      </c>
      <c r="V199" s="23">
        <f>'Annual Raw'!W64</f>
        <v>0</v>
      </c>
      <c r="W199" s="23">
        <f>'Annual Raw'!X64</f>
        <v>0</v>
      </c>
      <c r="X199" s="23">
        <f>'Annual Raw'!Y64</f>
        <v>0</v>
      </c>
      <c r="Y199" s="23">
        <f>'Annual Raw'!Z64</f>
        <v>0</v>
      </c>
      <c r="Z199" s="23">
        <f>'Annual Raw'!AA64</f>
        <v>0</v>
      </c>
      <c r="AA199" s="23">
        <f>'Annual Raw'!AB64</f>
        <v>20.07</v>
      </c>
      <c r="AB199" s="24">
        <f t="shared" si="1311"/>
        <v>0</v>
      </c>
      <c r="AC199" s="24">
        <f t="shared" si="1312"/>
        <v>0</v>
      </c>
      <c r="AD199" s="24">
        <f t="shared" si="1313"/>
        <v>0</v>
      </c>
      <c r="AE199" s="24">
        <f t="shared" si="1314"/>
        <v>0</v>
      </c>
      <c r="AJ199" s="23">
        <f>+'QTR Raw'!D70</f>
        <v>0</v>
      </c>
      <c r="AL199" s="23">
        <f>+'QTR Raw'!F70</f>
        <v>0</v>
      </c>
      <c r="AN199" s="23">
        <f>+'QTR Raw'!H70</f>
        <v>0</v>
      </c>
      <c r="AP199" s="23">
        <f>+'QTR Raw'!J70</f>
        <v>0</v>
      </c>
      <c r="AR199" s="23">
        <f>+'QTR Raw'!L70</f>
        <v>0</v>
      </c>
      <c r="AT199" s="23">
        <f>+'QTR Raw'!N70</f>
        <v>0</v>
      </c>
      <c r="AV199" s="23">
        <f>+'QTR Raw'!P70</f>
        <v>0</v>
      </c>
      <c r="AX199" s="23">
        <f>+'QTR Raw'!R70</f>
        <v>0</v>
      </c>
      <c r="AZ199" s="23">
        <f>+'QTR Raw'!T70</f>
        <v>0</v>
      </c>
      <c r="BB199" s="23">
        <f>+'QTR Raw'!V70</f>
        <v>0</v>
      </c>
      <c r="BD199" s="23">
        <f>+'QTR Raw'!X70</f>
        <v>0</v>
      </c>
      <c r="BF199" s="23">
        <f>+'QTR Raw'!Z70</f>
        <v>0</v>
      </c>
      <c r="BH199" s="23">
        <f>+'QTR Raw'!AB70</f>
        <v>0</v>
      </c>
      <c r="BJ199" s="23">
        <f>+'QTR Raw'!AD70</f>
        <v>0</v>
      </c>
      <c r="BL199" s="23">
        <f>+'QTR Raw'!AF70</f>
        <v>0</v>
      </c>
      <c r="BN199" s="23">
        <f>+'QTR Raw'!AH70</f>
        <v>0</v>
      </c>
      <c r="BP199" s="23">
        <f>+'QTR Raw'!AJ70</f>
        <v>0</v>
      </c>
      <c r="BR199" s="23">
        <f>+'QTR Raw'!AL70</f>
        <v>0</v>
      </c>
      <c r="BT199" s="23">
        <f>+'QTR Raw'!AN70</f>
        <v>0</v>
      </c>
      <c r="BV199" s="23">
        <f>+'QTR Raw'!AP70</f>
        <v>0</v>
      </c>
      <c r="BX199" s="23">
        <f>+'QTR Raw'!AR70</f>
        <v>0</v>
      </c>
      <c r="BZ199" s="23">
        <f>+'QTR Raw'!AT70</f>
        <v>0</v>
      </c>
      <c r="CB199" s="23">
        <f>+'QTR Raw'!AV70</f>
        <v>0</v>
      </c>
      <c r="CD199" s="23">
        <f>+'QTR Raw'!AX70</f>
        <v>0</v>
      </c>
      <c r="CF199" s="23">
        <f>+'QTR Raw'!AZ70</f>
        <v>0</v>
      </c>
      <c r="CH199" s="23">
        <f t="shared" si="1315"/>
        <v>0</v>
      </c>
      <c r="CI199" s="23">
        <f>CH199</f>
        <v>0</v>
      </c>
      <c r="CJ199" s="23">
        <f>+'QTR Raw'!BD70</f>
        <v>0</v>
      </c>
      <c r="CK199" s="23">
        <f t="shared" ref="CK199:DB199" si="1318">CJ199</f>
        <v>0</v>
      </c>
      <c r="CL199" s="23">
        <f>+'QTR Raw'!BF70</f>
        <v>0</v>
      </c>
      <c r="CM199" s="24">
        <f t="shared" si="1318"/>
        <v>0</v>
      </c>
      <c r="CN199" s="24">
        <f t="shared" si="1318"/>
        <v>0</v>
      </c>
      <c r="CO199" s="24">
        <f t="shared" si="1318"/>
        <v>0</v>
      </c>
      <c r="CP199" s="24">
        <f t="shared" si="1318"/>
        <v>0</v>
      </c>
      <c r="CQ199" s="24">
        <f t="shared" si="1318"/>
        <v>0</v>
      </c>
      <c r="CR199" s="24">
        <f t="shared" si="1318"/>
        <v>0</v>
      </c>
      <c r="CS199" s="24">
        <f t="shared" si="1318"/>
        <v>0</v>
      </c>
      <c r="CT199" s="24">
        <f t="shared" si="1318"/>
        <v>0</v>
      </c>
      <c r="CU199" s="24">
        <f t="shared" si="1318"/>
        <v>0</v>
      </c>
      <c r="CV199" s="24">
        <f t="shared" si="1318"/>
        <v>0</v>
      </c>
      <c r="CW199" s="24">
        <f t="shared" si="1318"/>
        <v>0</v>
      </c>
      <c r="CX199" s="24">
        <f t="shared" si="1318"/>
        <v>0</v>
      </c>
      <c r="CY199" s="24">
        <f t="shared" si="1318"/>
        <v>0</v>
      </c>
      <c r="CZ199" s="24">
        <f t="shared" si="1318"/>
        <v>0</v>
      </c>
      <c r="DA199" s="24">
        <f t="shared" si="1318"/>
        <v>0</v>
      </c>
      <c r="DB199" s="24">
        <f t="shared" si="1318"/>
        <v>0</v>
      </c>
      <c r="DE199" s="123"/>
      <c r="DF199" s="23">
        <v>20.07</v>
      </c>
    </row>
    <row r="200" spans="1:110" s="22" customFormat="1" outlineLevel="1" x14ac:dyDescent="0.2">
      <c r="A200" s="22" t="s">
        <v>53</v>
      </c>
      <c r="B200" s="22">
        <f>+B197-B198-B199</f>
        <v>229.41820000000001</v>
      </c>
      <c r="C200" s="22">
        <f t="shared" ref="C200:W200" si="1319">+C197-C198-C199</f>
        <v>213.1191</v>
      </c>
      <c r="D200" s="22">
        <f t="shared" si="1319"/>
        <v>197.65730000000002</v>
      </c>
      <c r="E200" s="22">
        <f t="shared" si="1319"/>
        <v>183.71369999999996</v>
      </c>
      <c r="F200" s="22">
        <f t="shared" si="1319"/>
        <v>168.03009999999998</v>
      </c>
      <c r="G200" s="22">
        <f t="shared" si="1319"/>
        <v>233.32720000000003</v>
      </c>
      <c r="H200" s="22">
        <f t="shared" si="1319"/>
        <v>223.58070000000001</v>
      </c>
      <c r="I200" s="22">
        <f t="shared" si="1319"/>
        <v>197.24970000000002</v>
      </c>
      <c r="J200" s="22">
        <f t="shared" si="1319"/>
        <v>190.8262</v>
      </c>
      <c r="K200" s="22">
        <f t="shared" si="1319"/>
        <v>161.44260000000003</v>
      </c>
      <c r="L200" s="22">
        <f t="shared" si="1319"/>
        <v>334.37139999999999</v>
      </c>
      <c r="M200" s="22">
        <f t="shared" si="1319"/>
        <v>316.80849999999998</v>
      </c>
      <c r="N200" s="22">
        <f t="shared" si="1319"/>
        <v>294.9119</v>
      </c>
      <c r="O200" s="22">
        <f t="shared" si="1319"/>
        <v>275.3698</v>
      </c>
      <c r="P200" s="22">
        <f t="shared" si="1319"/>
        <v>271.0222</v>
      </c>
      <c r="Q200" s="22">
        <f t="shared" si="1319"/>
        <v>292.65940000000001</v>
      </c>
      <c r="R200" s="22">
        <f t="shared" si="1319"/>
        <v>319.88839999999999</v>
      </c>
      <c r="S200" s="22">
        <f t="shared" si="1319"/>
        <v>348.23519999999996</v>
      </c>
      <c r="T200" s="22">
        <f t="shared" si="1319"/>
        <v>358.17650000000003</v>
      </c>
      <c r="U200" s="22">
        <f t="shared" si="1319"/>
        <v>373.9273</v>
      </c>
      <c r="V200" s="22">
        <f t="shared" si="1319"/>
        <v>361.6746</v>
      </c>
      <c r="W200" s="22">
        <f t="shared" si="1319"/>
        <v>399.66000000000008</v>
      </c>
      <c r="X200" s="22">
        <f t="shared" ref="X200:Y200" si="1320">+X197-X198-X199</f>
        <v>532.37</v>
      </c>
      <c r="Y200" s="22">
        <f t="shared" si="1320"/>
        <v>1234.7</v>
      </c>
      <c r="Z200" s="22">
        <f t="shared" ref="Z200:AE200" si="1321">+Z197-Z198-Z199</f>
        <v>1690.52</v>
      </c>
      <c r="AA200" s="22">
        <f t="shared" ref="AA200" si="1322">+AA197-AA198-AA199</f>
        <v>11473.77</v>
      </c>
      <c r="AB200" s="21">
        <f t="shared" si="1321"/>
        <v>11955.079270400449</v>
      </c>
      <c r="AC200" s="21">
        <f t="shared" si="1321"/>
        <v>12770.130071923464</v>
      </c>
      <c r="AD200" s="21">
        <f t="shared" si="1321"/>
        <v>13534.256239802984</v>
      </c>
      <c r="AE200" s="21">
        <f t="shared" si="1321"/>
        <v>14250.639561366714</v>
      </c>
      <c r="AJ200" s="22">
        <f t="shared" ref="AJ200:AL200" si="1323">+AJ197-AJ198-AJ199</f>
        <v>307.09300000000002</v>
      </c>
      <c r="AK200" s="22">
        <f t="shared" ref="AK200:CE200" si="1324">+AJ200</f>
        <v>307.09300000000002</v>
      </c>
      <c r="AL200" s="22">
        <f t="shared" si="1323"/>
        <v>298.85300000000001</v>
      </c>
      <c r="AM200" s="22">
        <f t="shared" si="1324"/>
        <v>298.85300000000001</v>
      </c>
      <c r="AN200" s="22">
        <f t="shared" ref="AN200" si="1325">+AN197-AN198-AN199</f>
        <v>290.08300000000003</v>
      </c>
      <c r="AO200" s="22">
        <f t="shared" si="1324"/>
        <v>290.08300000000003</v>
      </c>
      <c r="AP200" s="22">
        <f t="shared" ref="AP200:CD200" si="1326">+AP197-AP198-AP199</f>
        <v>280.06299999999999</v>
      </c>
      <c r="AQ200" s="22">
        <f t="shared" si="1324"/>
        <v>280.06299999999999</v>
      </c>
      <c r="AR200" s="22">
        <f t="shared" si="1326"/>
        <v>281.29300000000001</v>
      </c>
      <c r="AS200" s="22">
        <f t="shared" si="1324"/>
        <v>281.29300000000001</v>
      </c>
      <c r="AT200" s="22">
        <f t="shared" si="1326"/>
        <v>276.42500000000001</v>
      </c>
      <c r="AU200" s="22">
        <f t="shared" si="1324"/>
        <v>276.42500000000001</v>
      </c>
      <c r="AV200" s="22">
        <f t="shared" si="1326"/>
        <v>283.125</v>
      </c>
      <c r="AW200" s="22">
        <f t="shared" si="1324"/>
        <v>283.125</v>
      </c>
      <c r="AX200" s="22">
        <f t="shared" si="1326"/>
        <v>292.65899999999999</v>
      </c>
      <c r="AY200" s="22">
        <f t="shared" si="1324"/>
        <v>292.65899999999999</v>
      </c>
      <c r="AZ200" s="22">
        <f t="shared" si="1326"/>
        <v>295.14</v>
      </c>
      <c r="BA200" s="22">
        <f t="shared" si="1324"/>
        <v>295.14</v>
      </c>
      <c r="BB200" s="22">
        <f t="shared" si="1326"/>
        <v>319.88799999999998</v>
      </c>
      <c r="BC200" s="22">
        <f t="shared" si="1324"/>
        <v>319.88799999999998</v>
      </c>
      <c r="BD200" s="22">
        <f t="shared" si="1326"/>
        <v>314.45999999999998</v>
      </c>
      <c r="BE200" s="22">
        <f t="shared" si="1324"/>
        <v>314.45999999999998</v>
      </c>
      <c r="BF200" s="22">
        <f t="shared" si="1326"/>
        <v>348.23500000000001</v>
      </c>
      <c r="BG200" s="22">
        <f t="shared" si="1324"/>
        <v>348.23500000000001</v>
      </c>
      <c r="BH200" s="22">
        <f t="shared" si="1326"/>
        <v>379.16899999999998</v>
      </c>
      <c r="BI200" s="22">
        <f t="shared" si="1324"/>
        <v>379.16899999999998</v>
      </c>
      <c r="BJ200" s="22">
        <f t="shared" si="1326"/>
        <v>358.17700000000002</v>
      </c>
      <c r="BK200" s="22">
        <f t="shared" si="1324"/>
        <v>358.17700000000002</v>
      </c>
      <c r="BL200" s="22">
        <f t="shared" si="1326"/>
        <v>370.24599999999998</v>
      </c>
      <c r="BM200" s="22">
        <f t="shared" si="1324"/>
        <v>370.24599999999998</v>
      </c>
      <c r="BN200" s="22">
        <f t="shared" si="1326"/>
        <v>370.94600000000003</v>
      </c>
      <c r="BO200" s="22">
        <f t="shared" si="1324"/>
        <v>370.94600000000003</v>
      </c>
      <c r="BP200" s="22">
        <f t="shared" si="1326"/>
        <v>366.46199999999999</v>
      </c>
      <c r="BQ200" s="22">
        <f t="shared" si="1324"/>
        <v>366.46199999999999</v>
      </c>
      <c r="BR200" s="22">
        <f t="shared" si="1326"/>
        <v>360.88600000000002</v>
      </c>
      <c r="BS200" s="22">
        <f t="shared" si="1324"/>
        <v>360.88600000000002</v>
      </c>
      <c r="BT200" s="22">
        <f t="shared" si="1326"/>
        <v>355.02699999999999</v>
      </c>
      <c r="BU200" s="22">
        <f t="shared" si="1324"/>
        <v>355.02699999999999</v>
      </c>
      <c r="BV200" s="22">
        <f t="shared" si="1326"/>
        <v>399.06</v>
      </c>
      <c r="BW200" s="22">
        <f t="shared" si="1324"/>
        <v>399.06</v>
      </c>
      <c r="BX200" s="22">
        <f t="shared" si="1326"/>
        <v>403.57</v>
      </c>
      <c r="BY200" s="22">
        <f t="shared" si="1324"/>
        <v>403.57</v>
      </c>
      <c r="BZ200" s="22">
        <f t="shared" si="1326"/>
        <v>481.74</v>
      </c>
      <c r="CA200" s="22">
        <f t="shared" si="1324"/>
        <v>481.74</v>
      </c>
      <c r="CB200" s="22">
        <f t="shared" si="1326"/>
        <v>897.33</v>
      </c>
      <c r="CC200" s="22">
        <f t="shared" si="1324"/>
        <v>897.33</v>
      </c>
      <c r="CD200" s="22">
        <f t="shared" si="1326"/>
        <v>1156.75</v>
      </c>
      <c r="CE200" s="22">
        <f t="shared" si="1324"/>
        <v>1156.75</v>
      </c>
      <c r="CF200" s="22">
        <f t="shared" ref="CF200:CI200" si="1327">+CF197-CF198-CF199</f>
        <v>1447.77</v>
      </c>
      <c r="CG200" s="22">
        <f t="shared" ref="CG200:CI203" si="1328">+CF200</f>
        <v>1447.77</v>
      </c>
      <c r="CH200" s="22">
        <f t="shared" si="1327"/>
        <v>1690.52</v>
      </c>
      <c r="CI200" s="22">
        <f t="shared" si="1327"/>
        <v>1659.79</v>
      </c>
      <c r="CJ200" s="22">
        <f>+'QTR Raw'!BD68</f>
        <v>6436.05</v>
      </c>
      <c r="CK200" s="22">
        <f t="shared" ref="CK200:DB200" si="1329">+CK197-CK198-CK199</f>
        <v>6250.5</v>
      </c>
      <c r="CL200" s="22">
        <f>+'QTR Raw'!BF68</f>
        <v>11085.71</v>
      </c>
      <c r="CM200" s="21">
        <f t="shared" si="1329"/>
        <v>11308.338639999998</v>
      </c>
      <c r="CN200" s="21">
        <f t="shared" si="1329"/>
        <v>11527.405221759998</v>
      </c>
      <c r="CO200" s="21">
        <f t="shared" si="1329"/>
        <v>11742.966738211839</v>
      </c>
      <c r="CP200" s="21">
        <f t="shared" si="1329"/>
        <v>11955.079270400449</v>
      </c>
      <c r="CQ200" s="21">
        <f t="shared" si="1329"/>
        <v>12163.798002074042</v>
      </c>
      <c r="CR200" s="21">
        <f t="shared" si="1329"/>
        <v>12369.177234040857</v>
      </c>
      <c r="CS200" s="21">
        <f t="shared" si="1329"/>
        <v>12571.270398296205</v>
      </c>
      <c r="CT200" s="21">
        <f t="shared" si="1329"/>
        <v>12770.130071923464</v>
      </c>
      <c r="CU200" s="21">
        <f t="shared" si="1329"/>
        <v>12965.80799077269</v>
      </c>
      <c r="CV200" s="21">
        <f t="shared" si="1329"/>
        <v>13158.355062920326</v>
      </c>
      <c r="CW200" s="21">
        <f t="shared" si="1329"/>
        <v>13347.8213819136</v>
      </c>
      <c r="CX200" s="21">
        <f t="shared" si="1329"/>
        <v>13534.256239802984</v>
      </c>
      <c r="CY200" s="21">
        <f t="shared" si="1329"/>
        <v>13717.708139966137</v>
      </c>
      <c r="CZ200" s="21">
        <f t="shared" si="1329"/>
        <v>13898.224809726678</v>
      </c>
      <c r="DA200" s="21">
        <f t="shared" si="1329"/>
        <v>14075.85321277105</v>
      </c>
      <c r="DB200" s="21">
        <f t="shared" si="1329"/>
        <v>14250.639561366714</v>
      </c>
      <c r="DE200" s="126"/>
      <c r="DF200" s="22">
        <v>11473.77</v>
      </c>
    </row>
    <row r="201" spans="1:110" s="23" customFormat="1" outlineLevel="1" x14ac:dyDescent="0.2">
      <c r="A201" s="23" t="s">
        <v>54</v>
      </c>
      <c r="B201" s="23">
        <f>'Annual Raw'!C86</f>
        <v>0</v>
      </c>
      <c r="C201" s="23">
        <f>'Annual Raw'!D86</f>
        <v>0</v>
      </c>
      <c r="D201" s="23">
        <f>'Annual Raw'!E86</f>
        <v>0</v>
      </c>
      <c r="E201" s="23">
        <f>'Annual Raw'!F86</f>
        <v>0</v>
      </c>
      <c r="F201" s="23">
        <f>'Annual Raw'!G86</f>
        <v>0</v>
      </c>
      <c r="G201" s="23">
        <f>'Annual Raw'!H86</f>
        <v>0</v>
      </c>
      <c r="H201" s="23">
        <f>'Annual Raw'!I86</f>
        <v>0</v>
      </c>
      <c r="I201" s="23">
        <f>'Annual Raw'!J86</f>
        <v>0</v>
      </c>
      <c r="J201" s="23">
        <f>'Annual Raw'!K86</f>
        <v>0</v>
      </c>
      <c r="K201" s="23">
        <f>'Annual Raw'!L86</f>
        <v>0</v>
      </c>
      <c r="L201" s="23">
        <f>'Annual Raw'!M86</f>
        <v>0</v>
      </c>
      <c r="M201" s="23">
        <f>'Annual Raw'!N86</f>
        <v>0</v>
      </c>
      <c r="N201" s="23">
        <f>'Annual Raw'!O86</f>
        <v>0</v>
      </c>
      <c r="O201" s="23">
        <f>'Annual Raw'!P86</f>
        <v>0</v>
      </c>
      <c r="P201" s="23">
        <f>'Annual Raw'!Q86</f>
        <v>0</v>
      </c>
      <c r="Q201" s="23">
        <f>'Annual Raw'!R86</f>
        <v>0</v>
      </c>
      <c r="R201" s="23">
        <f>'Annual Raw'!S86</f>
        <v>0</v>
      </c>
      <c r="S201" s="23">
        <f>'Annual Raw'!T86</f>
        <v>0</v>
      </c>
      <c r="T201" s="23">
        <f>'Annual Raw'!U86</f>
        <v>0</v>
      </c>
      <c r="U201" s="23">
        <f>'Annual Raw'!V86</f>
        <v>0</v>
      </c>
      <c r="V201" s="23">
        <f>'Annual Raw'!W86</f>
        <v>0</v>
      </c>
      <c r="W201" s="23">
        <f>'Annual Raw'!X86</f>
        <v>0</v>
      </c>
      <c r="X201" s="23">
        <f>'Annual Raw'!Y86</f>
        <v>0</v>
      </c>
      <c r="Y201" s="23">
        <f>'Annual Raw'!Z86</f>
        <v>0</v>
      </c>
      <c r="Z201" s="23">
        <f>'Annual Raw'!AA86</f>
        <v>0</v>
      </c>
      <c r="AA201" s="23">
        <f>'Annual Raw'!AB86</f>
        <v>1695.1</v>
      </c>
      <c r="AB201" s="24">
        <f t="shared" si="1311"/>
        <v>1695.1</v>
      </c>
      <c r="AC201" s="24">
        <f t="shared" si="1312"/>
        <v>1695.1</v>
      </c>
      <c r="AD201" s="24">
        <f t="shared" si="1313"/>
        <v>1695.1</v>
      </c>
      <c r="AE201" s="24">
        <f t="shared" si="1314"/>
        <v>1695.1</v>
      </c>
      <c r="AJ201" s="23">
        <f>+'QTR Raw'!D72</f>
        <v>0</v>
      </c>
      <c r="AK201" s="23">
        <f>+AJ201</f>
        <v>0</v>
      </c>
      <c r="AL201" s="23">
        <f>+'QTR Raw'!F72</f>
        <v>0</v>
      </c>
      <c r="AM201" s="23">
        <f t="shared" ref="AK201:CE203" si="1330">+AL201</f>
        <v>0</v>
      </c>
      <c r="AN201" s="23">
        <f>+'QTR Raw'!H72</f>
        <v>0</v>
      </c>
      <c r="AO201" s="23">
        <f t="shared" si="1330"/>
        <v>0</v>
      </c>
      <c r="AP201" s="23">
        <f>+'QTR Raw'!J72</f>
        <v>0</v>
      </c>
      <c r="AQ201" s="23">
        <f t="shared" si="1330"/>
        <v>0</v>
      </c>
      <c r="AR201" s="23">
        <f>+'QTR Raw'!L72</f>
        <v>0</v>
      </c>
      <c r="AS201" s="23">
        <f t="shared" si="1330"/>
        <v>0</v>
      </c>
      <c r="AT201" s="23">
        <f>+'QTR Raw'!N72</f>
        <v>0</v>
      </c>
      <c r="AU201" s="23">
        <f t="shared" si="1330"/>
        <v>0</v>
      </c>
      <c r="AV201" s="23">
        <f>+'QTR Raw'!P72</f>
        <v>0</v>
      </c>
      <c r="AW201" s="23">
        <f t="shared" si="1330"/>
        <v>0</v>
      </c>
      <c r="AX201" s="23">
        <f>+'QTR Raw'!R72</f>
        <v>0</v>
      </c>
      <c r="AY201" s="23">
        <f t="shared" si="1330"/>
        <v>0</v>
      </c>
      <c r="AZ201" s="23">
        <f>+'QTR Raw'!T72</f>
        <v>0</v>
      </c>
      <c r="BA201" s="23">
        <f t="shared" si="1330"/>
        <v>0</v>
      </c>
      <c r="BB201" s="23">
        <f>+'QTR Raw'!V72</f>
        <v>0</v>
      </c>
      <c r="BC201" s="23">
        <f t="shared" si="1330"/>
        <v>0</v>
      </c>
      <c r="BD201" s="23">
        <f>+'QTR Raw'!X72</f>
        <v>0</v>
      </c>
      <c r="BE201" s="23">
        <f t="shared" si="1330"/>
        <v>0</v>
      </c>
      <c r="BF201" s="23">
        <f>+'QTR Raw'!Z72</f>
        <v>0</v>
      </c>
      <c r="BG201" s="23">
        <f t="shared" si="1330"/>
        <v>0</v>
      </c>
      <c r="BH201" s="23">
        <f>+'QTR Raw'!AB72</f>
        <v>0</v>
      </c>
      <c r="BI201" s="23">
        <f t="shared" si="1330"/>
        <v>0</v>
      </c>
      <c r="BJ201" s="23">
        <f>+'QTR Raw'!AD72</f>
        <v>0</v>
      </c>
      <c r="BK201" s="23">
        <f t="shared" si="1330"/>
        <v>0</v>
      </c>
      <c r="BL201" s="23">
        <f>+'QTR Raw'!AF72</f>
        <v>0</v>
      </c>
      <c r="BM201" s="23">
        <f t="shared" si="1330"/>
        <v>0</v>
      </c>
      <c r="BN201" s="23">
        <f>+'QTR Raw'!AH72</f>
        <v>0</v>
      </c>
      <c r="BO201" s="23">
        <f t="shared" si="1330"/>
        <v>0</v>
      </c>
      <c r="BP201" s="23">
        <f>+'QTR Raw'!AJ72</f>
        <v>0</v>
      </c>
      <c r="BQ201" s="23">
        <f t="shared" si="1330"/>
        <v>0</v>
      </c>
      <c r="BR201" s="23">
        <f>+'QTR Raw'!AL72</f>
        <v>0</v>
      </c>
      <c r="BS201" s="23">
        <f t="shared" si="1330"/>
        <v>0</v>
      </c>
      <c r="BT201" s="23">
        <f>+'QTR Raw'!AN72</f>
        <v>0</v>
      </c>
      <c r="BU201" s="23">
        <f t="shared" si="1330"/>
        <v>0</v>
      </c>
      <c r="BV201" s="23">
        <f>+'QTR Raw'!AP72</f>
        <v>0</v>
      </c>
      <c r="BW201" s="23">
        <f t="shared" si="1330"/>
        <v>0</v>
      </c>
      <c r="BX201" s="23">
        <f>+'QTR Raw'!AR72</f>
        <v>0</v>
      </c>
      <c r="BY201" s="23">
        <f t="shared" si="1330"/>
        <v>0</v>
      </c>
      <c r="BZ201" s="23">
        <f>+'QTR Raw'!AT72</f>
        <v>0</v>
      </c>
      <c r="CA201" s="23">
        <f t="shared" si="1330"/>
        <v>0</v>
      </c>
      <c r="CB201" s="23">
        <f>+'QTR Raw'!AV72</f>
        <v>0</v>
      </c>
      <c r="CC201" s="23">
        <f t="shared" si="1330"/>
        <v>0</v>
      </c>
      <c r="CD201" s="23">
        <f>+'QTR Raw'!AX72</f>
        <v>0</v>
      </c>
      <c r="CE201" s="23">
        <f t="shared" si="1330"/>
        <v>0</v>
      </c>
      <c r="CF201" s="23">
        <f>+'QTR Raw'!AZ72</f>
        <v>0</v>
      </c>
      <c r="CG201" s="23">
        <f t="shared" si="1328"/>
        <v>0</v>
      </c>
      <c r="CH201" s="23">
        <f t="shared" si="1315"/>
        <v>0</v>
      </c>
      <c r="CI201" s="23">
        <f t="shared" si="1328"/>
        <v>0</v>
      </c>
      <c r="CJ201" s="23">
        <f>+'QTR Raw'!BD72</f>
        <v>1175.1400000000001</v>
      </c>
      <c r="CK201" s="23">
        <f t="shared" ref="CK201:CK202" si="1331">+CJ201</f>
        <v>1175.1400000000001</v>
      </c>
      <c r="CL201" s="23">
        <f>+'QTR Raw'!BF72</f>
        <v>1695.1</v>
      </c>
      <c r="CM201" s="24">
        <f t="shared" ref="CM201:CM203" si="1332">+CL201</f>
        <v>1695.1</v>
      </c>
      <c r="CN201" s="24">
        <f t="shared" ref="CN201:CN203" si="1333">+CM201</f>
        <v>1695.1</v>
      </c>
      <c r="CO201" s="24">
        <f t="shared" ref="CO201:CO203" si="1334">+CN201</f>
        <v>1695.1</v>
      </c>
      <c r="CP201" s="24">
        <f t="shared" ref="CP201:CP203" si="1335">+CO201</f>
        <v>1695.1</v>
      </c>
      <c r="CQ201" s="24">
        <f t="shared" ref="CQ201:CQ203" si="1336">+CP201</f>
        <v>1695.1</v>
      </c>
      <c r="CR201" s="24">
        <f t="shared" ref="CR201:CR203" si="1337">+CQ201</f>
        <v>1695.1</v>
      </c>
      <c r="CS201" s="24">
        <f t="shared" ref="CS201:CS203" si="1338">+CR201</f>
        <v>1695.1</v>
      </c>
      <c r="CT201" s="24">
        <f t="shared" ref="CT201:CT203" si="1339">+CS201</f>
        <v>1695.1</v>
      </c>
      <c r="CU201" s="24">
        <f t="shared" ref="CU201:CU203" si="1340">+CT201</f>
        <v>1695.1</v>
      </c>
      <c r="CV201" s="24">
        <f t="shared" ref="CV201:CV203" si="1341">+CU201</f>
        <v>1695.1</v>
      </c>
      <c r="CW201" s="24">
        <f t="shared" ref="CW201:CW203" si="1342">+CV201</f>
        <v>1695.1</v>
      </c>
      <c r="CX201" s="24">
        <f t="shared" ref="CX201:CX203" si="1343">+CW201</f>
        <v>1695.1</v>
      </c>
      <c r="CY201" s="24">
        <f t="shared" ref="CY201:CY203" si="1344">+CX201</f>
        <v>1695.1</v>
      </c>
      <c r="CZ201" s="24">
        <f t="shared" ref="CZ201:CZ203" si="1345">+CY201</f>
        <v>1695.1</v>
      </c>
      <c r="DA201" s="24">
        <f t="shared" ref="DA201:DA203" si="1346">+CZ201</f>
        <v>1695.1</v>
      </c>
      <c r="DB201" s="24">
        <f t="shared" ref="DB201:DB203" si="1347">+DA201</f>
        <v>1695.1</v>
      </c>
      <c r="DE201" s="123"/>
      <c r="DF201" s="23">
        <v>1695.1</v>
      </c>
    </row>
    <row r="202" spans="1:110" s="23" customFormat="1" outlineLevel="1" x14ac:dyDescent="0.2">
      <c r="A202" s="23" t="s">
        <v>55</v>
      </c>
      <c r="B202" s="23">
        <f>'Annual Raw'!C68</f>
        <v>0</v>
      </c>
      <c r="C202" s="23">
        <f>'Annual Raw'!D68</f>
        <v>0</v>
      </c>
      <c r="D202" s="23">
        <f>'Annual Raw'!E68</f>
        <v>0</v>
      </c>
      <c r="E202" s="23">
        <f>'Annual Raw'!F68</f>
        <v>0</v>
      </c>
      <c r="F202" s="23">
        <f>'Annual Raw'!G68</f>
        <v>0</v>
      </c>
      <c r="G202" s="23">
        <f>'Annual Raw'!H68</f>
        <v>0</v>
      </c>
      <c r="H202" s="23">
        <f>'Annual Raw'!I68</f>
        <v>0</v>
      </c>
      <c r="I202" s="23">
        <f>'Annual Raw'!J68</f>
        <v>0</v>
      </c>
      <c r="J202" s="23">
        <f>'Annual Raw'!K68</f>
        <v>0</v>
      </c>
      <c r="K202" s="23">
        <f>'Annual Raw'!L68</f>
        <v>0</v>
      </c>
      <c r="L202" s="23">
        <f>'Annual Raw'!M68</f>
        <v>0</v>
      </c>
      <c r="M202" s="23">
        <f>'Annual Raw'!N68</f>
        <v>0</v>
      </c>
      <c r="N202" s="23">
        <f>'Annual Raw'!O68</f>
        <v>0</v>
      </c>
      <c r="O202" s="23">
        <f>'Annual Raw'!P68</f>
        <v>0</v>
      </c>
      <c r="P202" s="23">
        <f>'Annual Raw'!Q68</f>
        <v>0</v>
      </c>
      <c r="Q202" s="23">
        <f>'Annual Raw'!R68</f>
        <v>0</v>
      </c>
      <c r="R202" s="23">
        <f>'Annual Raw'!S68</f>
        <v>0</v>
      </c>
      <c r="S202" s="23">
        <f>'Annual Raw'!T68</f>
        <v>0</v>
      </c>
      <c r="T202" s="23">
        <f>'Annual Raw'!U68</f>
        <v>0</v>
      </c>
      <c r="U202" s="23">
        <f>'Annual Raw'!V68</f>
        <v>0</v>
      </c>
      <c r="V202" s="23">
        <f>'Annual Raw'!W68</f>
        <v>0</v>
      </c>
      <c r="W202" s="23">
        <f>'Annual Raw'!X68</f>
        <v>0</v>
      </c>
      <c r="X202" s="23">
        <f>'Annual Raw'!Y68</f>
        <v>0</v>
      </c>
      <c r="Y202" s="23">
        <f>'Annual Raw'!Z68</f>
        <v>0</v>
      </c>
      <c r="Z202" s="23">
        <f>'Annual Raw'!AA68</f>
        <v>0</v>
      </c>
      <c r="AA202" s="23">
        <f>'Annual Raw'!AB68</f>
        <v>0</v>
      </c>
      <c r="AB202" s="24">
        <f t="shared" si="1311"/>
        <v>0</v>
      </c>
      <c r="AC202" s="24">
        <f t="shared" si="1312"/>
        <v>0</v>
      </c>
      <c r="AD202" s="24">
        <f t="shared" si="1313"/>
        <v>0</v>
      </c>
      <c r="AE202" s="24">
        <f t="shared" si="1314"/>
        <v>0</v>
      </c>
      <c r="AK202" s="23">
        <f t="shared" si="1330"/>
        <v>0</v>
      </c>
      <c r="AM202" s="23">
        <f t="shared" si="1330"/>
        <v>0</v>
      </c>
      <c r="AO202" s="23">
        <f t="shared" si="1330"/>
        <v>0</v>
      </c>
      <c r="AQ202" s="23">
        <f t="shared" si="1330"/>
        <v>0</v>
      </c>
      <c r="AS202" s="23">
        <f t="shared" si="1330"/>
        <v>0</v>
      </c>
      <c r="AU202" s="23">
        <f t="shared" si="1330"/>
        <v>0</v>
      </c>
      <c r="AW202" s="23">
        <f t="shared" si="1330"/>
        <v>0</v>
      </c>
      <c r="AY202" s="23">
        <f t="shared" si="1330"/>
        <v>0</v>
      </c>
      <c r="BA202" s="23">
        <f t="shared" si="1330"/>
        <v>0</v>
      </c>
      <c r="BC202" s="23">
        <f t="shared" si="1330"/>
        <v>0</v>
      </c>
      <c r="BE202" s="23">
        <f t="shared" si="1330"/>
        <v>0</v>
      </c>
      <c r="BG202" s="23">
        <f t="shared" si="1330"/>
        <v>0</v>
      </c>
      <c r="BI202" s="23">
        <f t="shared" si="1330"/>
        <v>0</v>
      </c>
      <c r="BK202" s="23">
        <f t="shared" si="1330"/>
        <v>0</v>
      </c>
      <c r="BM202" s="23">
        <f t="shared" si="1330"/>
        <v>0</v>
      </c>
      <c r="BO202" s="23">
        <f t="shared" si="1330"/>
        <v>0</v>
      </c>
      <c r="BQ202" s="23">
        <f t="shared" si="1330"/>
        <v>0</v>
      </c>
      <c r="BS202" s="23">
        <f t="shared" si="1330"/>
        <v>0</v>
      </c>
      <c r="BU202" s="23">
        <f t="shared" si="1330"/>
        <v>0</v>
      </c>
      <c r="BW202" s="23">
        <f t="shared" si="1330"/>
        <v>0</v>
      </c>
      <c r="BY202" s="23">
        <f t="shared" si="1330"/>
        <v>0</v>
      </c>
      <c r="CA202" s="23">
        <f t="shared" si="1330"/>
        <v>0</v>
      </c>
      <c r="CC202" s="23">
        <f t="shared" si="1330"/>
        <v>0</v>
      </c>
      <c r="CE202" s="23">
        <f t="shared" si="1330"/>
        <v>0</v>
      </c>
      <c r="CG202" s="23">
        <f t="shared" si="1328"/>
        <v>0</v>
      </c>
      <c r="CH202" s="23">
        <f t="shared" si="1315"/>
        <v>0</v>
      </c>
      <c r="CI202" s="23">
        <f t="shared" si="1328"/>
        <v>0</v>
      </c>
      <c r="CK202" s="23">
        <f t="shared" si="1331"/>
        <v>0</v>
      </c>
      <c r="CM202" s="24">
        <f t="shared" si="1332"/>
        <v>0</v>
      </c>
      <c r="CN202" s="24">
        <f t="shared" si="1333"/>
        <v>0</v>
      </c>
      <c r="CO202" s="24">
        <f t="shared" si="1334"/>
        <v>0</v>
      </c>
      <c r="CP202" s="24">
        <f t="shared" si="1335"/>
        <v>0</v>
      </c>
      <c r="CQ202" s="24">
        <f t="shared" si="1336"/>
        <v>0</v>
      </c>
      <c r="CR202" s="24">
        <f t="shared" si="1337"/>
        <v>0</v>
      </c>
      <c r="CS202" s="24">
        <f t="shared" si="1338"/>
        <v>0</v>
      </c>
      <c r="CT202" s="24">
        <f t="shared" si="1339"/>
        <v>0</v>
      </c>
      <c r="CU202" s="24">
        <f t="shared" si="1340"/>
        <v>0</v>
      </c>
      <c r="CV202" s="24">
        <f t="shared" si="1341"/>
        <v>0</v>
      </c>
      <c r="CW202" s="24">
        <f t="shared" si="1342"/>
        <v>0</v>
      </c>
      <c r="CX202" s="24">
        <f t="shared" si="1343"/>
        <v>0</v>
      </c>
      <c r="CY202" s="24">
        <f t="shared" si="1344"/>
        <v>0</v>
      </c>
      <c r="CZ202" s="24">
        <f t="shared" si="1345"/>
        <v>0</v>
      </c>
      <c r="DA202" s="24">
        <f t="shared" si="1346"/>
        <v>0</v>
      </c>
      <c r="DB202" s="24">
        <f t="shared" si="1347"/>
        <v>0</v>
      </c>
      <c r="DE202" s="123"/>
      <c r="DF202" s="23">
        <v>0</v>
      </c>
    </row>
    <row r="203" spans="1:110" s="23" customFormat="1" outlineLevel="1" x14ac:dyDescent="0.2">
      <c r="A203" s="23" t="s">
        <v>56</v>
      </c>
      <c r="B203" s="23">
        <f>'Annual Raw'!C67+'Annual Raw'!C66+'Annual Raw'!C69+'Annual Raw'!C70</f>
        <v>121.59439999999999</v>
      </c>
      <c r="C203" s="23">
        <f>'Annual Raw'!D67+'Annual Raw'!D66+'Annual Raw'!D69+'Annual Raw'!D70</f>
        <v>122.3562</v>
      </c>
      <c r="D203" s="23">
        <f>'Annual Raw'!E67+'Annual Raw'!E66+'Annual Raw'!E69+'Annual Raw'!E70</f>
        <v>122.4431</v>
      </c>
      <c r="E203" s="23">
        <f>'Annual Raw'!F67+'Annual Raw'!F66+'Annual Raw'!F69+'Annual Raw'!F70</f>
        <v>120.1534</v>
      </c>
      <c r="F203" s="23">
        <f>'Annual Raw'!G67+'Annual Raw'!G66+'Annual Raw'!G69+'Annual Raw'!G70</f>
        <v>16.954000000000001</v>
      </c>
      <c r="G203" s="23">
        <f>'Annual Raw'!H67+'Annual Raw'!H66+'Annual Raw'!H69+'Annual Raw'!H70</f>
        <v>0.24</v>
      </c>
      <c r="H203" s="23">
        <f>'Annual Raw'!I67+'Annual Raw'!I66+'Annual Raw'!I69+'Annual Raw'!I70</f>
        <v>1.0167999999999999</v>
      </c>
      <c r="I203" s="23">
        <f>'Annual Raw'!J67+'Annual Raw'!J66+'Annual Raw'!J69+'Annual Raw'!J70</f>
        <v>3.8056000000000001</v>
      </c>
      <c r="J203" s="23">
        <f>'Annual Raw'!K67+'Annual Raw'!K66+'Annual Raw'!K69+'Annual Raw'!K70</f>
        <v>73.322800000000001</v>
      </c>
      <c r="K203" s="23">
        <f>'Annual Raw'!L67+'Annual Raw'!L66+'Annual Raw'!L69+'Annual Raw'!L70</f>
        <v>157.4975</v>
      </c>
      <c r="L203" s="23">
        <f>'Annual Raw'!M67+'Annual Raw'!M66+'Annual Raw'!M69+'Annual Raw'!M70</f>
        <v>4.0090000000000003</v>
      </c>
      <c r="M203" s="23">
        <f>'Annual Raw'!N67+'Annual Raw'!N66+'Annual Raw'!N69+'Annual Raw'!N70</f>
        <v>2.0246</v>
      </c>
      <c r="N203" s="23">
        <f>'Annual Raw'!O67+'Annual Raw'!O66+'Annual Raw'!O69+'Annual Raw'!O70</f>
        <v>3.9407999999999999</v>
      </c>
      <c r="O203" s="23">
        <f>'Annual Raw'!P67+'Annual Raw'!P66+'Annual Raw'!P69+'Annual Raw'!P70</f>
        <v>4.6936</v>
      </c>
      <c r="P203" s="23">
        <f>'Annual Raw'!Q67+'Annual Raw'!Q66+'Annual Raw'!Q69+'Annual Raw'!Q70</f>
        <v>5.4031000000000002</v>
      </c>
      <c r="Q203" s="23">
        <f>'Annual Raw'!R67+'Annual Raw'!R66+'Annual Raw'!R69+'Annual Raw'!R70</f>
        <v>7.2565</v>
      </c>
      <c r="R203" s="23">
        <f>'Annual Raw'!S67+'Annual Raw'!S66+'Annual Raw'!S69+'Annual Raw'!S70</f>
        <v>8.4588000000000001</v>
      </c>
      <c r="S203" s="23">
        <f>'Annual Raw'!T67+'Annual Raw'!T66+'Annual Raw'!T69+'Annual Raw'!T70</f>
        <v>22.991700000000002</v>
      </c>
      <c r="T203" s="23">
        <f>'Annual Raw'!U67+'Annual Raw'!U66+'Annual Raw'!U69+'Annual Raw'!U70</f>
        <v>36.1967</v>
      </c>
      <c r="U203" s="23">
        <f>'Annual Raw'!V67+'Annual Raw'!V66+'Annual Raw'!V69+'Annual Raw'!V70</f>
        <v>42.365900000000003</v>
      </c>
      <c r="V203" s="23">
        <f>'Annual Raw'!W67+'Annual Raw'!W66+'Annual Raw'!W69+'Annual Raw'!W70</f>
        <v>84.71</v>
      </c>
      <c r="W203" s="23">
        <f>'Annual Raw'!X67+'Annual Raw'!X66+'Annual Raw'!X69+'Annual Raw'!X70</f>
        <v>85.88</v>
      </c>
      <c r="X203" s="23">
        <f>'Annual Raw'!Y67+'Annual Raw'!Y66+'Annual Raw'!Y69+'Annual Raw'!Y70</f>
        <v>297.87</v>
      </c>
      <c r="Y203" s="23">
        <f>'Annual Raw'!Z67+'Annual Raw'!Z66+'Annual Raw'!Z69+'Annual Raw'!Z70</f>
        <v>1268.1500000000001</v>
      </c>
      <c r="Z203" s="23">
        <f>'Annual Raw'!AA67+'Annual Raw'!AA66+'Annual Raw'!AA69+'Annual Raw'!AA70</f>
        <v>4267.26</v>
      </c>
      <c r="AA203" s="23">
        <f>'Annual Raw'!AB67+'Annual Raw'!AB66+'Annual Raw'!AB69+'Annual Raw'!AB70</f>
        <v>13946.08</v>
      </c>
      <c r="AB203" s="24">
        <f t="shared" si="1311"/>
        <v>13946.08</v>
      </c>
      <c r="AC203" s="24">
        <f t="shared" si="1312"/>
        <v>13946.08</v>
      </c>
      <c r="AD203" s="24">
        <f t="shared" si="1313"/>
        <v>13946.08</v>
      </c>
      <c r="AE203" s="24">
        <f t="shared" si="1314"/>
        <v>13946.08</v>
      </c>
      <c r="AG203" s="216"/>
      <c r="AJ203" s="23">
        <f>+'QTR Raw'!D74+'QTR Raw'!D75</f>
        <v>0</v>
      </c>
      <c r="AK203" s="23">
        <f t="shared" si="1330"/>
        <v>0</v>
      </c>
      <c r="AL203" s="23">
        <f>+'QTR Raw'!F74+'QTR Raw'!F75</f>
        <v>0</v>
      </c>
      <c r="AM203" s="23">
        <f t="shared" si="1330"/>
        <v>0</v>
      </c>
      <c r="AN203" s="23">
        <f>+'QTR Raw'!H74+'QTR Raw'!H75</f>
        <v>0</v>
      </c>
      <c r="AO203" s="23">
        <f t="shared" si="1330"/>
        <v>0</v>
      </c>
      <c r="AP203" s="23">
        <f>+'QTR Raw'!J74+'QTR Raw'!J75</f>
        <v>0</v>
      </c>
      <c r="AQ203" s="23">
        <f t="shared" si="1330"/>
        <v>0</v>
      </c>
      <c r="AR203" s="23">
        <f>+'QTR Raw'!L74+'QTR Raw'!L75</f>
        <v>0</v>
      </c>
      <c r="AS203" s="23">
        <f t="shared" si="1330"/>
        <v>0</v>
      </c>
      <c r="AT203" s="23">
        <f>+'QTR Raw'!N74+'QTR Raw'!N75</f>
        <v>0</v>
      </c>
      <c r="AU203" s="23">
        <f t="shared" si="1330"/>
        <v>0</v>
      </c>
      <c r="AV203" s="23">
        <f>+'QTR Raw'!P74+'QTR Raw'!P75</f>
        <v>0</v>
      </c>
      <c r="AW203" s="23">
        <f t="shared" si="1330"/>
        <v>0</v>
      </c>
      <c r="AX203" s="23">
        <f>+'QTR Raw'!R74+'QTR Raw'!R75</f>
        <v>7.2560000000000002</v>
      </c>
      <c r="AY203" s="23">
        <f t="shared" si="1330"/>
        <v>7.2560000000000002</v>
      </c>
      <c r="AZ203" s="23">
        <f>+'QTR Raw'!T74+'QTR Raw'!T75</f>
        <v>0</v>
      </c>
      <c r="BA203" s="23">
        <f t="shared" si="1330"/>
        <v>0</v>
      </c>
      <c r="BB203" s="23">
        <f>+'QTR Raw'!V74+'QTR Raw'!V75</f>
        <v>8.4589999999999996</v>
      </c>
      <c r="BC203" s="23">
        <f t="shared" si="1330"/>
        <v>8.4589999999999996</v>
      </c>
      <c r="BD203" s="23">
        <f>+'QTR Raw'!X74+'QTR Raw'!X75</f>
        <v>14.723000000000001</v>
      </c>
      <c r="BE203" s="23">
        <f t="shared" si="1330"/>
        <v>14.723000000000001</v>
      </c>
      <c r="BF203" s="23">
        <f>+'QTR Raw'!Z74+'QTR Raw'!Z75</f>
        <v>22.992000000000001</v>
      </c>
      <c r="BG203" s="23">
        <f t="shared" si="1330"/>
        <v>22.992000000000001</v>
      </c>
      <c r="BH203" s="23">
        <f>+'QTR Raw'!AB74+'QTR Raw'!AB75</f>
        <v>28.331</v>
      </c>
      <c r="BI203" s="23">
        <f t="shared" si="1330"/>
        <v>28.331</v>
      </c>
      <c r="BJ203" s="23">
        <f>+'QTR Raw'!AD74+'QTR Raw'!AD75</f>
        <v>36.197000000000003</v>
      </c>
      <c r="BK203" s="23">
        <f t="shared" si="1330"/>
        <v>36.197000000000003</v>
      </c>
      <c r="BL203" s="23">
        <f>+'QTR Raw'!AF74+'QTR Raw'!AF75</f>
        <v>40.079000000000001</v>
      </c>
      <c r="BM203" s="23">
        <f t="shared" si="1330"/>
        <v>40.079000000000001</v>
      </c>
      <c r="BN203" s="23">
        <f>+'QTR Raw'!AH74+'QTR Raw'!AH75</f>
        <v>42.366</v>
      </c>
      <c r="BO203" s="23">
        <f t="shared" si="1330"/>
        <v>42.366</v>
      </c>
      <c r="BP203" s="23">
        <f>+'QTR Raw'!AJ74+'QTR Raw'!AJ75</f>
        <v>43.353000000000002</v>
      </c>
      <c r="BQ203" s="23">
        <f t="shared" si="1330"/>
        <v>43.353000000000002</v>
      </c>
      <c r="BR203" s="23">
        <f>+'QTR Raw'!AL74+'QTR Raw'!AL75</f>
        <v>84.71</v>
      </c>
      <c r="BS203" s="23">
        <f t="shared" si="1330"/>
        <v>84.71</v>
      </c>
      <c r="BT203" s="23">
        <f>+'QTR Raw'!AN74+'QTR Raw'!AN75</f>
        <v>97.911000000000001</v>
      </c>
      <c r="BU203" s="23">
        <f t="shared" si="1330"/>
        <v>97.911000000000001</v>
      </c>
      <c r="BV203" s="23">
        <f>+'QTR Raw'!AP74+'QTR Raw'!AP75</f>
        <v>85.88</v>
      </c>
      <c r="BW203" s="23">
        <f t="shared" si="1330"/>
        <v>85.88</v>
      </c>
      <c r="BX203" s="23">
        <f>+'QTR Raw'!AR74+'QTR Raw'!AR75</f>
        <v>253.4</v>
      </c>
      <c r="BY203" s="23">
        <f t="shared" si="1330"/>
        <v>253.4</v>
      </c>
      <c r="BZ203" s="23">
        <f>+'QTR Raw'!AT74+'QTR Raw'!AT75</f>
        <v>297.87</v>
      </c>
      <c r="CA203" s="23">
        <f t="shared" si="1330"/>
        <v>297.87</v>
      </c>
      <c r="CB203" s="23">
        <f>+'QTR Raw'!AV74+'QTR Raw'!AV75</f>
        <v>432.69</v>
      </c>
      <c r="CC203" s="23">
        <f t="shared" si="1330"/>
        <v>432.69</v>
      </c>
      <c r="CD203" s="23">
        <f>+'QTR Raw'!AX74+'QTR Raw'!AX75</f>
        <v>1268.1500000000001</v>
      </c>
      <c r="CE203" s="23">
        <f t="shared" si="1330"/>
        <v>1268.1500000000001</v>
      </c>
      <c r="CF203" s="23">
        <f>+'QTR Raw'!AZ74+'QTR Raw'!AZ75</f>
        <v>2119.29</v>
      </c>
      <c r="CG203" s="23">
        <f t="shared" si="1328"/>
        <v>2119.29</v>
      </c>
      <c r="CH203" s="23">
        <f t="shared" si="1315"/>
        <v>4267.26</v>
      </c>
      <c r="CI203" s="23">
        <f t="shared" si="1328"/>
        <v>4267.26</v>
      </c>
      <c r="CJ203" s="23">
        <f>+'QTR Raw'!BD74+'QTR Raw'!BD75</f>
        <v>3539.07</v>
      </c>
      <c r="CK203" s="23">
        <f>+CJ203</f>
        <v>3539.07</v>
      </c>
      <c r="CL203" s="23">
        <f>+'QTR Raw'!BF74+'QTR Raw'!BF75</f>
        <v>13946.08</v>
      </c>
      <c r="CM203" s="24">
        <f t="shared" si="1332"/>
        <v>13946.08</v>
      </c>
      <c r="CN203" s="24">
        <f t="shared" si="1333"/>
        <v>13946.08</v>
      </c>
      <c r="CO203" s="24">
        <f t="shared" si="1334"/>
        <v>13946.08</v>
      </c>
      <c r="CP203" s="24">
        <f t="shared" si="1335"/>
        <v>13946.08</v>
      </c>
      <c r="CQ203" s="24">
        <f t="shared" si="1336"/>
        <v>13946.08</v>
      </c>
      <c r="CR203" s="24">
        <f t="shared" si="1337"/>
        <v>13946.08</v>
      </c>
      <c r="CS203" s="24">
        <f t="shared" si="1338"/>
        <v>13946.08</v>
      </c>
      <c r="CT203" s="24">
        <f t="shared" si="1339"/>
        <v>13946.08</v>
      </c>
      <c r="CU203" s="24">
        <f t="shared" si="1340"/>
        <v>13946.08</v>
      </c>
      <c r="CV203" s="24">
        <f t="shared" si="1341"/>
        <v>13946.08</v>
      </c>
      <c r="CW203" s="24">
        <f t="shared" si="1342"/>
        <v>13946.08</v>
      </c>
      <c r="CX203" s="24">
        <f t="shared" si="1343"/>
        <v>13946.08</v>
      </c>
      <c r="CY203" s="24">
        <f t="shared" si="1344"/>
        <v>13946.08</v>
      </c>
      <c r="CZ203" s="24">
        <f t="shared" si="1345"/>
        <v>13946.08</v>
      </c>
      <c r="DA203" s="24">
        <f t="shared" si="1346"/>
        <v>13946.08</v>
      </c>
      <c r="DB203" s="24">
        <f t="shared" si="1347"/>
        <v>13946.08</v>
      </c>
      <c r="DE203" s="123"/>
      <c r="DF203" s="23">
        <v>13946.08</v>
      </c>
    </row>
    <row r="204" spans="1:110" s="22" customFormat="1" x14ac:dyDescent="0.2">
      <c r="A204" s="22" t="s">
        <v>57</v>
      </c>
      <c r="B204" s="22">
        <f>B200+B203+B202</f>
        <v>351.01260000000002</v>
      </c>
      <c r="C204" s="22">
        <f t="shared" ref="C204:D204" si="1348">C200+C203+C202</f>
        <v>335.4753</v>
      </c>
      <c r="D204" s="22">
        <f t="shared" si="1348"/>
        <v>320.10040000000004</v>
      </c>
      <c r="E204" s="22">
        <f t="shared" ref="E204:Y204" si="1349">E200+E203+E202+E201</f>
        <v>303.86709999999994</v>
      </c>
      <c r="F204" s="22">
        <f t="shared" si="1349"/>
        <v>184.98409999999998</v>
      </c>
      <c r="G204" s="22">
        <f t="shared" si="1349"/>
        <v>233.56720000000004</v>
      </c>
      <c r="H204" s="22">
        <f t="shared" si="1349"/>
        <v>224.5975</v>
      </c>
      <c r="I204" s="22">
        <f t="shared" si="1349"/>
        <v>201.05530000000002</v>
      </c>
      <c r="J204" s="22">
        <f t="shared" si="1349"/>
        <v>264.149</v>
      </c>
      <c r="K204" s="22">
        <f t="shared" si="1349"/>
        <v>318.94010000000003</v>
      </c>
      <c r="L204" s="22">
        <f t="shared" si="1349"/>
        <v>338.38040000000001</v>
      </c>
      <c r="M204" s="22">
        <f t="shared" si="1349"/>
        <v>318.8331</v>
      </c>
      <c r="N204" s="22">
        <f t="shared" si="1349"/>
        <v>298.85270000000003</v>
      </c>
      <c r="O204" s="22">
        <f t="shared" si="1349"/>
        <v>280.0634</v>
      </c>
      <c r="P204" s="22">
        <f t="shared" si="1349"/>
        <v>276.42529999999999</v>
      </c>
      <c r="Q204" s="22">
        <f t="shared" si="1349"/>
        <v>299.91590000000002</v>
      </c>
      <c r="R204" s="22">
        <f t="shared" si="1349"/>
        <v>328.34719999999999</v>
      </c>
      <c r="S204" s="22">
        <f t="shared" si="1349"/>
        <v>371.22689999999994</v>
      </c>
      <c r="T204" s="22">
        <f t="shared" si="1349"/>
        <v>394.37320000000005</v>
      </c>
      <c r="U204" s="22">
        <f t="shared" si="1349"/>
        <v>416.29320000000001</v>
      </c>
      <c r="V204" s="22">
        <f t="shared" si="1349"/>
        <v>446.38459999999998</v>
      </c>
      <c r="W204" s="22">
        <f t="shared" si="1349"/>
        <v>485.54000000000008</v>
      </c>
      <c r="X204" s="22">
        <f t="shared" si="1349"/>
        <v>830.24</v>
      </c>
      <c r="Y204" s="22">
        <f t="shared" si="1349"/>
        <v>2502.8500000000004</v>
      </c>
      <c r="Z204" s="22">
        <f>Z200+Z203+Z202+Z201</f>
        <v>5957.7800000000007</v>
      </c>
      <c r="AA204" s="22">
        <f>AA200+AA203+AA202+AA201</f>
        <v>27114.949999999997</v>
      </c>
      <c r="AB204" s="21">
        <f t="shared" ref="AB204:AE204" si="1350">AB200+AB203+AB202+AB201</f>
        <v>27596.259270400449</v>
      </c>
      <c r="AC204" s="21">
        <f t="shared" si="1350"/>
        <v>28411.310071923464</v>
      </c>
      <c r="AD204" s="21">
        <f t="shared" si="1350"/>
        <v>29175.436239802984</v>
      </c>
      <c r="AE204" s="21">
        <f t="shared" si="1350"/>
        <v>29891.819561366712</v>
      </c>
      <c r="AJ204" s="22">
        <f t="shared" ref="AJ204" si="1351">AJ200+AJ203+AJ201+AJ202</f>
        <v>307.09300000000002</v>
      </c>
      <c r="AK204" s="22">
        <f t="shared" ref="AK204" si="1352">AK200+AK203+AK201+AK202</f>
        <v>307.09300000000002</v>
      </c>
      <c r="AL204" s="22">
        <f t="shared" ref="AL204:AM204" si="1353">AL200+AL203+AL201+AL202</f>
        <v>298.85300000000001</v>
      </c>
      <c r="AM204" s="22">
        <f t="shared" si="1353"/>
        <v>298.85300000000001</v>
      </c>
      <c r="AN204" s="22">
        <f t="shared" ref="AN204:AO204" si="1354">AN200+AN203+AN201+AN202</f>
        <v>290.08300000000003</v>
      </c>
      <c r="AO204" s="22">
        <f t="shared" si="1354"/>
        <v>290.08300000000003</v>
      </c>
      <c r="AP204" s="22">
        <f t="shared" ref="AP204:CE204" si="1355">AP200+AP203+AP201+AP202</f>
        <v>280.06299999999999</v>
      </c>
      <c r="AQ204" s="22">
        <f t="shared" si="1355"/>
        <v>280.06299999999999</v>
      </c>
      <c r="AR204" s="22">
        <f t="shared" si="1355"/>
        <v>281.29300000000001</v>
      </c>
      <c r="AS204" s="22">
        <f t="shared" si="1355"/>
        <v>281.29300000000001</v>
      </c>
      <c r="AT204" s="22">
        <f t="shared" si="1355"/>
        <v>276.42500000000001</v>
      </c>
      <c r="AU204" s="22">
        <f t="shared" si="1355"/>
        <v>276.42500000000001</v>
      </c>
      <c r="AV204" s="22">
        <f t="shared" si="1355"/>
        <v>283.125</v>
      </c>
      <c r="AW204" s="22">
        <f t="shared" si="1355"/>
        <v>283.125</v>
      </c>
      <c r="AX204" s="22">
        <f t="shared" si="1355"/>
        <v>299.91499999999996</v>
      </c>
      <c r="AY204" s="22">
        <f t="shared" si="1355"/>
        <v>299.91499999999996</v>
      </c>
      <c r="AZ204" s="22">
        <f t="shared" si="1355"/>
        <v>295.14</v>
      </c>
      <c r="BA204" s="22">
        <f t="shared" si="1355"/>
        <v>295.14</v>
      </c>
      <c r="BB204" s="22">
        <f t="shared" si="1355"/>
        <v>328.34699999999998</v>
      </c>
      <c r="BC204" s="22">
        <f t="shared" si="1355"/>
        <v>328.34699999999998</v>
      </c>
      <c r="BD204" s="22">
        <f t="shared" si="1355"/>
        <v>329.18299999999999</v>
      </c>
      <c r="BE204" s="22">
        <f t="shared" si="1355"/>
        <v>329.18299999999999</v>
      </c>
      <c r="BF204" s="22">
        <f t="shared" si="1355"/>
        <v>371.22700000000003</v>
      </c>
      <c r="BG204" s="22">
        <f t="shared" si="1355"/>
        <v>371.22700000000003</v>
      </c>
      <c r="BH204" s="22">
        <f t="shared" si="1355"/>
        <v>407.5</v>
      </c>
      <c r="BI204" s="22">
        <f t="shared" si="1355"/>
        <v>407.5</v>
      </c>
      <c r="BJ204" s="22">
        <f t="shared" si="1355"/>
        <v>394.37400000000002</v>
      </c>
      <c r="BK204" s="22">
        <f t="shared" si="1355"/>
        <v>394.37400000000002</v>
      </c>
      <c r="BL204" s="22">
        <f t="shared" si="1355"/>
        <v>410.32499999999999</v>
      </c>
      <c r="BM204" s="22">
        <f t="shared" si="1355"/>
        <v>410.32499999999999</v>
      </c>
      <c r="BN204" s="22">
        <f t="shared" si="1355"/>
        <v>413.31200000000001</v>
      </c>
      <c r="BO204" s="22">
        <f t="shared" si="1355"/>
        <v>413.31200000000001</v>
      </c>
      <c r="BP204" s="22">
        <f t="shared" si="1355"/>
        <v>409.815</v>
      </c>
      <c r="BQ204" s="22">
        <f t="shared" si="1355"/>
        <v>409.815</v>
      </c>
      <c r="BR204" s="22">
        <f t="shared" si="1355"/>
        <v>445.596</v>
      </c>
      <c r="BS204" s="22">
        <f t="shared" si="1355"/>
        <v>445.596</v>
      </c>
      <c r="BT204" s="22">
        <f t="shared" si="1355"/>
        <v>452.93799999999999</v>
      </c>
      <c r="BU204" s="22">
        <f t="shared" si="1355"/>
        <v>452.93799999999999</v>
      </c>
      <c r="BV204" s="22">
        <f t="shared" si="1355"/>
        <v>484.94</v>
      </c>
      <c r="BW204" s="22">
        <f t="shared" si="1355"/>
        <v>484.94</v>
      </c>
      <c r="BX204" s="22">
        <f t="shared" si="1355"/>
        <v>656.97</v>
      </c>
      <c r="BY204" s="22">
        <f t="shared" si="1355"/>
        <v>656.97</v>
      </c>
      <c r="BZ204" s="22">
        <f t="shared" si="1355"/>
        <v>779.61</v>
      </c>
      <c r="CA204" s="22">
        <f t="shared" si="1355"/>
        <v>779.61</v>
      </c>
      <c r="CB204" s="22">
        <f t="shared" si="1355"/>
        <v>1330.02</v>
      </c>
      <c r="CC204" s="22">
        <f t="shared" si="1355"/>
        <v>1330.02</v>
      </c>
      <c r="CD204" s="22">
        <f t="shared" si="1355"/>
        <v>2424.9</v>
      </c>
      <c r="CE204" s="22">
        <f t="shared" si="1355"/>
        <v>2424.9</v>
      </c>
      <c r="CF204" s="22">
        <f t="shared" ref="CF204:CG204" si="1356">CF200+CF203+CF201+CF202</f>
        <v>3567.06</v>
      </c>
      <c r="CG204" s="22">
        <f t="shared" si="1356"/>
        <v>3567.06</v>
      </c>
      <c r="CH204" s="22">
        <f t="shared" ref="CH204:CJ204" si="1357">CH200+CH203+CH201+CH202</f>
        <v>5957.7800000000007</v>
      </c>
      <c r="CI204" s="22">
        <f t="shared" si="1357"/>
        <v>5927.05</v>
      </c>
      <c r="CJ204" s="22">
        <f t="shared" si="1357"/>
        <v>11150.26</v>
      </c>
      <c r="CK204" s="22">
        <f t="shared" ref="CK204:DB204" si="1358">CK200+CK203+CK201+CK202</f>
        <v>10964.71</v>
      </c>
      <c r="CL204" s="22">
        <f t="shared" si="1358"/>
        <v>26726.89</v>
      </c>
      <c r="CM204" s="21">
        <f t="shared" si="1358"/>
        <v>26949.518639999995</v>
      </c>
      <c r="CN204" s="21">
        <f t="shared" si="1358"/>
        <v>27168.585221759997</v>
      </c>
      <c r="CO204" s="21">
        <f t="shared" si="1358"/>
        <v>27384.146738211835</v>
      </c>
      <c r="CP204" s="21">
        <f t="shared" si="1358"/>
        <v>27596.259270400449</v>
      </c>
      <c r="CQ204" s="21">
        <f t="shared" si="1358"/>
        <v>27804.97800207404</v>
      </c>
      <c r="CR204" s="21">
        <f t="shared" si="1358"/>
        <v>28010.357234040857</v>
      </c>
      <c r="CS204" s="21">
        <f t="shared" si="1358"/>
        <v>28212.450398296205</v>
      </c>
      <c r="CT204" s="21">
        <f t="shared" si="1358"/>
        <v>28411.310071923464</v>
      </c>
      <c r="CU204" s="21">
        <f t="shared" si="1358"/>
        <v>28606.987990772686</v>
      </c>
      <c r="CV204" s="21">
        <f t="shared" si="1358"/>
        <v>28799.535062920324</v>
      </c>
      <c r="CW204" s="21">
        <f t="shared" si="1358"/>
        <v>28989.0013819136</v>
      </c>
      <c r="CX204" s="21">
        <f t="shared" si="1358"/>
        <v>29175.436239802984</v>
      </c>
      <c r="CY204" s="21">
        <f t="shared" si="1358"/>
        <v>29358.888139966133</v>
      </c>
      <c r="CZ204" s="21">
        <f t="shared" si="1358"/>
        <v>29539.404809726679</v>
      </c>
      <c r="DA204" s="21">
        <f t="shared" si="1358"/>
        <v>29717.03321277105</v>
      </c>
      <c r="DB204" s="21">
        <f t="shared" si="1358"/>
        <v>29891.819561366712</v>
      </c>
      <c r="DE204" s="126"/>
      <c r="DF204" s="22">
        <v>27114.949999999997</v>
      </c>
    </row>
    <row r="205" spans="1:110" s="23" customFormat="1" x14ac:dyDescent="0.2">
      <c r="AB205" s="24"/>
      <c r="AC205" s="24"/>
      <c r="AD205" s="24"/>
      <c r="AE205" s="24"/>
      <c r="CM205" s="204"/>
      <c r="CN205" s="24"/>
      <c r="CO205" s="24"/>
      <c r="CP205" s="24"/>
      <c r="CQ205" s="204"/>
      <c r="CR205" s="24"/>
      <c r="CS205" s="24"/>
      <c r="CT205" s="24"/>
      <c r="CU205" s="24"/>
      <c r="CV205" s="24"/>
      <c r="CW205" s="24"/>
      <c r="CX205" s="24"/>
      <c r="CY205" s="24"/>
      <c r="CZ205" s="24"/>
      <c r="DA205" s="24"/>
      <c r="DB205" s="24"/>
      <c r="DE205" s="123"/>
    </row>
    <row r="206" spans="1:110" s="23" customFormat="1" x14ac:dyDescent="0.2">
      <c r="A206" s="23" t="s">
        <v>58</v>
      </c>
      <c r="B206" s="23">
        <f>'Annual Raw'!C71</f>
        <v>1.5741000000000001</v>
      </c>
      <c r="C206" s="23">
        <f>'Annual Raw'!D71</f>
        <v>1.5741000000000001</v>
      </c>
      <c r="D206" s="23">
        <f>'Annual Raw'!E71</f>
        <v>1E-3</v>
      </c>
      <c r="E206" s="23">
        <f>'Annual Raw'!F71</f>
        <v>1E-3</v>
      </c>
      <c r="F206" s="23">
        <f>'Annual Raw'!G71</f>
        <v>1E-3</v>
      </c>
      <c r="G206" s="23">
        <f>'Annual Raw'!H71</f>
        <v>1E-3</v>
      </c>
      <c r="H206" s="23">
        <f>'Annual Raw'!I71</f>
        <v>1E-3</v>
      </c>
      <c r="I206" s="23">
        <f>'Annual Raw'!J71</f>
        <v>0</v>
      </c>
      <c r="J206" s="23">
        <f>'Annual Raw'!K71</f>
        <v>0</v>
      </c>
      <c r="K206" s="23">
        <f>'Annual Raw'!L71</f>
        <v>8.8000000000000007</v>
      </c>
      <c r="L206" s="23">
        <f>'Annual Raw'!M71</f>
        <v>1.2500000000000001E-2</v>
      </c>
      <c r="M206" s="23">
        <f>'Annual Raw'!N71</f>
        <v>1.2500000000000001E-2</v>
      </c>
      <c r="N206" s="23">
        <f>'Annual Raw'!O71</f>
        <v>1.2500000000000001E-2</v>
      </c>
      <c r="O206" s="23">
        <f>'Annual Raw'!P71</f>
        <v>3.15E-2</v>
      </c>
      <c r="P206" s="23">
        <f>'Annual Raw'!Q71</f>
        <v>8.1600000000000006E-2</v>
      </c>
      <c r="Q206" s="23">
        <f>'Annual Raw'!R71</f>
        <v>0.13150000000000001</v>
      </c>
      <c r="R206" s="23">
        <f>'Annual Raw'!S71</f>
        <v>0.13150000000000001</v>
      </c>
      <c r="S206" s="23">
        <f>'Annual Raw'!T71</f>
        <v>0.13150000000000001</v>
      </c>
      <c r="T206" s="23">
        <f>'Annual Raw'!U71</f>
        <v>0.13150000000000001</v>
      </c>
      <c r="U206" s="23">
        <f>'Annual Raw'!V71</f>
        <v>0.13150000000000001</v>
      </c>
      <c r="V206" s="23">
        <f>'Annual Raw'!W71</f>
        <v>0.13550000000000001</v>
      </c>
      <c r="W206" s="23">
        <f>'Annual Raw'!X71</f>
        <v>0.14000000000000001</v>
      </c>
      <c r="X206" s="23">
        <f>'Annual Raw'!Y71</f>
        <v>0.04</v>
      </c>
      <c r="Y206" s="23">
        <f>'Annual Raw'!Z71</f>
        <v>0.04</v>
      </c>
      <c r="Z206" s="23">
        <f>'Annual Raw'!AA71</f>
        <v>0.03</v>
      </c>
      <c r="AA206" s="23">
        <f>'Annual Raw'!AB71</f>
        <v>560.63</v>
      </c>
      <c r="AB206" s="24">
        <f>+CP206</f>
        <v>560.63</v>
      </c>
      <c r="AC206" s="24">
        <f>+CT206</f>
        <v>560.63</v>
      </c>
      <c r="AD206" s="24">
        <f>+CX206</f>
        <v>560.63</v>
      </c>
      <c r="AE206" s="24">
        <f>+DB206</f>
        <v>560.63</v>
      </c>
      <c r="AJ206" s="23">
        <f>+'QTR Raw'!D77</f>
        <v>0.113</v>
      </c>
      <c r="AK206" s="23">
        <f t="shared" ref="AK206:CE206" si="1359">+AJ206</f>
        <v>0.113</v>
      </c>
      <c r="AL206" s="23">
        <f>+'QTR Raw'!F77</f>
        <v>0.113</v>
      </c>
      <c r="AM206" s="23">
        <f t="shared" si="1359"/>
        <v>0.113</v>
      </c>
      <c r="AN206" s="23">
        <f>+'QTR Raw'!H77</f>
        <v>3.2000000000000001E-2</v>
      </c>
      <c r="AO206" s="23">
        <f t="shared" si="1359"/>
        <v>3.2000000000000001E-2</v>
      </c>
      <c r="AP206" s="23">
        <f>+'QTR Raw'!J77</f>
        <v>3.2000000000000001E-2</v>
      </c>
      <c r="AQ206" s="23">
        <f t="shared" si="1359"/>
        <v>3.2000000000000001E-2</v>
      </c>
      <c r="AR206" s="23">
        <f>+'QTR Raw'!L77</f>
        <v>3.2000000000000001E-2</v>
      </c>
      <c r="AS206" s="23">
        <f t="shared" si="1359"/>
        <v>3.2000000000000001E-2</v>
      </c>
      <c r="AT206" s="23">
        <f>+'QTR Raw'!N77</f>
        <v>8.2000000000000003E-2</v>
      </c>
      <c r="AU206" s="23">
        <f t="shared" si="1359"/>
        <v>8.2000000000000003E-2</v>
      </c>
      <c r="AV206" s="23">
        <f>+'QTR Raw'!P77</f>
        <v>0.13200000000000001</v>
      </c>
      <c r="AW206" s="23">
        <f t="shared" si="1359"/>
        <v>0.13200000000000001</v>
      </c>
      <c r="AX206" s="23">
        <f>+'QTR Raw'!R77</f>
        <v>0.13200000000000001</v>
      </c>
      <c r="AY206" s="23">
        <f t="shared" si="1359"/>
        <v>0.13200000000000001</v>
      </c>
      <c r="AZ206" s="23">
        <f>+'QTR Raw'!T77</f>
        <v>0.13200000000000001</v>
      </c>
      <c r="BA206" s="23">
        <f t="shared" si="1359"/>
        <v>0.13200000000000001</v>
      </c>
      <c r="BB206" s="23">
        <f>+'QTR Raw'!V77</f>
        <v>0.13200000000000001</v>
      </c>
      <c r="BC206" s="23">
        <f t="shared" si="1359"/>
        <v>0.13200000000000001</v>
      </c>
      <c r="BD206" s="23">
        <f>+'QTR Raw'!X77</f>
        <v>0.13200000000000001</v>
      </c>
      <c r="BE206" s="23">
        <f t="shared" si="1359"/>
        <v>0.13200000000000001</v>
      </c>
      <c r="BF206" s="23">
        <f>+'QTR Raw'!Z77</f>
        <v>0.13200000000000001</v>
      </c>
      <c r="BG206" s="23">
        <f t="shared" si="1359"/>
        <v>0.13200000000000001</v>
      </c>
      <c r="BH206" s="23">
        <f>+'QTR Raw'!AB77</f>
        <v>0.13200000000000001</v>
      </c>
      <c r="BI206" s="23">
        <f t="shared" si="1359"/>
        <v>0.13200000000000001</v>
      </c>
      <c r="BJ206" s="23">
        <f>+'QTR Raw'!AD77</f>
        <v>0.13100000000000001</v>
      </c>
      <c r="BK206" s="23">
        <f t="shared" si="1359"/>
        <v>0.13100000000000001</v>
      </c>
      <c r="BL206" s="23">
        <f>+'QTR Raw'!AF77</f>
        <v>0.13200000000000001</v>
      </c>
      <c r="BM206" s="23">
        <f t="shared" si="1359"/>
        <v>0.13200000000000001</v>
      </c>
      <c r="BN206" s="23">
        <f>+'QTR Raw'!AH77</f>
        <v>0.13200000000000001</v>
      </c>
      <c r="BO206" s="23">
        <f t="shared" si="1359"/>
        <v>0.13200000000000001</v>
      </c>
      <c r="BP206" s="23">
        <f>+'QTR Raw'!AJ77</f>
        <v>0.13600000000000001</v>
      </c>
      <c r="BQ206" s="23">
        <f t="shared" si="1359"/>
        <v>0.13600000000000001</v>
      </c>
      <c r="BR206" s="23">
        <f>+'QTR Raw'!AL77</f>
        <v>0.13600000000000001</v>
      </c>
      <c r="BS206" s="23">
        <f t="shared" si="1359"/>
        <v>0.13600000000000001</v>
      </c>
      <c r="BT206" s="23">
        <f>+'QTR Raw'!AN77</f>
        <v>0.13600000000000001</v>
      </c>
      <c r="BU206" s="23">
        <f t="shared" si="1359"/>
        <v>0.13600000000000001</v>
      </c>
      <c r="BV206" s="23">
        <f>+'QTR Raw'!AP77</f>
        <v>0.14000000000000001</v>
      </c>
      <c r="BW206" s="23">
        <f t="shared" si="1359"/>
        <v>0.14000000000000001</v>
      </c>
      <c r="BX206" s="23">
        <f>+'QTR Raw'!AR77</f>
        <v>0.2</v>
      </c>
      <c r="BY206" s="23">
        <f t="shared" si="1359"/>
        <v>0.2</v>
      </c>
      <c r="BZ206" s="23">
        <f>+'QTR Raw'!AT77</f>
        <v>0.04</v>
      </c>
      <c r="CA206" s="23">
        <f t="shared" si="1359"/>
        <v>0.04</v>
      </c>
      <c r="CB206" s="23">
        <f>+'QTR Raw'!AV77</f>
        <v>0.04</v>
      </c>
      <c r="CC206" s="23">
        <f t="shared" si="1359"/>
        <v>0.04</v>
      </c>
      <c r="CD206" s="23">
        <f>+'QTR Raw'!AX77</f>
        <v>0.04</v>
      </c>
      <c r="CE206" s="23">
        <f t="shared" si="1359"/>
        <v>0.04</v>
      </c>
      <c r="CF206" s="23">
        <f>+'QTR Raw'!AZ77</f>
        <v>0.04</v>
      </c>
      <c r="CG206" s="23">
        <f t="shared" ref="CG206:CI209" si="1360">+CF206</f>
        <v>0.04</v>
      </c>
      <c r="CH206" s="23">
        <f t="shared" ref="CH206:CH221" si="1361">Z206</f>
        <v>0.03</v>
      </c>
      <c r="CI206" s="23">
        <f t="shared" si="1360"/>
        <v>0.03</v>
      </c>
      <c r="CJ206" s="23">
        <f>+'QTR Raw'!BD77</f>
        <v>48.4</v>
      </c>
      <c r="CK206" s="23">
        <f t="shared" ref="CK206" si="1362">+CJ206</f>
        <v>48.4</v>
      </c>
      <c r="CL206" s="23">
        <f>+'QTR Raw'!BF77</f>
        <v>560.63</v>
      </c>
      <c r="CM206" s="24">
        <f t="shared" ref="CM206" si="1363">+CL206</f>
        <v>560.63</v>
      </c>
      <c r="CN206" s="24">
        <f t="shared" ref="CN206" si="1364">+CM206</f>
        <v>560.63</v>
      </c>
      <c r="CO206" s="24">
        <f t="shared" ref="CO206" si="1365">+CN206</f>
        <v>560.63</v>
      </c>
      <c r="CP206" s="24">
        <f t="shared" ref="CP206" si="1366">+CO206</f>
        <v>560.63</v>
      </c>
      <c r="CQ206" s="24">
        <f t="shared" ref="CQ206" si="1367">+CP206</f>
        <v>560.63</v>
      </c>
      <c r="CR206" s="24">
        <f t="shared" ref="CR206" si="1368">+CQ206</f>
        <v>560.63</v>
      </c>
      <c r="CS206" s="24">
        <f t="shared" ref="CS206" si="1369">+CR206</f>
        <v>560.63</v>
      </c>
      <c r="CT206" s="24">
        <f t="shared" ref="CT206" si="1370">+CS206</f>
        <v>560.63</v>
      </c>
      <c r="CU206" s="24">
        <f t="shared" ref="CU206" si="1371">+CT206</f>
        <v>560.63</v>
      </c>
      <c r="CV206" s="24">
        <f t="shared" ref="CV206" si="1372">+CU206</f>
        <v>560.63</v>
      </c>
      <c r="CW206" s="24">
        <f t="shared" ref="CW206" si="1373">+CV206</f>
        <v>560.63</v>
      </c>
      <c r="CX206" s="24">
        <f t="shared" ref="CX206" si="1374">+CW206</f>
        <v>560.63</v>
      </c>
      <c r="CY206" s="24">
        <f t="shared" ref="CY206" si="1375">+CX206</f>
        <v>560.63</v>
      </c>
      <c r="CZ206" s="24">
        <f t="shared" ref="CZ206" si="1376">+CY206</f>
        <v>560.63</v>
      </c>
      <c r="DA206" s="24">
        <f t="shared" ref="DA206" si="1377">+CZ206</f>
        <v>560.63</v>
      </c>
      <c r="DB206" s="24">
        <f t="shared" ref="DB206" si="1378">+DA206</f>
        <v>560.63</v>
      </c>
      <c r="DE206" s="123"/>
      <c r="DF206" s="23">
        <v>560.63</v>
      </c>
    </row>
    <row r="207" spans="1:110" s="23" customFormat="1" x14ac:dyDescent="0.2">
      <c r="AB207" s="24"/>
      <c r="AC207" s="24"/>
      <c r="AD207" s="24"/>
      <c r="AE207" s="24"/>
      <c r="CM207" s="24"/>
      <c r="CN207" s="24"/>
      <c r="CO207" s="24"/>
      <c r="CP207" s="24"/>
      <c r="CQ207" s="24"/>
      <c r="CR207" s="24"/>
      <c r="CS207" s="24"/>
      <c r="CT207" s="24"/>
      <c r="CU207" s="24"/>
      <c r="CV207" s="24"/>
      <c r="CW207" s="24"/>
      <c r="CX207" s="24"/>
      <c r="CY207" s="24"/>
      <c r="CZ207" s="24"/>
      <c r="DA207" s="24"/>
      <c r="DB207" s="24"/>
      <c r="DE207" s="123"/>
    </row>
    <row r="208" spans="1:110" s="23" customFormat="1" outlineLevel="1" x14ac:dyDescent="0.2">
      <c r="A208" s="23" t="s">
        <v>59</v>
      </c>
      <c r="B208" s="23">
        <f>'Annual Raw'!C72</f>
        <v>0</v>
      </c>
      <c r="C208" s="23">
        <f>'Annual Raw'!D72</f>
        <v>0</v>
      </c>
      <c r="D208" s="23">
        <f>'Annual Raw'!E72</f>
        <v>0</v>
      </c>
      <c r="E208" s="23">
        <f>'Annual Raw'!F72+'Annual Raw'!F61</f>
        <v>0</v>
      </c>
      <c r="F208" s="23">
        <f>'Annual Raw'!G72+'Annual Raw'!G61</f>
        <v>0</v>
      </c>
      <c r="G208" s="23">
        <f>'Annual Raw'!H72+'Annual Raw'!H61</f>
        <v>0</v>
      </c>
      <c r="H208" s="23">
        <f>'Annual Raw'!I72+'Annual Raw'!I61</f>
        <v>0</v>
      </c>
      <c r="I208" s="23">
        <f>'Annual Raw'!J72+'Annual Raw'!J61</f>
        <v>0</v>
      </c>
      <c r="J208" s="23">
        <f>'Annual Raw'!K72+'Annual Raw'!K61</f>
        <v>0</v>
      </c>
      <c r="K208" s="23">
        <f>'Annual Raw'!L72+'Annual Raw'!L61</f>
        <v>0</v>
      </c>
      <c r="L208" s="23">
        <f>'Annual Raw'!M72+'Annual Raw'!M61</f>
        <v>39.348999999999997</v>
      </c>
      <c r="M208" s="23">
        <f>'Annual Raw'!N72+'Annual Raw'!N61</f>
        <v>39.359699999999997</v>
      </c>
      <c r="N208" s="23">
        <f>'Annual Raw'!O72+'Annual Raw'!O61</f>
        <v>40.073</v>
      </c>
      <c r="O208" s="23">
        <f>'Annual Raw'!P72+'Annual Raw'!P61</f>
        <v>38.374499999999998</v>
      </c>
      <c r="P208" s="23">
        <f>'Annual Raw'!Q72+'Annual Raw'!Q61</f>
        <v>38.957999999999998</v>
      </c>
      <c r="Q208" s="23">
        <f>'Annual Raw'!R72+'Annual Raw'!R61</f>
        <v>38.810200000000002</v>
      </c>
      <c r="R208" s="23">
        <f>'Annual Raw'!S72+'Annual Raw'!S61</f>
        <v>38.822000000000003</v>
      </c>
      <c r="S208" s="23">
        <f>'Annual Raw'!T72+'Annual Raw'!T61</f>
        <v>38.5182</v>
      </c>
      <c r="T208" s="23">
        <f>'Annual Raw'!U72+'Annual Raw'!U61</f>
        <v>0.62790000000000001</v>
      </c>
      <c r="U208" s="23">
        <f>'Annual Raw'!V72+'Annual Raw'!V61</f>
        <v>0.64890000000000003</v>
      </c>
      <c r="V208" s="23">
        <f>'Annual Raw'!W72+'Annual Raw'!W61</f>
        <v>0.72670000000000001</v>
      </c>
      <c r="W208" s="23">
        <f>'Annual Raw'!X72+'Annual Raw'!X61</f>
        <v>0.87</v>
      </c>
      <c r="X208" s="23">
        <f>'Annual Raw'!Y72+'Annual Raw'!Y61</f>
        <v>136.38</v>
      </c>
      <c r="Y208" s="23">
        <f>'Annual Raw'!Z72+'Annual Raw'!Z61</f>
        <v>307.19</v>
      </c>
      <c r="Z208" s="23">
        <f>'Annual Raw'!AA72+'Annual Raw'!AA61</f>
        <v>582.51</v>
      </c>
      <c r="AA208" s="23">
        <f>'Annual Raw'!AB72+'Annual Raw'!AB61</f>
        <v>3621.79</v>
      </c>
      <c r="AB208" s="24">
        <f t="shared" ref="AB208:AB213" si="1379">+CP208</f>
        <v>0</v>
      </c>
      <c r="AC208" s="24">
        <f t="shared" ref="AC208:AC213" si="1380">+CT208</f>
        <v>0</v>
      </c>
      <c r="AD208" s="24">
        <f t="shared" ref="AD208:AD213" si="1381">+CX208</f>
        <v>0</v>
      </c>
      <c r="AE208" s="24">
        <f t="shared" ref="AE208:AE213" si="1382">+DB208</f>
        <v>0</v>
      </c>
      <c r="AJ208" s="23">
        <f>+'QTR Raw'!D78</f>
        <v>39.781999999999996</v>
      </c>
      <c r="AK208" s="23">
        <f t="shared" ref="AK208:CE213" si="1383">+AJ208</f>
        <v>39.781999999999996</v>
      </c>
      <c r="AL208" s="23">
        <f>+'QTR Raw'!F78</f>
        <v>40.06</v>
      </c>
      <c r="AM208" s="23">
        <f t="shared" si="1383"/>
        <v>40.06</v>
      </c>
      <c r="AN208" s="23">
        <f>+'QTR Raw'!H78</f>
        <v>39.840000000000003</v>
      </c>
      <c r="AO208" s="23">
        <f t="shared" si="1383"/>
        <v>39.840000000000003</v>
      </c>
      <c r="AP208" s="23">
        <f>+'QTR Raw'!J78</f>
        <v>38.375</v>
      </c>
      <c r="AQ208" s="23">
        <f t="shared" si="1383"/>
        <v>38.375</v>
      </c>
      <c r="AR208" s="23">
        <f>+'QTR Raw'!L78</f>
        <v>39.536999999999999</v>
      </c>
      <c r="AS208" s="23">
        <f t="shared" si="1383"/>
        <v>39.536999999999999</v>
      </c>
      <c r="AT208" s="23">
        <f>+'QTR Raw'!N78</f>
        <v>38.957999999999998</v>
      </c>
      <c r="AU208" s="23">
        <f t="shared" si="1383"/>
        <v>38.957999999999998</v>
      </c>
      <c r="AV208" s="23">
        <f>+'QTR Raw'!P78</f>
        <v>38.780999999999999</v>
      </c>
      <c r="AW208" s="23">
        <f t="shared" si="1383"/>
        <v>38.780999999999999</v>
      </c>
      <c r="AX208" s="23">
        <f>+'QTR Raw'!R78</f>
        <v>38.81</v>
      </c>
      <c r="AY208" s="23">
        <f t="shared" si="1383"/>
        <v>38.81</v>
      </c>
      <c r="AZ208" s="23">
        <f>+'QTR Raw'!T78</f>
        <v>38.99</v>
      </c>
      <c r="BA208" s="23">
        <f t="shared" si="1383"/>
        <v>38.99</v>
      </c>
      <c r="BB208" s="23">
        <f>+'QTR Raw'!V78</f>
        <v>38.822000000000003</v>
      </c>
      <c r="BC208" s="23">
        <f t="shared" si="1383"/>
        <v>38.822000000000003</v>
      </c>
      <c r="BD208" s="23">
        <f>+'QTR Raw'!X78</f>
        <v>38.814999999999998</v>
      </c>
      <c r="BE208" s="23">
        <f t="shared" si="1383"/>
        <v>38.814999999999998</v>
      </c>
      <c r="BF208" s="23">
        <f>+'QTR Raw'!Z78</f>
        <v>38.518000000000001</v>
      </c>
      <c r="BG208" s="23">
        <f t="shared" si="1383"/>
        <v>38.518000000000001</v>
      </c>
      <c r="BH208" s="23">
        <f>+'QTR Raw'!AB78</f>
        <v>0</v>
      </c>
      <c r="BI208" s="23">
        <f t="shared" si="1383"/>
        <v>0</v>
      </c>
      <c r="BJ208" s="23">
        <f>+'QTR Raw'!AD78</f>
        <v>0</v>
      </c>
      <c r="BK208" s="23">
        <f t="shared" si="1383"/>
        <v>0</v>
      </c>
      <c r="BL208" s="23">
        <f>+'QTR Raw'!AF78</f>
        <v>0</v>
      </c>
      <c r="BM208" s="23">
        <f t="shared" si="1383"/>
        <v>0</v>
      </c>
      <c r="BN208" s="23">
        <f>+'QTR Raw'!AH78</f>
        <v>0</v>
      </c>
      <c r="BO208" s="23">
        <f t="shared" si="1383"/>
        <v>0</v>
      </c>
      <c r="BP208" s="23">
        <f>+'QTR Raw'!AJ78</f>
        <v>0</v>
      </c>
      <c r="BQ208" s="23">
        <f t="shared" si="1383"/>
        <v>0</v>
      </c>
      <c r="BR208" s="23">
        <f>+'QTR Raw'!AL78</f>
        <v>0</v>
      </c>
      <c r="BS208" s="23">
        <f t="shared" si="1383"/>
        <v>0</v>
      </c>
      <c r="BT208" s="23">
        <f>+'QTR Raw'!AN78</f>
        <v>0</v>
      </c>
      <c r="BU208" s="23">
        <f t="shared" si="1383"/>
        <v>0</v>
      </c>
      <c r="BV208" s="23">
        <f>+'QTR Raw'!AP78</f>
        <v>0</v>
      </c>
      <c r="BW208" s="23">
        <f t="shared" si="1383"/>
        <v>0</v>
      </c>
      <c r="BX208" s="23">
        <f>+'QTR Raw'!AR78</f>
        <v>0</v>
      </c>
      <c r="BY208" s="23">
        <f t="shared" si="1383"/>
        <v>0</v>
      </c>
      <c r="BZ208" s="23">
        <f>+'QTR Raw'!AT78</f>
        <v>0</v>
      </c>
      <c r="CA208" s="23">
        <f t="shared" si="1383"/>
        <v>0</v>
      </c>
      <c r="CB208" s="23">
        <f>+'QTR Raw'!AV78</f>
        <v>0</v>
      </c>
      <c r="CC208" s="23">
        <f t="shared" si="1383"/>
        <v>0</v>
      </c>
      <c r="CD208" s="23">
        <f>+'QTR Raw'!AX78</f>
        <v>0</v>
      </c>
      <c r="CE208" s="23">
        <f t="shared" si="1383"/>
        <v>0</v>
      </c>
      <c r="CF208" s="23">
        <f>+'QTR Raw'!AZ78</f>
        <v>0</v>
      </c>
      <c r="CG208" s="23">
        <f t="shared" si="1360"/>
        <v>0</v>
      </c>
      <c r="CH208" s="23">
        <f t="shared" si="1361"/>
        <v>582.51</v>
      </c>
      <c r="CJ208" s="23">
        <f>+'QTR Raw'!BD78</f>
        <v>370.63</v>
      </c>
      <c r="CL208" s="23">
        <f>+'QTR Raw'!BF78</f>
        <v>47.44</v>
      </c>
      <c r="CM208" s="24"/>
      <c r="CN208" s="24"/>
      <c r="CO208" s="24"/>
      <c r="CP208" s="24"/>
      <c r="CQ208" s="24"/>
      <c r="CR208" s="24"/>
      <c r="CS208" s="24"/>
      <c r="CT208" s="24"/>
      <c r="CU208" s="24"/>
      <c r="CV208" s="24"/>
      <c r="CW208" s="24"/>
      <c r="CX208" s="24"/>
      <c r="CY208" s="24"/>
      <c r="CZ208" s="24"/>
      <c r="DA208" s="24"/>
      <c r="DB208" s="24"/>
      <c r="DE208" s="123"/>
      <c r="DF208" s="23">
        <v>3621.79</v>
      </c>
    </row>
    <row r="209" spans="1:110" s="23" customFormat="1" outlineLevel="1" x14ac:dyDescent="0.2">
      <c r="A209" s="23" t="s">
        <v>60</v>
      </c>
      <c r="B209" s="23">
        <f>'Annual Raw'!C73+'Annual Raw'!C81</f>
        <v>0</v>
      </c>
      <c r="C209" s="23">
        <f>'Annual Raw'!D73+'Annual Raw'!D81</f>
        <v>0</v>
      </c>
      <c r="D209" s="23">
        <f>'Annual Raw'!E73+'Annual Raw'!E81</f>
        <v>0</v>
      </c>
      <c r="E209" s="23">
        <f>'Annual Raw'!F73+'Annual Raw'!F81</f>
        <v>0</v>
      </c>
      <c r="F209" s="23">
        <f>'Annual Raw'!G73+'Annual Raw'!G81</f>
        <v>0</v>
      </c>
      <c r="G209" s="23">
        <f>'Annual Raw'!H73+'Annual Raw'!H81</f>
        <v>0</v>
      </c>
      <c r="H209" s="23">
        <f>'Annual Raw'!I73+'Annual Raw'!I81</f>
        <v>0</v>
      </c>
      <c r="I209" s="23">
        <f>'Annual Raw'!J73+'Annual Raw'!J81</f>
        <v>0</v>
      </c>
      <c r="J209" s="23">
        <f>'Annual Raw'!K73+'Annual Raw'!K81</f>
        <v>0</v>
      </c>
      <c r="K209" s="23">
        <f>'Annual Raw'!L73+'Annual Raw'!L81</f>
        <v>0</v>
      </c>
      <c r="L209" s="23">
        <f>'Annual Raw'!M73+'Annual Raw'!M81</f>
        <v>0</v>
      </c>
      <c r="M209" s="23">
        <f>'Annual Raw'!N73+'Annual Raw'!N81</f>
        <v>0</v>
      </c>
      <c r="N209" s="23">
        <f>'Annual Raw'!O73+'Annual Raw'!O81</f>
        <v>0</v>
      </c>
      <c r="O209" s="23">
        <f>'Annual Raw'!P73+'Annual Raw'!P81</f>
        <v>0</v>
      </c>
      <c r="P209" s="23">
        <f>'Annual Raw'!Q73+'Annual Raw'!Q81</f>
        <v>0</v>
      </c>
      <c r="Q209" s="23">
        <f>'Annual Raw'!R73+'Annual Raw'!R81</f>
        <v>0</v>
      </c>
      <c r="R209" s="23">
        <f>'Annual Raw'!S73+'Annual Raw'!S81</f>
        <v>0</v>
      </c>
      <c r="S209" s="23">
        <f>'Annual Raw'!T73+'Annual Raw'!T81</f>
        <v>0</v>
      </c>
      <c r="T209" s="23">
        <f>'Annual Raw'!U73+'Annual Raw'!U81</f>
        <v>0</v>
      </c>
      <c r="U209" s="23">
        <f>'Annual Raw'!V73+'Annual Raw'!V81</f>
        <v>0</v>
      </c>
      <c r="V209" s="23">
        <f>'Annual Raw'!W73+'Annual Raw'!W81</f>
        <v>0</v>
      </c>
      <c r="W209" s="23">
        <f>'Annual Raw'!X73+'Annual Raw'!X81</f>
        <v>0</v>
      </c>
      <c r="X209" s="23">
        <f>'Annual Raw'!Y73+'Annual Raw'!Y81</f>
        <v>0</v>
      </c>
      <c r="Y209" s="23">
        <f>'Annual Raw'!Z73+'Annual Raw'!Z81</f>
        <v>0</v>
      </c>
      <c r="Z209" s="23">
        <f>'Annual Raw'!AA73+'Annual Raw'!AA81</f>
        <v>23.38</v>
      </c>
      <c r="AA209" s="23">
        <f>'Annual Raw'!AB73+'Annual Raw'!AB81</f>
        <v>528.6</v>
      </c>
      <c r="AB209" s="24">
        <f t="shared" si="1379"/>
        <v>0</v>
      </c>
      <c r="AC209" s="24">
        <f t="shared" si="1380"/>
        <v>0</v>
      </c>
      <c r="AD209" s="24">
        <f t="shared" si="1381"/>
        <v>0</v>
      </c>
      <c r="AE209" s="24">
        <f t="shared" si="1382"/>
        <v>0</v>
      </c>
      <c r="AJ209" s="23">
        <f>+'QTR Raw'!D79+'QTR Raw'!D76</f>
        <v>0</v>
      </c>
      <c r="AK209" s="23">
        <f t="shared" si="1383"/>
        <v>0</v>
      </c>
      <c r="AL209" s="23">
        <f>+'QTR Raw'!F79+'QTR Raw'!F76</f>
        <v>0</v>
      </c>
      <c r="AM209" s="23">
        <f t="shared" si="1383"/>
        <v>0</v>
      </c>
      <c r="AN209" s="23">
        <f>+'QTR Raw'!H79+'QTR Raw'!H76</f>
        <v>0</v>
      </c>
      <c r="AO209" s="23">
        <f t="shared" si="1383"/>
        <v>0</v>
      </c>
      <c r="AP209" s="23">
        <f>+'QTR Raw'!J79+'QTR Raw'!J76</f>
        <v>0</v>
      </c>
      <c r="AQ209" s="23">
        <f t="shared" si="1383"/>
        <v>0</v>
      </c>
      <c r="AR209" s="23">
        <f>+'QTR Raw'!L79+'QTR Raw'!L76</f>
        <v>0</v>
      </c>
      <c r="AS209" s="23">
        <f t="shared" si="1383"/>
        <v>0</v>
      </c>
      <c r="AT209" s="23">
        <f>+'QTR Raw'!N79+'QTR Raw'!N76</f>
        <v>0</v>
      </c>
      <c r="AU209" s="23">
        <f t="shared" si="1383"/>
        <v>0</v>
      </c>
      <c r="AV209" s="23">
        <f>+'QTR Raw'!P79+'QTR Raw'!P76</f>
        <v>0</v>
      </c>
      <c r="AW209" s="23">
        <f t="shared" si="1383"/>
        <v>0</v>
      </c>
      <c r="AX209" s="23">
        <f>+'QTR Raw'!R79+'QTR Raw'!R76</f>
        <v>0</v>
      </c>
      <c r="AY209" s="23">
        <f t="shared" si="1383"/>
        <v>0</v>
      </c>
      <c r="AZ209" s="23">
        <f>+'QTR Raw'!T79+'QTR Raw'!T76</f>
        <v>0</v>
      </c>
      <c r="BA209" s="23">
        <f t="shared" si="1383"/>
        <v>0</v>
      </c>
      <c r="BB209" s="23">
        <f>+'QTR Raw'!V79+'QTR Raw'!V76</f>
        <v>0</v>
      </c>
      <c r="BC209" s="23">
        <f t="shared" si="1383"/>
        <v>0</v>
      </c>
      <c r="BD209" s="23">
        <f>+'QTR Raw'!X79+'QTR Raw'!X76</f>
        <v>0</v>
      </c>
      <c r="BE209" s="23">
        <f t="shared" si="1383"/>
        <v>0</v>
      </c>
      <c r="BF209" s="23">
        <f>+'QTR Raw'!Z79+'QTR Raw'!Z76</f>
        <v>0</v>
      </c>
      <c r="BG209" s="23">
        <f t="shared" si="1383"/>
        <v>0</v>
      </c>
      <c r="BH209" s="23">
        <f>+'QTR Raw'!AB79+'QTR Raw'!AB76</f>
        <v>0</v>
      </c>
      <c r="BI209" s="23">
        <f t="shared" si="1383"/>
        <v>0</v>
      </c>
      <c r="BJ209" s="23">
        <f>+'QTR Raw'!AD79+'QTR Raw'!AD76</f>
        <v>0.628</v>
      </c>
      <c r="BK209" s="23">
        <f t="shared" si="1383"/>
        <v>0.628</v>
      </c>
      <c r="BL209" s="23">
        <f>+'QTR Raw'!AF79+'QTR Raw'!AF76</f>
        <v>0.625</v>
      </c>
      <c r="BM209" s="23">
        <f t="shared" si="1383"/>
        <v>0.625</v>
      </c>
      <c r="BN209" s="23">
        <f>+'QTR Raw'!AH79+'QTR Raw'!AH76</f>
        <v>3.63</v>
      </c>
      <c r="BO209" s="23">
        <f t="shared" si="1383"/>
        <v>3.63</v>
      </c>
      <c r="BP209" s="23">
        <f>+'QTR Raw'!AJ79+'QTR Raw'!AJ76</f>
        <v>3.1869999999999998</v>
      </c>
      <c r="BQ209" s="23">
        <f t="shared" si="1383"/>
        <v>3.1869999999999998</v>
      </c>
      <c r="BR209" s="23">
        <f>+'QTR Raw'!AL79+'QTR Raw'!AL76</f>
        <v>1.5149999999999999</v>
      </c>
      <c r="BS209" s="23">
        <f t="shared" si="1383"/>
        <v>1.5149999999999999</v>
      </c>
      <c r="BT209" s="23">
        <f>+'QTR Raw'!AN79+'QTR Raw'!AN76</f>
        <v>1.498</v>
      </c>
      <c r="BU209" s="23">
        <f t="shared" si="1383"/>
        <v>1.498</v>
      </c>
      <c r="BV209" s="23">
        <f>+'QTR Raw'!AP79+'QTR Raw'!AP76</f>
        <v>1.47</v>
      </c>
      <c r="BW209" s="23">
        <f t="shared" si="1383"/>
        <v>1.47</v>
      </c>
      <c r="BX209" s="23">
        <f>+'QTR Raw'!AR79+'QTR Raw'!AR76</f>
        <v>23.61</v>
      </c>
      <c r="BY209" s="23">
        <f t="shared" si="1383"/>
        <v>23.61</v>
      </c>
      <c r="BZ209" s="23">
        <f>+'QTR Raw'!AT79+'QTR Raw'!AT76</f>
        <v>187.01</v>
      </c>
      <c r="CA209" s="23">
        <f t="shared" si="1383"/>
        <v>187.01</v>
      </c>
      <c r="CB209" s="23">
        <f>+'QTR Raw'!AV79+'QTR Raw'!AV76</f>
        <v>327.87</v>
      </c>
      <c r="CC209" s="23">
        <f t="shared" si="1383"/>
        <v>327.87</v>
      </c>
      <c r="CD209" s="23">
        <f>+'QTR Raw'!AX79+'QTR Raw'!AX76</f>
        <v>385.14</v>
      </c>
      <c r="CE209" s="23">
        <f t="shared" si="1383"/>
        <v>385.14</v>
      </c>
      <c r="CF209" s="23">
        <f>+'QTR Raw'!AZ79+'QTR Raw'!AZ76</f>
        <v>1162.9000000000001</v>
      </c>
      <c r="CG209" s="23">
        <f t="shared" si="1360"/>
        <v>1162.9000000000001</v>
      </c>
      <c r="CH209" s="23">
        <f t="shared" si="1361"/>
        <v>23.38</v>
      </c>
      <c r="CJ209" s="23">
        <f>+'QTR Raw'!BD79+'QTR Raw'!BD76</f>
        <v>2235.87</v>
      </c>
      <c r="CL209" s="23">
        <f>+'QTR Raw'!BF79+'QTR Raw'!BF76</f>
        <v>4491.01</v>
      </c>
      <c r="CM209" s="24"/>
      <c r="CN209" s="24"/>
      <c r="CO209" s="24"/>
      <c r="CP209" s="24"/>
      <c r="CQ209" s="24"/>
      <c r="CR209" s="24"/>
      <c r="CS209" s="24"/>
      <c r="CT209" s="24"/>
      <c r="CU209" s="24"/>
      <c r="CV209" s="24"/>
      <c r="CW209" s="24"/>
      <c r="CX209" s="24"/>
      <c r="CY209" s="24"/>
      <c r="CZ209" s="24"/>
      <c r="DA209" s="24"/>
      <c r="DB209" s="24"/>
      <c r="DE209" s="123"/>
      <c r="DF209" s="23">
        <v>528.6</v>
      </c>
    </row>
    <row r="210" spans="1:110" s="23" customFormat="1" outlineLevel="1" x14ac:dyDescent="0.2">
      <c r="A210" s="23" t="s">
        <v>61</v>
      </c>
      <c r="B210" s="23">
        <f>'Annual Raw'!C76</f>
        <v>8.5373999999999999</v>
      </c>
      <c r="C210" s="23">
        <f>'Annual Raw'!D76</f>
        <v>7.6409000000000002</v>
      </c>
      <c r="D210" s="23">
        <f>'Annual Raw'!E76</f>
        <v>9.5106999999999999</v>
      </c>
      <c r="E210" s="23">
        <f>'Annual Raw'!F76</f>
        <v>16.239599999999999</v>
      </c>
      <c r="F210" s="23">
        <f>'Annual Raw'!G76</f>
        <v>13.2265</v>
      </c>
      <c r="G210" s="23">
        <f>'Annual Raw'!H76</f>
        <v>44.177999999999997</v>
      </c>
      <c r="H210" s="23">
        <f>'Annual Raw'!I76</f>
        <v>15.722200000000001</v>
      </c>
      <c r="I210" s="23">
        <f>'Annual Raw'!J76</f>
        <v>39.663899999999998</v>
      </c>
      <c r="J210" s="23">
        <f>'Annual Raw'!K76</f>
        <v>50.347000000000001</v>
      </c>
      <c r="K210" s="23">
        <f>'Annual Raw'!L76</f>
        <v>31.7319</v>
      </c>
      <c r="L210" s="23">
        <f>'Annual Raw'!M76</f>
        <v>58.201000000000001</v>
      </c>
      <c r="M210" s="23">
        <f>'Annual Raw'!N76</f>
        <v>78.768000000000001</v>
      </c>
      <c r="N210" s="23">
        <f>'Annual Raw'!O76</f>
        <v>31.145700000000001</v>
      </c>
      <c r="O210" s="23">
        <f>'Annual Raw'!P76</f>
        <v>48.968299999999999</v>
      </c>
      <c r="P210" s="23">
        <f>'Annual Raw'!Q76</f>
        <v>30.712</v>
      </c>
      <c r="Q210" s="23">
        <f>'Annual Raw'!R76</f>
        <v>56.540999999999997</v>
      </c>
      <c r="R210" s="23">
        <f>'Annual Raw'!S76</f>
        <v>68.136899999999997</v>
      </c>
      <c r="S210" s="23">
        <f>'Annual Raw'!T76</f>
        <v>67.858500000000006</v>
      </c>
      <c r="T210" s="23">
        <f>'Annual Raw'!U76</f>
        <v>73.640900000000002</v>
      </c>
      <c r="U210" s="23">
        <f>'Annual Raw'!V76</f>
        <v>84.116799999999998</v>
      </c>
      <c r="V210" s="23">
        <f>'Annual Raw'!W76</f>
        <v>115.71</v>
      </c>
      <c r="W210" s="23">
        <f>'Annual Raw'!X76</f>
        <v>166.84</v>
      </c>
      <c r="X210" s="23">
        <f>'Annual Raw'!Y76</f>
        <v>269.74</v>
      </c>
      <c r="Y210" s="23">
        <f>'Annual Raw'!Z76</f>
        <v>231.09</v>
      </c>
      <c r="Z210" s="23">
        <f>'Annual Raw'!AA76</f>
        <v>432.72</v>
      </c>
      <c r="AA210" s="23">
        <f>'Annual Raw'!AB76</f>
        <v>2659.6</v>
      </c>
      <c r="AB210" s="24">
        <f t="shared" si="1379"/>
        <v>3560.0449004967431</v>
      </c>
      <c r="AC210" s="24">
        <f t="shared" si="1380"/>
        <v>5521.2560123779576</v>
      </c>
      <c r="AD210" s="24">
        <f t="shared" si="1381"/>
        <v>6306.2412770959863</v>
      </c>
      <c r="AE210" s="24">
        <f t="shared" si="1382"/>
        <v>7505.6584869968974</v>
      </c>
      <c r="AJ210" s="23">
        <f>+'QTR Raw'!D81</f>
        <v>95.200999999999993</v>
      </c>
      <c r="AK210" s="23">
        <f>+AK245*AK74/90</f>
        <v>100.83331505254448</v>
      </c>
      <c r="AL210" s="23">
        <f>+'QTR Raw'!F81</f>
        <v>31.145</v>
      </c>
      <c r="AM210" s="23">
        <f>+AM245*AM74/90</f>
        <v>16.905070978073514</v>
      </c>
      <c r="AN210" s="23">
        <f>+'QTR Raw'!H81</f>
        <v>38.500999999999998</v>
      </c>
      <c r="AO210" s="23">
        <f>+AO245*AO74/90</f>
        <v>42.699305762547759</v>
      </c>
      <c r="AP210" s="23">
        <f>+'QTR Raw'!J81</f>
        <v>48.968000000000004</v>
      </c>
      <c r="AQ210" s="23">
        <f>+AQ245*AQ74/90</f>
        <v>43.278988351732018</v>
      </c>
      <c r="AR210" s="23">
        <f>+'QTR Raw'!L81</f>
        <v>28.422999999999998</v>
      </c>
      <c r="AS210" s="23">
        <f>+AS245*AS74/90</f>
        <v>14.98453915444626</v>
      </c>
      <c r="AT210" s="23">
        <f>+'QTR Raw'!N81</f>
        <v>30.712</v>
      </c>
      <c r="AU210" s="23">
        <f>+AU245*AU74/90</f>
        <v>32.559972131320599</v>
      </c>
      <c r="AV210" s="23">
        <f>+'QTR Raw'!P81</f>
        <v>32.284999999999997</v>
      </c>
      <c r="AW210" s="23">
        <f>+AW245*AW74/90</f>
        <v>32.777794388856186</v>
      </c>
      <c r="AX210" s="23">
        <f>+'QTR Raw'!R81</f>
        <v>56.540999999999997</v>
      </c>
      <c r="AY210" s="23">
        <f>+AY245*AY74/90</f>
        <v>63.492313002459092</v>
      </c>
      <c r="AZ210" s="23">
        <f>+'QTR Raw'!T81</f>
        <v>57.091999999999999</v>
      </c>
      <c r="BA210" s="23">
        <f>+BA245*BA74/90</f>
        <v>71.8717426571652</v>
      </c>
      <c r="BB210" s="23">
        <f>+'QTR Raw'!V81</f>
        <v>68.137</v>
      </c>
      <c r="BC210" s="23">
        <f>+BC245*BC74/90</f>
        <v>80.385765347192844</v>
      </c>
      <c r="BD210" s="23">
        <f>+'QTR Raw'!X81</f>
        <v>63.378999999999998</v>
      </c>
      <c r="BE210" s="23">
        <f>+BE245*BE74/90</f>
        <v>99.341190247801748</v>
      </c>
      <c r="BF210" s="23">
        <f>+'QTR Raw'!Z81</f>
        <v>67.858999999999995</v>
      </c>
      <c r="BG210" s="23">
        <f>+BG245*BG74/90</f>
        <v>83.630643865503075</v>
      </c>
      <c r="BH210" s="23">
        <f>+'QTR Raw'!AB81</f>
        <v>79.539000000000001</v>
      </c>
      <c r="BI210" s="23">
        <f>+BI245*BI74/90</f>
        <v>85.100497287522614</v>
      </c>
      <c r="BJ210" s="23">
        <f>+'QTR Raw'!AD81</f>
        <v>73.641000000000005</v>
      </c>
      <c r="BK210" s="23">
        <f>+BK245*BK74/90</f>
        <v>71.407144510133179</v>
      </c>
      <c r="BL210" s="23">
        <f>+'QTR Raw'!AF81</f>
        <v>75.191999999999993</v>
      </c>
      <c r="BM210" s="23">
        <f>+BM245*BM74/90</f>
        <v>113.20133333333332</v>
      </c>
      <c r="BN210" s="23">
        <f>+'QTR Raw'!AH81</f>
        <v>84.117000000000004</v>
      </c>
      <c r="BO210" s="23">
        <f>+BO245*BO74/90</f>
        <v>8.5826244626732198</v>
      </c>
      <c r="BP210" s="23">
        <f>+'QTR Raw'!AJ81</f>
        <v>80.049000000000007</v>
      </c>
      <c r="BQ210" s="23">
        <f>+BQ245*BQ74/90</f>
        <v>80.214094274084133</v>
      </c>
      <c r="BR210" s="23">
        <f>+'QTR Raw'!AL81</f>
        <v>115.71</v>
      </c>
      <c r="BS210" s="23">
        <f>+BS245*BS74/90</f>
        <v>116.2627644495774</v>
      </c>
      <c r="BT210" s="23">
        <f>+'QTR Raw'!AN81</f>
        <v>118.928</v>
      </c>
      <c r="BU210" s="23">
        <f>+BU245*BU74/90</f>
        <v>199.48180382775124</v>
      </c>
      <c r="BV210" s="23">
        <f>+'QTR Raw'!AP81</f>
        <v>166.84</v>
      </c>
      <c r="BW210" s="23">
        <f>+BW245*BW74/90</f>
        <v>421.93430929443889</v>
      </c>
      <c r="BX210" s="23">
        <f>+'QTR Raw'!AR81</f>
        <v>179.22</v>
      </c>
      <c r="BY210" s="23">
        <f>+BY245*BY74/90</f>
        <v>265.89868261695563</v>
      </c>
      <c r="BZ210" s="23">
        <f>+'QTR Raw'!AT81</f>
        <v>269.75</v>
      </c>
      <c r="CA210" s="23">
        <f>+CA245*CA74/90</f>
        <v>605.07734094151203</v>
      </c>
      <c r="CB210" s="23">
        <f>+'QTR Raw'!AV81</f>
        <v>249.6</v>
      </c>
      <c r="CC210" s="23">
        <f>+CC245*CC74/90</f>
        <v>437.38265387470108</v>
      </c>
      <c r="CD210" s="23">
        <f>+'QTR Raw'!AX81</f>
        <v>231.09</v>
      </c>
      <c r="CE210" s="23">
        <f>+CE245*CE74/90</f>
        <v>359.39238597687688</v>
      </c>
      <c r="CF210" s="23">
        <f>+'QTR Raw'!AZ81</f>
        <v>272.33</v>
      </c>
      <c r="CG210" s="23">
        <f>+CG245*CG74/90</f>
        <v>317.75595434947655</v>
      </c>
      <c r="CH210" s="23">
        <f t="shared" si="1361"/>
        <v>432.72</v>
      </c>
      <c r="CI210" s="23">
        <f>+CI245*CI74/90</f>
        <v>864.32311606469443</v>
      </c>
      <c r="CJ210" s="23">
        <f>+'QTR Raw'!BD81</f>
        <v>1457.43</v>
      </c>
      <c r="CK210" s="23">
        <f t="shared" ref="CK210:DB210" si="1384">+CK245*CK74/90</f>
        <v>2018.9238321168882</v>
      </c>
      <c r="CL210" s="23">
        <f>+'QTR Raw'!BF81</f>
        <v>2659.6</v>
      </c>
      <c r="CM210" s="24">
        <f t="shared" si="1384"/>
        <v>2771.9420690951119</v>
      </c>
      <c r="CN210" s="24">
        <f t="shared" si="1384"/>
        <v>2580.1713749049595</v>
      </c>
      <c r="CO210" s="24">
        <f t="shared" si="1384"/>
        <v>2986.2370387357382</v>
      </c>
      <c r="CP210" s="24">
        <f t="shared" si="1384"/>
        <v>3560.0449004967431</v>
      </c>
      <c r="CQ210" s="24">
        <f t="shared" si="1384"/>
        <v>4797.4577049283889</v>
      </c>
      <c r="CR210" s="24">
        <f t="shared" si="1384"/>
        <v>4706.1256569987981</v>
      </c>
      <c r="CS210" s="24">
        <f t="shared" si="1384"/>
        <v>5253.9730814893528</v>
      </c>
      <c r="CT210" s="24">
        <f t="shared" si="1384"/>
        <v>5521.2560123779576</v>
      </c>
      <c r="CU210" s="24">
        <f t="shared" si="1384"/>
        <v>5533.4850820877464</v>
      </c>
      <c r="CV210" s="24">
        <f t="shared" si="1384"/>
        <v>5206.5124053095305</v>
      </c>
      <c r="CW210" s="24">
        <f t="shared" si="1384"/>
        <v>5917.8758225482397</v>
      </c>
      <c r="CX210" s="24">
        <f t="shared" si="1384"/>
        <v>6306.2412770959863</v>
      </c>
      <c r="CY210" s="24">
        <f t="shared" si="1384"/>
        <v>6663.1655606907143</v>
      </c>
      <c r="CZ210" s="24">
        <f t="shared" si="1384"/>
        <v>6336.4486693900153</v>
      </c>
      <c r="DA210" s="24">
        <f t="shared" si="1384"/>
        <v>7095.3169028083157</v>
      </c>
      <c r="DB210" s="24">
        <f t="shared" si="1384"/>
        <v>7505.6584869968974</v>
      </c>
      <c r="DE210" s="123"/>
      <c r="DF210" s="23">
        <v>2659.6</v>
      </c>
    </row>
    <row r="211" spans="1:110" s="23" customFormat="1" outlineLevel="1" x14ac:dyDescent="0.2">
      <c r="A211" s="23" t="s">
        <v>62</v>
      </c>
      <c r="B211" s="23">
        <f>'Annual Raw'!C77</f>
        <v>47.821100000000001</v>
      </c>
      <c r="C211" s="23">
        <f>'Annual Raw'!D77</f>
        <v>37.9056</v>
      </c>
      <c r="D211" s="23">
        <f>'Annual Raw'!E77</f>
        <v>56.502400000000002</v>
      </c>
      <c r="E211" s="23">
        <f>'Annual Raw'!F77</f>
        <v>85.223500000000001</v>
      </c>
      <c r="F211" s="23">
        <f>'Annual Raw'!G77</f>
        <v>50.834600000000002</v>
      </c>
      <c r="G211" s="23">
        <f>'Annual Raw'!H77</f>
        <v>19.471499999999999</v>
      </c>
      <c r="H211" s="23">
        <f>'Annual Raw'!I77</f>
        <v>21.7301</v>
      </c>
      <c r="I211" s="23">
        <f>'Annual Raw'!J77</f>
        <v>11.500299999999999</v>
      </c>
      <c r="J211" s="23">
        <f>'Annual Raw'!K77</f>
        <v>79.848299999999995</v>
      </c>
      <c r="K211" s="23">
        <f>'Annual Raw'!L77</f>
        <v>10.7163</v>
      </c>
      <c r="L211" s="23">
        <f>'Annual Raw'!M77</f>
        <v>20.328099999999999</v>
      </c>
      <c r="M211" s="23">
        <f>'Annual Raw'!N77</f>
        <v>49.417099999999998</v>
      </c>
      <c r="N211" s="23">
        <f>'Annual Raw'!O77</f>
        <v>36.5426</v>
      </c>
      <c r="O211" s="23">
        <f>'Annual Raw'!P77</f>
        <v>21.0731</v>
      </c>
      <c r="P211" s="23">
        <f>'Annual Raw'!Q77</f>
        <v>22.426100000000002</v>
      </c>
      <c r="Q211" s="23">
        <f>'Annual Raw'!R77</f>
        <v>21.721</v>
      </c>
      <c r="R211" s="23">
        <f>'Annual Raw'!S77</f>
        <v>10.9466</v>
      </c>
      <c r="S211" s="23">
        <f>'Annual Raw'!T77</f>
        <v>15.5383</v>
      </c>
      <c r="T211" s="23">
        <f>'Annual Raw'!U77</f>
        <v>23.099699999999999</v>
      </c>
      <c r="U211" s="23">
        <f>'Annual Raw'!V77</f>
        <v>7.8875000000000002</v>
      </c>
      <c r="V211" s="23">
        <f>'Annual Raw'!W77</f>
        <v>6.9112</v>
      </c>
      <c r="W211" s="23">
        <f>'Annual Raw'!X77</f>
        <v>23.74</v>
      </c>
      <c r="X211" s="23">
        <f>'Annual Raw'!Y77</f>
        <v>24.5</v>
      </c>
      <c r="Y211" s="23">
        <f>'Annual Raw'!Z77</f>
        <v>79.91</v>
      </c>
      <c r="Z211" s="23">
        <f>'Annual Raw'!AA77</f>
        <v>171.42</v>
      </c>
      <c r="AA211" s="23">
        <f>'Annual Raw'!AB77</f>
        <v>1480.51</v>
      </c>
      <c r="AB211" s="24">
        <f t="shared" si="1379"/>
        <v>2414.0598554430135</v>
      </c>
      <c r="AC211" s="24">
        <f t="shared" si="1380"/>
        <v>3892.6485979378067</v>
      </c>
      <c r="AD211" s="24">
        <f t="shared" si="1381"/>
        <v>4446.0863996365588</v>
      </c>
      <c r="AE211" s="24">
        <f t="shared" si="1382"/>
        <v>5291.7109658577501</v>
      </c>
      <c r="AJ211" s="23">
        <f>+'QTR Raw'!D82</f>
        <v>49.006</v>
      </c>
      <c r="AK211" s="23">
        <f>+AK246*AK74/90</f>
        <v>51.90531021170991</v>
      </c>
      <c r="AL211" s="23">
        <f>+'QTR Raw'!F82</f>
        <v>36.542999999999999</v>
      </c>
      <c r="AM211" s="23">
        <f>+AM246*AM74/90</f>
        <v>19.835029980791148</v>
      </c>
      <c r="AN211" s="23">
        <f>+'QTR Raw'!H82</f>
        <v>45.597000000000001</v>
      </c>
      <c r="AO211" s="23">
        <f>+AO246*AO74/90</f>
        <v>50.569082487594883</v>
      </c>
      <c r="AP211" s="23">
        <f>+'QTR Raw'!J82</f>
        <v>21.073</v>
      </c>
      <c r="AQ211" s="23">
        <f>+AQ246*AQ74/90</f>
        <v>18.624777845451089</v>
      </c>
      <c r="AR211" s="23">
        <f>+'QTR Raw'!L82</f>
        <v>101.601</v>
      </c>
      <c r="AS211" s="23">
        <f>+AS246*AS74/90</f>
        <v>53.563809683386495</v>
      </c>
      <c r="AT211" s="23">
        <f>+'QTR Raw'!N82</f>
        <v>22.425999999999998</v>
      </c>
      <c r="AU211" s="23">
        <f>+AU246*AU74/90</f>
        <v>23.775395122981102</v>
      </c>
      <c r="AV211" s="23">
        <f>+'QTR Raw'!P82</f>
        <v>64.620999999999995</v>
      </c>
      <c r="AW211" s="23">
        <f>+AW246*AW74/90</f>
        <v>65.6073672356288</v>
      </c>
      <c r="AX211" s="23">
        <f>+'QTR Raw'!R82</f>
        <v>21.721</v>
      </c>
      <c r="AY211" s="23">
        <f>+AY246*AY74/90</f>
        <v>24.391442152180087</v>
      </c>
      <c r="AZ211" s="23">
        <f>+'QTR Raw'!T82</f>
        <v>49.512999999999998</v>
      </c>
      <c r="BA211" s="23">
        <f>+BA246*BA74/90</f>
        <v>62.330722241018371</v>
      </c>
      <c r="BB211" s="23">
        <f>+'QTR Raw'!V82</f>
        <v>10.946</v>
      </c>
      <c r="BC211" s="23">
        <f>+BC246*BC74/90</f>
        <v>12.913726572792651</v>
      </c>
      <c r="BD211" s="23">
        <f>+'QTR Raw'!X82</f>
        <v>15.045999999999999</v>
      </c>
      <c r="BE211" s="23">
        <f>+BE246*BE74/90</f>
        <v>23.583324894183015</v>
      </c>
      <c r="BF211" s="23">
        <f>+'QTR Raw'!Z82</f>
        <v>15.538</v>
      </c>
      <c r="BG211" s="23">
        <f>+BG246*BG74/90</f>
        <v>19.14930877823409</v>
      </c>
      <c r="BH211" s="23">
        <f>+'QTR Raw'!AB82</f>
        <v>11.159000000000001</v>
      </c>
      <c r="BI211" s="23">
        <f>+BI246*BI74/90</f>
        <v>11.939255575647982</v>
      </c>
      <c r="BJ211" s="23">
        <f>+'QTR Raw'!AD82</f>
        <v>23.1</v>
      </c>
      <c r="BK211" s="23">
        <f>+BK246*BK74/90</f>
        <v>22.399275378988289</v>
      </c>
      <c r="BL211" s="23">
        <f>+'QTR Raw'!AF82</f>
        <v>15.006</v>
      </c>
      <c r="BM211" s="23">
        <f>+BM246*BM74/90</f>
        <v>22.591488562613044</v>
      </c>
      <c r="BN211" s="23">
        <f>+'QTR Raw'!AH82</f>
        <v>7.8879999999999999</v>
      </c>
      <c r="BO211" s="23">
        <f>+BO246*BO74/90</f>
        <v>0.80482829584467297</v>
      </c>
      <c r="BP211" s="23">
        <f>+'QTR Raw'!AJ82</f>
        <v>8.9290000000000003</v>
      </c>
      <c r="BQ211" s="23">
        <f>+BQ246*BQ74/90</f>
        <v>8.9474153052917238</v>
      </c>
      <c r="BR211" s="23">
        <f>+'QTR Raw'!AL82</f>
        <v>6.9109999999999996</v>
      </c>
      <c r="BS211" s="23">
        <f>+BS246*BS74/90</f>
        <v>6.9440149089191028</v>
      </c>
      <c r="BT211" s="23">
        <f>+'QTR Raw'!AN82</f>
        <v>6.4980000000000002</v>
      </c>
      <c r="BU211" s="23">
        <f>+BU246*BU74/90</f>
        <v>10.899306818181818</v>
      </c>
      <c r="BV211" s="23">
        <f>+'QTR Raw'!AP82</f>
        <v>23.74</v>
      </c>
      <c r="BW211" s="23">
        <f>+BW246*BW74/90</f>
        <v>60.037883616938267</v>
      </c>
      <c r="BX211" s="23">
        <f>+'QTR Raw'!AR82</f>
        <v>18.36</v>
      </c>
      <c r="BY211" s="23">
        <f>+BY246*BY74/90</f>
        <v>27.239704345761105</v>
      </c>
      <c r="BZ211" s="23">
        <f>+'QTR Raw'!AT82</f>
        <v>24.5</v>
      </c>
      <c r="CA211" s="23">
        <f>+CA246*CA74/90</f>
        <v>54.956051355206846</v>
      </c>
      <c r="CB211" s="23">
        <f>+'QTR Raw'!AV82</f>
        <v>144.15</v>
      </c>
      <c r="CC211" s="23">
        <f>+CC246*CC74/90</f>
        <v>252.59899661874263</v>
      </c>
      <c r="CD211" s="23">
        <f>+'QTR Raw'!AX82</f>
        <v>79.91</v>
      </c>
      <c r="CE211" s="23">
        <f>+CE246*CE74/90</f>
        <v>124.27645317154456</v>
      </c>
      <c r="CF211" s="23">
        <f>+'QTR Raw'!AZ82</f>
        <v>259.66000000000003</v>
      </c>
      <c r="CG211" s="23">
        <f>+CG246*CG74/90</f>
        <v>302.97253738620464</v>
      </c>
      <c r="CH211" s="23">
        <f t="shared" si="1361"/>
        <v>171.42</v>
      </c>
      <c r="CI211" s="23">
        <f>+CI246*CI74/90</f>
        <v>342.39755166345418</v>
      </c>
      <c r="CJ211" s="23">
        <f>+'QTR Raw'!BD82</f>
        <v>1454.12</v>
      </c>
      <c r="CK211" s="23">
        <f t="shared" ref="CK211:DB211" si="1385">+CK246*CK74/90</f>
        <v>2014.3386116367919</v>
      </c>
      <c r="CL211" s="23">
        <f>+'QTR Raw'!BF82</f>
        <v>1480.51</v>
      </c>
      <c r="CM211" s="24">
        <f t="shared" si="1385"/>
        <v>1680.3129313875338</v>
      </c>
      <c r="CN211" s="24">
        <f t="shared" si="1385"/>
        <v>1564.0641897916933</v>
      </c>
      <c r="CO211" s="24">
        <f t="shared" si="1385"/>
        <v>1928.3770732253081</v>
      </c>
      <c r="CP211" s="24">
        <f t="shared" si="1385"/>
        <v>2414.0598554430135</v>
      </c>
      <c r="CQ211" s="24">
        <f t="shared" si="1385"/>
        <v>3382.3494087013614</v>
      </c>
      <c r="CR211" s="24">
        <f t="shared" si="1385"/>
        <v>3317.9576167752366</v>
      </c>
      <c r="CS211" s="24">
        <f t="shared" si="1385"/>
        <v>3704.2062355761082</v>
      </c>
      <c r="CT211" s="24">
        <f t="shared" si="1385"/>
        <v>3892.6485979378067</v>
      </c>
      <c r="CU211" s="24">
        <f t="shared" si="1385"/>
        <v>3901.270453354975</v>
      </c>
      <c r="CV211" s="24">
        <f t="shared" si="1385"/>
        <v>3670.7450567837495</v>
      </c>
      <c r="CW211" s="24">
        <f t="shared" si="1385"/>
        <v>4172.2772810694132</v>
      </c>
      <c r="CX211" s="24">
        <f t="shared" si="1385"/>
        <v>4446.0863996365588</v>
      </c>
      <c r="CY211" s="24">
        <f t="shared" si="1385"/>
        <v>4697.7285638452386</v>
      </c>
      <c r="CZ211" s="24">
        <f t="shared" si="1385"/>
        <v>4467.3835035920893</v>
      </c>
      <c r="DA211" s="24">
        <f t="shared" si="1385"/>
        <v>5002.4080266739347</v>
      </c>
      <c r="DB211" s="24">
        <f t="shared" si="1385"/>
        <v>5291.7109658577501</v>
      </c>
      <c r="DE211" s="123"/>
      <c r="DF211" s="23">
        <v>1480.51</v>
      </c>
    </row>
    <row r="212" spans="1:110" s="23" customFormat="1" outlineLevel="1" x14ac:dyDescent="0.2">
      <c r="A212" s="23" t="s">
        <v>63</v>
      </c>
      <c r="B212" s="23">
        <f>'Annual Raw'!C79</f>
        <v>2.1139999999999999</v>
      </c>
      <c r="C212" s="23">
        <f>'Annual Raw'!D79</f>
        <v>1.7189000000000001</v>
      </c>
      <c r="D212" s="23">
        <f>'Annual Raw'!E79</f>
        <v>1.5225</v>
      </c>
      <c r="E212" s="23">
        <f>'Annual Raw'!F79</f>
        <v>0</v>
      </c>
      <c r="F212" s="23">
        <f>'Annual Raw'!G79</f>
        <v>1.9055</v>
      </c>
      <c r="G212" s="23">
        <f>'Annual Raw'!H79</f>
        <v>6.0342000000000002</v>
      </c>
      <c r="H212" s="23">
        <f>'Annual Raw'!I79</f>
        <v>40.557899999999997</v>
      </c>
      <c r="I212" s="23">
        <f>'Annual Raw'!J79</f>
        <v>44.141800000000003</v>
      </c>
      <c r="J212" s="23">
        <f>'Annual Raw'!K79</f>
        <v>47.453899999999997</v>
      </c>
      <c r="K212" s="23">
        <f>'Annual Raw'!L79</f>
        <v>42.642800000000001</v>
      </c>
      <c r="L212" s="23">
        <f>'Annual Raw'!M79</f>
        <v>0</v>
      </c>
      <c r="M212" s="23">
        <f>'Annual Raw'!N79</f>
        <v>0</v>
      </c>
      <c r="N212" s="23">
        <f>'Annual Raw'!O79</f>
        <v>0</v>
      </c>
      <c r="O212" s="23">
        <f>'Annual Raw'!P79</f>
        <v>0</v>
      </c>
      <c r="P212" s="23">
        <f>'Annual Raw'!Q79</f>
        <v>0</v>
      </c>
      <c r="Q212" s="23">
        <f>'Annual Raw'!R79</f>
        <v>0</v>
      </c>
      <c r="R212" s="23">
        <f>'Annual Raw'!S79</f>
        <v>3.1593</v>
      </c>
      <c r="S212" s="23">
        <f>'Annual Raw'!T79</f>
        <v>1.4882</v>
      </c>
      <c r="T212" s="23">
        <f>'Annual Raw'!U79</f>
        <v>1.2816000000000001</v>
      </c>
      <c r="U212" s="23">
        <f>'Annual Raw'!V79</f>
        <v>1.4510000000000001</v>
      </c>
      <c r="V212" s="23">
        <f>'Annual Raw'!W79</f>
        <v>1.9957</v>
      </c>
      <c r="W212" s="23">
        <f>'Annual Raw'!X79</f>
        <v>2.12</v>
      </c>
      <c r="X212" s="23">
        <f>'Annual Raw'!Y79</f>
        <v>10.87</v>
      </c>
      <c r="Y212" s="23">
        <f>'Annual Raw'!Z79</f>
        <v>17.600000000000001</v>
      </c>
      <c r="Z212" s="23">
        <f>'Annual Raw'!AA79</f>
        <v>81.88</v>
      </c>
      <c r="AA212" s="23">
        <f>'Annual Raw'!AB79</f>
        <v>399.84</v>
      </c>
      <c r="AB212" s="24">
        <f t="shared" si="1379"/>
        <v>8181.2000239094705</v>
      </c>
      <c r="AC212" s="24">
        <f t="shared" si="1380"/>
        <v>12088.573386851373</v>
      </c>
      <c r="AD212" s="24">
        <f t="shared" si="1381"/>
        <v>13807.267821390707</v>
      </c>
      <c r="AE212" s="24">
        <f t="shared" si="1382"/>
        <v>16433.344737736228</v>
      </c>
      <c r="AJ212" s="23">
        <f>+'QTR Raw'!D84</f>
        <v>0</v>
      </c>
      <c r="AK212" s="23">
        <f t="shared" si="1383"/>
        <v>0</v>
      </c>
      <c r="AL212" s="23">
        <f>+'QTR Raw'!F84</f>
        <v>0</v>
      </c>
      <c r="AM212" s="23">
        <f t="shared" si="1383"/>
        <v>0</v>
      </c>
      <c r="AN212" s="23">
        <f>+'QTR Raw'!H84</f>
        <v>0</v>
      </c>
      <c r="AO212" s="23">
        <f t="shared" si="1383"/>
        <v>0</v>
      </c>
      <c r="AP212" s="23">
        <f>+'QTR Raw'!J84</f>
        <v>0</v>
      </c>
      <c r="AQ212" s="23">
        <f t="shared" si="1383"/>
        <v>0</v>
      </c>
      <c r="AR212" s="23">
        <f>+'QTR Raw'!L84</f>
        <v>0</v>
      </c>
      <c r="AS212" s="23">
        <f t="shared" si="1383"/>
        <v>0</v>
      </c>
      <c r="AT212" s="23">
        <f>+'QTR Raw'!N84</f>
        <v>0</v>
      </c>
      <c r="AU212" s="23">
        <f t="shared" si="1383"/>
        <v>0</v>
      </c>
      <c r="AV212" s="23">
        <f>+'QTR Raw'!P84</f>
        <v>0</v>
      </c>
      <c r="AW212" s="23">
        <f t="shared" si="1383"/>
        <v>0</v>
      </c>
      <c r="AX212" s="23">
        <f>+'QTR Raw'!R84</f>
        <v>0</v>
      </c>
      <c r="AY212" s="23">
        <f t="shared" si="1383"/>
        <v>0</v>
      </c>
      <c r="AZ212" s="23">
        <f>+'QTR Raw'!T84</f>
        <v>0</v>
      </c>
      <c r="BA212" s="23">
        <f t="shared" si="1383"/>
        <v>0</v>
      </c>
      <c r="BB212" s="23">
        <f>+'QTR Raw'!V84</f>
        <v>48.140999999999998</v>
      </c>
      <c r="BC212" s="23">
        <f t="shared" si="1383"/>
        <v>48.140999999999998</v>
      </c>
      <c r="BD212" s="23">
        <f>+'QTR Raw'!X84</f>
        <v>44.862000000000002</v>
      </c>
      <c r="BE212" s="23">
        <f t="shared" si="1383"/>
        <v>44.862000000000002</v>
      </c>
      <c r="BF212" s="23">
        <f>+'QTR Raw'!Z84</f>
        <v>55.712000000000003</v>
      </c>
      <c r="BG212" s="23">
        <f t="shared" si="1383"/>
        <v>55.712000000000003</v>
      </c>
      <c r="BH212" s="23">
        <f>+'QTR Raw'!AB84</f>
        <v>69.787000000000006</v>
      </c>
      <c r="BI212" s="23">
        <f t="shared" si="1383"/>
        <v>69.787000000000006</v>
      </c>
      <c r="BJ212" s="23">
        <f>+'QTR Raw'!AD84</f>
        <v>90.563999999999993</v>
      </c>
      <c r="BK212" s="23">
        <f t="shared" si="1383"/>
        <v>90.563999999999993</v>
      </c>
      <c r="BL212" s="23">
        <f>+'QTR Raw'!AF84</f>
        <v>88.332999999999998</v>
      </c>
      <c r="BM212" s="23">
        <f t="shared" si="1383"/>
        <v>88.332999999999998</v>
      </c>
      <c r="BN212" s="23">
        <f>+'QTR Raw'!AH84</f>
        <v>95.697000000000003</v>
      </c>
      <c r="BO212" s="23">
        <f t="shared" si="1383"/>
        <v>95.697000000000003</v>
      </c>
      <c r="BP212" s="23">
        <f>+'QTR Raw'!AJ84</f>
        <v>110.911</v>
      </c>
      <c r="BQ212" s="23">
        <f t="shared" si="1383"/>
        <v>110.911</v>
      </c>
      <c r="BR212" s="23">
        <f>+'QTR Raw'!AL84</f>
        <v>123.61499999999999</v>
      </c>
      <c r="BS212" s="23">
        <f t="shared" si="1383"/>
        <v>123.61499999999999</v>
      </c>
      <c r="BT212" s="23">
        <f>+'QTR Raw'!AN84</f>
        <v>128.09800000000001</v>
      </c>
      <c r="BU212" s="23">
        <f t="shared" si="1383"/>
        <v>128.09800000000001</v>
      </c>
      <c r="BV212" s="23">
        <f>+'QTR Raw'!AP84</f>
        <v>96.49</v>
      </c>
      <c r="BW212" s="23">
        <f t="shared" si="1383"/>
        <v>96.49</v>
      </c>
      <c r="BX212" s="23">
        <f>+'QTR Raw'!AR84</f>
        <v>350.93</v>
      </c>
      <c r="BY212" s="23">
        <f t="shared" si="1383"/>
        <v>350.93</v>
      </c>
      <c r="BZ212" s="23">
        <f>+'QTR Raw'!AT84</f>
        <v>301.35000000000002</v>
      </c>
      <c r="CA212" s="23">
        <f t="shared" si="1383"/>
        <v>301.35000000000002</v>
      </c>
      <c r="CB212" s="23">
        <f>+'QTR Raw'!AV84</f>
        <v>383.67</v>
      </c>
      <c r="CC212" s="23">
        <f t="shared" si="1383"/>
        <v>383.67</v>
      </c>
      <c r="CD212" s="23">
        <f>+'QTR Raw'!AX84</f>
        <v>498.76</v>
      </c>
      <c r="CE212" s="23">
        <f t="shared" si="1383"/>
        <v>498.76</v>
      </c>
      <c r="CF212" s="23">
        <f>+'QTR Raw'!AZ84</f>
        <v>791.08</v>
      </c>
      <c r="CG212" s="23">
        <f t="shared" ref="CG212:CG213" si="1386">+CF212</f>
        <v>791.08</v>
      </c>
      <c r="CH212" s="23">
        <f t="shared" si="1361"/>
        <v>81.88</v>
      </c>
      <c r="CI212" s="23">
        <f>CI74/90*CI247</f>
        <v>4436.2274780859789</v>
      </c>
      <c r="CJ212" s="23">
        <f>+'QTR Raw'!BD84</f>
        <v>2055.2399999999998</v>
      </c>
      <c r="CK212" s="23">
        <f t="shared" ref="CK212:DB212" si="1387">CK74/90*CK247</f>
        <v>6919.4994307311017</v>
      </c>
      <c r="CL212" s="23">
        <f>+'QTR Raw'!BF84</f>
        <v>1986.25</v>
      </c>
      <c r="CM212" s="24">
        <f t="shared" si="1387"/>
        <v>7173.9083987233289</v>
      </c>
      <c r="CN212" s="24">
        <f t="shared" si="1387"/>
        <v>6677.5973794498113</v>
      </c>
      <c r="CO212" s="24">
        <f t="shared" si="1387"/>
        <v>7252.0300528518474</v>
      </c>
      <c r="CP212" s="24">
        <f t="shared" si="1387"/>
        <v>8181.2000239094705</v>
      </c>
      <c r="CQ212" s="24">
        <f t="shared" si="1387"/>
        <v>10503.845394295471</v>
      </c>
      <c r="CR212" s="24">
        <f t="shared" si="1387"/>
        <v>10303.877459192825</v>
      </c>
      <c r="CS212" s="24">
        <f t="shared" si="1387"/>
        <v>11503.36789776411</v>
      </c>
      <c r="CT212" s="24">
        <f t="shared" si="1387"/>
        <v>12088.573386851373</v>
      </c>
      <c r="CU212" s="24">
        <f t="shared" si="1387"/>
        <v>12115.348455116324</v>
      </c>
      <c r="CV212" s="24">
        <f t="shared" si="1387"/>
        <v>11399.454609609542</v>
      </c>
      <c r="CW212" s="24">
        <f t="shared" si="1387"/>
        <v>12956.956897989727</v>
      </c>
      <c r="CX212" s="24">
        <f t="shared" si="1387"/>
        <v>13807.267821390707</v>
      </c>
      <c r="CY212" s="24">
        <f t="shared" si="1387"/>
        <v>14588.73953473115</v>
      </c>
      <c r="CZ212" s="24">
        <f t="shared" si="1387"/>
        <v>13873.405721490455</v>
      </c>
      <c r="DA212" s="24">
        <f t="shared" si="1387"/>
        <v>15534.917940822659</v>
      </c>
      <c r="DB212" s="24">
        <f t="shared" si="1387"/>
        <v>16433.344737736228</v>
      </c>
      <c r="DE212" s="123"/>
      <c r="DF212" s="23">
        <v>399.84</v>
      </c>
    </row>
    <row r="213" spans="1:110" s="23" customFormat="1" outlineLevel="1" x14ac:dyDescent="0.2">
      <c r="A213" s="23" t="s">
        <v>64</v>
      </c>
      <c r="B213" s="23">
        <f>'Annual Raw'!C80</f>
        <v>27.598199999999999</v>
      </c>
      <c r="C213" s="23">
        <f>'Annual Raw'!D80</f>
        <v>56.652700000000003</v>
      </c>
      <c r="D213" s="23">
        <f>'Annual Raw'!E80</f>
        <v>35.6145</v>
      </c>
      <c r="E213" s="23">
        <f>'Annual Raw'!F80</f>
        <v>7.4645000000000001</v>
      </c>
      <c r="F213" s="23">
        <f>'Annual Raw'!G80</f>
        <v>2.0663999999999998</v>
      </c>
      <c r="G213" s="23">
        <f>'Annual Raw'!H80</f>
        <v>8.8848000000000003</v>
      </c>
      <c r="H213" s="23">
        <f>'Annual Raw'!I80</f>
        <v>3.8092000000000001</v>
      </c>
      <c r="I213" s="23">
        <f>'Annual Raw'!J80</f>
        <v>9.6519999999999992</v>
      </c>
      <c r="J213" s="23">
        <f>'Annual Raw'!K80</f>
        <v>8.8373000000000008</v>
      </c>
      <c r="K213" s="23">
        <f>'Annual Raw'!L80</f>
        <v>25.809899999999999</v>
      </c>
      <c r="L213" s="23">
        <f>'Annual Raw'!M80</f>
        <v>45.828899999999997</v>
      </c>
      <c r="M213" s="23">
        <f>'Annual Raw'!N80</f>
        <v>51.425699999999999</v>
      </c>
      <c r="N213" s="23">
        <f>'Annual Raw'!O80</f>
        <v>42.302300000000002</v>
      </c>
      <c r="O213" s="23">
        <f>'Annual Raw'!P80</f>
        <v>44.468400000000003</v>
      </c>
      <c r="P213" s="23">
        <f>'Annual Raw'!Q80</f>
        <v>50.762500000000003</v>
      </c>
      <c r="Q213" s="23">
        <f>'Annual Raw'!R80</f>
        <v>38.667000000000002</v>
      </c>
      <c r="R213" s="23">
        <f>'Annual Raw'!S80</f>
        <v>44.980800000000002</v>
      </c>
      <c r="S213" s="23">
        <f>'Annual Raw'!T80</f>
        <v>54.223700000000001</v>
      </c>
      <c r="T213" s="23">
        <f>'Annual Raw'!U80</f>
        <v>89.283199999999994</v>
      </c>
      <c r="U213" s="23">
        <f>'Annual Raw'!V80</f>
        <v>94.246499999999997</v>
      </c>
      <c r="V213" s="23">
        <f>'Annual Raw'!W80</f>
        <v>121.619</v>
      </c>
      <c r="W213" s="23">
        <f>'Annual Raw'!X80</f>
        <v>94.37</v>
      </c>
      <c r="X213" s="23">
        <f>'Annual Raw'!Y80</f>
        <v>315.55</v>
      </c>
      <c r="Y213" s="23">
        <f>'Annual Raw'!Z80</f>
        <v>482.66</v>
      </c>
      <c r="Z213" s="23">
        <f>'Annual Raw'!AA80</f>
        <v>1533.21</v>
      </c>
      <c r="AA213" s="23">
        <f>'Annual Raw'!AB80</f>
        <v>4060.28</v>
      </c>
      <c r="AB213" s="24">
        <f t="shared" si="1379"/>
        <v>0</v>
      </c>
      <c r="AC213" s="24">
        <f t="shared" si="1380"/>
        <v>0</v>
      </c>
      <c r="AD213" s="24">
        <f t="shared" si="1381"/>
        <v>0</v>
      </c>
      <c r="AE213" s="24">
        <f t="shared" si="1382"/>
        <v>0</v>
      </c>
      <c r="AJ213" s="23">
        <f>+'QTR Raw'!D85</f>
        <v>58.622999999999998</v>
      </c>
      <c r="AK213" s="23">
        <f t="shared" si="1383"/>
        <v>58.622999999999998</v>
      </c>
      <c r="AL213" s="23">
        <f>+'QTR Raw'!F85</f>
        <v>42.677</v>
      </c>
      <c r="AM213" s="23">
        <f t="shared" si="1383"/>
        <v>42.677</v>
      </c>
      <c r="AN213" s="23">
        <f>+'QTR Raw'!H85</f>
        <v>63.534999999999997</v>
      </c>
      <c r="AO213" s="23">
        <f t="shared" si="1383"/>
        <v>63.534999999999997</v>
      </c>
      <c r="AP213" s="23">
        <f>+'QTR Raw'!J85</f>
        <v>44.468000000000004</v>
      </c>
      <c r="AQ213" s="23">
        <f t="shared" si="1383"/>
        <v>44.468000000000004</v>
      </c>
      <c r="AR213" s="23">
        <f>+'QTR Raw'!L85</f>
        <v>60.121000000000002</v>
      </c>
      <c r="AS213" s="23">
        <f t="shared" si="1383"/>
        <v>60.121000000000002</v>
      </c>
      <c r="AT213" s="23">
        <f>+'QTR Raw'!N85</f>
        <v>50.762999999999998</v>
      </c>
      <c r="AU213" s="23">
        <f t="shared" si="1383"/>
        <v>50.762999999999998</v>
      </c>
      <c r="AV213" s="23">
        <f>+'QTR Raw'!P85</f>
        <v>42.787999999999997</v>
      </c>
      <c r="AW213" s="23">
        <f t="shared" si="1383"/>
        <v>42.787999999999997</v>
      </c>
      <c r="AX213" s="23">
        <f>+'QTR Raw'!R85</f>
        <v>38.667000000000002</v>
      </c>
      <c r="AY213" s="23">
        <f t="shared" si="1383"/>
        <v>38.667000000000002</v>
      </c>
      <c r="AZ213" s="23">
        <f>+'QTR Raw'!T85</f>
        <v>46.539000000000001</v>
      </c>
      <c r="BA213" s="23">
        <f t="shared" si="1383"/>
        <v>46.539000000000001</v>
      </c>
      <c r="BB213" s="23">
        <f>+'QTR Raw'!V85</f>
        <v>0</v>
      </c>
      <c r="BC213" s="23">
        <f t="shared" si="1383"/>
        <v>0</v>
      </c>
      <c r="BD213" s="23">
        <f>+'QTR Raw'!X85</f>
        <v>0</v>
      </c>
      <c r="BE213" s="23">
        <f t="shared" si="1383"/>
        <v>0</v>
      </c>
      <c r="BF213" s="23">
        <f>+'QTR Raw'!Z85</f>
        <v>0</v>
      </c>
      <c r="BG213" s="23">
        <f t="shared" si="1383"/>
        <v>0</v>
      </c>
      <c r="BH213" s="23">
        <f>+'QTR Raw'!AB85</f>
        <v>0</v>
      </c>
      <c r="BI213" s="23">
        <f t="shared" si="1383"/>
        <v>0</v>
      </c>
      <c r="BJ213" s="23">
        <f>+'QTR Raw'!AD85</f>
        <v>0</v>
      </c>
      <c r="BK213" s="23">
        <f t="shared" si="1383"/>
        <v>0</v>
      </c>
      <c r="BL213" s="23">
        <f>+'QTR Raw'!AF85</f>
        <v>0</v>
      </c>
      <c r="BM213" s="23">
        <f t="shared" si="1383"/>
        <v>0</v>
      </c>
      <c r="BN213" s="23">
        <f>+'QTR Raw'!AH85</f>
        <v>0</v>
      </c>
      <c r="BO213" s="23">
        <f t="shared" si="1383"/>
        <v>0</v>
      </c>
      <c r="BP213" s="23">
        <f>+'QTR Raw'!AJ85</f>
        <v>0</v>
      </c>
      <c r="BQ213" s="23">
        <f t="shared" si="1383"/>
        <v>0</v>
      </c>
      <c r="BR213" s="23">
        <f>+'QTR Raw'!AL85</f>
        <v>0</v>
      </c>
      <c r="BS213" s="23">
        <f t="shared" si="1383"/>
        <v>0</v>
      </c>
      <c r="BT213" s="23">
        <f>+'QTR Raw'!AN85</f>
        <v>0</v>
      </c>
      <c r="BU213" s="23">
        <f t="shared" si="1383"/>
        <v>0</v>
      </c>
      <c r="BV213" s="23">
        <f>+'QTR Raw'!AP85</f>
        <v>0</v>
      </c>
      <c r="BW213" s="23">
        <f t="shared" si="1383"/>
        <v>0</v>
      </c>
      <c r="BX213" s="23">
        <f>+'QTR Raw'!AR85</f>
        <v>35.26</v>
      </c>
      <c r="BY213" s="23">
        <f t="shared" si="1383"/>
        <v>35.26</v>
      </c>
      <c r="BZ213" s="23">
        <f>+'QTR Raw'!AT85</f>
        <v>25.07</v>
      </c>
      <c r="CA213" s="23">
        <f t="shared" si="1383"/>
        <v>25.07</v>
      </c>
      <c r="CB213" s="23">
        <f>+'QTR Raw'!AV85</f>
        <v>38.340000000000003</v>
      </c>
      <c r="CC213" s="23">
        <f t="shared" si="1383"/>
        <v>38.340000000000003</v>
      </c>
      <c r="CD213" s="23">
        <f>+'QTR Raw'!AX85</f>
        <v>1.5</v>
      </c>
      <c r="CE213" s="23">
        <f t="shared" si="1383"/>
        <v>1.5</v>
      </c>
      <c r="CF213" s="23">
        <f>+'QTR Raw'!AZ85</f>
        <v>50.05</v>
      </c>
      <c r="CG213" s="23">
        <f t="shared" si="1386"/>
        <v>50.05</v>
      </c>
      <c r="CH213" s="23">
        <f t="shared" si="1361"/>
        <v>1533.21</v>
      </c>
      <c r="CJ213" s="23">
        <f>+'QTR Raw'!BD85</f>
        <v>333.34</v>
      </c>
      <c r="CL213" s="23">
        <f>+'QTR Raw'!BF85</f>
        <v>889.55</v>
      </c>
      <c r="CM213" s="24"/>
      <c r="CN213" s="24"/>
      <c r="CO213" s="24"/>
      <c r="CP213" s="24"/>
      <c r="CQ213" s="24"/>
      <c r="CR213" s="24"/>
      <c r="CS213" s="24"/>
      <c r="CT213" s="24"/>
      <c r="CU213" s="24"/>
      <c r="CV213" s="24"/>
      <c r="CW213" s="24"/>
      <c r="CX213" s="24"/>
      <c r="CY213" s="24"/>
      <c r="CZ213" s="24"/>
      <c r="DA213" s="24"/>
      <c r="DB213" s="24"/>
      <c r="DE213" s="123"/>
      <c r="DF213" s="23">
        <v>4060.28</v>
      </c>
    </row>
    <row r="214" spans="1:110" s="22" customFormat="1" x14ac:dyDescent="0.2">
      <c r="A214" s="22" t="s">
        <v>65</v>
      </c>
      <c r="B214" s="22">
        <f>SUM(B208:B213)</f>
        <v>86.070699999999988</v>
      </c>
      <c r="C214" s="22">
        <f t="shared" ref="C214:V214" si="1388">SUM(C208:C213)</f>
        <v>103.91810000000001</v>
      </c>
      <c r="D214" s="22">
        <f t="shared" si="1388"/>
        <v>103.15010000000001</v>
      </c>
      <c r="E214" s="22">
        <f t="shared" si="1388"/>
        <v>108.9276</v>
      </c>
      <c r="F214" s="22">
        <f t="shared" si="1388"/>
        <v>68.033000000000001</v>
      </c>
      <c r="G214" s="22">
        <f t="shared" si="1388"/>
        <v>78.5685</v>
      </c>
      <c r="H214" s="22">
        <f t="shared" si="1388"/>
        <v>81.819400000000002</v>
      </c>
      <c r="I214" s="22">
        <f t="shared" si="1388"/>
        <v>104.958</v>
      </c>
      <c r="J214" s="22">
        <f t="shared" si="1388"/>
        <v>186.48650000000001</v>
      </c>
      <c r="K214" s="22">
        <f t="shared" si="1388"/>
        <v>110.90090000000001</v>
      </c>
      <c r="L214" s="22">
        <f>SUM(L208:L213)</f>
        <v>163.70699999999999</v>
      </c>
      <c r="M214" s="22">
        <f>SUM(M208:M213)</f>
        <v>218.97050000000002</v>
      </c>
      <c r="N214" s="22">
        <f t="shared" si="1388"/>
        <v>150.06360000000001</v>
      </c>
      <c r="O214" s="22">
        <f t="shared" si="1388"/>
        <v>152.8843</v>
      </c>
      <c r="P214" s="22">
        <f t="shared" si="1388"/>
        <v>142.85860000000002</v>
      </c>
      <c r="Q214" s="22">
        <f t="shared" si="1388"/>
        <v>155.73920000000001</v>
      </c>
      <c r="R214" s="22">
        <f t="shared" si="1388"/>
        <v>166.04560000000001</v>
      </c>
      <c r="S214" s="22">
        <f t="shared" si="1388"/>
        <v>177.62690000000001</v>
      </c>
      <c r="T214" s="22">
        <f t="shared" si="1388"/>
        <v>187.93329999999997</v>
      </c>
      <c r="U214" s="22">
        <f t="shared" si="1388"/>
        <v>188.35069999999999</v>
      </c>
      <c r="V214" s="22">
        <f t="shared" si="1388"/>
        <v>246.96259999999998</v>
      </c>
      <c r="W214" s="22">
        <f t="shared" ref="W214" si="1389">SUM(W208:W213)</f>
        <v>287.94000000000005</v>
      </c>
      <c r="X214" s="22">
        <f t="shared" ref="X214:Y214" si="1390">SUM(X208:X213)</f>
        <v>757.04</v>
      </c>
      <c r="Y214" s="22">
        <f t="shared" si="1390"/>
        <v>1118.45</v>
      </c>
      <c r="Z214" s="22">
        <f t="shared" ref="Z214:AA214" si="1391">SUM(Z208:Z213)</f>
        <v>2825.1200000000003</v>
      </c>
      <c r="AA214" s="22">
        <f t="shared" si="1391"/>
        <v>12750.62</v>
      </c>
      <c r="AB214" s="21">
        <f t="shared" ref="AB214:AD214" si="1392">SUM(AB208:AB213)</f>
        <v>14155.304779849226</v>
      </c>
      <c r="AC214" s="21">
        <f t="shared" si="1392"/>
        <v>21502.477997167138</v>
      </c>
      <c r="AD214" s="21">
        <f t="shared" si="1392"/>
        <v>24559.59549812325</v>
      </c>
      <c r="AE214" s="21">
        <f t="shared" ref="AE214" si="1393">SUM(AE208:AE213)</f>
        <v>29230.714190590876</v>
      </c>
      <c r="AJ214" s="22">
        <f t="shared" ref="AJ214" si="1394">SUM(AJ208:AJ213)</f>
        <v>242.61199999999999</v>
      </c>
      <c r="AK214" s="22">
        <f t="shared" ref="AK214" si="1395">SUM(AK208:AK213)</f>
        <v>251.14362526425438</v>
      </c>
      <c r="AL214" s="22">
        <f t="shared" ref="AL214:AM214" si="1396">SUM(AL208:AL213)</f>
        <v>150.42499999999998</v>
      </c>
      <c r="AM214" s="22">
        <f t="shared" si="1396"/>
        <v>119.47710095886467</v>
      </c>
      <c r="AN214" s="22">
        <f t="shared" ref="AN214:AO214" si="1397">SUM(AN208:AN213)</f>
        <v>187.47300000000001</v>
      </c>
      <c r="AO214" s="22">
        <f t="shared" si="1397"/>
        <v>196.64338825014264</v>
      </c>
      <c r="AP214" s="22">
        <f t="shared" ref="AP214:CE214" si="1398">SUM(AP208:AP213)</f>
        <v>152.88400000000001</v>
      </c>
      <c r="AQ214" s="22">
        <f t="shared" si="1398"/>
        <v>144.74676619718309</v>
      </c>
      <c r="AR214" s="22">
        <f t="shared" si="1398"/>
        <v>229.68199999999999</v>
      </c>
      <c r="AS214" s="22">
        <f t="shared" si="1398"/>
        <v>168.20634883783276</v>
      </c>
      <c r="AT214" s="22">
        <f t="shared" si="1398"/>
        <v>142.85900000000001</v>
      </c>
      <c r="AU214" s="22">
        <f t="shared" si="1398"/>
        <v>146.0563672543017</v>
      </c>
      <c r="AV214" s="22">
        <f t="shared" si="1398"/>
        <v>178.47500000000002</v>
      </c>
      <c r="AW214" s="22">
        <f t="shared" si="1398"/>
        <v>179.95416162448498</v>
      </c>
      <c r="AX214" s="22">
        <f t="shared" si="1398"/>
        <v>155.739</v>
      </c>
      <c r="AY214" s="22">
        <f t="shared" si="1398"/>
        <v>165.36075515463921</v>
      </c>
      <c r="AZ214" s="22">
        <f t="shared" si="1398"/>
        <v>192.13400000000001</v>
      </c>
      <c r="BA214" s="22">
        <f t="shared" si="1398"/>
        <v>219.73146489818356</v>
      </c>
      <c r="BB214" s="22">
        <f t="shared" si="1398"/>
        <v>166.04599999999999</v>
      </c>
      <c r="BC214" s="22">
        <f t="shared" si="1398"/>
        <v>180.26249191998548</v>
      </c>
      <c r="BD214" s="22">
        <f t="shared" si="1398"/>
        <v>162.10199999999998</v>
      </c>
      <c r="BE214" s="22">
        <f t="shared" si="1398"/>
        <v>206.60151514198478</v>
      </c>
      <c r="BF214" s="22">
        <f t="shared" si="1398"/>
        <v>177.62700000000001</v>
      </c>
      <c r="BG214" s="22">
        <f t="shared" si="1398"/>
        <v>197.00995264373717</v>
      </c>
      <c r="BH214" s="22">
        <f t="shared" si="1398"/>
        <v>160.48500000000001</v>
      </c>
      <c r="BI214" s="22">
        <f t="shared" si="1398"/>
        <v>166.82675286317061</v>
      </c>
      <c r="BJ214" s="22">
        <f t="shared" si="1398"/>
        <v>187.93299999999999</v>
      </c>
      <c r="BK214" s="22">
        <f t="shared" si="1398"/>
        <v>184.99841988912146</v>
      </c>
      <c r="BL214" s="22">
        <f t="shared" si="1398"/>
        <v>179.15600000000001</v>
      </c>
      <c r="BM214" s="22">
        <f t="shared" si="1398"/>
        <v>224.75082189594636</v>
      </c>
      <c r="BN214" s="22">
        <f t="shared" si="1398"/>
        <v>191.33199999999999</v>
      </c>
      <c r="BO214" s="22">
        <f t="shared" si="1398"/>
        <v>108.71445275851789</v>
      </c>
      <c r="BP214" s="22">
        <f t="shared" si="1398"/>
        <v>203.07600000000002</v>
      </c>
      <c r="BQ214" s="22">
        <f t="shared" si="1398"/>
        <v>203.25950957937584</v>
      </c>
      <c r="BR214" s="22">
        <f t="shared" si="1398"/>
        <v>247.75099999999998</v>
      </c>
      <c r="BS214" s="22">
        <f t="shared" si="1398"/>
        <v>248.3367793584965</v>
      </c>
      <c r="BT214" s="22">
        <f t="shared" si="1398"/>
        <v>255.02200000000002</v>
      </c>
      <c r="BU214" s="22">
        <f t="shared" si="1398"/>
        <v>339.97711064593307</v>
      </c>
      <c r="BV214" s="22">
        <f t="shared" si="1398"/>
        <v>288.54000000000002</v>
      </c>
      <c r="BW214" s="22">
        <f t="shared" si="1398"/>
        <v>579.93219291137711</v>
      </c>
      <c r="BX214" s="22">
        <f t="shared" si="1398"/>
        <v>607.38</v>
      </c>
      <c r="BY214" s="22">
        <f t="shared" si="1398"/>
        <v>702.93838696271678</v>
      </c>
      <c r="BZ214" s="22">
        <f t="shared" si="1398"/>
        <v>807.68000000000006</v>
      </c>
      <c r="CA214" s="22">
        <f t="shared" si="1398"/>
        <v>1173.4633922967189</v>
      </c>
      <c r="CB214" s="22">
        <f t="shared" si="1398"/>
        <v>1143.6299999999999</v>
      </c>
      <c r="CC214" s="22">
        <f t="shared" si="1398"/>
        <v>1439.8616504934437</v>
      </c>
      <c r="CD214" s="22">
        <f t="shared" si="1398"/>
        <v>1196.4000000000001</v>
      </c>
      <c r="CE214" s="22">
        <f t="shared" si="1398"/>
        <v>1369.0688391484214</v>
      </c>
      <c r="CF214" s="22">
        <f t="shared" ref="CF214:CG214" si="1399">SUM(CF208:CF213)</f>
        <v>2536.0200000000004</v>
      </c>
      <c r="CG214" s="22">
        <f t="shared" si="1399"/>
        <v>2624.7584917356812</v>
      </c>
      <c r="CH214" s="22">
        <f t="shared" ref="CH214:CI214" si="1400">SUM(CH208:CH213)</f>
        <v>2825.1200000000003</v>
      </c>
      <c r="CI214" s="22">
        <f t="shared" si="1400"/>
        <v>5642.9481458141272</v>
      </c>
      <c r="CJ214" s="22">
        <f t="shared" ref="CJ214:DB214" si="1401">SUM(CJ208:CJ213)</f>
        <v>7906.63</v>
      </c>
      <c r="CK214" s="22">
        <f t="shared" si="1401"/>
        <v>10952.761874484782</v>
      </c>
      <c r="CL214" s="22">
        <f t="shared" ref="CL214" si="1402">SUM(CL208:CL213)</f>
        <v>11554.359999999999</v>
      </c>
      <c r="CM214" s="21">
        <f t="shared" si="1401"/>
        <v>11626.163399205976</v>
      </c>
      <c r="CN214" s="21">
        <f t="shared" si="1401"/>
        <v>10821.832944146463</v>
      </c>
      <c r="CO214" s="21">
        <f t="shared" si="1401"/>
        <v>12166.644164812893</v>
      </c>
      <c r="CP214" s="21">
        <f t="shared" si="1401"/>
        <v>14155.304779849226</v>
      </c>
      <c r="CQ214" s="21">
        <f t="shared" si="1401"/>
        <v>18683.652507925221</v>
      </c>
      <c r="CR214" s="21">
        <f t="shared" si="1401"/>
        <v>18327.960732966858</v>
      </c>
      <c r="CS214" s="21">
        <f t="shared" si="1401"/>
        <v>20461.54721482957</v>
      </c>
      <c r="CT214" s="21">
        <f t="shared" si="1401"/>
        <v>21502.477997167138</v>
      </c>
      <c r="CU214" s="21">
        <f t="shared" si="1401"/>
        <v>21550.103990559044</v>
      </c>
      <c r="CV214" s="21">
        <f t="shared" si="1401"/>
        <v>20276.712071702823</v>
      </c>
      <c r="CW214" s="21">
        <f t="shared" si="1401"/>
        <v>23047.11000160738</v>
      </c>
      <c r="CX214" s="21">
        <f t="shared" si="1401"/>
        <v>24559.59549812325</v>
      </c>
      <c r="CY214" s="21">
        <f t="shared" si="1401"/>
        <v>25949.633659267103</v>
      </c>
      <c r="CZ214" s="21">
        <f t="shared" si="1401"/>
        <v>24677.237894472557</v>
      </c>
      <c r="DA214" s="21">
        <f t="shared" si="1401"/>
        <v>27632.64287030491</v>
      </c>
      <c r="DB214" s="21">
        <f t="shared" si="1401"/>
        <v>29230.714190590876</v>
      </c>
      <c r="DE214" s="126"/>
      <c r="DF214" s="22">
        <v>12750.62</v>
      </c>
    </row>
    <row r="215" spans="1:110" s="23" customFormat="1" outlineLevel="1" x14ac:dyDescent="0.2">
      <c r="A215" s="23" t="s">
        <v>66</v>
      </c>
      <c r="B215" s="23">
        <f>'Annual Raw'!C50+'Annual Raw'!C58</f>
        <v>0</v>
      </c>
      <c r="C215" s="23">
        <f>'Annual Raw'!D50+'Annual Raw'!D58</f>
        <v>0</v>
      </c>
      <c r="D215" s="23">
        <f>'Annual Raw'!E50+'Annual Raw'!E58</f>
        <v>0</v>
      </c>
      <c r="E215" s="23">
        <f>'Annual Raw'!F50+'Annual Raw'!F58</f>
        <v>0</v>
      </c>
      <c r="F215" s="23">
        <f>'Annual Raw'!G50+'Annual Raw'!G58</f>
        <v>0</v>
      </c>
      <c r="G215" s="23">
        <f>'Annual Raw'!H50+'Annual Raw'!H58</f>
        <v>0</v>
      </c>
      <c r="H215" s="23">
        <f>'Annual Raw'!I50+'Annual Raw'!I58</f>
        <v>0</v>
      </c>
      <c r="I215" s="23">
        <f>'Annual Raw'!J50+'Annual Raw'!J58</f>
        <v>0</v>
      </c>
      <c r="J215" s="23">
        <f>'Annual Raw'!K50+'Annual Raw'!K58</f>
        <v>0</v>
      </c>
      <c r="K215" s="23">
        <f>'Annual Raw'!L50+'Annual Raw'!L58</f>
        <v>0</v>
      </c>
      <c r="L215" s="23">
        <f>'Annual Raw'!M50+'Annual Raw'!M58</f>
        <v>0</v>
      </c>
      <c r="M215" s="23">
        <f>'Annual Raw'!N50+'Annual Raw'!N58</f>
        <v>0</v>
      </c>
      <c r="N215" s="23">
        <f>'Annual Raw'!O50+'Annual Raw'!O58</f>
        <v>0</v>
      </c>
      <c r="O215" s="23">
        <f>'Annual Raw'!P50+'Annual Raw'!P58</f>
        <v>23.434100000000001</v>
      </c>
      <c r="P215" s="23">
        <f>'Annual Raw'!Q50+'Annual Raw'!Q58</f>
        <v>146.43219999999999</v>
      </c>
      <c r="Q215" s="23">
        <f>'Annual Raw'!R50+'Annual Raw'!R58</f>
        <v>220.26589999999999</v>
      </c>
      <c r="R215" s="23">
        <f>'Annual Raw'!S50+'Annual Raw'!S58</f>
        <v>277.14519999999999</v>
      </c>
      <c r="S215" s="23">
        <f>'Annual Raw'!T50+'Annual Raw'!T58</f>
        <v>363.00510000000003</v>
      </c>
      <c r="T215" s="23">
        <f>'Annual Raw'!U50+'Annual Raw'!U58</f>
        <v>304.947</v>
      </c>
      <c r="U215" s="23">
        <f>'Annual Raw'!V50+'Annual Raw'!V58</f>
        <v>278.23</v>
      </c>
      <c r="V215" s="23">
        <f>'Annual Raw'!W50+'Annual Raw'!W58</f>
        <v>282.81130000000002</v>
      </c>
      <c r="W215" s="23">
        <f>'Annual Raw'!X50+'Annual Raw'!X58</f>
        <v>161.86000000000001</v>
      </c>
      <c r="X215" s="23">
        <f>'Annual Raw'!Y50+'Annual Raw'!Y58</f>
        <v>2.19</v>
      </c>
      <c r="Y215" s="23">
        <f>'Annual Raw'!Z50+'Annual Raw'!Z58</f>
        <v>29.44</v>
      </c>
      <c r="Z215" s="23">
        <f>'Annual Raw'!AA50+'Annual Raw'!AA58</f>
        <v>35.92</v>
      </c>
      <c r="AA215" s="23">
        <f>'Annual Raw'!AB50+'Annual Raw'!AB58</f>
        <v>1114.68</v>
      </c>
      <c r="AB215" s="24">
        <f t="shared" ref="AB215:AB221" si="1403">+CP215</f>
        <v>0</v>
      </c>
      <c r="AC215" s="24">
        <f t="shared" ref="AC215:AC221" si="1404">+CT215</f>
        <v>0</v>
      </c>
      <c r="AD215" s="24">
        <f t="shared" ref="AD215:AD221" si="1405">+CX215</f>
        <v>0</v>
      </c>
      <c r="AE215" s="24">
        <f t="shared" ref="AE215:AE221" si="1406">+DB215</f>
        <v>0</v>
      </c>
      <c r="AJ215" s="23">
        <f>+'QTR Raw'!D64</f>
        <v>0</v>
      </c>
      <c r="AK215" s="23">
        <f t="shared" ref="AK215:CE221" si="1407">+AJ215</f>
        <v>0</v>
      </c>
      <c r="AL215" s="23">
        <f>+'QTR Raw'!F64</f>
        <v>0</v>
      </c>
      <c r="AM215" s="23">
        <f t="shared" si="1407"/>
        <v>0</v>
      </c>
      <c r="AN215" s="23">
        <f>+'QTR Raw'!H64</f>
        <v>0</v>
      </c>
      <c r="AO215" s="23">
        <f t="shared" si="1407"/>
        <v>0</v>
      </c>
      <c r="AP215" s="23">
        <f>+'QTR Raw'!J64</f>
        <v>158.995</v>
      </c>
      <c r="AQ215" s="23">
        <f t="shared" si="1407"/>
        <v>158.995</v>
      </c>
      <c r="AR215" s="23">
        <f>+'QTR Raw'!L64</f>
        <v>0</v>
      </c>
      <c r="AS215" s="23">
        <f t="shared" si="1407"/>
        <v>0</v>
      </c>
      <c r="AT215" s="23">
        <f>+'QTR Raw'!N64</f>
        <v>272.23200000000003</v>
      </c>
      <c r="AU215" s="23">
        <f t="shared" si="1407"/>
        <v>272.23200000000003</v>
      </c>
      <c r="AV215" s="23">
        <f>+'QTR Raw'!P64</f>
        <v>268.13200000000001</v>
      </c>
      <c r="AW215" s="23">
        <f t="shared" si="1407"/>
        <v>268.13200000000001</v>
      </c>
      <c r="AX215" s="23">
        <f>+'QTR Raw'!R64</f>
        <v>316.42</v>
      </c>
      <c r="AY215" s="23">
        <f t="shared" si="1407"/>
        <v>316.42</v>
      </c>
      <c r="AZ215" s="23">
        <f>+'QTR Raw'!T64</f>
        <v>320.30399999999997</v>
      </c>
      <c r="BA215" s="23">
        <f t="shared" si="1407"/>
        <v>320.30399999999997</v>
      </c>
      <c r="BB215" s="23">
        <f>+'QTR Raw'!V64</f>
        <v>277.245</v>
      </c>
      <c r="BC215" s="23">
        <f t="shared" si="1407"/>
        <v>277.245</v>
      </c>
      <c r="BD215" s="23">
        <f>+'QTR Raw'!X64</f>
        <v>275.142</v>
      </c>
      <c r="BE215" s="23">
        <f t="shared" si="1407"/>
        <v>275.142</v>
      </c>
      <c r="BF215" s="23">
        <f>+'QTR Raw'!Z64</f>
        <v>363.005</v>
      </c>
      <c r="BG215" s="23">
        <f t="shared" si="1407"/>
        <v>363.005</v>
      </c>
      <c r="BH215" s="23">
        <f>+'QTR Raw'!AB64</f>
        <v>311.30599999999998</v>
      </c>
      <c r="BI215" s="23">
        <f t="shared" si="1407"/>
        <v>311.30599999999998</v>
      </c>
      <c r="BJ215" s="23">
        <f>+'QTR Raw'!AD64</f>
        <v>304.947</v>
      </c>
      <c r="BK215" s="23">
        <f t="shared" si="1407"/>
        <v>304.947</v>
      </c>
      <c r="BL215" s="23">
        <f>+'QTR Raw'!AF64</f>
        <v>263.791</v>
      </c>
      <c r="BM215" s="23">
        <f t="shared" si="1407"/>
        <v>263.791</v>
      </c>
      <c r="BN215" s="23">
        <f>+'QTR Raw'!AH64</f>
        <v>278.23</v>
      </c>
      <c r="BO215" s="23">
        <f t="shared" si="1407"/>
        <v>278.23</v>
      </c>
      <c r="BP215" s="23">
        <f>+'QTR Raw'!AJ64</f>
        <v>258.649</v>
      </c>
      <c r="BQ215" s="23">
        <f t="shared" si="1407"/>
        <v>258.649</v>
      </c>
      <c r="BR215" s="23">
        <f>+'QTR Raw'!AL64</f>
        <v>282.81099999999998</v>
      </c>
      <c r="BS215" s="23">
        <f t="shared" si="1407"/>
        <v>282.81099999999998</v>
      </c>
      <c r="BT215" s="23">
        <f>+'QTR Raw'!AN64</f>
        <v>195.49</v>
      </c>
      <c r="BU215" s="23">
        <f t="shared" si="1407"/>
        <v>195.49</v>
      </c>
      <c r="BV215" s="23">
        <f>+'QTR Raw'!AP64</f>
        <v>161.87</v>
      </c>
      <c r="BW215" s="23">
        <f t="shared" si="1407"/>
        <v>161.87</v>
      </c>
      <c r="BX215" s="23">
        <f>+'QTR Raw'!AR64</f>
        <v>14.08</v>
      </c>
      <c r="BY215" s="23">
        <f t="shared" si="1407"/>
        <v>14.08</v>
      </c>
      <c r="BZ215" s="23">
        <f>+'QTR Raw'!AT64</f>
        <v>2.19</v>
      </c>
      <c r="CA215" s="23">
        <f t="shared" si="1407"/>
        <v>2.19</v>
      </c>
      <c r="CB215" s="23">
        <f>+'QTR Raw'!AV64</f>
        <v>16.02</v>
      </c>
      <c r="CC215" s="23">
        <f t="shared" si="1407"/>
        <v>16.02</v>
      </c>
      <c r="CD215" s="23">
        <f>+'QTR Raw'!AX64</f>
        <v>29.44</v>
      </c>
      <c r="CE215" s="23">
        <f t="shared" si="1407"/>
        <v>29.44</v>
      </c>
      <c r="CF215" s="23">
        <f>+'QTR Raw'!AZ64</f>
        <v>33.4</v>
      </c>
      <c r="CG215" s="23">
        <f t="shared" ref="CG215:CG218" si="1408">+CF215</f>
        <v>33.4</v>
      </c>
      <c r="CH215" s="23">
        <f t="shared" si="1361"/>
        <v>35.92</v>
      </c>
      <c r="CJ215" s="23">
        <f>+'QTR Raw'!BD64</f>
        <v>182.35</v>
      </c>
      <c r="CL215" s="23">
        <f>+'QTR Raw'!BF64</f>
        <v>1114.68</v>
      </c>
      <c r="CM215" s="24"/>
      <c r="CN215" s="24"/>
      <c r="CO215" s="24"/>
      <c r="CP215" s="24"/>
      <c r="CQ215" s="24"/>
      <c r="CR215" s="24"/>
      <c r="CS215" s="24"/>
      <c r="CT215" s="24"/>
      <c r="CU215" s="24"/>
      <c r="CV215" s="24"/>
      <c r="CW215" s="24"/>
      <c r="CX215" s="24"/>
      <c r="CY215" s="24"/>
      <c r="CZ215" s="24"/>
      <c r="DA215" s="24"/>
      <c r="DB215" s="24"/>
      <c r="DE215" s="123"/>
      <c r="DF215" s="23">
        <v>1114.68</v>
      </c>
    </row>
    <row r="216" spans="1:110" s="23" customFormat="1" outlineLevel="1" x14ac:dyDescent="0.2">
      <c r="A216" s="23" t="s">
        <v>67</v>
      </c>
      <c r="B216" s="23">
        <f>'Annual Raw'!C51</f>
        <v>0</v>
      </c>
      <c r="C216" s="23">
        <f>'Annual Raw'!D51</f>
        <v>0</v>
      </c>
      <c r="D216" s="23">
        <f>'Annual Raw'!E51</f>
        <v>0</v>
      </c>
      <c r="E216" s="23">
        <f>'Annual Raw'!F51</f>
        <v>0</v>
      </c>
      <c r="F216" s="23">
        <f>'Annual Raw'!G51</f>
        <v>0</v>
      </c>
      <c r="G216" s="23">
        <f>'Annual Raw'!H51</f>
        <v>0</v>
      </c>
      <c r="H216" s="23">
        <f>'Annual Raw'!I51</f>
        <v>0</v>
      </c>
      <c r="I216" s="23">
        <f>'Annual Raw'!J51</f>
        <v>0</v>
      </c>
      <c r="J216" s="23">
        <f>'Annual Raw'!K51</f>
        <v>0</v>
      </c>
      <c r="K216" s="23">
        <f>'Annual Raw'!L51</f>
        <v>0</v>
      </c>
      <c r="L216" s="23">
        <f>'Annual Raw'!M51</f>
        <v>0</v>
      </c>
      <c r="M216" s="23">
        <f>'Annual Raw'!N51</f>
        <v>0</v>
      </c>
      <c r="N216" s="23">
        <f>'Annual Raw'!O51</f>
        <v>0</v>
      </c>
      <c r="O216" s="23">
        <f>'Annual Raw'!P51</f>
        <v>135.5615</v>
      </c>
      <c r="P216" s="23">
        <f>'Annual Raw'!Q51</f>
        <v>125.8</v>
      </c>
      <c r="Q216" s="23">
        <f>'Annual Raw'!R51</f>
        <v>96.154300000000006</v>
      </c>
      <c r="R216" s="23">
        <f>'Annual Raw'!S51</f>
        <v>54.019500000000001</v>
      </c>
      <c r="S216" s="23">
        <f>'Annual Raw'!T51</f>
        <v>0</v>
      </c>
      <c r="T216" s="23">
        <f>'Annual Raw'!U51</f>
        <v>0</v>
      </c>
      <c r="U216" s="23">
        <f>'Annual Raw'!V51</f>
        <v>0</v>
      </c>
      <c r="V216" s="23">
        <f>'Annual Raw'!W51</f>
        <v>0</v>
      </c>
      <c r="W216" s="23">
        <f>'Annual Raw'!X51</f>
        <v>0</v>
      </c>
      <c r="X216" s="23">
        <f>'Annual Raw'!Y51</f>
        <v>0</v>
      </c>
      <c r="Y216" s="23">
        <f>'Annual Raw'!Z51</f>
        <v>0</v>
      </c>
      <c r="Z216" s="23">
        <f>'Annual Raw'!AA51</f>
        <v>0</v>
      </c>
      <c r="AA216" s="23">
        <f>'Annual Raw'!AB51</f>
        <v>0</v>
      </c>
      <c r="AB216" s="24">
        <f t="shared" si="1403"/>
        <v>0</v>
      </c>
      <c r="AC216" s="24">
        <f t="shared" si="1404"/>
        <v>0</v>
      </c>
      <c r="AD216" s="24">
        <f t="shared" si="1405"/>
        <v>0</v>
      </c>
      <c r="AE216" s="24">
        <f t="shared" si="1406"/>
        <v>0</v>
      </c>
      <c r="AJ216" s="23">
        <f>+'QTR Raw'!D65</f>
        <v>0</v>
      </c>
      <c r="AK216" s="23">
        <f t="shared" si="1407"/>
        <v>0</v>
      </c>
      <c r="AL216" s="23">
        <f>+'QTR Raw'!F65</f>
        <v>0</v>
      </c>
      <c r="AM216" s="23">
        <f t="shared" si="1407"/>
        <v>0</v>
      </c>
      <c r="AN216" s="23">
        <f>+'QTR Raw'!H65</f>
        <v>0</v>
      </c>
      <c r="AO216" s="23">
        <f t="shared" si="1407"/>
        <v>0</v>
      </c>
      <c r="AP216" s="23">
        <f>+'QTR Raw'!J65</f>
        <v>0</v>
      </c>
      <c r="AQ216" s="23">
        <f t="shared" si="1407"/>
        <v>0</v>
      </c>
      <c r="AR216" s="23">
        <f>+'QTR Raw'!L65</f>
        <v>0</v>
      </c>
      <c r="AS216" s="23">
        <f t="shared" si="1407"/>
        <v>0</v>
      </c>
      <c r="AT216" s="23">
        <f>+'QTR Raw'!N65</f>
        <v>0</v>
      </c>
      <c r="AU216" s="23">
        <f t="shared" si="1407"/>
        <v>0</v>
      </c>
      <c r="AV216" s="23">
        <f>+'QTR Raw'!P65</f>
        <v>0</v>
      </c>
      <c r="AW216" s="23">
        <f t="shared" si="1407"/>
        <v>0</v>
      </c>
      <c r="AX216" s="23">
        <f>+'QTR Raw'!R65</f>
        <v>0</v>
      </c>
      <c r="AY216" s="23">
        <f t="shared" si="1407"/>
        <v>0</v>
      </c>
      <c r="AZ216" s="23">
        <f>+'QTR Raw'!T65</f>
        <v>0</v>
      </c>
      <c r="BA216" s="23">
        <f t="shared" si="1407"/>
        <v>0</v>
      </c>
      <c r="BB216" s="23">
        <f>+'QTR Raw'!V65</f>
        <v>53.92</v>
      </c>
      <c r="BC216" s="23">
        <f t="shared" si="1407"/>
        <v>53.92</v>
      </c>
      <c r="BD216" s="23">
        <f>+'QTR Raw'!X65</f>
        <v>53.917000000000002</v>
      </c>
      <c r="BE216" s="23">
        <f t="shared" si="1407"/>
        <v>53.917000000000002</v>
      </c>
      <c r="BF216" s="23">
        <f>+'QTR Raw'!Z65</f>
        <v>0</v>
      </c>
      <c r="BG216" s="23">
        <f t="shared" si="1407"/>
        <v>0</v>
      </c>
      <c r="BH216" s="23">
        <f>+'QTR Raw'!AB65</f>
        <v>51.228000000000002</v>
      </c>
      <c r="BI216" s="23">
        <f t="shared" si="1407"/>
        <v>51.228000000000002</v>
      </c>
      <c r="BJ216" s="23">
        <f>+'QTR Raw'!AD65</f>
        <v>0</v>
      </c>
      <c r="BK216" s="23">
        <f t="shared" si="1407"/>
        <v>0</v>
      </c>
      <c r="BL216" s="23">
        <f>+'QTR Raw'!AF65</f>
        <v>0</v>
      </c>
      <c r="BM216" s="23">
        <f t="shared" si="1407"/>
        <v>0</v>
      </c>
      <c r="BN216" s="23">
        <f>+'QTR Raw'!AH65</f>
        <v>0</v>
      </c>
      <c r="BO216" s="23">
        <f t="shared" si="1407"/>
        <v>0</v>
      </c>
      <c r="BP216" s="23">
        <f>+'QTR Raw'!AJ65</f>
        <v>0</v>
      </c>
      <c r="BQ216" s="23">
        <f t="shared" si="1407"/>
        <v>0</v>
      </c>
      <c r="BR216" s="23">
        <f>+'QTR Raw'!AL65</f>
        <v>0</v>
      </c>
      <c r="BS216" s="23">
        <f t="shared" si="1407"/>
        <v>0</v>
      </c>
      <c r="BT216" s="23">
        <f>+'QTR Raw'!AN65</f>
        <v>0</v>
      </c>
      <c r="BU216" s="23">
        <f t="shared" si="1407"/>
        <v>0</v>
      </c>
      <c r="BV216" s="23">
        <f>+'QTR Raw'!AP65</f>
        <v>0</v>
      </c>
      <c r="BW216" s="23">
        <f t="shared" si="1407"/>
        <v>0</v>
      </c>
      <c r="BX216" s="23">
        <f>+'QTR Raw'!AR65</f>
        <v>0</v>
      </c>
      <c r="BY216" s="23">
        <f t="shared" si="1407"/>
        <v>0</v>
      </c>
      <c r="BZ216" s="23">
        <f>+'QTR Raw'!AT65</f>
        <v>0</v>
      </c>
      <c r="CA216" s="23">
        <f t="shared" si="1407"/>
        <v>0</v>
      </c>
      <c r="CB216" s="23">
        <f>+'QTR Raw'!AV65</f>
        <v>0</v>
      </c>
      <c r="CC216" s="23">
        <f t="shared" si="1407"/>
        <v>0</v>
      </c>
      <c r="CD216" s="23">
        <f>+'QTR Raw'!AX65</f>
        <v>0</v>
      </c>
      <c r="CE216" s="23">
        <f t="shared" si="1407"/>
        <v>0</v>
      </c>
      <c r="CF216" s="23">
        <f>+'QTR Raw'!AZ65</f>
        <v>0</v>
      </c>
      <c r="CG216" s="23">
        <f t="shared" si="1408"/>
        <v>0</v>
      </c>
      <c r="CH216" s="23">
        <f t="shared" si="1361"/>
        <v>0</v>
      </c>
      <c r="CJ216" s="23">
        <f>+'QTR Raw'!BD65</f>
        <v>0</v>
      </c>
      <c r="CL216" s="23">
        <f>+'QTR Raw'!BF65</f>
        <v>0</v>
      </c>
      <c r="CM216" s="24"/>
      <c r="CN216" s="24"/>
      <c r="CO216" s="24"/>
      <c r="CP216" s="24"/>
      <c r="CQ216" s="24"/>
      <c r="CR216" s="24"/>
      <c r="CS216" s="24"/>
      <c r="CT216" s="24"/>
      <c r="CU216" s="24"/>
      <c r="CV216" s="24"/>
      <c r="CW216" s="24"/>
      <c r="CX216" s="24"/>
      <c r="CY216" s="24"/>
      <c r="CZ216" s="24"/>
      <c r="DA216" s="24"/>
      <c r="DB216" s="24"/>
      <c r="DE216" s="123"/>
      <c r="DF216" s="23">
        <v>0</v>
      </c>
    </row>
    <row r="217" spans="1:110" s="23" customFormat="1" outlineLevel="1" x14ac:dyDescent="0.2">
      <c r="A217" s="23" t="s">
        <v>68</v>
      </c>
      <c r="B217" s="23">
        <f>'Annual Raw'!C52</f>
        <v>0</v>
      </c>
      <c r="C217" s="23">
        <f>'Annual Raw'!D52</f>
        <v>0</v>
      </c>
      <c r="D217" s="23">
        <f>'Annual Raw'!E52</f>
        <v>0</v>
      </c>
      <c r="E217" s="23">
        <f>'Annual Raw'!F52</f>
        <v>0</v>
      </c>
      <c r="F217" s="23">
        <f>'Annual Raw'!G52</f>
        <v>0</v>
      </c>
      <c r="G217" s="23">
        <f>'Annual Raw'!H52</f>
        <v>0</v>
      </c>
      <c r="H217" s="23">
        <f>'Annual Raw'!I52</f>
        <v>0</v>
      </c>
      <c r="I217" s="23">
        <f>'Annual Raw'!J52</f>
        <v>0</v>
      </c>
      <c r="J217" s="23">
        <f>'Annual Raw'!K52</f>
        <v>0</v>
      </c>
      <c r="K217" s="23">
        <f>'Annual Raw'!L52</f>
        <v>0</v>
      </c>
      <c r="L217" s="23">
        <f>'Annual Raw'!M52</f>
        <v>2.4438</v>
      </c>
      <c r="M217" s="23">
        <f>'Annual Raw'!N52</f>
        <v>2.8159999999999998</v>
      </c>
      <c r="N217" s="23">
        <f>'Annual Raw'!O52</f>
        <v>3.1892</v>
      </c>
      <c r="O217" s="23">
        <f>'Annual Raw'!P52</f>
        <v>3.5512000000000001</v>
      </c>
      <c r="P217" s="23">
        <f>'Annual Raw'!Q52</f>
        <v>4.1352000000000002</v>
      </c>
      <c r="Q217" s="23">
        <f>'Annual Raw'!R52</f>
        <v>3.8730000000000002</v>
      </c>
      <c r="R217" s="23">
        <f>'Annual Raw'!S52</f>
        <v>3.9622000000000002</v>
      </c>
      <c r="S217" s="23">
        <f>'Annual Raw'!T52</f>
        <v>4.3483000000000001</v>
      </c>
      <c r="T217" s="23">
        <f>'Annual Raw'!U52</f>
        <v>5.0865999999999998</v>
      </c>
      <c r="U217" s="23">
        <f>'Annual Raw'!V52</f>
        <v>5.7308000000000003</v>
      </c>
      <c r="V217" s="23">
        <f>'Annual Raw'!W52</f>
        <v>5.7370000000000001</v>
      </c>
      <c r="W217" s="23">
        <f>'Annual Raw'!X52</f>
        <v>5.36</v>
      </c>
      <c r="X217" s="23">
        <f>'Annual Raw'!Y52</f>
        <v>22.56</v>
      </c>
      <c r="Y217" s="23">
        <f>'Annual Raw'!Z52</f>
        <v>24.89</v>
      </c>
      <c r="Z217" s="23">
        <f>'Annual Raw'!AA52</f>
        <v>28.76</v>
      </c>
      <c r="AA217" s="23">
        <f>'Annual Raw'!AB52</f>
        <v>120.28</v>
      </c>
      <c r="AB217" s="24">
        <f t="shared" si="1403"/>
        <v>0</v>
      </c>
      <c r="AC217" s="24">
        <f t="shared" si="1404"/>
        <v>0</v>
      </c>
      <c r="AD217" s="24">
        <f t="shared" si="1405"/>
        <v>0</v>
      </c>
      <c r="AE217" s="24">
        <f t="shared" si="1406"/>
        <v>0</v>
      </c>
      <c r="AJ217" s="23">
        <f>+'QTR Raw'!D66</f>
        <v>3.2090000000000001</v>
      </c>
      <c r="AK217" s="23">
        <f t="shared" si="1407"/>
        <v>3.2090000000000001</v>
      </c>
      <c r="AL217" s="23">
        <f>+'QTR Raw'!F66</f>
        <v>3.1890000000000001</v>
      </c>
      <c r="AM217" s="23">
        <f t="shared" si="1407"/>
        <v>3.1890000000000001</v>
      </c>
      <c r="AN217" s="23">
        <f>+'QTR Raw'!H66</f>
        <v>3.3250000000000002</v>
      </c>
      <c r="AO217" s="23">
        <f t="shared" si="1407"/>
        <v>3.3250000000000002</v>
      </c>
      <c r="AP217" s="23">
        <f>+'QTR Raw'!J66</f>
        <v>3.5510000000000002</v>
      </c>
      <c r="AQ217" s="23">
        <f t="shared" si="1407"/>
        <v>3.5510000000000002</v>
      </c>
      <c r="AR217" s="23">
        <f>+'QTR Raw'!L66</f>
        <v>3.5510000000000002</v>
      </c>
      <c r="AS217" s="23">
        <f t="shared" si="1407"/>
        <v>3.5510000000000002</v>
      </c>
      <c r="AT217" s="23">
        <f>+'QTR Raw'!N66</f>
        <v>4.1349999999999998</v>
      </c>
      <c r="AU217" s="23">
        <f t="shared" si="1407"/>
        <v>4.1349999999999998</v>
      </c>
      <c r="AV217" s="23">
        <f>+'QTR Raw'!P66</f>
        <v>4.1349999999999998</v>
      </c>
      <c r="AW217" s="23">
        <f t="shared" si="1407"/>
        <v>4.1349999999999998</v>
      </c>
      <c r="AX217" s="23">
        <f>+'QTR Raw'!R66</f>
        <v>3.8730000000000002</v>
      </c>
      <c r="AY217" s="23">
        <f t="shared" si="1407"/>
        <v>3.8730000000000002</v>
      </c>
      <c r="AZ217" s="23">
        <f>+'QTR Raw'!T66</f>
        <v>3.8730000000000002</v>
      </c>
      <c r="BA217" s="23">
        <f t="shared" si="1407"/>
        <v>3.8730000000000002</v>
      </c>
      <c r="BB217" s="23">
        <f>+'QTR Raw'!V66</f>
        <v>3.9620000000000002</v>
      </c>
      <c r="BC217" s="23">
        <f t="shared" si="1407"/>
        <v>3.9620000000000002</v>
      </c>
      <c r="BD217" s="23">
        <f>+'QTR Raw'!X66</f>
        <v>0</v>
      </c>
      <c r="BE217" s="23">
        <f t="shared" si="1407"/>
        <v>0</v>
      </c>
      <c r="BF217" s="23">
        <f>+'QTR Raw'!Z66</f>
        <v>4.3479999999999999</v>
      </c>
      <c r="BG217" s="23">
        <f t="shared" si="1407"/>
        <v>4.3479999999999999</v>
      </c>
      <c r="BH217" s="23">
        <f>+'QTR Raw'!AB66</f>
        <v>4.9489999999999998</v>
      </c>
      <c r="BI217" s="23">
        <f t="shared" si="1407"/>
        <v>4.9489999999999998</v>
      </c>
      <c r="BJ217" s="23">
        <f>+'QTR Raw'!AD66</f>
        <v>5.0869999999999997</v>
      </c>
      <c r="BK217" s="23">
        <f t="shared" si="1407"/>
        <v>5.0869999999999997</v>
      </c>
      <c r="BL217" s="23">
        <f>+'QTR Raw'!AF66</f>
        <v>5.4939999999999998</v>
      </c>
      <c r="BM217" s="23">
        <f t="shared" si="1407"/>
        <v>5.4939999999999998</v>
      </c>
      <c r="BN217" s="23">
        <f>+'QTR Raw'!AH66</f>
        <v>5.7309999999999999</v>
      </c>
      <c r="BO217" s="23">
        <f t="shared" si="1407"/>
        <v>5.7309999999999999</v>
      </c>
      <c r="BP217" s="23">
        <f>+'QTR Raw'!AJ66</f>
        <v>6.1719999999999997</v>
      </c>
      <c r="BQ217" s="23">
        <f t="shared" si="1407"/>
        <v>6.1719999999999997</v>
      </c>
      <c r="BR217" s="23">
        <f>+'QTR Raw'!AL66</f>
        <v>5.7370000000000001</v>
      </c>
      <c r="BS217" s="23">
        <f t="shared" si="1407"/>
        <v>5.7370000000000001</v>
      </c>
      <c r="BT217" s="23">
        <f>+'QTR Raw'!AN66</f>
        <v>5.9820000000000002</v>
      </c>
      <c r="BU217" s="23">
        <f t="shared" si="1407"/>
        <v>5.9820000000000002</v>
      </c>
      <c r="BV217" s="23">
        <f>+'QTR Raw'!AP66</f>
        <v>5.36</v>
      </c>
      <c r="BW217" s="23">
        <f t="shared" si="1407"/>
        <v>5.36</v>
      </c>
      <c r="BX217" s="23">
        <f>+'QTR Raw'!AR66</f>
        <v>5.49</v>
      </c>
      <c r="BY217" s="23">
        <f t="shared" si="1407"/>
        <v>5.49</v>
      </c>
      <c r="BZ217" s="23">
        <f>+'QTR Raw'!AT66</f>
        <v>22.56</v>
      </c>
      <c r="CA217" s="23">
        <f t="shared" si="1407"/>
        <v>22.56</v>
      </c>
      <c r="CB217" s="23">
        <f>+'QTR Raw'!AV66</f>
        <v>23.16</v>
      </c>
      <c r="CC217" s="23">
        <f t="shared" si="1407"/>
        <v>23.16</v>
      </c>
      <c r="CD217" s="23">
        <f>+'QTR Raw'!AX66</f>
        <v>24.89</v>
      </c>
      <c r="CE217" s="23">
        <f t="shared" si="1407"/>
        <v>24.89</v>
      </c>
      <c r="CF217" s="23">
        <f>+'QTR Raw'!AZ66</f>
        <v>25.9</v>
      </c>
      <c r="CG217" s="23">
        <f t="shared" si="1408"/>
        <v>25.9</v>
      </c>
      <c r="CH217" s="23">
        <f t="shared" si="1361"/>
        <v>28.76</v>
      </c>
      <c r="CJ217" s="23">
        <f>+'QTR Raw'!BD66</f>
        <v>132.55000000000001</v>
      </c>
      <c r="CL217" s="23">
        <f>+'QTR Raw'!BF66</f>
        <v>120.28</v>
      </c>
      <c r="CM217" s="24"/>
      <c r="CN217" s="24"/>
      <c r="CO217" s="24"/>
      <c r="CP217" s="24"/>
      <c r="CQ217" s="24"/>
      <c r="CR217" s="24"/>
      <c r="CS217" s="24"/>
      <c r="CT217" s="24"/>
      <c r="CU217" s="24"/>
      <c r="CV217" s="24"/>
      <c r="CW217" s="24"/>
      <c r="CX217" s="24"/>
      <c r="CY217" s="24"/>
      <c r="CZ217" s="24"/>
      <c r="DA217" s="24"/>
      <c r="DB217" s="24"/>
      <c r="DE217" s="123"/>
      <c r="DF217" s="23">
        <v>120.28</v>
      </c>
    </row>
    <row r="218" spans="1:110" s="23" customFormat="1" outlineLevel="1" x14ac:dyDescent="0.2">
      <c r="A218" s="23" t="s">
        <v>69</v>
      </c>
      <c r="B218" s="23">
        <v>0</v>
      </c>
      <c r="C218" s="23">
        <v>0</v>
      </c>
      <c r="D218" s="23">
        <v>0</v>
      </c>
      <c r="E218" s="23">
        <v>0</v>
      </c>
      <c r="F218" s="23">
        <v>0</v>
      </c>
      <c r="G218" s="23">
        <v>0</v>
      </c>
      <c r="H218" s="23">
        <v>0</v>
      </c>
      <c r="I218" s="23">
        <v>0</v>
      </c>
      <c r="J218" s="23">
        <v>0</v>
      </c>
      <c r="K218" s="23">
        <v>0</v>
      </c>
      <c r="L218" s="23">
        <v>0</v>
      </c>
      <c r="M218" s="23">
        <v>0</v>
      </c>
      <c r="N218" s="23">
        <v>0</v>
      </c>
      <c r="O218" s="23">
        <v>0</v>
      </c>
      <c r="P218" s="23">
        <v>0</v>
      </c>
      <c r="Q218" s="23">
        <v>0</v>
      </c>
      <c r="R218" s="23">
        <v>0</v>
      </c>
      <c r="S218" s="23">
        <v>0</v>
      </c>
      <c r="T218" s="23">
        <v>0</v>
      </c>
      <c r="U218" s="23">
        <v>0</v>
      </c>
      <c r="V218" s="23">
        <v>0</v>
      </c>
      <c r="W218" s="23">
        <v>0</v>
      </c>
      <c r="X218" s="23">
        <v>0</v>
      </c>
      <c r="Y218" s="23">
        <v>0</v>
      </c>
      <c r="Z218" s="23">
        <v>0</v>
      </c>
      <c r="AA218" s="23">
        <v>0</v>
      </c>
      <c r="AB218" s="24">
        <f t="shared" si="1403"/>
        <v>4021.342377392953</v>
      </c>
      <c r="AC218" s="24">
        <f t="shared" si="1404"/>
        <v>5714.898322706721</v>
      </c>
      <c r="AD218" s="24">
        <f t="shared" si="1405"/>
        <v>6527.414707136144</v>
      </c>
      <c r="AE218" s="24">
        <f t="shared" si="1406"/>
        <v>7768.8980554397303</v>
      </c>
      <c r="AJ218" s="23">
        <f>+'QTR Raw'!D87</f>
        <v>405.47399999999999</v>
      </c>
      <c r="AK218" s="23">
        <f t="shared" si="1407"/>
        <v>405.47399999999999</v>
      </c>
      <c r="AL218" s="23">
        <f>+'QTR Raw'!F87</f>
        <v>0</v>
      </c>
      <c r="AM218" s="23">
        <f t="shared" si="1407"/>
        <v>0</v>
      </c>
      <c r="AN218" s="23">
        <f>+'QTR Raw'!H87</f>
        <v>0</v>
      </c>
      <c r="AO218" s="23">
        <f t="shared" si="1407"/>
        <v>0</v>
      </c>
      <c r="AP218" s="23">
        <f>+'QTR Raw'!J87</f>
        <v>0</v>
      </c>
      <c r="AQ218" s="23">
        <f t="shared" si="1407"/>
        <v>0</v>
      </c>
      <c r="AR218" s="23">
        <f>+'QTR Raw'!L87</f>
        <v>0</v>
      </c>
      <c r="AS218" s="23">
        <f t="shared" si="1407"/>
        <v>0</v>
      </c>
      <c r="AT218" s="23">
        <f>+'QTR Raw'!N87</f>
        <v>0</v>
      </c>
      <c r="AU218" s="23">
        <f t="shared" si="1407"/>
        <v>0</v>
      </c>
      <c r="AV218" s="23">
        <f>+'QTR Raw'!P87</f>
        <v>0</v>
      </c>
      <c r="AW218" s="23">
        <f t="shared" si="1407"/>
        <v>0</v>
      </c>
      <c r="AX218" s="23">
        <f>+'QTR Raw'!R87</f>
        <v>0</v>
      </c>
      <c r="AY218" s="23">
        <f t="shared" si="1407"/>
        <v>0</v>
      </c>
      <c r="AZ218" s="23">
        <f>+'QTR Raw'!T87</f>
        <v>0</v>
      </c>
      <c r="BA218" s="23">
        <f t="shared" si="1407"/>
        <v>0</v>
      </c>
      <c r="BB218" s="23">
        <f>+'QTR Raw'!V87</f>
        <v>0</v>
      </c>
      <c r="BC218" s="23">
        <f t="shared" si="1407"/>
        <v>0</v>
      </c>
      <c r="BD218" s="23">
        <f>+'QTR Raw'!X87</f>
        <v>0</v>
      </c>
      <c r="BE218" s="23">
        <f t="shared" si="1407"/>
        <v>0</v>
      </c>
      <c r="BF218" s="23">
        <f>+'QTR Raw'!Z87</f>
        <v>0</v>
      </c>
      <c r="BG218" s="23">
        <f t="shared" si="1407"/>
        <v>0</v>
      </c>
      <c r="BH218" s="23">
        <f>+'QTR Raw'!AB87</f>
        <v>0</v>
      </c>
      <c r="BI218" s="23">
        <f t="shared" si="1407"/>
        <v>0</v>
      </c>
      <c r="BJ218" s="23">
        <f>+'QTR Raw'!AD87</f>
        <v>0</v>
      </c>
      <c r="BK218" s="23">
        <f t="shared" si="1407"/>
        <v>0</v>
      </c>
      <c r="BL218" s="23">
        <f>+'QTR Raw'!AF87</f>
        <v>0</v>
      </c>
      <c r="BM218" s="23">
        <f t="shared" si="1407"/>
        <v>0</v>
      </c>
      <c r="BN218" s="23">
        <f>+'QTR Raw'!AH87</f>
        <v>0</v>
      </c>
      <c r="BO218" s="23">
        <f t="shared" si="1407"/>
        <v>0</v>
      </c>
      <c r="BP218" s="23">
        <f>+'QTR Raw'!AJ87</f>
        <v>0</v>
      </c>
      <c r="BQ218" s="23">
        <f t="shared" si="1407"/>
        <v>0</v>
      </c>
      <c r="BR218" s="23">
        <f>+'QTR Raw'!AL87</f>
        <v>0</v>
      </c>
      <c r="BS218" s="23">
        <f t="shared" si="1407"/>
        <v>0</v>
      </c>
      <c r="BT218" s="23">
        <f>+'QTR Raw'!AN87</f>
        <v>0</v>
      </c>
      <c r="BU218" s="23">
        <f t="shared" si="1407"/>
        <v>0</v>
      </c>
      <c r="BV218" s="23">
        <f>+'QTR Raw'!AP87</f>
        <v>0</v>
      </c>
      <c r="BW218" s="23">
        <f t="shared" si="1407"/>
        <v>0</v>
      </c>
      <c r="BX218" s="23">
        <f>+'QTR Raw'!AR87</f>
        <v>0</v>
      </c>
      <c r="BY218" s="23">
        <f t="shared" si="1407"/>
        <v>0</v>
      </c>
      <c r="BZ218" s="23">
        <f>+'QTR Raw'!AT87</f>
        <v>0</v>
      </c>
      <c r="CA218" s="23">
        <f t="shared" si="1407"/>
        <v>0</v>
      </c>
      <c r="CB218" s="23">
        <f>+'QTR Raw'!AV87</f>
        <v>0</v>
      </c>
      <c r="CC218" s="23">
        <f t="shared" si="1407"/>
        <v>0</v>
      </c>
      <c r="CD218" s="23">
        <f>+'QTR Raw'!AX87</f>
        <v>0</v>
      </c>
      <c r="CE218" s="23">
        <f t="shared" si="1407"/>
        <v>0</v>
      </c>
      <c r="CF218" s="23">
        <f>+'QTR Raw'!AZ87</f>
        <v>0</v>
      </c>
      <c r="CG218" s="23">
        <f t="shared" si="1408"/>
        <v>0</v>
      </c>
      <c r="CH218" s="23">
        <f t="shared" si="1361"/>
        <v>0</v>
      </c>
      <c r="CI218" s="23">
        <f>CI74/90*CI250</f>
        <v>3837.8007689600263</v>
      </c>
      <c r="CJ218" s="23">
        <f>+'QTR Raw'!BD87</f>
        <v>0</v>
      </c>
      <c r="CK218" s="23">
        <f t="shared" ref="CK218:DB218" si="1409">CK74/90*CK250</f>
        <v>3755.0600784915164</v>
      </c>
      <c r="CL218" s="23">
        <f>+'QTR Raw'!BF87</f>
        <v>0</v>
      </c>
      <c r="CM218" s="24">
        <f t="shared" si="1409"/>
        <v>3830.6036634663019</v>
      </c>
      <c r="CN218" s="24">
        <f t="shared" si="1409"/>
        <v>3565.5918034060087</v>
      </c>
      <c r="CO218" s="24">
        <f t="shared" si="1409"/>
        <v>3712.1052556624677</v>
      </c>
      <c r="CP218" s="24">
        <f t="shared" si="1409"/>
        <v>4021.342377392953</v>
      </c>
      <c r="CQ218" s="24">
        <f t="shared" si="1409"/>
        <v>4965.7148535924207</v>
      </c>
      <c r="CR218" s="24">
        <f t="shared" si="1409"/>
        <v>4871.1795945223766</v>
      </c>
      <c r="CS218" s="24">
        <f t="shared" si="1409"/>
        <v>5438.2412051959636</v>
      </c>
      <c r="CT218" s="24">
        <f t="shared" si="1409"/>
        <v>5714.898322706721</v>
      </c>
      <c r="CU218" s="24">
        <f t="shared" si="1409"/>
        <v>5727.5562921644041</v>
      </c>
      <c r="CV218" s="24">
        <f t="shared" si="1409"/>
        <v>5389.1159811370671</v>
      </c>
      <c r="CW218" s="24">
        <f t="shared" si="1409"/>
        <v>6125.4284417254521</v>
      </c>
      <c r="CX218" s="24">
        <f t="shared" si="1409"/>
        <v>6527.414707136144</v>
      </c>
      <c r="CY218" s="24">
        <f t="shared" si="1409"/>
        <v>6896.8570921796681</v>
      </c>
      <c r="CZ218" s="24">
        <f t="shared" si="1409"/>
        <v>6558.6815375760789</v>
      </c>
      <c r="DA218" s="24">
        <f t="shared" si="1409"/>
        <v>7344.1649103077498</v>
      </c>
      <c r="DB218" s="24">
        <f t="shared" si="1409"/>
        <v>7768.8980554397303</v>
      </c>
      <c r="DE218" s="123"/>
      <c r="DF218" s="23">
        <v>0</v>
      </c>
    </row>
    <row r="219" spans="1:110" s="23" customFormat="1" outlineLevel="1" x14ac:dyDescent="0.2">
      <c r="A219" s="23" t="s">
        <v>70</v>
      </c>
      <c r="B219" s="23">
        <f>'Annual Raw'!C54</f>
        <v>15.784700000000001</v>
      </c>
      <c r="C219" s="23">
        <f>'Annual Raw'!D54</f>
        <v>23.4971</v>
      </c>
      <c r="D219" s="23">
        <f>'Annual Raw'!E54</f>
        <v>12.744999999999999</v>
      </c>
      <c r="E219" s="23">
        <f>'Annual Raw'!F54</f>
        <v>19.428799999999999</v>
      </c>
      <c r="F219" s="23">
        <f>'Annual Raw'!G54</f>
        <v>4.7138999999999998</v>
      </c>
      <c r="G219" s="23">
        <f>'Annual Raw'!H54</f>
        <v>85.248000000000005</v>
      </c>
      <c r="H219" s="23">
        <f>'Annual Raw'!I54</f>
        <v>72.0398</v>
      </c>
      <c r="I219" s="23">
        <f>'Annual Raw'!J54</f>
        <v>107.32989999999999</v>
      </c>
      <c r="J219" s="23">
        <f>'Annual Raw'!K54</f>
        <v>245.78569999999999</v>
      </c>
      <c r="K219" s="23">
        <f>'Annual Raw'!L54</f>
        <v>214.97</v>
      </c>
      <c r="L219" s="23">
        <f>'Annual Raw'!M54</f>
        <v>286.48250000000002</v>
      </c>
      <c r="M219" s="23">
        <f>'Annual Raw'!N54</f>
        <v>325.459</v>
      </c>
      <c r="N219" s="23">
        <f>'Annual Raw'!O54</f>
        <v>223.7311</v>
      </c>
      <c r="O219" s="23">
        <f>'Annual Raw'!P54</f>
        <v>122.747</v>
      </c>
      <c r="P219" s="23">
        <f>'Annual Raw'!Q54</f>
        <v>64.572699999999998</v>
      </c>
      <c r="Q219" s="23">
        <f>'Annual Raw'!R54</f>
        <v>64.067099999999996</v>
      </c>
      <c r="R219" s="23">
        <f>'Annual Raw'!S54</f>
        <v>59.886200000000002</v>
      </c>
      <c r="S219" s="23">
        <f>'Annual Raw'!T54</f>
        <v>67.603300000000004</v>
      </c>
      <c r="T219" s="23">
        <f>'Annual Raw'!U54</f>
        <v>64.027299999999997</v>
      </c>
      <c r="U219" s="23">
        <f>'Annual Raw'!V54</f>
        <v>61.123800000000003</v>
      </c>
      <c r="V219" s="23">
        <f>'Annual Raw'!W54</f>
        <v>35.252200000000002</v>
      </c>
      <c r="W219" s="23">
        <f>'Annual Raw'!X54</f>
        <v>15.18</v>
      </c>
      <c r="X219" s="23">
        <f>'Annual Raw'!Y54</f>
        <v>74.53</v>
      </c>
      <c r="Y219" s="23">
        <f>'Annual Raw'!Z54</f>
        <v>395.08</v>
      </c>
      <c r="Z219" s="23">
        <f>'Annual Raw'!AA54</f>
        <v>108.03</v>
      </c>
      <c r="AA219" s="23">
        <f>'Annual Raw'!AB54</f>
        <v>2664.23</v>
      </c>
      <c r="AB219" s="24">
        <f t="shared" si="1403"/>
        <v>2589.4272163986611</v>
      </c>
      <c r="AC219" s="24">
        <f t="shared" si="1404"/>
        <v>3679.9436275211233</v>
      </c>
      <c r="AD219" s="24">
        <f t="shared" si="1405"/>
        <v>4203.1400734241915</v>
      </c>
      <c r="AE219" s="24">
        <f t="shared" si="1406"/>
        <v>5002.5573995577497</v>
      </c>
      <c r="AJ219" s="23">
        <f>+'QTR Raw'!D89</f>
        <v>0</v>
      </c>
      <c r="AK219" s="23">
        <f>+AK249*AK74/90</f>
        <v>0</v>
      </c>
      <c r="AL219" s="23">
        <f>+'QTR Raw'!F89</f>
        <v>223.73099999999999</v>
      </c>
      <c r="AM219" s="23">
        <f>+AM249*AM74/90</f>
        <v>121.43806180752497</v>
      </c>
      <c r="AN219" s="23">
        <f>+'QTR Raw'!H89</f>
        <v>277.41500000000002</v>
      </c>
      <c r="AO219" s="23">
        <f>+AO249*AO74/90</f>
        <v>307.66546084821664</v>
      </c>
      <c r="AP219" s="23">
        <f>+'QTR Raw'!J89</f>
        <v>122.747</v>
      </c>
      <c r="AQ219" s="23">
        <f>+AQ249*AQ74/90</f>
        <v>108.48648062428626</v>
      </c>
      <c r="AR219" s="23">
        <f>+'QTR Raw'!L89</f>
        <v>351.65</v>
      </c>
      <c r="AS219" s="23">
        <f>+AS249*AS74/90</f>
        <v>185.38905793410362</v>
      </c>
      <c r="AT219" s="23">
        <f>+'QTR Raw'!N89</f>
        <v>64.572999999999993</v>
      </c>
      <c r="AU219" s="23">
        <f>+AU249*AU74/90</f>
        <v>68.458422780534136</v>
      </c>
      <c r="AV219" s="23">
        <f>+'QTR Raw'!P89</f>
        <v>105.65600000000001</v>
      </c>
      <c r="AW219" s="23">
        <f>+AW249*AW74/90</f>
        <v>107.26872058073378</v>
      </c>
      <c r="AX219" s="23">
        <f>+'QTR Raw'!R89</f>
        <v>64.066999999999993</v>
      </c>
      <c r="AY219" s="23">
        <f>+AY249*AY74/90</f>
        <v>71.943581067341341</v>
      </c>
      <c r="AZ219" s="23">
        <f>+'QTR Raw'!T89</f>
        <v>76.995000000000005</v>
      </c>
      <c r="BA219" s="23">
        <f>+BA249*BA74/90</f>
        <v>96.927149616206037</v>
      </c>
      <c r="BB219" s="23">
        <f>+'QTR Raw'!V89</f>
        <v>59.886000000000003</v>
      </c>
      <c r="BC219" s="23">
        <f>+BC249*BC74/90</f>
        <v>70.651510098507288</v>
      </c>
      <c r="BD219" s="23">
        <f>+'QTR Raw'!X89</f>
        <v>62.78</v>
      </c>
      <c r="BE219" s="23">
        <f>+BE249*BE74/90</f>
        <v>98.402308710408704</v>
      </c>
      <c r="BF219" s="23">
        <f>+'QTR Raw'!Z89</f>
        <v>67.602999999999994</v>
      </c>
      <c r="BG219" s="23">
        <f>+BG249*BG74/90</f>
        <v>83.315144892197111</v>
      </c>
      <c r="BH219" s="23">
        <f>+'QTR Raw'!AB89</f>
        <v>63.906999999999996</v>
      </c>
      <c r="BI219" s="23">
        <f>+BI249*BI74/90</f>
        <v>68.375482218203729</v>
      </c>
      <c r="BJ219" s="23">
        <f>+'QTR Raw'!AD89</f>
        <v>64.027000000000001</v>
      </c>
      <c r="BK219" s="23">
        <f>+BK249*BK74/90</f>
        <v>62.084779423830433</v>
      </c>
      <c r="BL219" s="23">
        <f>+'QTR Raw'!AF89</f>
        <v>67.989999999999995</v>
      </c>
      <c r="BM219" s="23">
        <f>+BM249*BM74/90</f>
        <v>102.3587436606731</v>
      </c>
      <c r="BN219" s="23">
        <f>+'QTR Raw'!AH89</f>
        <v>61.124000000000002</v>
      </c>
      <c r="BO219" s="23">
        <f>+BO249*BO74/90</f>
        <v>6.2366030369180772</v>
      </c>
      <c r="BP219" s="23">
        <f>+'QTR Raw'!AJ89</f>
        <v>57.6</v>
      </c>
      <c r="BQ219" s="23">
        <f>+BQ249*BQ74/90</f>
        <v>57.718795115332441</v>
      </c>
      <c r="BR219" s="23">
        <f>+'QTR Raw'!AL89</f>
        <v>35.252000000000002</v>
      </c>
      <c r="BS219" s="23">
        <f>+BS249*BS74/90</f>
        <v>35.420404220694003</v>
      </c>
      <c r="BT219" s="23">
        <f>+'QTR Raw'!AN89</f>
        <v>42.957999999999998</v>
      </c>
      <c r="BU219" s="23">
        <f>+BU249*BU74/90</f>
        <v>72.054851076555025</v>
      </c>
      <c r="BV219" s="23">
        <f>+'QTR Raw'!AP89</f>
        <v>15.18</v>
      </c>
      <c r="BW219" s="23">
        <f>+BW249*BW74/90</f>
        <v>38.389851445034665</v>
      </c>
      <c r="BX219" s="23">
        <f>+'QTR Raw'!AR89</f>
        <v>90.88</v>
      </c>
      <c r="BY219" s="23">
        <f>+BY249*BY74/90</f>
        <v>134.83356922346235</v>
      </c>
      <c r="BZ219" s="23">
        <f>+'QTR Raw'!AT89</f>
        <v>74.53</v>
      </c>
      <c r="CA219" s="23">
        <f>+CA249*CA74/90</f>
        <v>167.17855132667617</v>
      </c>
      <c r="CB219" s="23">
        <f>+'QTR Raw'!AV89</f>
        <v>89.4</v>
      </c>
      <c r="CC219" s="23">
        <f>+CC249*CC74/90</f>
        <v>156.65869093108284</v>
      </c>
      <c r="CD219" s="23">
        <f>+'QTR Raw'!AX89</f>
        <v>395.08</v>
      </c>
      <c r="CE219" s="23">
        <f>+CE249*CE74/90</f>
        <v>614.43049829825816</v>
      </c>
      <c r="CF219" s="23">
        <f>+'QTR Raw'!AZ89</f>
        <v>71.09</v>
      </c>
      <c r="CG219" s="23">
        <f>+CG249*CG74/90</f>
        <v>82.948154058327361</v>
      </c>
      <c r="CH219" s="23">
        <f t="shared" si="1361"/>
        <v>108.03</v>
      </c>
      <c r="CI219" s="23">
        <f>+CI249*CI74/90</f>
        <v>215.78116617782612</v>
      </c>
      <c r="CJ219" s="23">
        <f>+'QTR Raw'!BD89</f>
        <v>1223.4000000000001</v>
      </c>
      <c r="CK219" s="23">
        <f t="shared" ref="CK219:DB219" si="1410">+CK249*CK74/90</f>
        <v>1694.7307357552688</v>
      </c>
      <c r="CL219" s="23">
        <f>+'QTR Raw'!BF89</f>
        <v>2664.23</v>
      </c>
      <c r="CM219" s="24">
        <f t="shared" si="1410"/>
        <v>2466.60653347468</v>
      </c>
      <c r="CN219" s="24">
        <f t="shared" si="1410"/>
        <v>2295.9598044206268</v>
      </c>
      <c r="CO219" s="24">
        <f t="shared" si="1410"/>
        <v>2390.3029081001891</v>
      </c>
      <c r="CP219" s="24">
        <f t="shared" si="1410"/>
        <v>2589.4272163986611</v>
      </c>
      <c r="CQ219" s="24">
        <f t="shared" si="1410"/>
        <v>3197.5285822599908</v>
      </c>
      <c r="CR219" s="24">
        <f t="shared" si="1410"/>
        <v>3136.6553340328724</v>
      </c>
      <c r="CS219" s="24">
        <f t="shared" si="1410"/>
        <v>3501.7982714529362</v>
      </c>
      <c r="CT219" s="24">
        <f t="shared" si="1410"/>
        <v>3679.9436275211233</v>
      </c>
      <c r="CU219" s="24">
        <f t="shared" si="1410"/>
        <v>3688.0943611672647</v>
      </c>
      <c r="CV219" s="24">
        <f t="shared" si="1410"/>
        <v>3470.165503025928</v>
      </c>
      <c r="CW219" s="24">
        <f t="shared" si="1410"/>
        <v>3944.2926342892702</v>
      </c>
      <c r="CX219" s="24">
        <f t="shared" si="1410"/>
        <v>4203.1400734241915</v>
      </c>
      <c r="CY219" s="24">
        <f t="shared" si="1410"/>
        <v>4441.0318212397879</v>
      </c>
      <c r="CZ219" s="24">
        <f t="shared" si="1410"/>
        <v>4223.2734453466737</v>
      </c>
      <c r="DA219" s="24">
        <f t="shared" si="1410"/>
        <v>4729.0627645586874</v>
      </c>
      <c r="DB219" s="24">
        <f t="shared" si="1410"/>
        <v>5002.5573995577497</v>
      </c>
      <c r="DE219" s="123"/>
      <c r="DF219" s="23">
        <v>2664.23</v>
      </c>
    </row>
    <row r="220" spans="1:110" s="23" customFormat="1" outlineLevel="1" x14ac:dyDescent="0.2">
      <c r="A220" s="23" t="s">
        <v>71</v>
      </c>
      <c r="B220" s="23">
        <f>'Annual Raw'!C55-Template!B192</f>
        <v>10.4268</v>
      </c>
      <c r="C220" s="23">
        <f>'Annual Raw'!D55-Template!C192</f>
        <v>15.927300000000001</v>
      </c>
      <c r="D220" s="23">
        <f>'Annual Raw'!E55-Template!D192</f>
        <v>13.220599999999999</v>
      </c>
      <c r="E220" s="23">
        <f>'Annual Raw'!F55-Template!E192</f>
        <v>17.398099999999999</v>
      </c>
      <c r="F220" s="23">
        <f>'Annual Raw'!G55-Template!F192</f>
        <v>18.198699999999999</v>
      </c>
      <c r="G220" s="23">
        <f>'Annual Raw'!H55-Template!G192</f>
        <v>32.614800000000002</v>
      </c>
      <c r="H220" s="23">
        <f>'Annual Raw'!I55-Template!H192</f>
        <v>85.7273</v>
      </c>
      <c r="I220" s="23">
        <f>'Annual Raw'!J55-Template!I192</f>
        <v>64.923299999999998</v>
      </c>
      <c r="J220" s="23">
        <f>'Annual Raw'!K55-Template!J192</f>
        <v>62.319600000000001</v>
      </c>
      <c r="K220" s="23">
        <f>'Annual Raw'!L55-Template!K192</f>
        <v>81.376099999999994</v>
      </c>
      <c r="L220" s="23">
        <f>'Annual Raw'!M55-Template!L192</f>
        <v>64.300699999999992</v>
      </c>
      <c r="M220" s="23">
        <f>'Annual Raw'!N55-Template!M192</f>
        <v>66.779399999999995</v>
      </c>
      <c r="N220" s="23">
        <f>'Annual Raw'!O55-Template!N192</f>
        <v>79.252099999999999</v>
      </c>
      <c r="O220" s="23">
        <f>'Annual Raw'!P55-Template!O192</f>
        <v>53.729299999999995</v>
      </c>
      <c r="P220" s="23">
        <f>'Annual Raw'!Q55-Template!P192</f>
        <v>4.2428000000000008</v>
      </c>
      <c r="Q220" s="23">
        <f>'Annual Raw'!R55-Template!Q192</f>
        <v>4.7397</v>
      </c>
      <c r="R220" s="23">
        <f>'Annual Raw'!S55-Template!R192</f>
        <v>11.9726</v>
      </c>
      <c r="S220" s="23">
        <f>'Annual Raw'!T55-Template!S192</f>
        <v>4.9854000000000003</v>
      </c>
      <c r="T220" s="23">
        <f>'Annual Raw'!U55-Template!T192</f>
        <v>7.7890000000000006</v>
      </c>
      <c r="U220" s="23">
        <f>'Annual Raw'!V55-Template!U192</f>
        <v>17.668500000000002</v>
      </c>
      <c r="V220" s="23">
        <f>'Annual Raw'!W55-Template!V192</f>
        <v>30.157699999999991</v>
      </c>
      <c r="W220" s="23">
        <f>'Annual Raw'!X55-Template!W192</f>
        <v>50.399999999999991</v>
      </c>
      <c r="X220" s="23">
        <f>'Annual Raw'!Y55-Template!X192</f>
        <v>384.11</v>
      </c>
      <c r="Y220" s="23">
        <f>'Annual Raw'!Z55-Template!Y192</f>
        <v>312.08999999999997</v>
      </c>
      <c r="Z220" s="23">
        <f>'Annual Raw'!AA55-Template!Z192</f>
        <v>1131.6099999999999</v>
      </c>
      <c r="AA220" s="23">
        <f>'Annual Raw'!AB55-Template!AA192</f>
        <v>2691.79</v>
      </c>
      <c r="AB220" s="24">
        <f t="shared" si="1403"/>
        <v>0</v>
      </c>
      <c r="AC220" s="24">
        <f t="shared" si="1404"/>
        <v>0</v>
      </c>
      <c r="AD220" s="24">
        <f t="shared" si="1405"/>
        <v>0</v>
      </c>
      <c r="AE220" s="24">
        <f t="shared" si="1406"/>
        <v>0</v>
      </c>
      <c r="AJ220" s="23">
        <f>+'QTR Raw'!D91</f>
        <v>0</v>
      </c>
      <c r="AK220" s="23">
        <f t="shared" si="1407"/>
        <v>0</v>
      </c>
      <c r="AL220" s="23">
        <f>+'QTR Raw'!F91</f>
        <v>84.891999999999996</v>
      </c>
      <c r="AM220" s="23">
        <f t="shared" si="1407"/>
        <v>84.891999999999996</v>
      </c>
      <c r="AN220" s="23">
        <f>+'QTR Raw'!H91</f>
        <v>85.016999999999996</v>
      </c>
      <c r="AO220" s="23">
        <f t="shared" si="1407"/>
        <v>85.016999999999996</v>
      </c>
      <c r="AP220" s="23">
        <f>+'QTR Raw'!J91</f>
        <v>59.475999999999999</v>
      </c>
      <c r="AQ220" s="23">
        <f t="shared" si="1407"/>
        <v>59.475999999999999</v>
      </c>
      <c r="AR220" s="23">
        <f>+'QTR Raw'!L91</f>
        <v>81.001999999999995</v>
      </c>
      <c r="AS220" s="23">
        <f t="shared" si="1407"/>
        <v>81.001999999999995</v>
      </c>
      <c r="AT220" s="23">
        <f>+'QTR Raw'!N91</f>
        <v>9.6050000000000004</v>
      </c>
      <c r="AU220" s="23">
        <f t="shared" si="1407"/>
        <v>9.6050000000000004</v>
      </c>
      <c r="AV220" s="23">
        <f>+'QTR Raw'!P91</f>
        <v>11.222</v>
      </c>
      <c r="AW220" s="23">
        <f t="shared" si="1407"/>
        <v>11.222</v>
      </c>
      <c r="AX220" s="23">
        <f>+'QTR Raw'!R91</f>
        <v>4.95</v>
      </c>
      <c r="AY220" s="23">
        <f t="shared" si="1407"/>
        <v>4.95</v>
      </c>
      <c r="AZ220" s="23">
        <f>+'QTR Raw'!T91</f>
        <v>7.8570000000000002</v>
      </c>
      <c r="BA220" s="23">
        <f t="shared" si="1407"/>
        <v>7.8570000000000002</v>
      </c>
      <c r="BB220" s="23">
        <f>+'QTR Raw'!V91</f>
        <v>13.87</v>
      </c>
      <c r="BC220" s="23">
        <f t="shared" si="1407"/>
        <v>13.87</v>
      </c>
      <c r="BD220" s="23">
        <f>+'QTR Raw'!X91</f>
        <v>18.57</v>
      </c>
      <c r="BE220" s="23">
        <f t="shared" si="1407"/>
        <v>18.57</v>
      </c>
      <c r="BF220" s="23">
        <f>+'QTR Raw'!Z91</f>
        <v>5.3079999999999998</v>
      </c>
      <c r="BG220" s="23">
        <f t="shared" si="1407"/>
        <v>5.3079999999999998</v>
      </c>
      <c r="BH220" s="23">
        <f>+'QTR Raw'!AB91</f>
        <v>15.157999999999999</v>
      </c>
      <c r="BI220" s="23">
        <f t="shared" si="1407"/>
        <v>15.157999999999999</v>
      </c>
      <c r="BJ220" s="23">
        <f>+'QTR Raw'!AD91</f>
        <v>15.007999999999999</v>
      </c>
      <c r="BK220" s="23">
        <f t="shared" si="1407"/>
        <v>15.007999999999999</v>
      </c>
      <c r="BL220" s="23">
        <f>+'QTR Raw'!AF91</f>
        <v>23.466999999999999</v>
      </c>
      <c r="BM220" s="23">
        <f t="shared" si="1407"/>
        <v>23.466999999999999</v>
      </c>
      <c r="BN220" s="23">
        <f>+'QTR Raw'!AH91</f>
        <v>39.356000000000002</v>
      </c>
      <c r="BO220" s="23">
        <f t="shared" si="1407"/>
        <v>39.356000000000002</v>
      </c>
      <c r="BP220" s="23">
        <f>+'QTR Raw'!AJ91</f>
        <v>45.634999999999998</v>
      </c>
      <c r="BQ220" s="23">
        <f t="shared" si="1407"/>
        <v>45.634999999999998</v>
      </c>
      <c r="BR220" s="23">
        <f>+'QTR Raw'!AL91</f>
        <v>101.15</v>
      </c>
      <c r="BS220" s="23">
        <f t="shared" si="1407"/>
        <v>101.15</v>
      </c>
      <c r="BT220" s="23">
        <f>+'QTR Raw'!AN91</f>
        <v>38.656999999999996</v>
      </c>
      <c r="BU220" s="23">
        <f t="shared" si="1407"/>
        <v>38.656999999999996</v>
      </c>
      <c r="BV220" s="23">
        <f>+'QTR Raw'!AP91</f>
        <v>89.09</v>
      </c>
      <c r="BW220" s="23">
        <f t="shared" si="1407"/>
        <v>89.09</v>
      </c>
      <c r="BX220" s="23">
        <f>+'QTR Raw'!AR91</f>
        <v>944.9</v>
      </c>
      <c r="BY220" s="23">
        <f t="shared" si="1407"/>
        <v>944.9</v>
      </c>
      <c r="BZ220" s="23">
        <f>+'QTR Raw'!AT91</f>
        <v>385.67</v>
      </c>
      <c r="CA220" s="23">
        <f t="shared" si="1407"/>
        <v>385.67</v>
      </c>
      <c r="CB220" s="23">
        <f>+'QTR Raw'!AV91</f>
        <v>535.19000000000005</v>
      </c>
      <c r="CC220" s="23">
        <f t="shared" si="1407"/>
        <v>535.19000000000005</v>
      </c>
      <c r="CD220" s="23">
        <f>+'QTR Raw'!AX91</f>
        <v>571.87</v>
      </c>
      <c r="CE220" s="23">
        <f t="shared" si="1407"/>
        <v>571.87</v>
      </c>
      <c r="CF220" s="23">
        <f>+'QTR Raw'!AZ91</f>
        <v>1108.75</v>
      </c>
      <c r="CG220" s="23">
        <f t="shared" ref="CG220:CG221" si="1411">+CF220</f>
        <v>1108.75</v>
      </c>
      <c r="CH220" s="23">
        <f t="shared" si="1361"/>
        <v>1131.6099999999999</v>
      </c>
      <c r="CJ220" s="23">
        <f>+'QTR Raw'!BD91</f>
        <v>2257.1999999999998</v>
      </c>
      <c r="CL220" s="23">
        <f>+'QTR Raw'!BF91</f>
        <v>2833.46</v>
      </c>
      <c r="CM220" s="24"/>
      <c r="CN220" s="24"/>
      <c r="CO220" s="24"/>
      <c r="CP220" s="24"/>
      <c r="CQ220" s="24"/>
      <c r="CR220" s="24"/>
      <c r="CS220" s="24"/>
      <c r="CT220" s="24"/>
      <c r="CU220" s="24"/>
      <c r="CV220" s="24"/>
      <c r="CW220" s="24"/>
      <c r="CX220" s="24"/>
      <c r="CY220" s="24"/>
      <c r="CZ220" s="24"/>
      <c r="DA220" s="24"/>
      <c r="DB220" s="24"/>
      <c r="DE220" s="123"/>
      <c r="DF220" s="23">
        <v>2691.79</v>
      </c>
    </row>
    <row r="221" spans="1:110" s="23" customFormat="1" outlineLevel="1" x14ac:dyDescent="0.2">
      <c r="A221" s="23" t="s">
        <v>72</v>
      </c>
      <c r="B221" s="23">
        <f>'Annual Raw'!C57</f>
        <v>1.2999999999999999E-3</v>
      </c>
      <c r="C221" s="23">
        <f>'Annual Raw'!D57</f>
        <v>1.2999999999999999E-3</v>
      </c>
      <c r="D221" s="23">
        <f>'Annual Raw'!E57</f>
        <v>0</v>
      </c>
      <c r="E221" s="23">
        <f>'Annual Raw'!F57</f>
        <v>0</v>
      </c>
      <c r="F221" s="23">
        <f>'Annual Raw'!G57</f>
        <v>0</v>
      </c>
      <c r="G221" s="23">
        <f>'Annual Raw'!H57</f>
        <v>0</v>
      </c>
      <c r="H221" s="23">
        <f>'Annual Raw'!I57</f>
        <v>1.1214</v>
      </c>
      <c r="I221" s="23">
        <f>'Annual Raw'!J57</f>
        <v>1.5953999999999999</v>
      </c>
      <c r="J221" s="23">
        <f>'Annual Raw'!K57</f>
        <v>2.4113000000000002</v>
      </c>
      <c r="K221" s="23">
        <f>'Annual Raw'!L57</f>
        <v>1.5820000000000001</v>
      </c>
      <c r="L221" s="23">
        <f>'Annual Raw'!M57</f>
        <v>0</v>
      </c>
      <c r="M221" s="23">
        <f>'Annual Raw'!N57</f>
        <v>0</v>
      </c>
      <c r="N221" s="23">
        <f>'Annual Raw'!O57</f>
        <v>0</v>
      </c>
      <c r="O221" s="23">
        <f>'Annual Raw'!P57</f>
        <v>0</v>
      </c>
      <c r="P221" s="23">
        <f>'Annual Raw'!Q57</f>
        <v>0</v>
      </c>
      <c r="Q221" s="23">
        <f>'Annual Raw'!R57</f>
        <v>0</v>
      </c>
      <c r="R221" s="23">
        <f>'Annual Raw'!S57</f>
        <v>2.0407999999999999</v>
      </c>
      <c r="S221" s="23">
        <f>'Annual Raw'!T57</f>
        <v>2.2383999999999999</v>
      </c>
      <c r="T221" s="23">
        <f>'Annual Raw'!U57</f>
        <v>8.2782</v>
      </c>
      <c r="U221" s="23">
        <f>'Annual Raw'!V57</f>
        <v>14.375999999999999</v>
      </c>
      <c r="V221" s="23">
        <f>'Annual Raw'!W57</f>
        <v>10.3386</v>
      </c>
      <c r="W221" s="23">
        <f>'Annual Raw'!X57</f>
        <v>13.93</v>
      </c>
      <c r="X221" s="23">
        <f>'Annual Raw'!Y57</f>
        <v>12.12</v>
      </c>
      <c r="Y221" s="23">
        <f>'Annual Raw'!Z57</f>
        <v>278.77</v>
      </c>
      <c r="Z221" s="23">
        <f>'Annual Raw'!AA57</f>
        <v>725.09</v>
      </c>
      <c r="AA221" s="23">
        <f>'Annual Raw'!AB57</f>
        <v>1795.07</v>
      </c>
      <c r="AB221" s="24">
        <f t="shared" si="1403"/>
        <v>0</v>
      </c>
      <c r="AC221" s="24">
        <f t="shared" si="1404"/>
        <v>0</v>
      </c>
      <c r="AD221" s="24">
        <f t="shared" si="1405"/>
        <v>0</v>
      </c>
      <c r="AE221" s="24">
        <f t="shared" si="1406"/>
        <v>0</v>
      </c>
      <c r="AJ221" s="23">
        <f>+'QTR Raw'!D92</f>
        <v>0</v>
      </c>
      <c r="AK221" s="23">
        <f t="shared" si="1407"/>
        <v>0</v>
      </c>
      <c r="AL221" s="23">
        <f>+'QTR Raw'!F92</f>
        <v>0</v>
      </c>
      <c r="AM221" s="23">
        <f t="shared" si="1407"/>
        <v>0</v>
      </c>
      <c r="AN221" s="23">
        <f>+'QTR Raw'!H92</f>
        <v>0</v>
      </c>
      <c r="AO221" s="23">
        <f t="shared" si="1407"/>
        <v>0</v>
      </c>
      <c r="AP221" s="23">
        <f>+'QTR Raw'!J92</f>
        <v>0</v>
      </c>
      <c r="AQ221" s="23">
        <f t="shared" si="1407"/>
        <v>0</v>
      </c>
      <c r="AR221" s="23">
        <f>+'QTR Raw'!L92</f>
        <v>0</v>
      </c>
      <c r="AS221" s="23">
        <f t="shared" si="1407"/>
        <v>0</v>
      </c>
      <c r="AT221" s="23">
        <f>+'QTR Raw'!N92</f>
        <v>0</v>
      </c>
      <c r="AU221" s="23">
        <f t="shared" si="1407"/>
        <v>0</v>
      </c>
      <c r="AV221" s="23">
        <f>+'QTR Raw'!P92</f>
        <v>5.6130000000000004</v>
      </c>
      <c r="AW221" s="23">
        <f t="shared" si="1407"/>
        <v>5.6130000000000004</v>
      </c>
      <c r="AX221" s="23">
        <f>+'QTR Raw'!R92</f>
        <v>0</v>
      </c>
      <c r="AY221" s="23">
        <f t="shared" si="1407"/>
        <v>0</v>
      </c>
      <c r="AZ221" s="23">
        <f>+'QTR Raw'!T92</f>
        <v>0</v>
      </c>
      <c r="BA221" s="23">
        <f t="shared" si="1407"/>
        <v>0</v>
      </c>
      <c r="BB221" s="23">
        <f>+'QTR Raw'!V92</f>
        <v>0.14299999999999999</v>
      </c>
      <c r="BC221" s="23">
        <f t="shared" si="1407"/>
        <v>0.14299999999999999</v>
      </c>
      <c r="BD221" s="23">
        <f>+'QTR Raw'!X92</f>
        <v>0</v>
      </c>
      <c r="BE221" s="23">
        <f t="shared" si="1407"/>
        <v>0</v>
      </c>
      <c r="BF221" s="23">
        <f>+'QTR Raw'!Z92</f>
        <v>2.238</v>
      </c>
      <c r="BG221" s="23">
        <f t="shared" si="1407"/>
        <v>2.238</v>
      </c>
      <c r="BH221" s="23">
        <f>+'QTR Raw'!AB92</f>
        <v>6.0819999999999999</v>
      </c>
      <c r="BI221" s="23">
        <f t="shared" si="1407"/>
        <v>6.0819999999999999</v>
      </c>
      <c r="BJ221" s="23">
        <f>+'QTR Raw'!AD92</f>
        <v>8.2780000000000005</v>
      </c>
      <c r="BK221" s="23">
        <f t="shared" si="1407"/>
        <v>8.2780000000000005</v>
      </c>
      <c r="BL221" s="23">
        <f>+'QTR Raw'!AF92</f>
        <v>13.265000000000001</v>
      </c>
      <c r="BM221" s="23">
        <f t="shared" si="1407"/>
        <v>13.265000000000001</v>
      </c>
      <c r="BN221" s="23">
        <f>+'QTR Raw'!AH92</f>
        <v>14.375999999999999</v>
      </c>
      <c r="BO221" s="23">
        <f t="shared" si="1407"/>
        <v>14.375999999999999</v>
      </c>
      <c r="BP221" s="23">
        <f>+'QTR Raw'!AJ92</f>
        <v>13.225</v>
      </c>
      <c r="BQ221" s="23">
        <f t="shared" si="1407"/>
        <v>13.225</v>
      </c>
      <c r="BR221" s="23">
        <f>+'QTR Raw'!AL92</f>
        <v>10.339</v>
      </c>
      <c r="BS221" s="23">
        <f t="shared" si="1407"/>
        <v>10.339</v>
      </c>
      <c r="BT221" s="23">
        <f>+'QTR Raw'!AN92</f>
        <v>3.2930000000000001</v>
      </c>
      <c r="BU221" s="23">
        <f t="shared" si="1407"/>
        <v>3.2930000000000001</v>
      </c>
      <c r="BV221" s="23">
        <f>+'QTR Raw'!AP92</f>
        <v>13.93</v>
      </c>
      <c r="BW221" s="23">
        <f t="shared" si="1407"/>
        <v>13.93</v>
      </c>
      <c r="BX221" s="23">
        <f>+'QTR Raw'!AR92</f>
        <v>33.06</v>
      </c>
      <c r="BY221" s="23">
        <f t="shared" si="1407"/>
        <v>33.06</v>
      </c>
      <c r="BZ221" s="23">
        <f>+'QTR Raw'!AT92</f>
        <v>12.13</v>
      </c>
      <c r="CA221" s="23">
        <f t="shared" si="1407"/>
        <v>12.13</v>
      </c>
      <c r="CB221" s="23">
        <f>+'QTR Raw'!AV92</f>
        <v>22.06</v>
      </c>
      <c r="CC221" s="23">
        <f t="shared" si="1407"/>
        <v>22.06</v>
      </c>
      <c r="CD221" s="23">
        <f>+'QTR Raw'!AX92</f>
        <v>18.989999999999998</v>
      </c>
      <c r="CE221" s="23">
        <f t="shared" si="1407"/>
        <v>18.989999999999998</v>
      </c>
      <c r="CF221" s="23">
        <f>+'QTR Raw'!AZ92</f>
        <v>78.099999999999994</v>
      </c>
      <c r="CG221" s="23">
        <f t="shared" si="1411"/>
        <v>78.099999999999994</v>
      </c>
      <c r="CH221" s="23">
        <f t="shared" si="1361"/>
        <v>725.09</v>
      </c>
      <c r="CJ221" s="23">
        <f>+'QTR Raw'!BD92</f>
        <v>138.62</v>
      </c>
      <c r="CL221" s="23">
        <f>+'QTR Raw'!BF92</f>
        <v>69.09</v>
      </c>
      <c r="CM221" s="24"/>
      <c r="CN221" s="24"/>
      <c r="CO221" s="24"/>
      <c r="CP221" s="24"/>
      <c r="CQ221" s="24"/>
      <c r="CR221" s="24"/>
      <c r="CS221" s="24"/>
      <c r="CT221" s="24"/>
      <c r="CU221" s="24"/>
      <c r="CV221" s="24"/>
      <c r="CW221" s="24"/>
      <c r="CX221" s="24"/>
      <c r="CY221" s="24"/>
      <c r="CZ221" s="24"/>
      <c r="DA221" s="24"/>
      <c r="DB221" s="24"/>
      <c r="DE221" s="123"/>
      <c r="DF221" s="23">
        <v>1795.07</v>
      </c>
    </row>
    <row r="222" spans="1:110" s="22" customFormat="1" x14ac:dyDescent="0.2">
      <c r="A222" s="22" t="s">
        <v>73</v>
      </c>
      <c r="B222" s="22">
        <f>SUM(B215:B221)</f>
        <v>26.212800000000001</v>
      </c>
      <c r="C222" s="22">
        <f t="shared" ref="C222:V222" si="1412">SUM(C215:C221)</f>
        <v>39.425699999999999</v>
      </c>
      <c r="D222" s="22">
        <f t="shared" si="1412"/>
        <v>25.965599999999998</v>
      </c>
      <c r="E222" s="22">
        <f t="shared" si="1412"/>
        <v>36.826899999999995</v>
      </c>
      <c r="F222" s="22">
        <f t="shared" si="1412"/>
        <v>22.912599999999998</v>
      </c>
      <c r="G222" s="22">
        <f t="shared" si="1412"/>
        <v>117.86280000000001</v>
      </c>
      <c r="H222" s="22">
        <f t="shared" si="1412"/>
        <v>158.88849999999999</v>
      </c>
      <c r="I222" s="22">
        <f t="shared" si="1412"/>
        <v>173.8486</v>
      </c>
      <c r="J222" s="22">
        <f t="shared" si="1412"/>
        <v>310.51659999999998</v>
      </c>
      <c r="K222" s="22">
        <f t="shared" si="1412"/>
        <v>297.92809999999997</v>
      </c>
      <c r="L222" s="22">
        <f t="shared" si="1412"/>
        <v>353.22700000000003</v>
      </c>
      <c r="M222" s="22">
        <f t="shared" si="1412"/>
        <v>395.05439999999999</v>
      </c>
      <c r="N222" s="22">
        <f t="shared" si="1412"/>
        <v>306.17239999999998</v>
      </c>
      <c r="O222" s="22">
        <f t="shared" si="1412"/>
        <v>339.0231</v>
      </c>
      <c r="P222" s="22">
        <f t="shared" si="1412"/>
        <v>345.18289999999996</v>
      </c>
      <c r="Q222" s="22">
        <f t="shared" si="1412"/>
        <v>389.1</v>
      </c>
      <c r="R222" s="22">
        <f t="shared" si="1412"/>
        <v>409.0265</v>
      </c>
      <c r="S222" s="22">
        <f t="shared" si="1412"/>
        <v>442.18050000000005</v>
      </c>
      <c r="T222" s="22">
        <f t="shared" si="1412"/>
        <v>390.12809999999996</v>
      </c>
      <c r="U222" s="22">
        <f t="shared" si="1412"/>
        <v>377.12909999999999</v>
      </c>
      <c r="V222" s="22">
        <f t="shared" si="1412"/>
        <v>364.29680000000002</v>
      </c>
      <c r="W222" s="22">
        <f t="shared" ref="W222" si="1413">SUM(W215:W221)</f>
        <v>246.73000000000002</v>
      </c>
      <c r="X222" s="22">
        <f t="shared" ref="X222:Y222" si="1414">SUM(X215:X221)</f>
        <v>495.51</v>
      </c>
      <c r="Y222" s="22">
        <f t="shared" si="1414"/>
        <v>1040.27</v>
      </c>
      <c r="Z222" s="22">
        <f t="shared" ref="Z222:AA222" si="1415">SUM(Z215:Z221)</f>
        <v>2029.4099999999999</v>
      </c>
      <c r="AA222" s="22">
        <f t="shared" si="1415"/>
        <v>8386.0499999999993</v>
      </c>
      <c r="AB222" s="21">
        <f t="shared" ref="AB222:AD222" si="1416">SUM(AB215:AB221)</f>
        <v>6610.7695937916142</v>
      </c>
      <c r="AC222" s="21">
        <f t="shared" si="1416"/>
        <v>9394.8419502278448</v>
      </c>
      <c r="AD222" s="21">
        <f t="shared" si="1416"/>
        <v>10730.554780560335</v>
      </c>
      <c r="AE222" s="21">
        <f t="shared" ref="AE222" si="1417">SUM(AE215:AE221)</f>
        <v>12771.45545499748</v>
      </c>
      <c r="AJ222" s="22">
        <f t="shared" ref="AJ222" si="1418">SUM(AJ215:AJ221)</f>
        <v>408.68299999999999</v>
      </c>
      <c r="AK222" s="22">
        <f t="shared" ref="AK222" si="1419">SUM(AK215:AK221)</f>
        <v>408.68299999999999</v>
      </c>
      <c r="AL222" s="22">
        <f t="shared" ref="AL222:AM222" si="1420">SUM(AL215:AL221)</f>
        <v>311.81200000000001</v>
      </c>
      <c r="AM222" s="22">
        <f t="shared" si="1420"/>
        <v>209.51906180752496</v>
      </c>
      <c r="AN222" s="22">
        <f t="shared" ref="AN222:AO222" si="1421">SUM(AN215:AN221)</f>
        <v>365.75700000000001</v>
      </c>
      <c r="AO222" s="22">
        <f t="shared" si="1421"/>
        <v>396.00746084821662</v>
      </c>
      <c r="AP222" s="22">
        <f t="shared" ref="AP222:CE222" si="1422">SUM(AP215:AP221)</f>
        <v>344.76900000000001</v>
      </c>
      <c r="AQ222" s="22">
        <f t="shared" si="1422"/>
        <v>330.50848062428622</v>
      </c>
      <c r="AR222" s="22">
        <f t="shared" si="1422"/>
        <v>436.20299999999997</v>
      </c>
      <c r="AS222" s="22">
        <f t="shared" si="1422"/>
        <v>269.94205793410362</v>
      </c>
      <c r="AT222" s="22">
        <f t="shared" si="1422"/>
        <v>350.54500000000002</v>
      </c>
      <c r="AU222" s="22">
        <f t="shared" si="1422"/>
        <v>354.43042278053417</v>
      </c>
      <c r="AV222" s="22">
        <f t="shared" si="1422"/>
        <v>394.75799999999998</v>
      </c>
      <c r="AW222" s="22">
        <f t="shared" si="1422"/>
        <v>396.37072058073375</v>
      </c>
      <c r="AX222" s="22">
        <f t="shared" si="1422"/>
        <v>389.31</v>
      </c>
      <c r="AY222" s="22">
        <f t="shared" si="1422"/>
        <v>397.18658106734136</v>
      </c>
      <c r="AZ222" s="22">
        <f t="shared" si="1422"/>
        <v>409.029</v>
      </c>
      <c r="BA222" s="22">
        <f t="shared" si="1422"/>
        <v>428.961149616206</v>
      </c>
      <c r="BB222" s="22">
        <f t="shared" si="1422"/>
        <v>409.02600000000001</v>
      </c>
      <c r="BC222" s="22">
        <f t="shared" si="1422"/>
        <v>419.79151009850727</v>
      </c>
      <c r="BD222" s="22">
        <f t="shared" si="1422"/>
        <v>410.40899999999993</v>
      </c>
      <c r="BE222" s="22">
        <f t="shared" si="1422"/>
        <v>446.03130871040867</v>
      </c>
      <c r="BF222" s="22">
        <f t="shared" si="1422"/>
        <v>442.50200000000001</v>
      </c>
      <c r="BG222" s="22">
        <f t="shared" si="1422"/>
        <v>458.21414489219711</v>
      </c>
      <c r="BH222" s="22">
        <f t="shared" ref="BH222" si="1423">SUM(BH215:BH221)</f>
        <v>452.63</v>
      </c>
      <c r="BI222" s="22">
        <f t="shared" si="1422"/>
        <v>457.09848221820374</v>
      </c>
      <c r="BJ222" s="22">
        <f t="shared" si="1422"/>
        <v>397.34699999999998</v>
      </c>
      <c r="BK222" s="22">
        <f t="shared" si="1422"/>
        <v>395.4047794238304</v>
      </c>
      <c r="BL222" s="22">
        <f t="shared" si="1422"/>
        <v>374.00699999999995</v>
      </c>
      <c r="BM222" s="22">
        <f t="shared" si="1422"/>
        <v>408.37574366067304</v>
      </c>
      <c r="BN222" s="22">
        <f t="shared" si="1422"/>
        <v>398.81700000000001</v>
      </c>
      <c r="BO222" s="22">
        <f t="shared" si="1422"/>
        <v>343.92960303691808</v>
      </c>
      <c r="BP222" s="22">
        <f t="shared" si="1422"/>
        <v>381.28100000000006</v>
      </c>
      <c r="BQ222" s="22">
        <f t="shared" si="1422"/>
        <v>381.39979511533249</v>
      </c>
      <c r="BR222" s="22">
        <f t="shared" si="1422"/>
        <v>435.28900000000004</v>
      </c>
      <c r="BS222" s="22">
        <f t="shared" si="1422"/>
        <v>435.45740422069406</v>
      </c>
      <c r="BT222" s="22">
        <f t="shared" si="1422"/>
        <v>286.38</v>
      </c>
      <c r="BU222" s="22">
        <f t="shared" si="1422"/>
        <v>315.47685107655502</v>
      </c>
      <c r="BV222" s="22">
        <f t="shared" si="1422"/>
        <v>285.43</v>
      </c>
      <c r="BW222" s="22">
        <f t="shared" si="1422"/>
        <v>308.63985144503471</v>
      </c>
      <c r="BX222" s="22">
        <f t="shared" si="1422"/>
        <v>1088.4099999999999</v>
      </c>
      <c r="BY222" s="22">
        <f t="shared" si="1422"/>
        <v>1132.3635692234623</v>
      </c>
      <c r="BZ222" s="22">
        <f t="shared" si="1422"/>
        <v>497.08000000000004</v>
      </c>
      <c r="CA222" s="22">
        <f t="shared" si="1422"/>
        <v>589.72855132667621</v>
      </c>
      <c r="CB222" s="22">
        <f t="shared" si="1422"/>
        <v>685.83</v>
      </c>
      <c r="CC222" s="22">
        <f t="shared" si="1422"/>
        <v>753.08869093108285</v>
      </c>
      <c r="CD222" s="22">
        <f t="shared" si="1422"/>
        <v>1040.27</v>
      </c>
      <c r="CE222" s="22">
        <f t="shared" si="1422"/>
        <v>1259.6204982982583</v>
      </c>
      <c r="CF222" s="22">
        <f t="shared" ref="CF222:CG222" si="1424">SUM(CF215:CF221)</f>
        <v>1317.2399999999998</v>
      </c>
      <c r="CG222" s="22">
        <f t="shared" si="1424"/>
        <v>1329.0981540583273</v>
      </c>
      <c r="CH222" s="22">
        <f t="shared" ref="CH222:CI222" si="1425">SUM(CH215:CH221)</f>
        <v>2029.4099999999999</v>
      </c>
      <c r="CI222" s="22">
        <f t="shared" si="1425"/>
        <v>4053.5819351378523</v>
      </c>
      <c r="CJ222" s="22">
        <f t="shared" ref="CJ222:DB222" si="1426">SUM(CJ215:CJ221)</f>
        <v>3934.12</v>
      </c>
      <c r="CK222" s="22">
        <f t="shared" si="1426"/>
        <v>5449.790814246785</v>
      </c>
      <c r="CL222" s="22">
        <f t="shared" ref="CL222" si="1427">SUM(CL215:CL221)</f>
        <v>6801.74</v>
      </c>
      <c r="CM222" s="21">
        <f t="shared" si="1426"/>
        <v>6297.2101969409814</v>
      </c>
      <c r="CN222" s="21">
        <f t="shared" si="1426"/>
        <v>5861.5516078266355</v>
      </c>
      <c r="CO222" s="21">
        <f t="shared" si="1426"/>
        <v>6102.4081637626568</v>
      </c>
      <c r="CP222" s="21">
        <f t="shared" si="1426"/>
        <v>6610.7695937916142</v>
      </c>
      <c r="CQ222" s="21">
        <f t="shared" si="1426"/>
        <v>8163.2434358524115</v>
      </c>
      <c r="CR222" s="21">
        <f t="shared" si="1426"/>
        <v>8007.8349285552486</v>
      </c>
      <c r="CS222" s="21">
        <f t="shared" si="1426"/>
        <v>8940.0394766489007</v>
      </c>
      <c r="CT222" s="21">
        <f t="shared" si="1426"/>
        <v>9394.8419502278448</v>
      </c>
      <c r="CU222" s="21">
        <f t="shared" si="1426"/>
        <v>9415.6506533316679</v>
      </c>
      <c r="CV222" s="21">
        <f t="shared" si="1426"/>
        <v>8859.2814841629952</v>
      </c>
      <c r="CW222" s="21">
        <f t="shared" si="1426"/>
        <v>10069.721076014723</v>
      </c>
      <c r="CX222" s="21">
        <f t="shared" si="1426"/>
        <v>10730.554780560335</v>
      </c>
      <c r="CY222" s="21">
        <f t="shared" si="1426"/>
        <v>11337.888913419456</v>
      </c>
      <c r="CZ222" s="21">
        <f t="shared" si="1426"/>
        <v>10781.954982922753</v>
      </c>
      <c r="DA222" s="21">
        <f t="shared" si="1426"/>
        <v>12073.227674866437</v>
      </c>
      <c r="DB222" s="21">
        <f t="shared" si="1426"/>
        <v>12771.45545499748</v>
      </c>
      <c r="DE222" s="126"/>
      <c r="DF222" s="22">
        <v>8386.0499999999993</v>
      </c>
    </row>
    <row r="223" spans="1:110" s="22" customFormat="1" x14ac:dyDescent="0.2">
      <c r="A223" s="22" t="s">
        <v>74</v>
      </c>
      <c r="B223" s="22">
        <f>B214-B222</f>
        <v>59.857899999999987</v>
      </c>
      <c r="C223" s="22">
        <f t="shared" ref="C223:V223" si="1428">C214-C222</f>
        <v>64.492400000000004</v>
      </c>
      <c r="D223" s="22">
        <f t="shared" si="1428"/>
        <v>77.184500000000014</v>
      </c>
      <c r="E223" s="22">
        <f t="shared" si="1428"/>
        <v>72.100700000000003</v>
      </c>
      <c r="F223" s="22">
        <f t="shared" si="1428"/>
        <v>45.120400000000004</v>
      </c>
      <c r="G223" s="22">
        <f t="shared" si="1428"/>
        <v>-39.294300000000007</v>
      </c>
      <c r="H223" s="22">
        <f t="shared" si="1428"/>
        <v>-77.069099999999992</v>
      </c>
      <c r="I223" s="22">
        <f t="shared" si="1428"/>
        <v>-68.890600000000006</v>
      </c>
      <c r="J223" s="22">
        <f t="shared" si="1428"/>
        <v>-124.03009999999998</v>
      </c>
      <c r="K223" s="22">
        <f t="shared" si="1428"/>
        <v>-187.02719999999997</v>
      </c>
      <c r="L223" s="22">
        <f t="shared" si="1428"/>
        <v>-189.52000000000004</v>
      </c>
      <c r="M223" s="22">
        <f t="shared" si="1428"/>
        <v>-176.08389999999997</v>
      </c>
      <c r="N223" s="22">
        <f t="shared" si="1428"/>
        <v>-156.10879999999997</v>
      </c>
      <c r="O223" s="22">
        <f t="shared" si="1428"/>
        <v>-186.1388</v>
      </c>
      <c r="P223" s="22">
        <f t="shared" si="1428"/>
        <v>-202.32429999999994</v>
      </c>
      <c r="Q223" s="22">
        <f t="shared" si="1428"/>
        <v>-233.36080000000001</v>
      </c>
      <c r="R223" s="22">
        <f t="shared" si="1428"/>
        <v>-242.98089999999999</v>
      </c>
      <c r="S223" s="22">
        <f t="shared" si="1428"/>
        <v>-264.55360000000007</v>
      </c>
      <c r="T223" s="22">
        <f t="shared" si="1428"/>
        <v>-202.19479999999999</v>
      </c>
      <c r="U223" s="22">
        <f t="shared" si="1428"/>
        <v>-188.7784</v>
      </c>
      <c r="V223" s="22">
        <f t="shared" si="1428"/>
        <v>-117.33420000000004</v>
      </c>
      <c r="W223" s="22">
        <f t="shared" ref="W223" si="1429">W214-W222</f>
        <v>41.210000000000036</v>
      </c>
      <c r="X223" s="22">
        <f t="shared" ref="X223:Y223" si="1430">X214-X222</f>
        <v>261.52999999999997</v>
      </c>
      <c r="Y223" s="22">
        <f t="shared" si="1430"/>
        <v>78.180000000000064</v>
      </c>
      <c r="Z223" s="22">
        <f t="shared" ref="Z223:AA223" si="1431">Z214-Z222</f>
        <v>795.71000000000049</v>
      </c>
      <c r="AA223" s="22">
        <f t="shared" si="1431"/>
        <v>4364.5700000000015</v>
      </c>
      <c r="AB223" s="21">
        <f t="shared" ref="AB223:AD223" si="1432">AB214-AB222</f>
        <v>7544.535186057612</v>
      </c>
      <c r="AC223" s="21">
        <f t="shared" si="1432"/>
        <v>12107.636046939293</v>
      </c>
      <c r="AD223" s="21">
        <f t="shared" si="1432"/>
        <v>13829.040717562915</v>
      </c>
      <c r="AE223" s="21">
        <f t="shared" ref="AE223" si="1433">AE214-AE222</f>
        <v>16459.258735593394</v>
      </c>
      <c r="AJ223" s="22">
        <f t="shared" ref="AJ223" si="1434">AJ214-AJ222</f>
        <v>-166.071</v>
      </c>
      <c r="AK223" s="22">
        <f t="shared" ref="AK223" si="1435">AK214-AK222</f>
        <v>-157.53937473574561</v>
      </c>
      <c r="AL223" s="22">
        <f t="shared" ref="AL223:AM223" si="1436">AL214-AL222</f>
        <v>-161.38700000000003</v>
      </c>
      <c r="AM223" s="22">
        <f t="shared" si="1436"/>
        <v>-90.041960848660295</v>
      </c>
      <c r="AN223" s="22">
        <f t="shared" ref="AN223:AO223" si="1437">AN214-AN222</f>
        <v>-178.28399999999999</v>
      </c>
      <c r="AO223" s="22">
        <f t="shared" si="1437"/>
        <v>-199.36407259807399</v>
      </c>
      <c r="AP223" s="22">
        <f t="shared" ref="AP223:CE223" si="1438">AP214-AP222</f>
        <v>-191.88499999999999</v>
      </c>
      <c r="AQ223" s="22">
        <f t="shared" si="1438"/>
        <v>-185.76171442710313</v>
      </c>
      <c r="AR223" s="22">
        <f t="shared" si="1438"/>
        <v>-206.52099999999999</v>
      </c>
      <c r="AS223" s="22">
        <f t="shared" si="1438"/>
        <v>-101.73570909627085</v>
      </c>
      <c r="AT223" s="22">
        <f t="shared" si="1438"/>
        <v>-207.68600000000001</v>
      </c>
      <c r="AU223" s="22">
        <f t="shared" si="1438"/>
        <v>-208.37405552623247</v>
      </c>
      <c r="AV223" s="22">
        <f t="shared" si="1438"/>
        <v>-216.28299999999996</v>
      </c>
      <c r="AW223" s="22">
        <f t="shared" si="1438"/>
        <v>-216.41655895624876</v>
      </c>
      <c r="AX223" s="22">
        <f t="shared" si="1438"/>
        <v>-233.571</v>
      </c>
      <c r="AY223" s="22">
        <f t="shared" si="1438"/>
        <v>-231.82582591270216</v>
      </c>
      <c r="AZ223" s="22">
        <f t="shared" si="1438"/>
        <v>-216.89499999999998</v>
      </c>
      <c r="BA223" s="22">
        <f t="shared" si="1438"/>
        <v>-209.22968471802244</v>
      </c>
      <c r="BB223" s="22">
        <f t="shared" si="1438"/>
        <v>-242.98000000000002</v>
      </c>
      <c r="BC223" s="22">
        <f t="shared" si="1438"/>
        <v>-239.5290181785218</v>
      </c>
      <c r="BD223" s="22">
        <f t="shared" si="1438"/>
        <v>-248.30699999999996</v>
      </c>
      <c r="BE223" s="22">
        <f t="shared" si="1438"/>
        <v>-239.42979356842389</v>
      </c>
      <c r="BF223" s="22">
        <f t="shared" si="1438"/>
        <v>-264.875</v>
      </c>
      <c r="BG223" s="22">
        <f t="shared" si="1438"/>
        <v>-261.20419224845995</v>
      </c>
      <c r="BH223" s="22">
        <f t="shared" ref="BH223" si="1439">BH214-BH222</f>
        <v>-292.14499999999998</v>
      </c>
      <c r="BI223" s="22">
        <f t="shared" si="1438"/>
        <v>-290.27172935503313</v>
      </c>
      <c r="BJ223" s="22">
        <f t="shared" si="1438"/>
        <v>-209.41399999999999</v>
      </c>
      <c r="BK223" s="22">
        <f t="shared" si="1438"/>
        <v>-210.40635953470894</v>
      </c>
      <c r="BL223" s="22">
        <f t="shared" si="1438"/>
        <v>-194.85099999999994</v>
      </c>
      <c r="BM223" s="22">
        <f t="shared" si="1438"/>
        <v>-183.62492176472668</v>
      </c>
      <c r="BN223" s="22">
        <f t="shared" si="1438"/>
        <v>-207.48500000000001</v>
      </c>
      <c r="BO223" s="22">
        <f t="shared" si="1438"/>
        <v>-235.21515027840019</v>
      </c>
      <c r="BP223" s="22">
        <f t="shared" si="1438"/>
        <v>-178.20500000000004</v>
      </c>
      <c r="BQ223" s="22">
        <f t="shared" si="1438"/>
        <v>-178.14028553595665</v>
      </c>
      <c r="BR223" s="22">
        <f t="shared" si="1438"/>
        <v>-187.53800000000007</v>
      </c>
      <c r="BS223" s="22">
        <f t="shared" si="1438"/>
        <v>-187.12062486219756</v>
      </c>
      <c r="BT223" s="22">
        <f t="shared" si="1438"/>
        <v>-31.357999999999976</v>
      </c>
      <c r="BU223" s="22">
        <f t="shared" si="1438"/>
        <v>24.500259569378045</v>
      </c>
      <c r="BV223" s="22">
        <f t="shared" si="1438"/>
        <v>3.1100000000000136</v>
      </c>
      <c r="BW223" s="22">
        <f t="shared" si="1438"/>
        <v>271.29234146634241</v>
      </c>
      <c r="BX223" s="22">
        <f t="shared" si="1438"/>
        <v>-481.02999999999986</v>
      </c>
      <c r="BY223" s="22">
        <f t="shared" si="1438"/>
        <v>-429.42518226074549</v>
      </c>
      <c r="BZ223" s="22">
        <f t="shared" si="1438"/>
        <v>310.60000000000002</v>
      </c>
      <c r="CA223" s="22">
        <f t="shared" si="1438"/>
        <v>583.73484097004268</v>
      </c>
      <c r="CB223" s="22">
        <f t="shared" si="1438"/>
        <v>457.79999999999984</v>
      </c>
      <c r="CC223" s="22">
        <f t="shared" si="1438"/>
        <v>686.77295956236082</v>
      </c>
      <c r="CD223" s="22">
        <f t="shared" si="1438"/>
        <v>156.13000000000011</v>
      </c>
      <c r="CE223" s="22">
        <f t="shared" si="1438"/>
        <v>109.44834085016305</v>
      </c>
      <c r="CF223" s="22">
        <f t="shared" ref="CF223:CG223" si="1440">CF214-CF222</f>
        <v>1218.7800000000007</v>
      </c>
      <c r="CG223" s="22">
        <f t="shared" si="1440"/>
        <v>1295.6603376773539</v>
      </c>
      <c r="CH223" s="22">
        <f t="shared" ref="CH223:CI223" si="1441">CH214-CH222</f>
        <v>795.71000000000049</v>
      </c>
      <c r="CI223" s="22">
        <f t="shared" si="1441"/>
        <v>1589.3662106762749</v>
      </c>
      <c r="CJ223" s="22">
        <f t="shared" ref="CJ223:DB223" si="1442">CJ214-CJ222</f>
        <v>3972.51</v>
      </c>
      <c r="CK223" s="22">
        <f t="shared" si="1442"/>
        <v>5502.9710602379973</v>
      </c>
      <c r="CL223" s="22">
        <f t="shared" ref="CL223" si="1443">CL214-CL222</f>
        <v>4752.619999999999</v>
      </c>
      <c r="CM223" s="21">
        <f t="shared" si="1442"/>
        <v>5328.9532022649946</v>
      </c>
      <c r="CN223" s="21">
        <f t="shared" si="1442"/>
        <v>4960.2813363198275</v>
      </c>
      <c r="CO223" s="21">
        <f t="shared" si="1442"/>
        <v>6064.2360010502362</v>
      </c>
      <c r="CP223" s="21">
        <f t="shared" si="1442"/>
        <v>7544.535186057612</v>
      </c>
      <c r="CQ223" s="21">
        <f t="shared" si="1442"/>
        <v>10520.409072072809</v>
      </c>
      <c r="CR223" s="21">
        <f t="shared" si="1442"/>
        <v>10320.125804411609</v>
      </c>
      <c r="CS223" s="21">
        <f t="shared" si="1442"/>
        <v>11521.50773818067</v>
      </c>
      <c r="CT223" s="21">
        <f t="shared" si="1442"/>
        <v>12107.636046939293</v>
      </c>
      <c r="CU223" s="21">
        <f t="shared" si="1442"/>
        <v>12134.453337227376</v>
      </c>
      <c r="CV223" s="21">
        <f t="shared" si="1442"/>
        <v>11417.430587539828</v>
      </c>
      <c r="CW223" s="21">
        <f t="shared" si="1442"/>
        <v>12977.388925592657</v>
      </c>
      <c r="CX223" s="21">
        <f t="shared" si="1442"/>
        <v>13829.040717562915</v>
      </c>
      <c r="CY223" s="21">
        <f t="shared" si="1442"/>
        <v>14611.744745847647</v>
      </c>
      <c r="CZ223" s="21">
        <f t="shared" si="1442"/>
        <v>13895.282911549804</v>
      </c>
      <c r="DA223" s="21">
        <f t="shared" si="1442"/>
        <v>15559.415195438472</v>
      </c>
      <c r="DB223" s="21">
        <f t="shared" si="1442"/>
        <v>16459.258735593394</v>
      </c>
      <c r="DE223" s="126"/>
      <c r="DF223" s="22">
        <v>4364.5700000000015</v>
      </c>
    </row>
    <row r="224" spans="1:110" s="23" customFormat="1" x14ac:dyDescent="0.2">
      <c r="AB224" s="24"/>
      <c r="AC224" s="24"/>
      <c r="AD224" s="24"/>
      <c r="AE224" s="24"/>
      <c r="CM224" s="24"/>
      <c r="CN224" s="24"/>
      <c r="CO224" s="24"/>
      <c r="CP224" s="24"/>
      <c r="CQ224" s="24"/>
      <c r="CR224" s="24"/>
      <c r="CS224" s="24"/>
      <c r="CT224" s="24"/>
      <c r="CU224" s="24"/>
      <c r="CV224" s="24"/>
      <c r="CW224" s="24"/>
      <c r="CX224" s="24"/>
      <c r="CY224" s="24"/>
      <c r="CZ224" s="24"/>
      <c r="DA224" s="24"/>
      <c r="DB224" s="24"/>
      <c r="DE224" s="123"/>
    </row>
    <row r="225" spans="1:110" s="23" customFormat="1" outlineLevel="1" x14ac:dyDescent="0.2">
      <c r="A225" s="23" t="s">
        <v>75</v>
      </c>
      <c r="B225" s="23">
        <f>'Annual Raw'!C75</f>
        <v>0</v>
      </c>
      <c r="C225" s="23">
        <f>'Annual Raw'!D75</f>
        <v>0</v>
      </c>
      <c r="D225" s="23">
        <f>'Annual Raw'!E75</f>
        <v>0</v>
      </c>
      <c r="E225" s="23">
        <f>'Annual Raw'!F75</f>
        <v>0</v>
      </c>
      <c r="F225" s="23">
        <f>'Annual Raw'!G75</f>
        <v>0</v>
      </c>
      <c r="G225" s="23">
        <f>'Annual Raw'!H75</f>
        <v>0</v>
      </c>
      <c r="H225" s="23">
        <f>'Annual Raw'!I75</f>
        <v>0</v>
      </c>
      <c r="I225" s="23">
        <f>'Annual Raw'!J75</f>
        <v>0</v>
      </c>
      <c r="J225" s="23">
        <f>'Annual Raw'!K75</f>
        <v>0</v>
      </c>
      <c r="K225" s="23">
        <f>'Annual Raw'!L75</f>
        <v>0</v>
      </c>
      <c r="L225" s="23">
        <f>'Annual Raw'!M75</f>
        <v>0</v>
      </c>
      <c r="M225" s="23">
        <f>'Annual Raw'!N75</f>
        <v>0</v>
      </c>
      <c r="N225" s="23">
        <f>'Annual Raw'!O75</f>
        <v>0</v>
      </c>
      <c r="O225" s="23">
        <f>'Annual Raw'!P75</f>
        <v>0</v>
      </c>
      <c r="P225" s="23">
        <f>'Annual Raw'!Q75</f>
        <v>0</v>
      </c>
      <c r="Q225" s="23">
        <f>'Annual Raw'!R75</f>
        <v>0</v>
      </c>
      <c r="R225" s="23">
        <f>'Annual Raw'!S75</f>
        <v>0</v>
      </c>
      <c r="S225" s="23">
        <f>'Annual Raw'!T75</f>
        <v>0</v>
      </c>
      <c r="T225" s="23">
        <f>'Annual Raw'!U75</f>
        <v>0</v>
      </c>
      <c r="U225" s="23">
        <f>'Annual Raw'!V75</f>
        <v>0</v>
      </c>
      <c r="V225" s="23">
        <f>'Annual Raw'!W75</f>
        <v>0</v>
      </c>
      <c r="W225" s="23">
        <f>'Annual Raw'!X75</f>
        <v>0</v>
      </c>
      <c r="X225" s="23">
        <f>'Annual Raw'!Y75</f>
        <v>36.79</v>
      </c>
      <c r="Y225" s="23">
        <f>'Annual Raw'!Z75</f>
        <v>29.03</v>
      </c>
      <c r="Z225" s="23">
        <f>'Annual Raw'!AA75</f>
        <v>75.06</v>
      </c>
      <c r="AA225" s="23">
        <f>'Annual Raw'!AB75</f>
        <v>105.06</v>
      </c>
      <c r="AB225" s="24">
        <f t="shared" ref="AB225:AB226" si="1444">+CP225</f>
        <v>0</v>
      </c>
      <c r="AC225" s="24">
        <f t="shared" ref="AC225:AC226" si="1445">+CT225</f>
        <v>0</v>
      </c>
      <c r="AD225" s="24">
        <f t="shared" ref="AD225:AD226" si="1446">+CX225</f>
        <v>0</v>
      </c>
      <c r="AE225" s="24">
        <f t="shared" ref="AE225:AE226" si="1447">+DB225</f>
        <v>0</v>
      </c>
      <c r="AJ225" s="23">
        <f>+'QTR Raw'!D80</f>
        <v>0</v>
      </c>
      <c r="AL225" s="23">
        <f>+'QTR Raw'!F80</f>
        <v>0</v>
      </c>
      <c r="AN225" s="23">
        <f>+'QTR Raw'!H80</f>
        <v>0</v>
      </c>
      <c r="AP225" s="23">
        <f>+'QTR Raw'!J80</f>
        <v>0</v>
      </c>
      <c r="AR225" s="23">
        <f>+'QTR Raw'!L80</f>
        <v>0</v>
      </c>
      <c r="AT225" s="23">
        <f>+'QTR Raw'!N80</f>
        <v>0</v>
      </c>
      <c r="AV225" s="23">
        <f>+'QTR Raw'!P80</f>
        <v>0</v>
      </c>
      <c r="AX225" s="23">
        <f>+'QTR Raw'!R80</f>
        <v>0</v>
      </c>
      <c r="AZ225" s="23">
        <f>+'QTR Raw'!T80</f>
        <v>0</v>
      </c>
      <c r="BB225" s="23">
        <f>+'QTR Raw'!V80</f>
        <v>0</v>
      </c>
      <c r="BD225" s="23">
        <f>+'QTR Raw'!X80</f>
        <v>0</v>
      </c>
      <c r="BF225" s="23">
        <f>+'QTR Raw'!Z80</f>
        <v>0</v>
      </c>
      <c r="BH225" s="23">
        <f>+'QTR Raw'!AB80</f>
        <v>0</v>
      </c>
      <c r="BJ225" s="23">
        <f>+'QTR Raw'!AD80</f>
        <v>0</v>
      </c>
      <c r="BL225" s="23">
        <f>+'QTR Raw'!AF80</f>
        <v>0</v>
      </c>
      <c r="BN225" s="23">
        <f>+'QTR Raw'!AH80</f>
        <v>0</v>
      </c>
      <c r="BP225" s="23">
        <f>+'QTR Raw'!AJ80</f>
        <v>0</v>
      </c>
      <c r="BR225" s="23">
        <f>+'QTR Raw'!AL80</f>
        <v>0</v>
      </c>
      <c r="BT225" s="23">
        <f>+'QTR Raw'!AN80</f>
        <v>9.6150000000000002</v>
      </c>
      <c r="BV225" s="23">
        <f>+'QTR Raw'!AP80</f>
        <v>0</v>
      </c>
      <c r="BX225" s="23">
        <f>+'QTR Raw'!AR80</f>
        <v>0</v>
      </c>
      <c r="BZ225" s="23">
        <f>+'QTR Raw'!AT80</f>
        <v>36.78</v>
      </c>
      <c r="CB225" s="23">
        <f>+'QTR Raw'!AV80</f>
        <v>65.63</v>
      </c>
      <c r="CD225" s="23">
        <f>+'QTR Raw'!AX80</f>
        <v>29.03</v>
      </c>
      <c r="CF225" s="23">
        <f>+'QTR Raw'!AZ80</f>
        <v>503.78</v>
      </c>
      <c r="CH225" s="23">
        <f t="shared" ref="CH225:CH226" si="1448">Z225</f>
        <v>75.06</v>
      </c>
      <c r="CJ225" s="23">
        <f>+'QTR Raw'!BD80</f>
        <v>51.34</v>
      </c>
      <c r="CL225" s="23">
        <f>+'QTR Raw'!BF80</f>
        <v>105.06</v>
      </c>
      <c r="CM225" s="24"/>
      <c r="CN225" s="24"/>
      <c r="CO225" s="24"/>
      <c r="CP225" s="24"/>
      <c r="CQ225" s="24"/>
      <c r="CR225" s="24"/>
      <c r="CS225" s="24"/>
      <c r="CT225" s="24"/>
      <c r="CU225" s="24"/>
      <c r="CV225" s="24"/>
      <c r="CW225" s="24"/>
      <c r="CX225" s="24"/>
      <c r="CY225" s="24"/>
      <c r="CZ225" s="24"/>
      <c r="DA225" s="24"/>
      <c r="DB225" s="24"/>
      <c r="DE225" s="123"/>
      <c r="DF225" s="23">
        <v>105.06</v>
      </c>
    </row>
    <row r="226" spans="1:110" s="23" customFormat="1" outlineLevel="1" x14ac:dyDescent="0.2">
      <c r="A226" s="23" t="s">
        <v>76</v>
      </c>
      <c r="B226" s="23">
        <f>'Annual Raw'!C78</f>
        <v>1.1180000000000001</v>
      </c>
      <c r="C226" s="23">
        <f>'Annual Raw'!D78</f>
        <v>0.30640000000000001</v>
      </c>
      <c r="D226" s="23">
        <f>'Annual Raw'!E78</f>
        <v>0.57030000000000003</v>
      </c>
      <c r="E226" s="23">
        <f>'Annual Raw'!F78</f>
        <v>0.45829999999999999</v>
      </c>
      <c r="F226" s="23">
        <f>'Annual Raw'!G78</f>
        <v>1.0617000000000001</v>
      </c>
      <c r="G226" s="23">
        <f>'Annual Raw'!H78</f>
        <v>1.3373999999999999</v>
      </c>
      <c r="H226" s="23">
        <f>'Annual Raw'!I78</f>
        <v>0.58540000000000003</v>
      </c>
      <c r="I226" s="23">
        <f>'Annual Raw'!J78</f>
        <v>0.87250000000000005</v>
      </c>
      <c r="J226" s="23">
        <f>'Annual Raw'!K78</f>
        <v>7.8864999999999998</v>
      </c>
      <c r="K226" s="23">
        <f>'Annual Raw'!L78</f>
        <v>4.9074</v>
      </c>
      <c r="L226" s="23">
        <f>'Annual Raw'!M78</f>
        <v>7.8395000000000001</v>
      </c>
      <c r="M226" s="23">
        <f>'Annual Raw'!N78</f>
        <v>12.0482</v>
      </c>
      <c r="N226" s="23">
        <f>'Annual Raw'!O78</f>
        <v>7.8563000000000001</v>
      </c>
      <c r="O226" s="23">
        <f>'Annual Raw'!P78</f>
        <v>9.8574000000000002</v>
      </c>
      <c r="P226" s="23">
        <f>'Annual Raw'!Q78</f>
        <v>10.1624</v>
      </c>
      <c r="Q226" s="23">
        <f>'Annual Raw'!R78</f>
        <v>7.4734999999999996</v>
      </c>
      <c r="R226" s="23">
        <f>'Annual Raw'!S78</f>
        <v>8.1606000000000005</v>
      </c>
      <c r="S226" s="23">
        <f>'Annual Raw'!T78</f>
        <v>7.1341999999999999</v>
      </c>
      <c r="T226" s="23">
        <f>'Annual Raw'!U78</f>
        <v>8.4517000000000007</v>
      </c>
      <c r="U226" s="23">
        <f>'Annual Raw'!V78</f>
        <v>18.5977</v>
      </c>
      <c r="V226" s="23">
        <f>'Annual Raw'!W78</f>
        <v>8.0375999999999994</v>
      </c>
      <c r="W226" s="23">
        <f>'Annual Raw'!X78</f>
        <v>21.87</v>
      </c>
      <c r="X226" s="23">
        <f>'Annual Raw'!Y78</f>
        <v>264.54000000000002</v>
      </c>
      <c r="Y226" s="23">
        <f>'Annual Raw'!Z78</f>
        <v>287.13</v>
      </c>
      <c r="Z226" s="23">
        <f>'Annual Raw'!AA78</f>
        <v>740.87</v>
      </c>
      <c r="AA226" s="23">
        <f>'Annual Raw'!AB78</f>
        <v>2702.93</v>
      </c>
      <c r="AB226" s="24">
        <f t="shared" si="1444"/>
        <v>5495.1887284597524</v>
      </c>
      <c r="AC226" s="24">
        <f t="shared" si="1445"/>
        <v>7799.6780097845058</v>
      </c>
      <c r="AD226" s="24">
        <f t="shared" si="1446"/>
        <v>13706.361011824451</v>
      </c>
      <c r="AE226" s="24">
        <f t="shared" si="1447"/>
        <v>20438.466668546822</v>
      </c>
      <c r="AJ226" s="23">
        <f>+'QTR Raw'!D83</f>
        <v>8.6829999999999998</v>
      </c>
      <c r="AK226" s="23">
        <f t="shared" ref="AK226:AM226" si="1449">+AK276</f>
        <v>-6.1076252642544091</v>
      </c>
      <c r="AL226" s="23">
        <f>+'QTR Raw'!F83</f>
        <v>7.8550000000000004</v>
      </c>
      <c r="AM226" s="23">
        <f t="shared" si="1449"/>
        <v>-76.19903915133979</v>
      </c>
      <c r="AN226" s="23">
        <f>+'QTR Raw'!H83</f>
        <v>7.63</v>
      </c>
      <c r="AO226" s="23">
        <f t="shared" ref="AO226" si="1450">+AO276</f>
        <v>22.797072598074021</v>
      </c>
      <c r="AP226" s="23">
        <f>+'QTR Raw'!J83</f>
        <v>9.8569999999999993</v>
      </c>
      <c r="AQ226" s="23">
        <f t="shared" ref="AQ226" si="1451">+AQ276</f>
        <v>-4.83328557289685</v>
      </c>
      <c r="AR226" s="23">
        <f>+'QTR Raw'!L83</f>
        <v>8.4009999999999998</v>
      </c>
      <c r="AS226" s="23">
        <f t="shared" ref="AS226" si="1452">+AS276</f>
        <v>-103.02729090372915</v>
      </c>
      <c r="AT226" s="23">
        <f>+'QTR Raw'!N83</f>
        <v>10.162000000000001</v>
      </c>
      <c r="AU226" s="23">
        <f t="shared" ref="AU226" si="1453">+AU276</f>
        <v>13.590055526232458</v>
      </c>
      <c r="AV226" s="23">
        <f>+'QTR Raw'!P83</f>
        <v>7.5140000000000002</v>
      </c>
      <c r="AW226" s="23">
        <f t="shared" ref="AW226" si="1454">+AW276</f>
        <v>7.9025589562488179</v>
      </c>
      <c r="AX226" s="23">
        <f>+'QTR Raw'!R83</f>
        <v>7.4740000000000002</v>
      </c>
      <c r="AY226" s="23">
        <f t="shared" ref="AY226" si="1455">+AY276</f>
        <v>5.8678259127021501</v>
      </c>
      <c r="AZ226" s="23">
        <f>+'QTR Raw'!T83</f>
        <v>7.2830000000000004</v>
      </c>
      <c r="BA226" s="23">
        <f t="shared" ref="BA226" si="1456">+BA276</f>
        <v>4.668471802248586E-2</v>
      </c>
      <c r="BB226" s="23">
        <f>+'QTR Raw'!V83</f>
        <v>8.1609999999999996</v>
      </c>
      <c r="BC226" s="23">
        <f t="shared" ref="BC226" si="1457">+BC276</f>
        <v>9.9920181785217839</v>
      </c>
      <c r="BD226" s="23">
        <f>+'QTR Raw'!X83</f>
        <v>8.3729999999999993</v>
      </c>
      <c r="BE226" s="23">
        <f t="shared" ref="BE226" si="1458">+BE276</f>
        <v>1.0687935684239296</v>
      </c>
      <c r="BF226" s="23">
        <f>+'QTR Raw'!Z83</f>
        <v>7.1340000000000003</v>
      </c>
      <c r="BG226" s="23">
        <f t="shared" ref="BG226" si="1459">+BG276</f>
        <v>13.72419224845993</v>
      </c>
      <c r="BH226" s="23">
        <f>+'QTR Raw'!AB83</f>
        <v>7.0359999999999996</v>
      </c>
      <c r="BI226" s="23">
        <f t="shared" ref="BI226" si="1460">+BI276</f>
        <v>7.0107293550331349</v>
      </c>
      <c r="BJ226" s="23">
        <f>+'QTR Raw'!AD83</f>
        <v>8.452</v>
      </c>
      <c r="BK226" s="23">
        <f t="shared" ref="BK226" si="1461">+BK276</f>
        <v>16.933359534708956</v>
      </c>
      <c r="BL226" s="23">
        <f>+'QTR Raw'!AF83</f>
        <v>7.22</v>
      </c>
      <c r="BM226" s="23">
        <f t="shared" ref="BM226" si="1462">+BM276</f>
        <v>-0.92307823527327137</v>
      </c>
      <c r="BN226" s="23">
        <f>+'QTR Raw'!AH83</f>
        <v>18.597000000000001</v>
      </c>
      <c r="BO226" s="23">
        <f t="shared" ref="BO226" si="1463">+BO276</f>
        <v>36.891150278400175</v>
      </c>
      <c r="BP226" s="23">
        <f>+'QTR Raw'!AJ83</f>
        <v>19.28</v>
      </c>
      <c r="BQ226" s="23">
        <f t="shared" ref="BQ226" si="1464">+BQ276</f>
        <v>21.811285535956628</v>
      </c>
      <c r="BR226" s="23">
        <f>+'QTR Raw'!AL83</f>
        <v>8.0380000000000003</v>
      </c>
      <c r="BS226" s="23">
        <f t="shared" ref="BS226" si="1465">+BS276</f>
        <v>7.4406248621974953</v>
      </c>
      <c r="BT226" s="23">
        <f>+'QTR Raw'!AN83</f>
        <v>10.242000000000001</v>
      </c>
      <c r="BU226" s="23">
        <f t="shared" ref="BU226" si="1466">+BU276</f>
        <v>-62.141259569378008</v>
      </c>
      <c r="BV226" s="23">
        <f>+'QTR Raw'!AP83</f>
        <v>21.87</v>
      </c>
      <c r="BW226" s="23">
        <f t="shared" ref="BW226" si="1467">+BW276</f>
        <v>-1176.6423414663427</v>
      </c>
      <c r="BX226" s="23">
        <f>+'QTR Raw'!AR83</f>
        <v>22.22</v>
      </c>
      <c r="BY226" s="23">
        <f t="shared" ref="BY226" si="1468">+BY276</f>
        <v>200.64518226074549</v>
      </c>
      <c r="BZ226" s="23">
        <f>+'QTR Raw'!AT83</f>
        <v>264.54000000000002</v>
      </c>
      <c r="CA226" s="23">
        <f t="shared" ref="CA226" si="1469">+CA276</f>
        <v>431.44515902995744</v>
      </c>
      <c r="CB226" s="23">
        <f>+'QTR Raw'!AV83</f>
        <v>390.3</v>
      </c>
      <c r="CC226" s="23">
        <f t="shared" ref="CC226" si="1470">+CC276</f>
        <v>558.45704043763919</v>
      </c>
      <c r="CD226" s="23">
        <f>+'QTR Raw'!AX83</f>
        <v>287.13</v>
      </c>
      <c r="CE226" s="23">
        <f t="shared" ref="CE226" si="1471">+CE276</f>
        <v>920.24165914983689</v>
      </c>
      <c r="CF226" s="23">
        <f>+'QTR Raw'!AZ83</f>
        <v>593.89</v>
      </c>
      <c r="CG226" s="23">
        <f t="shared" ref="CG226:CI226" si="1472">+CG276</f>
        <v>1410.0796623226468</v>
      </c>
      <c r="CH226" s="23">
        <f t="shared" si="1448"/>
        <v>740.87</v>
      </c>
      <c r="CI226" s="23">
        <f t="shared" si="1472"/>
        <v>694.59378932372579</v>
      </c>
      <c r="CJ226" s="23">
        <f>+'QTR Raw'!BD83</f>
        <v>976.49</v>
      </c>
      <c r="CK226" s="23">
        <f t="shared" ref="CK226:DB226" si="1473">+CK276</f>
        <v>730.30893976200173</v>
      </c>
      <c r="CL226" s="23">
        <f>+'QTR Raw'!BF83</f>
        <v>2702.93</v>
      </c>
      <c r="CM226" s="24">
        <f t="shared" si="1473"/>
        <v>3628.237436135008</v>
      </c>
      <c r="CN226" s="24">
        <f t="shared" si="1473"/>
        <v>5312.2449160978867</v>
      </c>
      <c r="CO226" s="24">
        <f t="shared" si="1473"/>
        <v>5554.1146073059499</v>
      </c>
      <c r="CP226" s="24">
        <f t="shared" si="1473"/>
        <v>5495.1887284597524</v>
      </c>
      <c r="CQ226" s="24">
        <f t="shared" si="1473"/>
        <v>4033.5378136564923</v>
      </c>
      <c r="CR226" s="24">
        <f t="shared" si="1473"/>
        <v>5808.8090513418229</v>
      </c>
      <c r="CS226" s="24">
        <f t="shared" si="1473"/>
        <v>6426.3050388553711</v>
      </c>
      <c r="CT226" s="24">
        <f t="shared" si="1473"/>
        <v>7799.6780097845058</v>
      </c>
      <c r="CU226" s="24">
        <f t="shared" si="1473"/>
        <v>9592.4553187900874</v>
      </c>
      <c r="CV226" s="24">
        <f t="shared" si="1473"/>
        <v>12025.19531973556</v>
      </c>
      <c r="CW226" s="24">
        <f t="shared" si="1473"/>
        <v>12446.344837351069</v>
      </c>
      <c r="CX226" s="24">
        <f t="shared" si="1473"/>
        <v>13706.361011824451</v>
      </c>
      <c r="CY226" s="24">
        <f t="shared" si="1473"/>
        <v>15164.598200937056</v>
      </c>
      <c r="CZ226" s="24">
        <f t="shared" si="1473"/>
        <v>18013.119415302313</v>
      </c>
      <c r="DA226" s="24">
        <f t="shared" si="1473"/>
        <v>18766.610555095776</v>
      </c>
      <c r="DB226" s="24">
        <f t="shared" si="1473"/>
        <v>20438.466668546822</v>
      </c>
      <c r="DE226" s="123"/>
      <c r="DF226" s="23">
        <v>2702.93</v>
      </c>
    </row>
    <row r="227" spans="1:110" s="22" customFormat="1" x14ac:dyDescent="0.2">
      <c r="A227" s="22" t="s">
        <v>77</v>
      </c>
      <c r="B227" s="22">
        <f>B225+B226</f>
        <v>1.1180000000000001</v>
      </c>
      <c r="C227" s="22">
        <f t="shared" ref="C227:V227" si="1474">C225+C226</f>
        <v>0.30640000000000001</v>
      </c>
      <c r="D227" s="22">
        <f t="shared" si="1474"/>
        <v>0.57030000000000003</v>
      </c>
      <c r="E227" s="22">
        <f t="shared" si="1474"/>
        <v>0.45829999999999999</v>
      </c>
      <c r="F227" s="22">
        <f t="shared" si="1474"/>
        <v>1.0617000000000001</v>
      </c>
      <c r="G227" s="22">
        <f t="shared" si="1474"/>
        <v>1.3373999999999999</v>
      </c>
      <c r="H227" s="22">
        <f t="shared" si="1474"/>
        <v>0.58540000000000003</v>
      </c>
      <c r="I227" s="22">
        <f t="shared" si="1474"/>
        <v>0.87250000000000005</v>
      </c>
      <c r="J227" s="22">
        <f t="shared" si="1474"/>
        <v>7.8864999999999998</v>
      </c>
      <c r="K227" s="22">
        <f t="shared" si="1474"/>
        <v>4.9074</v>
      </c>
      <c r="L227" s="22">
        <f t="shared" si="1474"/>
        <v>7.8395000000000001</v>
      </c>
      <c r="M227" s="22">
        <f t="shared" si="1474"/>
        <v>12.0482</v>
      </c>
      <c r="N227" s="22">
        <f t="shared" si="1474"/>
        <v>7.8563000000000001</v>
      </c>
      <c r="O227" s="22">
        <f t="shared" si="1474"/>
        <v>9.8574000000000002</v>
      </c>
      <c r="P227" s="22">
        <f t="shared" si="1474"/>
        <v>10.1624</v>
      </c>
      <c r="Q227" s="22">
        <f t="shared" si="1474"/>
        <v>7.4734999999999996</v>
      </c>
      <c r="R227" s="22">
        <f t="shared" si="1474"/>
        <v>8.1606000000000005</v>
      </c>
      <c r="S227" s="22">
        <f t="shared" si="1474"/>
        <v>7.1341999999999999</v>
      </c>
      <c r="T227" s="22">
        <f t="shared" si="1474"/>
        <v>8.4517000000000007</v>
      </c>
      <c r="U227" s="22">
        <f t="shared" si="1474"/>
        <v>18.5977</v>
      </c>
      <c r="V227" s="22">
        <f t="shared" si="1474"/>
        <v>8.0375999999999994</v>
      </c>
      <c r="W227" s="22">
        <f t="shared" ref="W227" si="1475">W225+W226</f>
        <v>21.87</v>
      </c>
      <c r="X227" s="22">
        <f t="shared" ref="X227:Y227" si="1476">X225+X226</f>
        <v>301.33000000000004</v>
      </c>
      <c r="Y227" s="22">
        <f t="shared" si="1476"/>
        <v>316.15999999999997</v>
      </c>
      <c r="Z227" s="22">
        <f t="shared" ref="Z227:AA227" si="1477">Z225+Z226</f>
        <v>815.93000000000006</v>
      </c>
      <c r="AA227" s="22">
        <f t="shared" si="1477"/>
        <v>2807.99</v>
      </c>
      <c r="AB227" s="21">
        <f t="shared" ref="AB227:AD227" si="1478">AB225+AB226</f>
        <v>5495.1887284597524</v>
      </c>
      <c r="AC227" s="21">
        <f t="shared" si="1478"/>
        <v>7799.6780097845058</v>
      </c>
      <c r="AD227" s="21">
        <f t="shared" si="1478"/>
        <v>13706.361011824451</v>
      </c>
      <c r="AE227" s="21">
        <f t="shared" ref="AE227" si="1479">AE225+AE226</f>
        <v>20438.466668546822</v>
      </c>
      <c r="AJ227" s="22">
        <f t="shared" ref="AJ227" si="1480">AJ225+AJ226</f>
        <v>8.6829999999999998</v>
      </c>
      <c r="AK227" s="22">
        <f t="shared" ref="AK227" si="1481">AK225+AK226</f>
        <v>-6.1076252642544091</v>
      </c>
      <c r="AL227" s="22">
        <f t="shared" ref="AL227:AM227" si="1482">AL225+AL226</f>
        <v>7.8550000000000004</v>
      </c>
      <c r="AM227" s="22">
        <f t="shared" si="1482"/>
        <v>-76.19903915133979</v>
      </c>
      <c r="AN227" s="22">
        <f t="shared" ref="AN227:AO227" si="1483">AN225+AN226</f>
        <v>7.63</v>
      </c>
      <c r="AO227" s="22">
        <f t="shared" si="1483"/>
        <v>22.797072598074021</v>
      </c>
      <c r="AP227" s="22">
        <f t="shared" ref="AP227:CE227" si="1484">AP225+AP226</f>
        <v>9.8569999999999993</v>
      </c>
      <c r="AQ227" s="22">
        <f t="shared" si="1484"/>
        <v>-4.83328557289685</v>
      </c>
      <c r="AR227" s="22">
        <f t="shared" si="1484"/>
        <v>8.4009999999999998</v>
      </c>
      <c r="AS227" s="22">
        <f t="shared" si="1484"/>
        <v>-103.02729090372915</v>
      </c>
      <c r="AT227" s="22">
        <f t="shared" si="1484"/>
        <v>10.162000000000001</v>
      </c>
      <c r="AU227" s="22">
        <f t="shared" si="1484"/>
        <v>13.590055526232458</v>
      </c>
      <c r="AV227" s="22">
        <f t="shared" si="1484"/>
        <v>7.5140000000000002</v>
      </c>
      <c r="AW227" s="22">
        <f t="shared" si="1484"/>
        <v>7.9025589562488179</v>
      </c>
      <c r="AX227" s="22">
        <f t="shared" si="1484"/>
        <v>7.4740000000000002</v>
      </c>
      <c r="AY227" s="22">
        <f t="shared" si="1484"/>
        <v>5.8678259127021501</v>
      </c>
      <c r="AZ227" s="22">
        <f t="shared" si="1484"/>
        <v>7.2830000000000004</v>
      </c>
      <c r="BA227" s="22">
        <f t="shared" si="1484"/>
        <v>4.668471802248586E-2</v>
      </c>
      <c r="BB227" s="22">
        <f t="shared" si="1484"/>
        <v>8.1609999999999996</v>
      </c>
      <c r="BC227" s="22">
        <f t="shared" si="1484"/>
        <v>9.9920181785217839</v>
      </c>
      <c r="BD227" s="22">
        <f t="shared" si="1484"/>
        <v>8.3729999999999993</v>
      </c>
      <c r="BE227" s="22">
        <f t="shared" si="1484"/>
        <v>1.0687935684239296</v>
      </c>
      <c r="BF227" s="22">
        <f t="shared" si="1484"/>
        <v>7.1340000000000003</v>
      </c>
      <c r="BG227" s="22">
        <f t="shared" si="1484"/>
        <v>13.72419224845993</v>
      </c>
      <c r="BH227" s="22">
        <f t="shared" si="1484"/>
        <v>7.0359999999999996</v>
      </c>
      <c r="BI227" s="22">
        <f t="shared" si="1484"/>
        <v>7.0107293550331349</v>
      </c>
      <c r="BJ227" s="22">
        <f t="shared" si="1484"/>
        <v>8.452</v>
      </c>
      <c r="BK227" s="22">
        <f t="shared" si="1484"/>
        <v>16.933359534708956</v>
      </c>
      <c r="BL227" s="22">
        <f t="shared" si="1484"/>
        <v>7.22</v>
      </c>
      <c r="BM227" s="22">
        <f t="shared" si="1484"/>
        <v>-0.92307823527327137</v>
      </c>
      <c r="BN227" s="22">
        <f t="shared" si="1484"/>
        <v>18.597000000000001</v>
      </c>
      <c r="BO227" s="22">
        <f t="shared" si="1484"/>
        <v>36.891150278400175</v>
      </c>
      <c r="BP227" s="22">
        <f t="shared" si="1484"/>
        <v>19.28</v>
      </c>
      <c r="BQ227" s="22">
        <f t="shared" si="1484"/>
        <v>21.811285535956628</v>
      </c>
      <c r="BR227" s="22">
        <f t="shared" si="1484"/>
        <v>8.0380000000000003</v>
      </c>
      <c r="BS227" s="22">
        <f t="shared" si="1484"/>
        <v>7.4406248621974953</v>
      </c>
      <c r="BT227" s="22">
        <f t="shared" si="1484"/>
        <v>19.856999999999999</v>
      </c>
      <c r="BU227" s="22">
        <f t="shared" si="1484"/>
        <v>-62.141259569378008</v>
      </c>
      <c r="BV227" s="22">
        <f t="shared" si="1484"/>
        <v>21.87</v>
      </c>
      <c r="BW227" s="22">
        <f t="shared" si="1484"/>
        <v>-1176.6423414663427</v>
      </c>
      <c r="BX227" s="22">
        <f t="shared" si="1484"/>
        <v>22.22</v>
      </c>
      <c r="BY227" s="22">
        <f t="shared" si="1484"/>
        <v>200.64518226074549</v>
      </c>
      <c r="BZ227" s="22">
        <f t="shared" si="1484"/>
        <v>301.32000000000005</v>
      </c>
      <c r="CA227" s="22">
        <f t="shared" si="1484"/>
        <v>431.44515902995744</v>
      </c>
      <c r="CB227" s="22">
        <f t="shared" si="1484"/>
        <v>455.93</v>
      </c>
      <c r="CC227" s="22">
        <f t="shared" si="1484"/>
        <v>558.45704043763919</v>
      </c>
      <c r="CD227" s="22">
        <f t="shared" si="1484"/>
        <v>316.15999999999997</v>
      </c>
      <c r="CE227" s="22">
        <f t="shared" si="1484"/>
        <v>920.24165914983689</v>
      </c>
      <c r="CF227" s="22">
        <f t="shared" ref="CF227:CG227" si="1485">CF225+CF226</f>
        <v>1097.67</v>
      </c>
      <c r="CG227" s="22">
        <f t="shared" si="1485"/>
        <v>1410.0796623226468</v>
      </c>
      <c r="CH227" s="22">
        <f t="shared" ref="CH227:CI227" si="1486">CH225+CH226</f>
        <v>815.93000000000006</v>
      </c>
      <c r="CI227" s="22">
        <f t="shared" si="1486"/>
        <v>694.59378932372579</v>
      </c>
      <c r="CJ227" s="22">
        <f t="shared" ref="CJ227:DB227" si="1487">CJ225+CJ226</f>
        <v>1027.83</v>
      </c>
      <c r="CK227" s="22">
        <f t="shared" si="1487"/>
        <v>730.30893976200173</v>
      </c>
      <c r="CL227" s="22">
        <f t="shared" ref="CL227" si="1488">CL225+CL226</f>
        <v>2807.99</v>
      </c>
      <c r="CM227" s="21">
        <f t="shared" si="1487"/>
        <v>3628.237436135008</v>
      </c>
      <c r="CN227" s="21">
        <f t="shared" si="1487"/>
        <v>5312.2449160978867</v>
      </c>
      <c r="CO227" s="21">
        <f t="shared" si="1487"/>
        <v>5554.1146073059499</v>
      </c>
      <c r="CP227" s="21">
        <f t="shared" si="1487"/>
        <v>5495.1887284597524</v>
      </c>
      <c r="CQ227" s="21">
        <f t="shared" si="1487"/>
        <v>4033.5378136564923</v>
      </c>
      <c r="CR227" s="21">
        <f t="shared" si="1487"/>
        <v>5808.8090513418229</v>
      </c>
      <c r="CS227" s="21">
        <f t="shared" si="1487"/>
        <v>6426.3050388553711</v>
      </c>
      <c r="CT227" s="21">
        <f t="shared" si="1487"/>
        <v>7799.6780097845058</v>
      </c>
      <c r="CU227" s="21">
        <f t="shared" si="1487"/>
        <v>9592.4553187900874</v>
      </c>
      <c r="CV227" s="21">
        <f t="shared" si="1487"/>
        <v>12025.19531973556</v>
      </c>
      <c r="CW227" s="21">
        <f t="shared" si="1487"/>
        <v>12446.344837351069</v>
      </c>
      <c r="CX227" s="21">
        <f t="shared" si="1487"/>
        <v>13706.361011824451</v>
      </c>
      <c r="CY227" s="21">
        <f t="shared" si="1487"/>
        <v>15164.598200937056</v>
      </c>
      <c r="CZ227" s="21">
        <f t="shared" si="1487"/>
        <v>18013.119415302313</v>
      </c>
      <c r="DA227" s="21">
        <f t="shared" si="1487"/>
        <v>18766.610555095776</v>
      </c>
      <c r="DB227" s="21">
        <f t="shared" si="1487"/>
        <v>20438.466668546822</v>
      </c>
      <c r="DE227" s="126"/>
      <c r="DF227" s="22">
        <v>2807.99</v>
      </c>
    </row>
    <row r="228" spans="1:110" s="23" customFormat="1" x14ac:dyDescent="0.2">
      <c r="AB228" s="24"/>
      <c r="AC228" s="24"/>
      <c r="AD228" s="24"/>
      <c r="AE228" s="24"/>
      <c r="CM228" s="24"/>
      <c r="CN228" s="24"/>
      <c r="CO228" s="24"/>
      <c r="CP228" s="24"/>
      <c r="CQ228" s="24"/>
      <c r="CR228" s="24"/>
      <c r="CS228" s="24"/>
      <c r="CT228" s="24"/>
      <c r="CU228" s="24"/>
      <c r="CV228" s="24"/>
      <c r="CW228" s="24"/>
      <c r="CX228" s="24"/>
      <c r="CY228" s="24"/>
      <c r="CZ228" s="24"/>
      <c r="DA228" s="24"/>
      <c r="DB228" s="24"/>
      <c r="DE228" s="123"/>
    </row>
    <row r="229" spans="1:110" s="23" customFormat="1" x14ac:dyDescent="0.2">
      <c r="A229" s="23" t="s">
        <v>78</v>
      </c>
      <c r="B229" s="23">
        <f>-'Annual Raw'!C49</f>
        <v>0</v>
      </c>
      <c r="C229" s="23">
        <f>-'Annual Raw'!D49</f>
        <v>0</v>
      </c>
      <c r="D229" s="23">
        <f>-'Annual Raw'!E49</f>
        <v>0</v>
      </c>
      <c r="E229" s="23">
        <f>-'Annual Raw'!F49</f>
        <v>0</v>
      </c>
      <c r="F229" s="23">
        <f>-'Annual Raw'!G49</f>
        <v>0</v>
      </c>
      <c r="G229" s="23">
        <f>-'Annual Raw'!H49</f>
        <v>0</v>
      </c>
      <c r="H229" s="23">
        <f>-'Annual Raw'!I49</f>
        <v>0</v>
      </c>
      <c r="I229" s="23">
        <f>-'Annual Raw'!J49</f>
        <v>0</v>
      </c>
      <c r="J229" s="23">
        <f>-'Annual Raw'!K49</f>
        <v>0</v>
      </c>
      <c r="K229" s="23">
        <f>-'Annual Raw'!L49</f>
        <v>0</v>
      </c>
      <c r="L229" s="23">
        <f>-'Annual Raw'!M49</f>
        <v>0</v>
      </c>
      <c r="M229" s="23">
        <f>-'Annual Raw'!N49</f>
        <v>0</v>
      </c>
      <c r="N229" s="23">
        <f>-'Annual Raw'!O49</f>
        <v>0</v>
      </c>
      <c r="O229" s="23">
        <f>-'Annual Raw'!P49</f>
        <v>0</v>
      </c>
      <c r="P229" s="23">
        <f>-'Annual Raw'!Q49</f>
        <v>0</v>
      </c>
      <c r="Q229" s="23">
        <f>-'Annual Raw'!R49</f>
        <v>0</v>
      </c>
      <c r="R229" s="23">
        <f>-'Annual Raw'!S49</f>
        <v>0</v>
      </c>
      <c r="S229" s="23">
        <f>-'Annual Raw'!T49</f>
        <v>0</v>
      </c>
      <c r="T229" s="23">
        <f>-'Annual Raw'!U49</f>
        <v>0</v>
      </c>
      <c r="U229" s="23">
        <f>-'Annual Raw'!V49</f>
        <v>18.7332</v>
      </c>
      <c r="V229" s="23">
        <f>-'Annual Raw'!W49</f>
        <v>18.7332</v>
      </c>
      <c r="W229" s="23">
        <f>-'Annual Raw'!X49</f>
        <v>28.24</v>
      </c>
      <c r="X229" s="23">
        <f>-'Annual Raw'!Y49</f>
        <v>137.38</v>
      </c>
      <c r="Y229" s="23">
        <f>-'Annual Raw'!Z49</f>
        <v>-86.36</v>
      </c>
      <c r="Z229" s="23">
        <f>-'Annual Raw'!AA49</f>
        <v>-75.52</v>
      </c>
      <c r="AA229" s="23">
        <f>-'Annual Raw'!AB49</f>
        <v>-201.65</v>
      </c>
      <c r="AB229" s="24">
        <f t="shared" ref="AB229:AB230" si="1489">+CP229</f>
        <v>-201.65</v>
      </c>
      <c r="AC229" s="24">
        <f t="shared" ref="AC229:AC230" si="1490">+CT229</f>
        <v>-201.65</v>
      </c>
      <c r="AD229" s="24">
        <f t="shared" ref="AD229:AD230" si="1491">+CX229</f>
        <v>-201.65</v>
      </c>
      <c r="AE229" s="24">
        <f t="shared" ref="AE229:AE230" si="1492">+DB229</f>
        <v>-201.65</v>
      </c>
      <c r="AJ229" s="23">
        <f>+'QTR Raw'!D96</f>
        <v>0</v>
      </c>
      <c r="AK229" s="23">
        <f t="shared" ref="AK229:CE229" si="1493">+AJ229</f>
        <v>0</v>
      </c>
      <c r="AL229" s="23">
        <f>+'QTR Raw'!F96</f>
        <v>0</v>
      </c>
      <c r="AM229" s="23">
        <f t="shared" si="1493"/>
        <v>0</v>
      </c>
      <c r="AN229" s="23">
        <f>+'QTR Raw'!H96</f>
        <v>0</v>
      </c>
      <c r="AO229" s="23">
        <f t="shared" si="1493"/>
        <v>0</v>
      </c>
      <c r="AP229" s="23">
        <f>+'QTR Raw'!J96</f>
        <v>0</v>
      </c>
      <c r="AQ229" s="23">
        <f t="shared" si="1493"/>
        <v>0</v>
      </c>
      <c r="AR229" s="23">
        <f>+'QTR Raw'!L96</f>
        <v>0</v>
      </c>
      <c r="AS229" s="23">
        <f t="shared" si="1493"/>
        <v>0</v>
      </c>
      <c r="AT229" s="23">
        <f>+'QTR Raw'!N96</f>
        <v>0</v>
      </c>
      <c r="AU229" s="23">
        <f t="shared" si="1493"/>
        <v>0</v>
      </c>
      <c r="AV229" s="23">
        <f>+'QTR Raw'!P96</f>
        <v>0</v>
      </c>
      <c r="AW229" s="23">
        <f t="shared" si="1493"/>
        <v>0</v>
      </c>
      <c r="AX229" s="23">
        <f>+'QTR Raw'!R96</f>
        <v>0</v>
      </c>
      <c r="AY229" s="23">
        <f t="shared" si="1493"/>
        <v>0</v>
      </c>
      <c r="AZ229" s="23">
        <f>+'QTR Raw'!T96</f>
        <v>0</v>
      </c>
      <c r="BA229" s="23">
        <f t="shared" si="1493"/>
        <v>0</v>
      </c>
      <c r="BB229" s="23">
        <f>+'QTR Raw'!V96</f>
        <v>0</v>
      </c>
      <c r="BC229" s="23">
        <f t="shared" si="1493"/>
        <v>0</v>
      </c>
      <c r="BD229" s="23">
        <f>+'QTR Raw'!X96</f>
        <v>0</v>
      </c>
      <c r="BE229" s="23">
        <f t="shared" si="1493"/>
        <v>0</v>
      </c>
      <c r="BF229" s="23">
        <f>+'QTR Raw'!Z96</f>
        <v>0</v>
      </c>
      <c r="BG229" s="23">
        <f t="shared" si="1493"/>
        <v>0</v>
      </c>
      <c r="BH229" s="23">
        <f>+'QTR Raw'!AB96</f>
        <v>0</v>
      </c>
      <c r="BI229" s="23">
        <f t="shared" si="1493"/>
        <v>0</v>
      </c>
      <c r="BJ229" s="23">
        <f>+'QTR Raw'!AD96</f>
        <v>0</v>
      </c>
      <c r="BK229" s="23">
        <f t="shared" si="1493"/>
        <v>0</v>
      </c>
      <c r="BL229" s="23">
        <f>+'QTR Raw'!AF96</f>
        <v>0</v>
      </c>
      <c r="BM229" s="23">
        <f t="shared" si="1493"/>
        <v>0</v>
      </c>
      <c r="BN229" s="23">
        <f>+'QTR Raw'!AH96</f>
        <v>18.733000000000001</v>
      </c>
      <c r="BO229" s="23">
        <f t="shared" si="1493"/>
        <v>18.733000000000001</v>
      </c>
      <c r="BP229" s="23">
        <f>+'QTR Raw'!AJ96</f>
        <v>18.733000000000001</v>
      </c>
      <c r="BQ229" s="23">
        <f t="shared" si="1493"/>
        <v>18.733000000000001</v>
      </c>
      <c r="BR229" s="23">
        <f>+'QTR Raw'!AL96</f>
        <v>18.733000000000001</v>
      </c>
      <c r="BS229" s="23">
        <f t="shared" si="1493"/>
        <v>18.733000000000001</v>
      </c>
      <c r="BT229" s="23">
        <f>+'QTR Raw'!AN96</f>
        <v>18.733000000000001</v>
      </c>
      <c r="BU229" s="23">
        <f t="shared" si="1493"/>
        <v>18.733000000000001</v>
      </c>
      <c r="BV229" s="23">
        <f>+'QTR Raw'!AP96</f>
        <v>28.24</v>
      </c>
      <c r="BW229" s="23">
        <f t="shared" si="1493"/>
        <v>28.24</v>
      </c>
      <c r="BX229" s="23">
        <f>+'QTR Raw'!AR96</f>
        <v>28.24</v>
      </c>
      <c r="BY229" s="23">
        <f t="shared" si="1493"/>
        <v>28.24</v>
      </c>
      <c r="BZ229" s="23">
        <f>+'QTR Raw'!AT96</f>
        <v>137.38</v>
      </c>
      <c r="CA229" s="23">
        <f t="shared" si="1493"/>
        <v>137.38</v>
      </c>
      <c r="CB229" s="23">
        <f>+'QTR Raw'!AV96</f>
        <v>-62.81</v>
      </c>
      <c r="CC229" s="23">
        <f t="shared" si="1493"/>
        <v>-62.81</v>
      </c>
      <c r="CD229" s="23">
        <f>+'QTR Raw'!AX96</f>
        <v>-86.36</v>
      </c>
      <c r="CE229" s="23">
        <f t="shared" si="1493"/>
        <v>-86.36</v>
      </c>
      <c r="CF229" s="23">
        <f>+'QTR Raw'!AZ96</f>
        <v>-97.95</v>
      </c>
      <c r="CG229" s="23">
        <f t="shared" ref="CG229:CI230" si="1494">+CF229</f>
        <v>-97.95</v>
      </c>
      <c r="CH229" s="23">
        <f t="shared" ref="CH229:CH230" si="1495">Z229</f>
        <v>-75.52</v>
      </c>
      <c r="CI229" s="23">
        <f t="shared" si="1494"/>
        <v>-75.52</v>
      </c>
      <c r="CJ229" s="23">
        <f>+'QTR Raw'!BD96</f>
        <v>-57.72</v>
      </c>
      <c r="CK229" s="23">
        <f t="shared" ref="CK229:CK230" si="1496">+CJ229</f>
        <v>-57.72</v>
      </c>
      <c r="CL229" s="23">
        <f>+'QTR Raw'!BF96</f>
        <v>-201.65</v>
      </c>
      <c r="CM229" s="24">
        <f t="shared" ref="CM229:CM230" si="1497">+CL229</f>
        <v>-201.65</v>
      </c>
      <c r="CN229" s="24">
        <f t="shared" ref="CN229:CN230" si="1498">+CM229</f>
        <v>-201.65</v>
      </c>
      <c r="CO229" s="24">
        <f t="shared" ref="CO229:CO230" si="1499">+CN229</f>
        <v>-201.65</v>
      </c>
      <c r="CP229" s="24">
        <f t="shared" ref="CP229:CP230" si="1500">+CO229</f>
        <v>-201.65</v>
      </c>
      <c r="CQ229" s="24">
        <f t="shared" ref="CQ229:CQ230" si="1501">+CP229</f>
        <v>-201.65</v>
      </c>
      <c r="CR229" s="24">
        <f t="shared" ref="CR229:CR230" si="1502">+CQ229</f>
        <v>-201.65</v>
      </c>
      <c r="CS229" s="24">
        <f t="shared" ref="CS229:CS230" si="1503">+CR229</f>
        <v>-201.65</v>
      </c>
      <c r="CT229" s="24">
        <f t="shared" ref="CT229:CT230" si="1504">+CS229</f>
        <v>-201.65</v>
      </c>
      <c r="CU229" s="24">
        <f t="shared" ref="CU229:CU230" si="1505">+CT229</f>
        <v>-201.65</v>
      </c>
      <c r="CV229" s="24">
        <f t="shared" ref="CV229:CV230" si="1506">+CU229</f>
        <v>-201.65</v>
      </c>
      <c r="CW229" s="24">
        <f t="shared" ref="CW229:CW230" si="1507">+CV229</f>
        <v>-201.65</v>
      </c>
      <c r="CX229" s="24">
        <f t="shared" ref="CX229:CX230" si="1508">+CW229</f>
        <v>-201.65</v>
      </c>
      <c r="CY229" s="24">
        <f t="shared" ref="CY229:CY230" si="1509">+CX229</f>
        <v>-201.65</v>
      </c>
      <c r="CZ229" s="24">
        <f t="shared" ref="CZ229:CZ230" si="1510">+CY229</f>
        <v>-201.65</v>
      </c>
      <c r="DA229" s="24">
        <f t="shared" ref="DA229:DA230" si="1511">+CZ229</f>
        <v>-201.65</v>
      </c>
      <c r="DB229" s="24">
        <f t="shared" ref="DB229:DB230" si="1512">+DA229</f>
        <v>-201.65</v>
      </c>
      <c r="DE229" s="123"/>
      <c r="DF229" s="23">
        <v>-201.65</v>
      </c>
    </row>
    <row r="230" spans="1:110" s="23" customFormat="1" x14ac:dyDescent="0.2">
      <c r="A230" s="23" t="s">
        <v>79</v>
      </c>
      <c r="B230" s="23">
        <f>'Annual Raw'!C83</f>
        <v>2.4895999999999998</v>
      </c>
      <c r="C230" s="23">
        <f>'Annual Raw'!D83</f>
        <v>1.8115000000000001</v>
      </c>
      <c r="D230" s="23">
        <f>'Annual Raw'!E83</f>
        <v>1.1342000000000001</v>
      </c>
      <c r="E230" s="23">
        <f>'Annual Raw'!F83</f>
        <v>0.52959999999999996</v>
      </c>
      <c r="F230" s="23">
        <f>'Annual Raw'!G83</f>
        <v>3.0800000000000001E-2</v>
      </c>
      <c r="G230" s="23">
        <f>'Annual Raw'!H83</f>
        <v>0.22359999999999999</v>
      </c>
      <c r="H230" s="23">
        <f>'Annual Raw'!I83</f>
        <v>0.42699999999999999</v>
      </c>
      <c r="I230" s="23">
        <f>'Annual Raw'!J83</f>
        <v>0.45839999999999997</v>
      </c>
      <c r="J230" s="23">
        <f>'Annual Raw'!K83</f>
        <v>0.46389999999999998</v>
      </c>
      <c r="K230" s="23">
        <f>'Annual Raw'!L83</f>
        <v>0.46010000000000001</v>
      </c>
      <c r="L230" s="23">
        <f>'Annual Raw'!M83</f>
        <v>0.46110000000000001</v>
      </c>
      <c r="M230" s="23">
        <f>'Annual Raw'!N83</f>
        <v>0.46200000000000002</v>
      </c>
      <c r="N230" s="23">
        <f>'Annual Raw'!O83</f>
        <v>0.46310000000000001</v>
      </c>
      <c r="O230" s="23">
        <f>'Annual Raw'!P83</f>
        <v>0</v>
      </c>
      <c r="P230" s="23">
        <f>'Annual Raw'!Q83</f>
        <v>0</v>
      </c>
      <c r="Q230" s="23">
        <f>'Annual Raw'!R83</f>
        <v>0</v>
      </c>
      <c r="R230" s="23">
        <f>'Annual Raw'!S83</f>
        <v>0</v>
      </c>
      <c r="S230" s="23">
        <f>'Annual Raw'!T83</f>
        <v>0</v>
      </c>
      <c r="T230" s="23">
        <f>'Annual Raw'!U83</f>
        <v>0</v>
      </c>
      <c r="U230" s="23">
        <f>'Annual Raw'!V83</f>
        <v>0</v>
      </c>
      <c r="V230" s="23">
        <f>'Annual Raw'!W83</f>
        <v>0</v>
      </c>
      <c r="W230" s="23">
        <f>'Annual Raw'!X83</f>
        <v>0</v>
      </c>
      <c r="X230" s="23">
        <f>'Annual Raw'!Y83</f>
        <v>0</v>
      </c>
      <c r="Y230" s="23">
        <f>'Annual Raw'!Z83</f>
        <v>0</v>
      </c>
      <c r="Z230" s="23">
        <f>'Annual Raw'!AA83</f>
        <v>0</v>
      </c>
      <c r="AA230" s="23">
        <f>'Annual Raw'!AB83</f>
        <v>0</v>
      </c>
      <c r="AB230" s="24">
        <f t="shared" si="1489"/>
        <v>0</v>
      </c>
      <c r="AC230" s="24">
        <f t="shared" si="1490"/>
        <v>0</v>
      </c>
      <c r="AD230" s="24">
        <f t="shared" si="1491"/>
        <v>0</v>
      </c>
      <c r="AE230" s="24">
        <f t="shared" si="1492"/>
        <v>0</v>
      </c>
      <c r="AJ230" s="23">
        <f>+'QTR Raw'!D95</f>
        <v>0</v>
      </c>
      <c r="AK230" s="23">
        <f t="shared" ref="AK230:CE230" si="1513">+AJ230</f>
        <v>0</v>
      </c>
      <c r="AL230" s="23">
        <f>+'QTR Raw'!F95</f>
        <v>0</v>
      </c>
      <c r="AM230" s="23">
        <f t="shared" si="1513"/>
        <v>0</v>
      </c>
      <c r="AN230" s="23">
        <f>+'QTR Raw'!H95</f>
        <v>0</v>
      </c>
      <c r="AO230" s="23">
        <f t="shared" si="1513"/>
        <v>0</v>
      </c>
      <c r="AP230" s="23">
        <f>+'QTR Raw'!J95</f>
        <v>0</v>
      </c>
      <c r="AQ230" s="23">
        <f t="shared" si="1513"/>
        <v>0</v>
      </c>
      <c r="AR230" s="23">
        <f>+'QTR Raw'!L95</f>
        <v>0</v>
      </c>
      <c r="AS230" s="23">
        <f t="shared" si="1513"/>
        <v>0</v>
      </c>
      <c r="AT230" s="23">
        <f>+'QTR Raw'!N95</f>
        <v>0</v>
      </c>
      <c r="AU230" s="23">
        <f t="shared" si="1513"/>
        <v>0</v>
      </c>
      <c r="AV230" s="23">
        <f>+'QTR Raw'!P95</f>
        <v>0</v>
      </c>
      <c r="AW230" s="23">
        <f t="shared" si="1513"/>
        <v>0</v>
      </c>
      <c r="AX230" s="23">
        <f>+'QTR Raw'!R95</f>
        <v>0</v>
      </c>
      <c r="AY230" s="23">
        <f t="shared" si="1513"/>
        <v>0</v>
      </c>
      <c r="AZ230" s="23">
        <f>+'QTR Raw'!T95</f>
        <v>0</v>
      </c>
      <c r="BA230" s="23">
        <f t="shared" si="1513"/>
        <v>0</v>
      </c>
      <c r="BB230" s="23">
        <f>+'QTR Raw'!V95</f>
        <v>0</v>
      </c>
      <c r="BC230" s="23">
        <f t="shared" si="1513"/>
        <v>0</v>
      </c>
      <c r="BD230" s="23">
        <f>+'QTR Raw'!X95</f>
        <v>0</v>
      </c>
      <c r="BE230" s="23">
        <f t="shared" si="1513"/>
        <v>0</v>
      </c>
      <c r="BF230" s="23">
        <f>+'QTR Raw'!Z95</f>
        <v>0</v>
      </c>
      <c r="BG230" s="23">
        <f t="shared" si="1513"/>
        <v>0</v>
      </c>
      <c r="BH230" s="23">
        <f>+'QTR Raw'!AB95</f>
        <v>0</v>
      </c>
      <c r="BI230" s="23">
        <f t="shared" si="1513"/>
        <v>0</v>
      </c>
      <c r="BJ230" s="23">
        <f>+'QTR Raw'!AD95</f>
        <v>0</v>
      </c>
      <c r="BK230" s="23">
        <f t="shared" si="1513"/>
        <v>0</v>
      </c>
      <c r="BL230" s="23">
        <f>+'QTR Raw'!AF95</f>
        <v>0</v>
      </c>
      <c r="BM230" s="23">
        <f t="shared" si="1513"/>
        <v>0</v>
      </c>
      <c r="BN230" s="23">
        <f>+'QTR Raw'!AH95</f>
        <v>0</v>
      </c>
      <c r="BO230" s="23">
        <f t="shared" si="1513"/>
        <v>0</v>
      </c>
      <c r="BP230" s="23">
        <f>+'QTR Raw'!AJ95</f>
        <v>0</v>
      </c>
      <c r="BQ230" s="23">
        <f t="shared" si="1513"/>
        <v>0</v>
      </c>
      <c r="BR230" s="23">
        <f>+'QTR Raw'!AL95</f>
        <v>0</v>
      </c>
      <c r="BS230" s="23">
        <f t="shared" si="1513"/>
        <v>0</v>
      </c>
      <c r="BT230" s="23">
        <f>+'QTR Raw'!AN95</f>
        <v>0</v>
      </c>
      <c r="BU230" s="23">
        <f t="shared" si="1513"/>
        <v>0</v>
      </c>
      <c r="BV230" s="23">
        <f>+'QTR Raw'!AP95</f>
        <v>0</v>
      </c>
      <c r="BW230" s="23">
        <f t="shared" si="1513"/>
        <v>0</v>
      </c>
      <c r="BX230" s="23">
        <f>+'QTR Raw'!AR95</f>
        <v>0</v>
      </c>
      <c r="BY230" s="23">
        <f t="shared" si="1513"/>
        <v>0</v>
      </c>
      <c r="BZ230" s="23">
        <f>+'QTR Raw'!AT95</f>
        <v>0</v>
      </c>
      <c r="CA230" s="23">
        <f t="shared" si="1513"/>
        <v>0</v>
      </c>
      <c r="CB230" s="23">
        <f>+'QTR Raw'!AV95</f>
        <v>0</v>
      </c>
      <c r="CC230" s="23">
        <f t="shared" si="1513"/>
        <v>0</v>
      </c>
      <c r="CD230" s="23">
        <f>+'QTR Raw'!AX95</f>
        <v>0</v>
      </c>
      <c r="CE230" s="23">
        <f t="shared" si="1513"/>
        <v>0</v>
      </c>
      <c r="CF230" s="23">
        <f>+'QTR Raw'!AZ95</f>
        <v>0</v>
      </c>
      <c r="CG230" s="23">
        <f t="shared" si="1494"/>
        <v>0</v>
      </c>
      <c r="CH230" s="23">
        <f t="shared" si="1495"/>
        <v>0</v>
      </c>
      <c r="CI230" s="23">
        <f t="shared" si="1494"/>
        <v>0</v>
      </c>
      <c r="CJ230" s="23">
        <f>+'QTR Raw'!BD95</f>
        <v>0</v>
      </c>
      <c r="CK230" s="23">
        <f t="shared" si="1496"/>
        <v>0</v>
      </c>
      <c r="CL230" s="23">
        <f>+'QTR Raw'!BF95</f>
        <v>0</v>
      </c>
      <c r="CM230" s="24">
        <f t="shared" si="1497"/>
        <v>0</v>
      </c>
      <c r="CN230" s="24">
        <f t="shared" si="1498"/>
        <v>0</v>
      </c>
      <c r="CO230" s="24">
        <f t="shared" si="1499"/>
        <v>0</v>
      </c>
      <c r="CP230" s="24">
        <f t="shared" si="1500"/>
        <v>0</v>
      </c>
      <c r="CQ230" s="24">
        <f t="shared" si="1501"/>
        <v>0</v>
      </c>
      <c r="CR230" s="24">
        <f t="shared" si="1502"/>
        <v>0</v>
      </c>
      <c r="CS230" s="24">
        <f t="shared" si="1503"/>
        <v>0</v>
      </c>
      <c r="CT230" s="24">
        <f t="shared" si="1504"/>
        <v>0</v>
      </c>
      <c r="CU230" s="24">
        <f t="shared" si="1505"/>
        <v>0</v>
      </c>
      <c r="CV230" s="24">
        <f t="shared" si="1506"/>
        <v>0</v>
      </c>
      <c r="CW230" s="24">
        <f t="shared" si="1507"/>
        <v>0</v>
      </c>
      <c r="CX230" s="24">
        <f t="shared" si="1508"/>
        <v>0</v>
      </c>
      <c r="CY230" s="24">
        <f t="shared" si="1509"/>
        <v>0</v>
      </c>
      <c r="CZ230" s="24">
        <f t="shared" si="1510"/>
        <v>0</v>
      </c>
      <c r="DA230" s="24">
        <f t="shared" si="1511"/>
        <v>0</v>
      </c>
      <c r="DB230" s="24">
        <f t="shared" si="1512"/>
        <v>0</v>
      </c>
      <c r="DE230" s="123"/>
      <c r="DF230" s="23">
        <v>0</v>
      </c>
    </row>
    <row r="231" spans="1:110" s="26" customFormat="1" x14ac:dyDescent="0.2">
      <c r="A231" s="26" t="s">
        <v>438</v>
      </c>
      <c r="B231" s="26">
        <f t="shared" ref="B231:W231" si="1514">B229+B227+B223+B206+B204+B230</f>
        <v>416.05220000000003</v>
      </c>
      <c r="C231" s="26">
        <f t="shared" si="1514"/>
        <v>403.65970000000004</v>
      </c>
      <c r="D231" s="26">
        <f t="shared" si="1514"/>
        <v>398.99040000000008</v>
      </c>
      <c r="E231" s="26">
        <f t="shared" si="1514"/>
        <v>376.95669999999996</v>
      </c>
      <c r="F231" s="26">
        <f t="shared" si="1514"/>
        <v>231.19799999999998</v>
      </c>
      <c r="G231" s="26">
        <f t="shared" si="1514"/>
        <v>195.83490000000003</v>
      </c>
      <c r="H231" s="26">
        <f t="shared" si="1514"/>
        <v>148.54179999999999</v>
      </c>
      <c r="I231" s="26">
        <f t="shared" si="1514"/>
        <v>133.49560000000002</v>
      </c>
      <c r="J231" s="26">
        <f t="shared" si="1514"/>
        <v>148.4693</v>
      </c>
      <c r="K231" s="26">
        <f t="shared" si="1514"/>
        <v>146.08040000000008</v>
      </c>
      <c r="L231" s="26">
        <f t="shared" si="1514"/>
        <v>157.17349999999993</v>
      </c>
      <c r="M231" s="26">
        <f t="shared" si="1514"/>
        <v>155.27190000000002</v>
      </c>
      <c r="N231" s="26">
        <f t="shared" si="1514"/>
        <v>151.07580000000004</v>
      </c>
      <c r="O231" s="26">
        <f t="shared" si="1514"/>
        <v>103.8135</v>
      </c>
      <c r="P231" s="26">
        <f t="shared" si="1514"/>
        <v>84.345000000000056</v>
      </c>
      <c r="Q231" s="26">
        <f t="shared" si="1514"/>
        <v>74.1601</v>
      </c>
      <c r="R231" s="26">
        <f t="shared" si="1514"/>
        <v>93.658399999999972</v>
      </c>
      <c r="S231" s="26">
        <f t="shared" si="1514"/>
        <v>113.93899999999991</v>
      </c>
      <c r="T231" s="26">
        <f t="shared" si="1514"/>
        <v>200.76160000000004</v>
      </c>
      <c r="U231" s="26">
        <f t="shared" si="1514"/>
        <v>264.97720000000004</v>
      </c>
      <c r="V231" s="26">
        <f t="shared" si="1514"/>
        <v>355.95669999999996</v>
      </c>
      <c r="W231" s="26">
        <f t="shared" si="1514"/>
        <v>577.00000000000011</v>
      </c>
      <c r="X231" s="26">
        <f t="shared" ref="X231:Y231" si="1515">X229+X227+X223+X206+X204+X230</f>
        <v>1530.52</v>
      </c>
      <c r="Y231" s="26">
        <f t="shared" si="1515"/>
        <v>2810.8700000000003</v>
      </c>
      <c r="Z231" s="26">
        <f t="shared" ref="Z231:AA231" si="1516">Z229+Z227+Z223+Z206+Z204+Z230</f>
        <v>7493.9300000000012</v>
      </c>
      <c r="AA231" s="26">
        <f t="shared" si="1516"/>
        <v>34646.49</v>
      </c>
      <c r="AB231" s="27">
        <f t="shared" ref="AB231:AD231" si="1517">AB229+AB227+AB223+AB206+AB204+AB230</f>
        <v>40994.963184917811</v>
      </c>
      <c r="AC231" s="27">
        <f t="shared" si="1517"/>
        <v>48677.604128647261</v>
      </c>
      <c r="AD231" s="27">
        <f t="shared" si="1517"/>
        <v>57069.81796919035</v>
      </c>
      <c r="AE231" s="27">
        <f t="shared" ref="AE231" si="1518">AE229+AE227+AE223+AE206+AE204+AE230</f>
        <v>67148.52496550692</v>
      </c>
      <c r="AJ231" s="26">
        <f t="shared" ref="AJ231" si="1519">AJ229+AJ227+AJ223+AJ206+AJ204+AJ230</f>
        <v>149.81800000000001</v>
      </c>
      <c r="AK231" s="26">
        <f t="shared" ref="AK231:AL231" si="1520">AK229+AK227+AK223+AK206+AK204+AK230</f>
        <v>143.559</v>
      </c>
      <c r="AL231" s="26">
        <f t="shared" si="1520"/>
        <v>145.43399999999997</v>
      </c>
      <c r="AM231" s="26">
        <f t="shared" ref="AM231:AO231" si="1521">AM229+AM227+AM223+AM206+AM204+AM230</f>
        <v>132.72499999999991</v>
      </c>
      <c r="AN231" s="26">
        <f t="shared" si="1521"/>
        <v>119.46100000000004</v>
      </c>
      <c r="AO231" s="26">
        <f t="shared" si="1521"/>
        <v>113.54800000000006</v>
      </c>
      <c r="AP231" s="26">
        <f t="shared" ref="AP231:CE231" si="1522">AP229+AP227+AP223+AP206+AP204+AP230</f>
        <v>98.067000000000007</v>
      </c>
      <c r="AQ231" s="26">
        <f t="shared" si="1522"/>
        <v>89.500000000000028</v>
      </c>
      <c r="AR231" s="26">
        <f t="shared" si="1522"/>
        <v>83.205000000000041</v>
      </c>
      <c r="AS231" s="26">
        <f t="shared" si="1522"/>
        <v>76.562000000000012</v>
      </c>
      <c r="AT231" s="26">
        <f t="shared" si="1522"/>
        <v>78.983000000000004</v>
      </c>
      <c r="AU231" s="26">
        <f t="shared" si="1522"/>
        <v>81.722999999999985</v>
      </c>
      <c r="AV231" s="26">
        <f t="shared" si="1522"/>
        <v>74.488000000000056</v>
      </c>
      <c r="AW231" s="26">
        <f t="shared" si="1522"/>
        <v>74.743000000000052</v>
      </c>
      <c r="AX231" s="26">
        <f t="shared" si="1522"/>
        <v>73.94999999999996</v>
      </c>
      <c r="AY231" s="26">
        <f t="shared" si="1522"/>
        <v>74.08899999999997</v>
      </c>
      <c r="AZ231" s="26">
        <f t="shared" si="1522"/>
        <v>85.66</v>
      </c>
      <c r="BA231" s="26">
        <f t="shared" si="1522"/>
        <v>86.089000000000027</v>
      </c>
      <c r="BB231" s="26">
        <f t="shared" si="1522"/>
        <v>93.659999999999968</v>
      </c>
      <c r="BC231" s="26">
        <f t="shared" si="1522"/>
        <v>98.941999999999979</v>
      </c>
      <c r="BD231" s="26">
        <f t="shared" si="1522"/>
        <v>89.381000000000029</v>
      </c>
      <c r="BE231" s="26">
        <f t="shared" si="1522"/>
        <v>90.954000000000036</v>
      </c>
      <c r="BF231" s="26">
        <f t="shared" si="1522"/>
        <v>113.61800000000005</v>
      </c>
      <c r="BG231" s="26">
        <f t="shared" si="1522"/>
        <v>123.87900000000002</v>
      </c>
      <c r="BH231" s="26">
        <f t="shared" ref="BH231" si="1523">BH229+BH227+BH223+BH206+BH204+BH230</f>
        <v>122.52300000000002</v>
      </c>
      <c r="BI231" s="26">
        <f t="shared" si="1522"/>
        <v>124.37100000000004</v>
      </c>
      <c r="BJ231" s="26">
        <f t="shared" si="1522"/>
        <v>193.54300000000003</v>
      </c>
      <c r="BK231" s="26">
        <f t="shared" si="1522"/>
        <v>201.03200000000004</v>
      </c>
      <c r="BL231" s="26">
        <f t="shared" si="1522"/>
        <v>222.82600000000005</v>
      </c>
      <c r="BM231" s="26">
        <f t="shared" si="1522"/>
        <v>225.90900000000005</v>
      </c>
      <c r="BN231" s="26">
        <f t="shared" si="1522"/>
        <v>243.28899999999999</v>
      </c>
      <c r="BO231" s="26">
        <f t="shared" si="1522"/>
        <v>233.85300000000001</v>
      </c>
      <c r="BP231" s="26">
        <f t="shared" si="1522"/>
        <v>269.75899999999996</v>
      </c>
      <c r="BQ231" s="26">
        <f t="shared" si="1522"/>
        <v>272.35500000000002</v>
      </c>
      <c r="BR231" s="26">
        <f t="shared" si="1522"/>
        <v>284.96499999999992</v>
      </c>
      <c r="BS231" s="26">
        <f t="shared" si="1522"/>
        <v>284.78499999999997</v>
      </c>
      <c r="BT231" s="26">
        <f t="shared" si="1522"/>
        <v>460.30600000000004</v>
      </c>
      <c r="BU231" s="26">
        <f t="shared" si="1522"/>
        <v>434.16600000000005</v>
      </c>
      <c r="BV231" s="26">
        <f t="shared" si="1522"/>
        <v>538.29999999999995</v>
      </c>
      <c r="BW231" s="26">
        <f t="shared" si="1522"/>
        <v>-392.03000000000037</v>
      </c>
      <c r="BX231" s="26">
        <f t="shared" si="1522"/>
        <v>226.60000000000014</v>
      </c>
      <c r="BY231" s="26">
        <f t="shared" si="1522"/>
        <v>456.63</v>
      </c>
      <c r="BZ231" s="26">
        <f t="shared" si="1522"/>
        <v>1528.95</v>
      </c>
      <c r="CA231" s="26">
        <f t="shared" si="1522"/>
        <v>1932.21</v>
      </c>
      <c r="CB231" s="26">
        <f t="shared" si="1522"/>
        <v>2180.9799999999996</v>
      </c>
      <c r="CC231" s="26">
        <f t="shared" si="1522"/>
        <v>2512.48</v>
      </c>
      <c r="CD231" s="26">
        <f t="shared" si="1522"/>
        <v>2810.8700000000003</v>
      </c>
      <c r="CE231" s="26">
        <f t="shared" si="1522"/>
        <v>3368.27</v>
      </c>
      <c r="CF231" s="26">
        <f t="shared" ref="CF231:CG231" si="1524">CF229+CF227+CF223+CF206+CF204+CF230</f>
        <v>5785.6</v>
      </c>
      <c r="CG231" s="26">
        <f t="shared" si="1524"/>
        <v>6174.8900000000012</v>
      </c>
      <c r="CH231" s="26">
        <f t="shared" ref="CH231:CI231" si="1525">CH229+CH227+CH223+CH206+CH204+CH230</f>
        <v>7493.9300000000012</v>
      </c>
      <c r="CI231" s="26">
        <f t="shared" si="1525"/>
        <v>8135.52</v>
      </c>
      <c r="CJ231" s="26">
        <f t="shared" ref="CJ231:DB231" si="1526">CJ229+CJ227+CJ223+CJ206+CJ204+CJ230</f>
        <v>16141.279999999999</v>
      </c>
      <c r="CK231" s="26">
        <f t="shared" si="1526"/>
        <v>17188.669999999998</v>
      </c>
      <c r="CL231" s="26">
        <f t="shared" ref="CL231" si="1527">CL229+CL227+CL223+CL206+CL204+CL230</f>
        <v>34646.479999999996</v>
      </c>
      <c r="CM231" s="27">
        <f t="shared" si="1526"/>
        <v>36265.689278399994</v>
      </c>
      <c r="CN231" s="27">
        <f t="shared" si="1526"/>
        <v>37800.091474177709</v>
      </c>
      <c r="CO231" s="27">
        <f t="shared" si="1526"/>
        <v>39361.477346568019</v>
      </c>
      <c r="CP231" s="27">
        <f t="shared" si="1526"/>
        <v>40994.963184917811</v>
      </c>
      <c r="CQ231" s="27">
        <f t="shared" si="1526"/>
        <v>42717.904887803343</v>
      </c>
      <c r="CR231" s="27">
        <f t="shared" si="1526"/>
        <v>44498.272089794293</v>
      </c>
      <c r="CS231" s="27">
        <f t="shared" si="1526"/>
        <v>46519.243175332245</v>
      </c>
      <c r="CT231" s="27">
        <f t="shared" si="1526"/>
        <v>48677.604128647261</v>
      </c>
      <c r="CU231" s="27">
        <f t="shared" si="1526"/>
        <v>50692.876646790151</v>
      </c>
      <c r="CV231" s="27">
        <f t="shared" si="1526"/>
        <v>52601.140970195716</v>
      </c>
      <c r="CW231" s="27">
        <f t="shared" si="1526"/>
        <v>54771.715144857328</v>
      </c>
      <c r="CX231" s="27">
        <f t="shared" si="1526"/>
        <v>57069.81796919035</v>
      </c>
      <c r="CY231" s="27">
        <f t="shared" si="1526"/>
        <v>59494.211086750838</v>
      </c>
      <c r="CZ231" s="27">
        <f t="shared" si="1526"/>
        <v>61806.787136578801</v>
      </c>
      <c r="DA231" s="27">
        <f t="shared" si="1526"/>
        <v>64402.038963305298</v>
      </c>
      <c r="DB231" s="27">
        <f t="shared" si="1526"/>
        <v>67148.52496550692</v>
      </c>
      <c r="DE231" s="121"/>
      <c r="DF231" s="26">
        <v>34646.49</v>
      </c>
    </row>
    <row r="232" spans="1:110" s="23" customFormat="1" x14ac:dyDescent="0.2">
      <c r="A232" s="28" t="s">
        <v>439</v>
      </c>
      <c r="B232" s="23">
        <f t="shared" ref="B232:W232" si="1528">B231-B195</f>
        <v>0</v>
      </c>
      <c r="C232" s="23">
        <f t="shared" si="1528"/>
        <v>0</v>
      </c>
      <c r="D232" s="23">
        <f t="shared" si="1528"/>
        <v>0</v>
      </c>
      <c r="E232" s="23">
        <f t="shared" si="1528"/>
        <v>0</v>
      </c>
      <c r="F232" s="23">
        <f t="shared" si="1528"/>
        <v>0</v>
      </c>
      <c r="G232" s="23">
        <f t="shared" si="1528"/>
        <v>0</v>
      </c>
      <c r="H232" s="23">
        <f t="shared" si="1528"/>
        <v>0</v>
      </c>
      <c r="I232" s="23">
        <f t="shared" si="1528"/>
        <v>0</v>
      </c>
      <c r="J232" s="23">
        <f t="shared" si="1528"/>
        <v>0</v>
      </c>
      <c r="K232" s="23">
        <f t="shared" si="1528"/>
        <v>0</v>
      </c>
      <c r="L232" s="23">
        <f t="shared" si="1528"/>
        <v>0</v>
      </c>
      <c r="M232" s="23">
        <f t="shared" si="1528"/>
        <v>0</v>
      </c>
      <c r="N232" s="23">
        <f t="shared" si="1528"/>
        <v>0</v>
      </c>
      <c r="O232" s="23">
        <f t="shared" si="1528"/>
        <v>0</v>
      </c>
      <c r="P232" s="23">
        <f t="shared" si="1528"/>
        <v>0</v>
      </c>
      <c r="Q232" s="23">
        <f t="shared" si="1528"/>
        <v>0</v>
      </c>
      <c r="R232" s="23">
        <f t="shared" si="1528"/>
        <v>0</v>
      </c>
      <c r="S232" s="23">
        <f t="shared" si="1528"/>
        <v>0</v>
      </c>
      <c r="T232" s="23">
        <f t="shared" si="1528"/>
        <v>0</v>
      </c>
      <c r="U232" s="23">
        <f t="shared" si="1528"/>
        <v>0</v>
      </c>
      <c r="V232" s="23">
        <f t="shared" si="1528"/>
        <v>0</v>
      </c>
      <c r="W232" s="23">
        <f t="shared" si="1528"/>
        <v>0</v>
      </c>
      <c r="X232" s="23">
        <f t="shared" ref="X232:Y232" si="1529">X231-X195</f>
        <v>0</v>
      </c>
      <c r="Y232" s="23">
        <f t="shared" si="1529"/>
        <v>0</v>
      </c>
      <c r="Z232" s="23">
        <f t="shared" ref="Z232:AA232" si="1530">Z231-Z195</f>
        <v>0</v>
      </c>
      <c r="AA232" s="23">
        <f t="shared" si="1530"/>
        <v>0</v>
      </c>
      <c r="AB232" s="24">
        <f t="shared" ref="AB232:AD232" si="1531">AB231-AB195</f>
        <v>0</v>
      </c>
      <c r="AC232" s="24">
        <f t="shared" si="1531"/>
        <v>0</v>
      </c>
      <c r="AD232" s="24">
        <f t="shared" si="1531"/>
        <v>0</v>
      </c>
      <c r="AE232" s="24">
        <f t="shared" ref="AE232" si="1532">AE231-AE195</f>
        <v>0</v>
      </c>
      <c r="AJ232" s="23">
        <f t="shared" ref="AJ232" si="1533">AJ231-AJ195</f>
        <v>0</v>
      </c>
      <c r="AK232" s="23">
        <f t="shared" ref="AK232" si="1534">AK231-AK195</f>
        <v>0</v>
      </c>
      <c r="AL232" s="23">
        <f t="shared" ref="AL232:AM232" si="1535">AL231-AL195</f>
        <v>0</v>
      </c>
      <c r="AM232" s="23">
        <f t="shared" si="1535"/>
        <v>0</v>
      </c>
      <c r="AN232" s="23">
        <f t="shared" ref="AN232:AO232" si="1536">AN231-AN195</f>
        <v>0</v>
      </c>
      <c r="AO232" s="23">
        <f t="shared" si="1536"/>
        <v>0</v>
      </c>
      <c r="AP232" s="23">
        <f t="shared" ref="AP232:CE232" si="1537">AP231-AP195</f>
        <v>0</v>
      </c>
      <c r="AQ232" s="23">
        <f t="shared" si="1537"/>
        <v>0</v>
      </c>
      <c r="AR232" s="23">
        <f t="shared" si="1537"/>
        <v>0</v>
      </c>
      <c r="AS232" s="23">
        <f t="shared" si="1537"/>
        <v>0</v>
      </c>
      <c r="AT232" s="23">
        <f t="shared" si="1537"/>
        <v>0</v>
      </c>
      <c r="AU232" s="23">
        <f t="shared" si="1537"/>
        <v>0</v>
      </c>
      <c r="AV232" s="23">
        <f t="shared" si="1537"/>
        <v>1.0000000000616183E-3</v>
      </c>
      <c r="AW232" s="23">
        <f t="shared" si="1537"/>
        <v>1.0000000000616183E-3</v>
      </c>
      <c r="AX232" s="23">
        <f t="shared" si="1537"/>
        <v>0</v>
      </c>
      <c r="AY232" s="23">
        <f t="shared" si="1537"/>
        <v>0</v>
      </c>
      <c r="AZ232" s="23">
        <f t="shared" si="1537"/>
        <v>0</v>
      </c>
      <c r="BA232" s="23">
        <f t="shared" si="1537"/>
        <v>0</v>
      </c>
      <c r="BB232" s="23">
        <f t="shared" si="1537"/>
        <v>9.9999999997635314E-4</v>
      </c>
      <c r="BC232" s="23">
        <f t="shared" si="1537"/>
        <v>9.9999999999056399E-4</v>
      </c>
      <c r="BD232" s="23">
        <f t="shared" si="1537"/>
        <v>1.0000000000331966E-3</v>
      </c>
      <c r="BE232" s="23">
        <f t="shared" si="1537"/>
        <v>1.0000000000189857E-3</v>
      </c>
      <c r="BF232" s="23">
        <f t="shared" si="1537"/>
        <v>1.0000000000474074E-3</v>
      </c>
      <c r="BG232" s="23">
        <f t="shared" si="1537"/>
        <v>1.0000000000189857E-3</v>
      </c>
      <c r="BH232" s="23">
        <f t="shared" ref="BH232" si="1538">BH231-BH195</f>
        <v>1.0000000000331966E-3</v>
      </c>
      <c r="BI232" s="23">
        <f t="shared" si="1537"/>
        <v>1.0000000000331966E-3</v>
      </c>
      <c r="BJ232" s="23">
        <f t="shared" si="1537"/>
        <v>0</v>
      </c>
      <c r="BK232" s="23">
        <f t="shared" si="1537"/>
        <v>0</v>
      </c>
      <c r="BL232" s="23">
        <f t="shared" si="1537"/>
        <v>-9.9999999994793143E-4</v>
      </c>
      <c r="BM232" s="23">
        <f t="shared" si="1537"/>
        <v>-9.9999999994793143E-4</v>
      </c>
      <c r="BN232" s="23">
        <f t="shared" si="1537"/>
        <v>0</v>
      </c>
      <c r="BO232" s="23">
        <f t="shared" si="1537"/>
        <v>0</v>
      </c>
      <c r="BP232" s="23">
        <f t="shared" si="1537"/>
        <v>-1.0000000000331966E-3</v>
      </c>
      <c r="BQ232" s="23">
        <f t="shared" si="1537"/>
        <v>-9.9999999997635314E-4</v>
      </c>
      <c r="BR232" s="23">
        <f t="shared" si="1537"/>
        <v>0</v>
      </c>
      <c r="BS232" s="23">
        <f t="shared" si="1537"/>
        <v>0</v>
      </c>
      <c r="BT232" s="23">
        <f t="shared" si="1537"/>
        <v>0</v>
      </c>
      <c r="BU232" s="23">
        <f t="shared" si="1537"/>
        <v>0</v>
      </c>
      <c r="BV232" s="23">
        <f t="shared" si="1537"/>
        <v>0</v>
      </c>
      <c r="BW232" s="23">
        <f t="shared" si="1537"/>
        <v>0</v>
      </c>
      <c r="BX232" s="23">
        <f t="shared" si="1537"/>
        <v>0</v>
      </c>
      <c r="BY232" s="23">
        <f t="shared" si="1537"/>
        <v>0</v>
      </c>
      <c r="BZ232" s="23">
        <f t="shared" si="1537"/>
        <v>0</v>
      </c>
      <c r="CA232" s="23">
        <f t="shared" si="1537"/>
        <v>0</v>
      </c>
      <c r="CB232" s="23">
        <f t="shared" si="1537"/>
        <v>0</v>
      </c>
      <c r="CC232" s="23">
        <f t="shared" si="1537"/>
        <v>0</v>
      </c>
      <c r="CD232" s="23">
        <f t="shared" si="1537"/>
        <v>0</v>
      </c>
      <c r="CE232" s="23">
        <f t="shared" si="1537"/>
        <v>0</v>
      </c>
      <c r="CF232" s="23">
        <f t="shared" ref="CF232:CG232" si="1539">CF231-CF195</f>
        <v>0</v>
      </c>
      <c r="CG232" s="23">
        <f t="shared" si="1539"/>
        <v>0</v>
      </c>
      <c r="CH232" s="23">
        <f t="shared" ref="CH232:CI232" si="1540">CH231-CH195</f>
        <v>0</v>
      </c>
      <c r="CI232" s="23">
        <f t="shared" si="1540"/>
        <v>0</v>
      </c>
      <c r="CJ232" s="23">
        <f t="shared" ref="CJ232:DB232" si="1541">CJ231-CJ195</f>
        <v>0</v>
      </c>
      <c r="CK232" s="23">
        <f t="shared" si="1541"/>
        <v>0</v>
      </c>
      <c r="CL232" s="23">
        <f t="shared" ref="CL232" si="1542">CL231-CL195</f>
        <v>0</v>
      </c>
      <c r="CM232" s="24">
        <f t="shared" si="1541"/>
        <v>0</v>
      </c>
      <c r="CN232" s="24">
        <f t="shared" si="1541"/>
        <v>0</v>
      </c>
      <c r="CO232" s="24">
        <f t="shared" si="1541"/>
        <v>0</v>
      </c>
      <c r="CP232" s="24">
        <f t="shared" si="1541"/>
        <v>0</v>
      </c>
      <c r="CQ232" s="24">
        <f t="shared" si="1541"/>
        <v>0</v>
      </c>
      <c r="CR232" s="24">
        <f t="shared" si="1541"/>
        <v>0</v>
      </c>
      <c r="CS232" s="24">
        <f t="shared" si="1541"/>
        <v>0</v>
      </c>
      <c r="CT232" s="24">
        <f t="shared" si="1541"/>
        <v>0</v>
      </c>
      <c r="CU232" s="24">
        <f t="shared" si="1541"/>
        <v>0</v>
      </c>
      <c r="CV232" s="24">
        <f t="shared" si="1541"/>
        <v>0</v>
      </c>
      <c r="CW232" s="24">
        <f t="shared" si="1541"/>
        <v>0</v>
      </c>
      <c r="CX232" s="24">
        <f t="shared" si="1541"/>
        <v>0</v>
      </c>
      <c r="CY232" s="24">
        <f t="shared" si="1541"/>
        <v>0</v>
      </c>
      <c r="CZ232" s="24">
        <f t="shared" si="1541"/>
        <v>0</v>
      </c>
      <c r="DA232" s="24">
        <f t="shared" si="1541"/>
        <v>0</v>
      </c>
      <c r="DB232" s="24">
        <f t="shared" si="1541"/>
        <v>0</v>
      </c>
      <c r="DE232" s="123"/>
      <c r="DF232" s="23">
        <v>0</v>
      </c>
    </row>
    <row r="233" spans="1:110" s="23" customFormat="1" x14ac:dyDescent="0.2">
      <c r="A233" s="28"/>
      <c r="AB233" s="24"/>
      <c r="AC233" s="24"/>
      <c r="AD233" s="24"/>
      <c r="AE233" s="24"/>
      <c r="CM233" s="24"/>
      <c r="CN233" s="24"/>
      <c r="CO233" s="24"/>
      <c r="CP233" s="24"/>
      <c r="CQ233" s="24"/>
      <c r="CR233" s="24"/>
      <c r="CS233" s="24"/>
      <c r="CT233" s="24"/>
      <c r="CU233" s="24"/>
      <c r="CV233" s="24"/>
      <c r="CW233" s="24"/>
      <c r="CX233" s="24"/>
      <c r="CY233" s="24"/>
      <c r="CZ233" s="24"/>
      <c r="DA233" s="24"/>
      <c r="DB233" s="24"/>
      <c r="DE233" s="123"/>
    </row>
    <row r="234" spans="1:110" s="22" customFormat="1" x14ac:dyDescent="0.2">
      <c r="A234" s="22" t="s">
        <v>80</v>
      </c>
      <c r="B234" s="22">
        <f t="shared" ref="B234:W234" si="1543">B194-B227</f>
        <v>403.84030000000001</v>
      </c>
      <c r="C234" s="22">
        <f t="shared" si="1543"/>
        <v>478.56869999999998</v>
      </c>
      <c r="D234" s="22">
        <f t="shared" si="1543"/>
        <v>506.40039999999999</v>
      </c>
      <c r="E234" s="22">
        <f t="shared" si="1543"/>
        <v>485.28149999999999</v>
      </c>
      <c r="F234" s="22">
        <f t="shared" si="1543"/>
        <v>309.33640000000003</v>
      </c>
      <c r="G234" s="22">
        <f t="shared" si="1543"/>
        <v>209.0385</v>
      </c>
      <c r="H234" s="22">
        <f t="shared" si="1543"/>
        <v>192.49550000000002</v>
      </c>
      <c r="I234" s="22">
        <f t="shared" si="1543"/>
        <v>134.26519999999999</v>
      </c>
      <c r="J234" s="22">
        <f t="shared" si="1543"/>
        <v>57.715199999999996</v>
      </c>
      <c r="K234" s="22">
        <f t="shared" si="1543"/>
        <v>40.506299999999996</v>
      </c>
      <c r="L234" s="22">
        <f t="shared" si="1543"/>
        <v>30.132799999999996</v>
      </c>
      <c r="M234" s="22">
        <f t="shared" si="1543"/>
        <v>20.290199999999999</v>
      </c>
      <c r="N234" s="22">
        <f t="shared" si="1543"/>
        <v>18.3705</v>
      </c>
      <c r="O234" s="22">
        <f t="shared" si="1543"/>
        <v>11.5528</v>
      </c>
      <c r="P234" s="22">
        <f t="shared" si="1543"/>
        <v>12.933300000000001</v>
      </c>
      <c r="Q234" s="22">
        <f t="shared" si="1543"/>
        <v>4.7161000000000008</v>
      </c>
      <c r="R234" s="22">
        <f t="shared" si="1543"/>
        <v>17.874099999999999</v>
      </c>
      <c r="S234" s="22">
        <f t="shared" si="1543"/>
        <v>22.3705</v>
      </c>
      <c r="T234" s="22">
        <f t="shared" si="1543"/>
        <v>84.056399999999996</v>
      </c>
      <c r="U234" s="22">
        <f t="shared" si="1543"/>
        <v>101.974</v>
      </c>
      <c r="V234" s="22">
        <f t="shared" si="1543"/>
        <v>165.81380000000001</v>
      </c>
      <c r="W234" s="22">
        <f t="shared" si="1543"/>
        <v>73.55</v>
      </c>
      <c r="X234" s="22">
        <f t="shared" ref="X234:Y234" si="1544">X194-X227</f>
        <v>-299.76000000000005</v>
      </c>
      <c r="Y234" s="22">
        <f t="shared" si="1544"/>
        <v>-316.15999999999997</v>
      </c>
      <c r="Z234" s="22">
        <f t="shared" ref="Z234:AA234" si="1545">Z194-Z227</f>
        <v>217.91999999999985</v>
      </c>
      <c r="AA234" s="22">
        <f t="shared" si="1545"/>
        <v>17572.450000000004</v>
      </c>
      <c r="AB234" s="21">
        <f t="shared" ref="AB234:AD234" si="1546">AB194-AB227</f>
        <v>14885.241271540248</v>
      </c>
      <c r="AC234" s="21">
        <f t="shared" si="1546"/>
        <v>12580.751990215495</v>
      </c>
      <c r="AD234" s="21">
        <f t="shared" si="1546"/>
        <v>6674.0689881755497</v>
      </c>
      <c r="AE234" s="21">
        <f t="shared" ref="AE234" si="1547">AE194-AE227</f>
        <v>-58.036668546821602</v>
      </c>
      <c r="AJ234" s="22">
        <f t="shared" ref="AJ234:AM234" si="1548">AJ194-AJ227</f>
        <v>18.013999999999999</v>
      </c>
      <c r="AK234" s="22">
        <f t="shared" si="1548"/>
        <v>32.804625264254412</v>
      </c>
      <c r="AL234" s="22">
        <f t="shared" si="1548"/>
        <v>12.73</v>
      </c>
      <c r="AM234" s="22">
        <f t="shared" si="1548"/>
        <v>96.784039151339783</v>
      </c>
      <c r="AN234" s="22">
        <f t="shared" ref="AN234:AO234" si="1549">AN194-AN227</f>
        <v>10.494</v>
      </c>
      <c r="AO234" s="22">
        <f t="shared" si="1549"/>
        <v>-4.6730725980740218</v>
      </c>
      <c r="AP234" s="22">
        <f t="shared" ref="AP234:CE234" si="1550">AP194-AP227</f>
        <v>5.8060000000000009</v>
      </c>
      <c r="AQ234" s="22">
        <f t="shared" si="1550"/>
        <v>20.496285572896852</v>
      </c>
      <c r="AR234" s="22">
        <f t="shared" si="1550"/>
        <v>4.3460000000000001</v>
      </c>
      <c r="AS234" s="22">
        <f t="shared" si="1550"/>
        <v>115.77429090372915</v>
      </c>
      <c r="AT234" s="22">
        <f t="shared" si="1550"/>
        <v>7.5709999999999997</v>
      </c>
      <c r="AU234" s="22">
        <f t="shared" si="1550"/>
        <v>4.1429444737675425</v>
      </c>
      <c r="AV234" s="22">
        <f t="shared" si="1550"/>
        <v>2.6260000000000003</v>
      </c>
      <c r="AW234" s="22">
        <f t="shared" si="1550"/>
        <v>2.2374410437511827</v>
      </c>
      <c r="AX234" s="22">
        <f t="shared" si="1550"/>
        <v>4.5050000000000008</v>
      </c>
      <c r="AY234" s="22">
        <f t="shared" si="1550"/>
        <v>6.1111740872978508</v>
      </c>
      <c r="AZ234" s="22">
        <f t="shared" si="1550"/>
        <v>15.957999999999998</v>
      </c>
      <c r="BA234" s="22">
        <f t="shared" si="1550"/>
        <v>23.194315281977513</v>
      </c>
      <c r="BB234" s="22">
        <f t="shared" si="1550"/>
        <v>17.874000000000002</v>
      </c>
      <c r="BC234" s="22">
        <f t="shared" si="1550"/>
        <v>16.042981821478214</v>
      </c>
      <c r="BD234" s="22">
        <f t="shared" si="1550"/>
        <v>7.463000000000001</v>
      </c>
      <c r="BE234" s="22">
        <f t="shared" si="1550"/>
        <v>14.767206431576071</v>
      </c>
      <c r="BF234" s="22">
        <f t="shared" si="1550"/>
        <v>22.048000000000002</v>
      </c>
      <c r="BG234" s="22">
        <f t="shared" si="1550"/>
        <v>15.457807751540072</v>
      </c>
      <c r="BH234" s="22">
        <f t="shared" si="1550"/>
        <v>20.201000000000001</v>
      </c>
      <c r="BI234" s="22">
        <f t="shared" si="1550"/>
        <v>20.226270644966867</v>
      </c>
      <c r="BJ234" s="22">
        <f t="shared" si="1550"/>
        <v>76.837000000000003</v>
      </c>
      <c r="BK234" s="22">
        <f t="shared" si="1550"/>
        <v>68.355640465291046</v>
      </c>
      <c r="BL234" s="22">
        <f t="shared" si="1550"/>
        <v>96.058000000000007</v>
      </c>
      <c r="BM234" s="22">
        <f t="shared" si="1550"/>
        <v>104.20107823527327</v>
      </c>
      <c r="BN234" s="22">
        <f t="shared" si="1550"/>
        <v>80.287000000000006</v>
      </c>
      <c r="BO234" s="22">
        <f t="shared" si="1550"/>
        <v>61.992849721599825</v>
      </c>
      <c r="BP234" s="22">
        <f t="shared" si="1550"/>
        <v>92.685999999999993</v>
      </c>
      <c r="BQ234" s="22">
        <f t="shared" si="1550"/>
        <v>90.154714464043366</v>
      </c>
      <c r="BR234" s="22">
        <f t="shared" si="1550"/>
        <v>94.822000000000003</v>
      </c>
      <c r="BS234" s="22">
        <f t="shared" si="1550"/>
        <v>95.419375137802504</v>
      </c>
      <c r="BT234" s="22">
        <f t="shared" si="1550"/>
        <v>56.575000000000003</v>
      </c>
      <c r="BU234" s="22">
        <f t="shared" si="1550"/>
        <v>138.57325956937802</v>
      </c>
      <c r="BV234" s="22">
        <f t="shared" si="1550"/>
        <v>34.849999999999994</v>
      </c>
      <c r="BW234" s="22">
        <f t="shared" si="1550"/>
        <v>1233.3623414663427</v>
      </c>
      <c r="BX234" s="22">
        <f t="shared" si="1550"/>
        <v>27.980000000000004</v>
      </c>
      <c r="BY234" s="22">
        <f t="shared" si="1550"/>
        <v>-150.44518226074547</v>
      </c>
      <c r="BZ234" s="22">
        <f t="shared" si="1550"/>
        <v>-301.32000000000005</v>
      </c>
      <c r="CA234" s="22">
        <f t="shared" si="1550"/>
        <v>-431.44515902995744</v>
      </c>
      <c r="CB234" s="22">
        <f t="shared" si="1550"/>
        <v>-455.93</v>
      </c>
      <c r="CC234" s="22">
        <f t="shared" si="1550"/>
        <v>-558.45704043763919</v>
      </c>
      <c r="CD234" s="22">
        <f t="shared" si="1550"/>
        <v>-316.15999999999997</v>
      </c>
      <c r="CE234" s="22">
        <f t="shared" si="1550"/>
        <v>-920.24165914983689</v>
      </c>
      <c r="CF234" s="22">
        <f t="shared" ref="CF234:CG234" si="1551">CF194-CF227</f>
        <v>-1097.67</v>
      </c>
      <c r="CG234" s="22">
        <f t="shared" si="1551"/>
        <v>-1410.0796623226468</v>
      </c>
      <c r="CH234" s="22">
        <f t="shared" ref="CH234:CI234" si="1552">CH194-CH227</f>
        <v>217.91999999999985</v>
      </c>
      <c r="CI234" s="22">
        <f t="shared" si="1552"/>
        <v>339.25621067627412</v>
      </c>
      <c r="CJ234" s="22">
        <f t="shared" ref="CJ234:DB234" si="1553">CJ194-CJ227</f>
        <v>6954.38</v>
      </c>
      <c r="CK234" s="22">
        <f t="shared" si="1553"/>
        <v>7251.9010602379985</v>
      </c>
      <c r="CL234" s="22">
        <f t="shared" ref="CL234" si="1554">CL194-CL227</f>
        <v>17572.440000000002</v>
      </c>
      <c r="CM234" s="21">
        <f t="shared" si="1553"/>
        <v>16752.192563864992</v>
      </c>
      <c r="CN234" s="21">
        <f t="shared" si="1553"/>
        <v>15068.185083902114</v>
      </c>
      <c r="CO234" s="21">
        <f t="shared" si="1553"/>
        <v>14826.31539269405</v>
      </c>
      <c r="CP234" s="21">
        <f t="shared" si="1553"/>
        <v>14885.241271540248</v>
      </c>
      <c r="CQ234" s="21">
        <f t="shared" si="1553"/>
        <v>16346.892186343508</v>
      </c>
      <c r="CR234" s="21">
        <f t="shared" si="1553"/>
        <v>14571.620948658177</v>
      </c>
      <c r="CS234" s="21">
        <f t="shared" si="1553"/>
        <v>13954.124961144629</v>
      </c>
      <c r="CT234" s="21">
        <f>CT194-CT227</f>
        <v>12580.751990215495</v>
      </c>
      <c r="CU234" s="21">
        <f t="shared" si="1553"/>
        <v>10787.974681209913</v>
      </c>
      <c r="CV234" s="21">
        <f t="shared" si="1553"/>
        <v>8355.2346802644406</v>
      </c>
      <c r="CW234" s="21">
        <f t="shared" si="1553"/>
        <v>7934.0851626489311</v>
      </c>
      <c r="CX234" s="21">
        <f t="shared" si="1553"/>
        <v>6674.0689881755497</v>
      </c>
      <c r="CY234" s="21">
        <f t="shared" si="1553"/>
        <v>5215.8317990629439</v>
      </c>
      <c r="CZ234" s="21">
        <f t="shared" si="1553"/>
        <v>2367.3105846976869</v>
      </c>
      <c r="DA234" s="21">
        <f t="shared" si="1553"/>
        <v>1613.8194449042239</v>
      </c>
      <c r="DB234" s="21">
        <f t="shared" si="1553"/>
        <v>-58.036668546821602</v>
      </c>
      <c r="DE234" s="126"/>
      <c r="DF234" s="22">
        <v>17572.450000000004</v>
      </c>
    </row>
    <row r="235" spans="1:110" x14ac:dyDescent="0.2">
      <c r="AA235" s="2"/>
      <c r="CE235" s="111"/>
      <c r="CG235" s="111"/>
      <c r="CM235" s="21"/>
      <c r="CN235" s="21"/>
      <c r="CO235" s="21"/>
      <c r="CP235" s="21"/>
      <c r="CT235" s="21"/>
      <c r="DF235" s="111"/>
    </row>
    <row r="236" spans="1:110" s="49" customFormat="1" x14ac:dyDescent="0.2">
      <c r="A236" s="49" t="s">
        <v>81</v>
      </c>
      <c r="B236" s="49">
        <f>'Annual Raw'!C85</f>
        <v>91.451800000000006</v>
      </c>
      <c r="C236" s="49">
        <f>'Annual Raw'!D85</f>
        <v>91.451800000000006</v>
      </c>
      <c r="D236" s="49">
        <f>'Annual Raw'!E85</f>
        <v>42.0443</v>
      </c>
      <c r="E236" s="49">
        <f>'Annual Raw'!F85</f>
        <v>21.226800000000001</v>
      </c>
      <c r="F236" s="49">
        <f>'Annual Raw'!G85</f>
        <v>3.0409000000000002</v>
      </c>
      <c r="G236" s="49">
        <f>'Annual Raw'!H85</f>
        <v>6.0858999999999996</v>
      </c>
      <c r="H236" s="49">
        <f>'Annual Raw'!I85</f>
        <v>6.0990000000000002</v>
      </c>
      <c r="I236" s="49">
        <f>'Annual Raw'!J85</f>
        <v>2.9632999999999998</v>
      </c>
      <c r="J236" s="49">
        <f>'Annual Raw'!K85</f>
        <v>4.1718999999999999</v>
      </c>
      <c r="K236" s="49">
        <f>'Annual Raw'!L85</f>
        <v>11.2639</v>
      </c>
      <c r="L236" s="49">
        <f>'Annual Raw'!M85</f>
        <v>6.3430999999999997</v>
      </c>
      <c r="M236" s="49">
        <f>'Annual Raw'!N85</f>
        <v>7.0590999999999999</v>
      </c>
      <c r="N236" s="49">
        <f>'Annual Raw'!O85</f>
        <v>6.2409999999999997</v>
      </c>
      <c r="O236" s="49">
        <f>'Annual Raw'!P85</f>
        <v>6.7183000000000002</v>
      </c>
      <c r="P236" s="49">
        <f>'Annual Raw'!Q85</f>
        <v>7.2291999999999996</v>
      </c>
      <c r="Q236" s="49">
        <f>'Annual Raw'!R85</f>
        <v>6.9673999999999996</v>
      </c>
      <c r="R236" s="49">
        <f>'Annual Raw'!S85</f>
        <v>13.8459</v>
      </c>
      <c r="S236" s="49">
        <f>'Annual Raw'!T85</f>
        <v>15.4331</v>
      </c>
      <c r="T236" s="49">
        <f>'Annual Raw'!U85</f>
        <v>16.1996</v>
      </c>
      <c r="U236" s="49">
        <f>'Annual Raw'!V85</f>
        <v>13.1991</v>
      </c>
      <c r="V236" s="49">
        <f>'Annual Raw'!W85</f>
        <v>13.090299999999999</v>
      </c>
      <c r="W236" s="49">
        <f>'Annual Raw'!X85</f>
        <v>65.66</v>
      </c>
      <c r="X236" s="49">
        <f>'Annual Raw'!Y85</f>
        <v>100.06</v>
      </c>
      <c r="Y236" s="49">
        <f>'Annual Raw'!Z85</f>
        <v>101.08</v>
      </c>
      <c r="Z236" s="49">
        <f>'Annual Raw'!AA85</f>
        <v>2005.59</v>
      </c>
      <c r="AA236" s="49">
        <f>'Annual Raw'!AB85</f>
        <v>7233.81</v>
      </c>
      <c r="AB236" s="50"/>
      <c r="AC236" s="50"/>
      <c r="AD236" s="50"/>
      <c r="AE236" s="50"/>
      <c r="CM236" s="50"/>
      <c r="CN236" s="50"/>
      <c r="CO236" s="50"/>
      <c r="CP236" s="50"/>
      <c r="CQ236" s="50"/>
      <c r="CR236" s="50"/>
      <c r="CS236" s="50"/>
      <c r="CT236" s="50"/>
      <c r="CU236" s="50"/>
      <c r="CV236" s="50"/>
      <c r="CW236" s="50"/>
      <c r="CX236" s="50"/>
      <c r="CY236" s="50"/>
      <c r="CZ236" s="50"/>
      <c r="DA236" s="50"/>
      <c r="DB236" s="50"/>
      <c r="DE236" s="138"/>
      <c r="DF236" s="49">
        <v>7233.81</v>
      </c>
    </row>
    <row r="237" spans="1:110" s="29" customFormat="1" x14ac:dyDescent="0.2">
      <c r="A237" s="29" t="s">
        <v>82</v>
      </c>
      <c r="B237" s="29">
        <f>'Annual Raw'!C95</f>
        <v>37.827500000000001</v>
      </c>
      <c r="C237" s="29">
        <f>'Annual Raw'!D95</f>
        <v>37.827500000000001</v>
      </c>
      <c r="D237" s="29">
        <f>'Annual Raw'!E95</f>
        <v>20.209599999999998</v>
      </c>
      <c r="E237" s="29">
        <f>'Annual Raw'!F95</f>
        <v>3.5716000000000001</v>
      </c>
      <c r="F237" s="29">
        <f>'Annual Raw'!G95</f>
        <v>1.3369</v>
      </c>
      <c r="G237" s="29">
        <f>'Annual Raw'!H95</f>
        <v>1.2591000000000001</v>
      </c>
      <c r="H237" s="29">
        <f>'Annual Raw'!I95</f>
        <v>1.2456</v>
      </c>
      <c r="I237" s="29">
        <f>'Annual Raw'!J95</f>
        <v>1.2630999999999999</v>
      </c>
      <c r="J237" s="29">
        <f>'Annual Raw'!K95</f>
        <v>3.7734999999999999</v>
      </c>
      <c r="K237" s="29">
        <f>'Annual Raw'!L95</f>
        <v>4.1973000000000003</v>
      </c>
      <c r="L237" s="29">
        <f>'Annual Raw'!M95</f>
        <v>3.8456000000000001</v>
      </c>
      <c r="M237" s="29">
        <f>'Annual Raw'!N95</f>
        <v>4.5616000000000003</v>
      </c>
      <c r="N237" s="29">
        <f>'Annual Raw'!O95</f>
        <v>4.78</v>
      </c>
      <c r="O237" s="29">
        <f>'Annual Raw'!P95</f>
        <v>5.2474999999999996</v>
      </c>
      <c r="P237" s="29">
        <f>'Annual Raw'!Q95</f>
        <v>5.5670000000000002</v>
      </c>
      <c r="Q237" s="29">
        <f>'Annual Raw'!R95</f>
        <v>5.0621</v>
      </c>
      <c r="R237" s="29">
        <f>'Annual Raw'!S95</f>
        <v>6.0132000000000003</v>
      </c>
      <c r="S237" s="29">
        <f>'Annual Raw'!T95</f>
        <v>7.6935000000000002</v>
      </c>
      <c r="T237" s="29">
        <f>'Annual Raw'!U95</f>
        <v>8.8084000000000007</v>
      </c>
      <c r="U237" s="29">
        <f>'Annual Raw'!V95</f>
        <v>5.8079000000000001</v>
      </c>
      <c r="V237" s="29">
        <f>'Annual Raw'!W95</f>
        <v>5.5736999999999997</v>
      </c>
      <c r="W237" s="29">
        <f>'Annual Raw'!X95</f>
        <v>13.56</v>
      </c>
      <c r="X237" s="29">
        <f>'Annual Raw'!Y95</f>
        <v>46.98</v>
      </c>
      <c r="Y237" s="29">
        <f>'Annual Raw'!Z95</f>
        <v>49.29</v>
      </c>
      <c r="Z237" s="29">
        <f>'Annual Raw'!AA95</f>
        <v>1982.09</v>
      </c>
      <c r="AA237" s="29">
        <f>'Annual Raw'!AB95</f>
        <v>6969.54</v>
      </c>
      <c r="AB237" s="30"/>
      <c r="AC237" s="30"/>
      <c r="AD237" s="30"/>
      <c r="AE237" s="30"/>
      <c r="CM237" s="30"/>
      <c r="CN237" s="30"/>
      <c r="CO237" s="30"/>
      <c r="CP237" s="30"/>
      <c r="CQ237" s="30"/>
      <c r="CR237" s="30"/>
      <c r="CS237" s="30"/>
      <c r="CT237" s="30"/>
      <c r="CU237" s="30"/>
      <c r="CV237" s="30"/>
      <c r="CW237" s="30"/>
      <c r="CX237" s="30"/>
      <c r="CY237" s="30"/>
      <c r="CZ237" s="30"/>
      <c r="DA237" s="30"/>
      <c r="DB237" s="30"/>
      <c r="DE237" s="139"/>
      <c r="DF237" s="29">
        <v>6969.54</v>
      </c>
    </row>
    <row r="238" spans="1:110" s="29" customFormat="1" x14ac:dyDescent="0.2">
      <c r="A238" s="29" t="s">
        <v>83</v>
      </c>
      <c r="B238" s="29">
        <f>'Annual Raw'!C93</f>
        <v>8.0962999999999994</v>
      </c>
      <c r="C238" s="29">
        <f>'Annual Raw'!D93</f>
        <v>22.150300000000001</v>
      </c>
      <c r="D238" s="29">
        <f>'Annual Raw'!E93</f>
        <v>5.0511999999999997</v>
      </c>
      <c r="E238" s="29">
        <f>'Annual Raw'!F93</f>
        <v>0.87170000000000003</v>
      </c>
      <c r="F238" s="29">
        <f>'Annual Raw'!G93</f>
        <v>1.704</v>
      </c>
      <c r="G238" s="29">
        <f>'Annual Raw'!H93</f>
        <v>4.8268000000000004</v>
      </c>
      <c r="H238" s="29">
        <f>'Annual Raw'!I93</f>
        <v>4.8533999999999997</v>
      </c>
      <c r="I238" s="29">
        <f>'Annual Raw'!J93</f>
        <v>1.7001999999999999</v>
      </c>
      <c r="J238" s="29">
        <f>'Annual Raw'!K93</f>
        <v>0.39839999999999998</v>
      </c>
      <c r="K238" s="29">
        <f>'Annual Raw'!L93</f>
        <v>0.38219999999999998</v>
      </c>
      <c r="L238" s="29">
        <f>'Annual Raw'!M93</f>
        <v>2.4975000000000001</v>
      </c>
      <c r="M238" s="29">
        <f>'Annual Raw'!N93</f>
        <v>2.4975000000000001</v>
      </c>
      <c r="N238" s="29">
        <f>'Annual Raw'!O93</f>
        <v>1.4610000000000001</v>
      </c>
      <c r="O238" s="29">
        <f>'Annual Raw'!P93</f>
        <v>1.4708000000000001</v>
      </c>
      <c r="P238" s="29">
        <f>'Annual Raw'!Q93</f>
        <v>1.6621999999999999</v>
      </c>
      <c r="Q238" s="29">
        <f>'Annual Raw'!R93</f>
        <v>1.9053</v>
      </c>
      <c r="R238" s="29">
        <f>'Annual Raw'!S93</f>
        <v>7.8327</v>
      </c>
      <c r="S238" s="29">
        <f>'Annual Raw'!T93</f>
        <v>7.7396000000000003</v>
      </c>
      <c r="T238" s="29">
        <f>'Annual Raw'!U93</f>
        <v>7.3912000000000004</v>
      </c>
      <c r="U238" s="29">
        <f>'Annual Raw'!V93</f>
        <v>7.3912000000000004</v>
      </c>
      <c r="V238" s="29">
        <f>'Annual Raw'!W93</f>
        <v>7.5166000000000004</v>
      </c>
      <c r="W238" s="29">
        <f>'Annual Raw'!X93</f>
        <v>52.1</v>
      </c>
      <c r="X238" s="29">
        <f>'Annual Raw'!Y93</f>
        <v>53.08</v>
      </c>
      <c r="Y238" s="29">
        <f>'Annual Raw'!Z93</f>
        <v>51.79</v>
      </c>
      <c r="Z238" s="29">
        <f>'Annual Raw'!AA93</f>
        <v>23.5</v>
      </c>
      <c r="AA238" s="29">
        <f>'Annual Raw'!AB93</f>
        <v>264.27</v>
      </c>
      <c r="AB238" s="30"/>
      <c r="AC238" s="30"/>
      <c r="AD238" s="30"/>
      <c r="AE238" s="30"/>
      <c r="CM238" s="30"/>
      <c r="CN238" s="30"/>
      <c r="CO238" s="30"/>
      <c r="CP238" s="30"/>
      <c r="CQ238" s="30"/>
      <c r="CR238" s="30"/>
      <c r="CS238" s="30"/>
      <c r="CT238" s="30"/>
      <c r="CU238" s="30"/>
      <c r="CV238" s="30"/>
      <c r="CW238" s="30"/>
      <c r="CX238" s="30"/>
      <c r="CY238" s="30"/>
      <c r="CZ238" s="30"/>
      <c r="DA238" s="30"/>
      <c r="DB238" s="30"/>
      <c r="DE238" s="139"/>
      <c r="DF238" s="29">
        <v>264.27</v>
      </c>
    </row>
    <row r="239" spans="1:110" s="29" customFormat="1" x14ac:dyDescent="0.2">
      <c r="A239" s="29" t="s">
        <v>84</v>
      </c>
      <c r="B239" s="29">
        <f t="shared" ref="B239:V239" si="1555">B236-B237-B238</f>
        <v>45.528000000000006</v>
      </c>
      <c r="C239" s="29">
        <f t="shared" si="1555"/>
        <v>31.474000000000004</v>
      </c>
      <c r="D239" s="29">
        <f t="shared" si="1555"/>
        <v>16.783500000000004</v>
      </c>
      <c r="E239" s="29">
        <f t="shared" si="1555"/>
        <v>16.7835</v>
      </c>
      <c r="F239" s="29">
        <f t="shared" si="1555"/>
        <v>0</v>
      </c>
      <c r="G239" s="29">
        <f t="shared" si="1555"/>
        <v>0</v>
      </c>
      <c r="H239" s="29">
        <f t="shared" si="1555"/>
        <v>0</v>
      </c>
      <c r="I239" s="29">
        <f t="shared" si="1555"/>
        <v>0</v>
      </c>
      <c r="J239" s="29">
        <f t="shared" si="1555"/>
        <v>0</v>
      </c>
      <c r="K239" s="29">
        <f t="shared" si="1555"/>
        <v>6.6843999999999992</v>
      </c>
      <c r="L239" s="29">
        <f t="shared" si="1555"/>
        <v>0</v>
      </c>
      <c r="M239" s="29">
        <f t="shared" si="1555"/>
        <v>0</v>
      </c>
      <c r="N239" s="29">
        <f t="shared" si="1555"/>
        <v>0</v>
      </c>
      <c r="O239" s="29">
        <f t="shared" si="1555"/>
        <v>0</v>
      </c>
      <c r="P239" s="29">
        <f t="shared" si="1555"/>
        <v>0</v>
      </c>
      <c r="Q239" s="29">
        <f t="shared" si="1555"/>
        <v>0</v>
      </c>
      <c r="R239" s="29">
        <f t="shared" si="1555"/>
        <v>0</v>
      </c>
      <c r="S239" s="29">
        <f t="shared" si="1555"/>
        <v>0</v>
      </c>
      <c r="T239" s="29">
        <f t="shared" si="1555"/>
        <v>0</v>
      </c>
      <c r="U239" s="29">
        <f t="shared" si="1555"/>
        <v>0</v>
      </c>
      <c r="V239" s="29">
        <f t="shared" si="1555"/>
        <v>0</v>
      </c>
      <c r="W239" s="29">
        <f t="shared" ref="W239" si="1556">W236-W237-W238</f>
        <v>0</v>
      </c>
      <c r="X239" s="29">
        <f t="shared" ref="X239:Y239" si="1557">X236-X237-X238</f>
        <v>0</v>
      </c>
      <c r="Y239" s="29">
        <f t="shared" si="1557"/>
        <v>0</v>
      </c>
      <c r="Z239" s="29">
        <f t="shared" ref="Z239:AA239" si="1558">Z236-Z237-Z238</f>
        <v>0</v>
      </c>
      <c r="AA239" s="29">
        <f t="shared" si="1558"/>
        <v>4.5474735088646412E-13</v>
      </c>
      <c r="AB239" s="30">
        <f t="shared" ref="AB239:AD239" si="1559">AB236-AB237-AB238</f>
        <v>0</v>
      </c>
      <c r="AC239" s="30">
        <f t="shared" si="1559"/>
        <v>0</v>
      </c>
      <c r="AD239" s="30">
        <f t="shared" si="1559"/>
        <v>0</v>
      </c>
      <c r="AE239" s="30">
        <f t="shared" ref="AE239" si="1560">AE236-AE237-AE238</f>
        <v>0</v>
      </c>
      <c r="CM239" s="30"/>
      <c r="CN239" s="30"/>
      <c r="CO239" s="30"/>
      <c r="CP239" s="30"/>
      <c r="CQ239" s="30"/>
      <c r="CR239" s="30"/>
      <c r="CS239" s="30"/>
      <c r="CT239" s="30"/>
      <c r="CU239" s="30"/>
      <c r="CV239" s="30"/>
      <c r="CW239" s="30"/>
      <c r="CX239" s="30"/>
      <c r="CY239" s="30"/>
      <c r="CZ239" s="30"/>
      <c r="DA239" s="30"/>
      <c r="DB239" s="30"/>
      <c r="DE239" s="139"/>
      <c r="DF239" s="29">
        <v>4.5474735088646412E-13</v>
      </c>
    </row>
    <row r="240" spans="1:110" s="5" customFormat="1" x14ac:dyDescent="0.2">
      <c r="AB240" s="63"/>
      <c r="AC240" s="63"/>
      <c r="AD240" s="63"/>
      <c r="AE240" s="63"/>
      <c r="CE240" s="112"/>
      <c r="CG240" s="112"/>
      <c r="CM240" s="30"/>
      <c r="CN240" s="30"/>
      <c r="CO240" s="30"/>
      <c r="CP240" s="30"/>
      <c r="CQ240" s="30"/>
      <c r="CR240" s="30"/>
      <c r="CS240" s="30"/>
      <c r="CT240" s="30"/>
      <c r="CU240" s="30"/>
      <c r="CV240" s="30"/>
      <c r="CW240" s="30"/>
      <c r="CX240" s="30"/>
      <c r="CY240" s="30"/>
      <c r="CZ240" s="30"/>
      <c r="DA240" s="30"/>
      <c r="DB240" s="30"/>
      <c r="DE240" s="139"/>
      <c r="DF240" s="112"/>
    </row>
    <row r="241" spans="1:110" s="95" customFormat="1" x14ac:dyDescent="0.2">
      <c r="A241" s="95" t="s">
        <v>85</v>
      </c>
      <c r="B241" s="95">
        <f t="shared" ref="B241:W241" si="1561">B236/B186</f>
        <v>8.2434310747347634</v>
      </c>
      <c r="C241" s="95">
        <f t="shared" si="1561"/>
        <v>-1.2158653679964477</v>
      </c>
      <c r="D241" s="95">
        <f t="shared" si="1561"/>
        <v>-0.38937009806418393</v>
      </c>
      <c r="E241" s="95">
        <f t="shared" si="1561"/>
        <v>-0.19512957435484002</v>
      </c>
      <c r="F241" s="95">
        <f t="shared" si="1561"/>
        <v>-3.8395153541472805E-2</v>
      </c>
      <c r="G241" s="95">
        <f t="shared" si="1561"/>
        <v>-0.41853380097654913</v>
      </c>
      <c r="H241" s="95">
        <f t="shared" si="1561"/>
        <v>-0.13693586085035395</v>
      </c>
      <c r="I241" s="95">
        <f t="shared" si="1561"/>
        <v>-1.8045795018573745</v>
      </c>
      <c r="J241" s="95">
        <f t="shared" si="1561"/>
        <v>5.0344163460749436E-2</v>
      </c>
      <c r="K241" s="95">
        <f t="shared" si="1561"/>
        <v>0.11189300930695056</v>
      </c>
      <c r="L241" s="95">
        <f t="shared" si="1561"/>
        <v>5.3213390469223465E-2</v>
      </c>
      <c r="M241" s="95">
        <f t="shared" si="1561"/>
        <v>5.7422102193462318E-2</v>
      </c>
      <c r="N241" s="95">
        <f t="shared" si="1561"/>
        <v>4.9988385970252062E-2</v>
      </c>
      <c r="O241" s="95">
        <f t="shared" si="1561"/>
        <v>8.1529501852474359E-2</v>
      </c>
      <c r="P241" s="95">
        <f t="shared" si="1561"/>
        <v>0.11802910400608659</v>
      </c>
      <c r="Q241" s="95">
        <f t="shared" si="1561"/>
        <v>0.11243091470941818</v>
      </c>
      <c r="R241" s="95">
        <f t="shared" si="1561"/>
        <v>0.20474922253588609</v>
      </c>
      <c r="S241" s="95">
        <f t="shared" si="1561"/>
        <v>0.18278235266947201</v>
      </c>
      <c r="T241" s="95">
        <f t="shared" si="1561"/>
        <v>0.14964504611860127</v>
      </c>
      <c r="U241" s="95">
        <f t="shared" si="1561"/>
        <v>9.1403028278008808E-2</v>
      </c>
      <c r="V241" s="95">
        <f t="shared" si="1561"/>
        <v>7.1883135746186405E-2</v>
      </c>
      <c r="W241" s="95">
        <f t="shared" si="1561"/>
        <v>0.1363428713817019</v>
      </c>
      <c r="X241" s="95">
        <f t="shared" ref="X241:Y241" si="1562">X236/X186</f>
        <v>6.5443605088459395E-2</v>
      </c>
      <c r="Y241" s="95">
        <f t="shared" si="1562"/>
        <v>3.5960396603186909E-2</v>
      </c>
      <c r="Z241" s="95">
        <f t="shared" ref="Z241:AA241" si="1563">Z236/Z186</f>
        <v>0.31045900360367051</v>
      </c>
      <c r="AA241" s="95">
        <f t="shared" si="1563"/>
        <v>0.52151015544063861</v>
      </c>
      <c r="AB241" s="87">
        <f t="shared" ref="AB241:AD241" si="1564">AB236/AB186</f>
        <v>0</v>
      </c>
      <c r="AC241" s="87">
        <f t="shared" si="1564"/>
        <v>0</v>
      </c>
      <c r="AD241" s="87">
        <f t="shared" si="1564"/>
        <v>0</v>
      </c>
      <c r="AE241" s="87">
        <f t="shared" ref="AE241" si="1565">AE236/AE186</f>
        <v>0</v>
      </c>
      <c r="CM241" s="96"/>
      <c r="CN241" s="96"/>
      <c r="CO241" s="96"/>
      <c r="CP241" s="96"/>
      <c r="CQ241" s="96"/>
      <c r="CR241" s="96"/>
      <c r="CS241" s="96"/>
      <c r="CT241" s="96"/>
      <c r="CU241" s="96"/>
      <c r="CV241" s="96"/>
      <c r="CW241" s="96"/>
      <c r="CX241" s="96"/>
      <c r="CY241" s="96"/>
      <c r="CZ241" s="96"/>
      <c r="DA241" s="96"/>
      <c r="DB241" s="96"/>
      <c r="DE241" s="140"/>
      <c r="DF241" s="95">
        <v>0.52151015544063861</v>
      </c>
    </row>
    <row r="242" spans="1:110" x14ac:dyDescent="0.2">
      <c r="A242" s="152" t="s">
        <v>492</v>
      </c>
      <c r="AA242" s="2"/>
      <c r="CE242" s="111"/>
      <c r="CG242" s="111"/>
      <c r="DF242" s="111"/>
    </row>
    <row r="243" spans="1:110" s="6" customFormat="1" x14ac:dyDescent="0.2">
      <c r="AB243" s="19"/>
      <c r="AC243" s="19"/>
      <c r="AD243" s="19"/>
      <c r="AE243" s="19"/>
      <c r="CE243" s="113"/>
      <c r="CG243" s="113"/>
      <c r="CM243" s="24"/>
      <c r="CN243" s="24"/>
      <c r="CO243" s="24"/>
      <c r="CP243" s="24"/>
      <c r="CQ243" s="24"/>
      <c r="CR243" s="24"/>
      <c r="CS243" s="24"/>
      <c r="CT243" s="24"/>
      <c r="CU243" s="24"/>
      <c r="CV243" s="24"/>
      <c r="CW243" s="24"/>
      <c r="CX243" s="24"/>
      <c r="CY243" s="24"/>
      <c r="CZ243" s="24"/>
      <c r="DA243" s="24"/>
      <c r="DB243" s="24"/>
      <c r="DE243" s="123"/>
      <c r="DF243" s="113"/>
    </row>
    <row r="244" spans="1:110" s="62" customFormat="1" x14ac:dyDescent="0.2">
      <c r="A244" s="153" t="s">
        <v>493</v>
      </c>
      <c r="AB244" s="63"/>
      <c r="AC244" s="63"/>
      <c r="AD244" s="63"/>
      <c r="AE244" s="63"/>
      <c r="CE244" s="114"/>
      <c r="CG244" s="114"/>
      <c r="CM244" s="30"/>
      <c r="CN244" s="30"/>
      <c r="CO244" s="30"/>
      <c r="CP244" s="30"/>
      <c r="CQ244" s="30"/>
      <c r="CR244" s="30"/>
      <c r="CS244" s="30"/>
      <c r="CT244" s="30"/>
      <c r="CU244" s="30"/>
      <c r="CV244" s="30"/>
      <c r="CW244" s="30"/>
      <c r="CX244" s="30"/>
      <c r="CY244" s="30"/>
      <c r="CZ244" s="30"/>
      <c r="DA244" s="30"/>
      <c r="DB244" s="30"/>
      <c r="DE244" s="139"/>
      <c r="DF244" s="114"/>
    </row>
    <row r="245" spans="1:110" s="62" customFormat="1" outlineLevel="1" x14ac:dyDescent="0.2">
      <c r="A245" s="68" t="s">
        <v>464</v>
      </c>
      <c r="B245" s="67">
        <f t="shared" ref="B245:AE245" si="1566">B210/B72*365</f>
        <v>27.155053418617214</v>
      </c>
      <c r="C245" s="67">
        <f t="shared" si="1566"/>
        <v>23.798389450276389</v>
      </c>
      <c r="D245" s="67">
        <f t="shared" si="1566"/>
        <v>20.452094017975238</v>
      </c>
      <c r="E245" s="67">
        <f t="shared" si="1566"/>
        <v>29.810288916873535</v>
      </c>
      <c r="F245" s="67">
        <f t="shared" si="1566"/>
        <v>17.170247007984635</v>
      </c>
      <c r="G245" s="67">
        <f t="shared" si="1566"/>
        <v>54.6522449997763</v>
      </c>
      <c r="H245" s="67">
        <f t="shared" si="1566"/>
        <v>17.046680360800323</v>
      </c>
      <c r="I245" s="67">
        <f t="shared" si="1566"/>
        <v>37.898951041628493</v>
      </c>
      <c r="J245" s="67">
        <f t="shared" si="1566"/>
        <v>24.710027885192293</v>
      </c>
      <c r="K245" s="67">
        <f t="shared" si="1566"/>
        <v>19.5642993966257</v>
      </c>
      <c r="L245" s="67">
        <f t="shared" si="1566"/>
        <v>29.165567181797638</v>
      </c>
      <c r="M245" s="67">
        <f t="shared" si="1566"/>
        <v>27.514050431783954</v>
      </c>
      <c r="N245" s="67">
        <f t="shared" si="1566"/>
        <v>14.145969327575655</v>
      </c>
      <c r="O245" s="67">
        <f t="shared" si="1566"/>
        <v>29.125469042731588</v>
      </c>
      <c r="P245" s="67">
        <f t="shared" si="1566"/>
        <v>16.555720490958425</v>
      </c>
      <c r="Q245" s="67">
        <f t="shared" si="1566"/>
        <v>50.030351596089098</v>
      </c>
      <c r="R245" s="67">
        <f t="shared" si="1566"/>
        <v>62.02100063168232</v>
      </c>
      <c r="S245" s="67">
        <f t="shared" si="1566"/>
        <v>59.728977112417077</v>
      </c>
      <c r="T245" s="67">
        <f t="shared" si="1566"/>
        <v>56.316766995382814</v>
      </c>
      <c r="U245" s="67">
        <f t="shared" si="1566"/>
        <v>82.592015623886141</v>
      </c>
      <c r="V245" s="67">
        <f t="shared" si="1566"/>
        <v>166.66548279899465</v>
      </c>
      <c r="W245" s="67">
        <f t="shared" si="1566"/>
        <v>87.306953405017921</v>
      </c>
      <c r="X245" s="67">
        <f t="shared" si="1566"/>
        <v>29.023025607919088</v>
      </c>
      <c r="Y245" s="67">
        <f t="shared" si="1566"/>
        <v>12.927566995930817</v>
      </c>
      <c r="Z245" s="67">
        <f t="shared" si="1566"/>
        <v>23.499721025732583</v>
      </c>
      <c r="AA245" s="67">
        <f t="shared" ref="AA245" si="1567">AA210/AA72*365</f>
        <v>56.727208553662287</v>
      </c>
      <c r="AB245" s="18">
        <f t="shared" si="1566"/>
        <v>59.031310126353368</v>
      </c>
      <c r="AC245" s="18">
        <f t="shared" si="1566"/>
        <v>65.990341140635991</v>
      </c>
      <c r="AD245" s="18">
        <f t="shared" si="1566"/>
        <v>66.558861496013009</v>
      </c>
      <c r="AE245" s="18">
        <f t="shared" si="1566"/>
        <v>65.910627604267958</v>
      </c>
      <c r="AI245" s="67">
        <f>AJ210/AI72*90</f>
        <v>32.864573144770603</v>
      </c>
      <c r="AJ245" s="67">
        <f>AJ210/AJ72*90</f>
        <v>65.627699990808523</v>
      </c>
      <c r="AK245" s="67">
        <f t="shared" ref="AK245:CE245" si="1568">+AJ245</f>
        <v>65.627699990808523</v>
      </c>
      <c r="AL245" s="67">
        <f>AL210/AL72*90</f>
        <v>11.056131645689447</v>
      </c>
      <c r="AM245" s="67">
        <f t="shared" ref="AM245:AM246" si="1569">+AL245</f>
        <v>11.056131645689447</v>
      </c>
      <c r="AN245" s="67">
        <f>AN210/AN72*90</f>
        <v>29.9546153979149</v>
      </c>
      <c r="AO245" s="67">
        <f t="shared" ref="AO245:AO246" si="1570">+AN245</f>
        <v>29.9546153979149</v>
      </c>
      <c r="AP245" s="67">
        <f>AP210/AP72*90</f>
        <v>22.368328892272554</v>
      </c>
      <c r="AQ245" s="67">
        <f t="shared" ref="AQ245:AQ246" si="1571">+AP245</f>
        <v>22.368328892272554</v>
      </c>
      <c r="AR245" s="67">
        <f>AR210/AR72*90</f>
        <v>11.42985442749524</v>
      </c>
      <c r="AS245" s="67">
        <f t="shared" ref="AS245:AS246" si="1572">+AR245</f>
        <v>11.42985442749524</v>
      </c>
      <c r="AT245" s="67">
        <f>AT210/AT72*90</f>
        <v>22.445005643569985</v>
      </c>
      <c r="AU245" s="67">
        <f t="shared" ref="AU245:AU246" si="1573">+AT245</f>
        <v>22.445005643569985</v>
      </c>
      <c r="AV245" s="67">
        <f>AV210/AV72*90</f>
        <v>38.004708652148317</v>
      </c>
      <c r="AW245" s="67">
        <f t="shared" ref="AW245:AW246" si="1574">+AV245</f>
        <v>38.004708652148317</v>
      </c>
      <c r="AX245" s="67">
        <f>AX210/AX72*90</f>
        <v>60.161378038399697</v>
      </c>
      <c r="AY245" s="67">
        <f t="shared" ref="AY245:AY246" si="1575">+AX245</f>
        <v>60.161378038399697</v>
      </c>
      <c r="AZ245" s="67">
        <f>AZ210/AZ72*90</f>
        <v>54.326193144572962</v>
      </c>
      <c r="BA245" s="67">
        <f t="shared" ref="BA245:BA246" si="1576">+AZ245</f>
        <v>54.326193144572962</v>
      </c>
      <c r="BB245" s="67">
        <f>BB210/BB72*90</f>
        <v>74.120142624040611</v>
      </c>
      <c r="BC245" s="67">
        <f t="shared" ref="BC245:BC246" si="1577">+BB245</f>
        <v>74.120142624040611</v>
      </c>
      <c r="BD245" s="67">
        <f>BD210/BD72*90</f>
        <v>74.748201438848909</v>
      </c>
      <c r="BE245" s="67">
        <f t="shared" ref="BE245:BE246" si="1578">+BD245</f>
        <v>74.748201438848909</v>
      </c>
      <c r="BF245" s="67">
        <f>BF210/BF72*90</f>
        <v>55.985167937811667</v>
      </c>
      <c r="BG245" s="67">
        <f t="shared" ref="BG245:BG246" si="1579">+BF245</f>
        <v>55.985167937811667</v>
      </c>
      <c r="BH245" s="67">
        <f>BH210/BH72*90</f>
        <v>70.736963803990164</v>
      </c>
      <c r="BI245" s="67">
        <f t="shared" ref="BI245:BI246" si="1580">+BH245</f>
        <v>70.736963803990164</v>
      </c>
      <c r="BJ245" s="67">
        <f>BJ210/BJ72*90</f>
        <v>50.820777069770649</v>
      </c>
      <c r="BK245" s="67">
        <f t="shared" ref="BK245:BK246" si="1581">+BJ245</f>
        <v>50.820777069770649</v>
      </c>
      <c r="BL245" s="67">
        <f>BL210/BL72*90</f>
        <v>120</v>
      </c>
      <c r="BM245" s="67">
        <f t="shared" ref="BM245:BM246" si="1582">+BL245</f>
        <v>120</v>
      </c>
      <c r="BN245" s="67">
        <f>BN210/BN72*90</f>
        <v>72.80265802456077</v>
      </c>
      <c r="BO245" s="67">
        <f t="shared" ref="BO245:BO246" si="1583">+BN245</f>
        <v>72.80265802456077</v>
      </c>
      <c r="BP245" s="67">
        <f>BP210/BP72*90</f>
        <v>97.753188602442336</v>
      </c>
      <c r="BQ245" s="67">
        <f t="shared" ref="BQ245:BQ246" si="1584">+BP245</f>
        <v>97.753188602442336</v>
      </c>
      <c r="BR245" s="67">
        <f>BR210/BR72*90</f>
        <v>109.33802299333297</v>
      </c>
      <c r="BS245" s="67">
        <f t="shared" ref="BS245:BS246" si="1585">+BR245</f>
        <v>109.33802299333297</v>
      </c>
      <c r="BT245" s="67">
        <f>BT210/BT72*90</f>
        <v>106.69377990430623</v>
      </c>
      <c r="BU245" s="67">
        <f t="shared" ref="BU245:BU246" si="1586">+BT245</f>
        <v>106.69377990430623</v>
      </c>
      <c r="BV245" s="67">
        <f>BV210/BV72*90</f>
        <v>45.063473485189519</v>
      </c>
      <c r="BW245" s="67">
        <f t="shared" ref="BW245:BW246" si="1587">+BV245</f>
        <v>45.063473485189519</v>
      </c>
      <c r="BX245" s="67">
        <f>BX210/BX72*90</f>
        <v>23.939978627404418</v>
      </c>
      <c r="BY245" s="67">
        <f t="shared" ref="BY245:BY246" si="1588">+BX245</f>
        <v>23.939978627404418</v>
      </c>
      <c r="BZ245" s="67">
        <f>BZ210/BZ72*90</f>
        <v>27.70613409415121</v>
      </c>
      <c r="CA245" s="67">
        <f t="shared" ref="CA245:CA246" si="1589">+BZ245</f>
        <v>27.70613409415121</v>
      </c>
      <c r="CB245" s="67">
        <f>CB210/CB72*90</f>
        <v>20.58443522005663</v>
      </c>
      <c r="CC245" s="67">
        <f t="shared" ref="CC245:CC246" si="1590">+CB245</f>
        <v>20.58443522005663</v>
      </c>
      <c r="CD245" s="67">
        <f>CD210/CD72*90</f>
        <v>13.381093618308038</v>
      </c>
      <c r="CE245" s="67">
        <f t="shared" si="1568"/>
        <v>13.381093618308038</v>
      </c>
      <c r="CF245" s="67">
        <f>CF210/CF72*90</f>
        <v>17.071721611211334</v>
      </c>
      <c r="CG245" s="67">
        <f t="shared" ref="CG245:CI246" si="1591">+CF245</f>
        <v>17.071721611211334</v>
      </c>
      <c r="CH245" s="67">
        <f>CH210/CH72*90</f>
        <v>32.636218888795774</v>
      </c>
      <c r="CI245" s="67">
        <f t="shared" si="1591"/>
        <v>32.636218888795774</v>
      </c>
      <c r="CJ245" s="67">
        <f>CJ210/CJ72*90</f>
        <v>35.923343420926507</v>
      </c>
      <c r="CK245" s="114">
        <f>+CJ245</f>
        <v>35.923343420926507</v>
      </c>
      <c r="CL245" s="114">
        <f>CL210/CL72*90</f>
        <v>39.763311250357155</v>
      </c>
      <c r="CM245" s="30">
        <f t="shared" ref="CM245:CM246" si="1592">CL245+5</f>
        <v>44.763311250357155</v>
      </c>
      <c r="CN245" s="30">
        <f>+CM245</f>
        <v>44.763311250357155</v>
      </c>
      <c r="CO245" s="30">
        <f>+CN245+5</f>
        <v>49.763311250357155</v>
      </c>
      <c r="CP245" s="30">
        <f t="shared" ref="CP245:CQ245" si="1593">+CO245+5</f>
        <v>54.763311250357155</v>
      </c>
      <c r="CQ245" s="30">
        <f t="shared" si="1593"/>
        <v>59.763311250357155</v>
      </c>
      <c r="CR245" s="30">
        <f t="shared" ref="CR245:DB245" si="1594">+CQ245</f>
        <v>59.763311250357155</v>
      </c>
      <c r="CS245" s="30">
        <f t="shared" si="1594"/>
        <v>59.763311250357155</v>
      </c>
      <c r="CT245" s="30">
        <f t="shared" si="1594"/>
        <v>59.763311250357155</v>
      </c>
      <c r="CU245" s="30">
        <f t="shared" si="1594"/>
        <v>59.763311250357155</v>
      </c>
      <c r="CV245" s="30">
        <f t="shared" si="1594"/>
        <v>59.763311250357155</v>
      </c>
      <c r="CW245" s="30">
        <f t="shared" si="1594"/>
        <v>59.763311250357155</v>
      </c>
      <c r="CX245" s="30">
        <f t="shared" si="1594"/>
        <v>59.763311250357155</v>
      </c>
      <c r="CY245" s="30">
        <f t="shared" si="1594"/>
        <v>59.763311250357155</v>
      </c>
      <c r="CZ245" s="30">
        <f t="shared" si="1594"/>
        <v>59.763311250357155</v>
      </c>
      <c r="DA245" s="30">
        <f t="shared" si="1594"/>
        <v>59.763311250357155</v>
      </c>
      <c r="DB245" s="30">
        <f t="shared" si="1594"/>
        <v>59.763311250357155</v>
      </c>
      <c r="DE245" s="139"/>
      <c r="DF245" s="114">
        <v>56.727208553662287</v>
      </c>
    </row>
    <row r="246" spans="1:110" s="62" customFormat="1" outlineLevel="1" x14ac:dyDescent="0.2">
      <c r="A246" s="68" t="s">
        <v>465</v>
      </c>
      <c r="B246" s="67">
        <f t="shared" ref="B246:AE246" si="1595">B211/B72*365</f>
        <v>152.10538630461681</v>
      </c>
      <c r="C246" s="67">
        <f t="shared" si="1595"/>
        <v>118.06099165627042</v>
      </c>
      <c r="D246" s="67">
        <f t="shared" si="1595"/>
        <v>121.50445256829089</v>
      </c>
      <c r="E246" s="67">
        <f t="shared" si="1595"/>
        <v>156.44087031128672</v>
      </c>
      <c r="F246" s="67">
        <f t="shared" si="1595"/>
        <v>65.991958458556354</v>
      </c>
      <c r="G246" s="67">
        <f t="shared" si="1595"/>
        <v>24.088034508423746</v>
      </c>
      <c r="H246" s="67">
        <f t="shared" si="1595"/>
        <v>23.560701995155075</v>
      </c>
      <c r="I246" s="67">
        <f t="shared" si="1595"/>
        <v>10.988564076251707</v>
      </c>
      <c r="J246" s="67">
        <f t="shared" si="1595"/>
        <v>39.189102023659785</v>
      </c>
      <c r="K246" s="67">
        <f t="shared" si="1595"/>
        <v>6.6071335666650901</v>
      </c>
      <c r="L246" s="67">
        <f t="shared" si="1595"/>
        <v>10.186776279244352</v>
      </c>
      <c r="M246" s="67">
        <f t="shared" si="1595"/>
        <v>17.261636471568544</v>
      </c>
      <c r="N246" s="67">
        <f t="shared" si="1595"/>
        <v>16.597170676846758</v>
      </c>
      <c r="O246" s="67">
        <f t="shared" si="1595"/>
        <v>12.533902987940914</v>
      </c>
      <c r="P246" s="67">
        <f t="shared" si="1595"/>
        <v>12.089093621460108</v>
      </c>
      <c r="Q246" s="67">
        <f t="shared" si="1595"/>
        <v>19.219845192314452</v>
      </c>
      <c r="R246" s="67">
        <f t="shared" si="1595"/>
        <v>9.964044233224195</v>
      </c>
      <c r="S246" s="67">
        <f t="shared" si="1595"/>
        <v>13.676794580868576</v>
      </c>
      <c r="T246" s="67">
        <f t="shared" si="1595"/>
        <v>17.665460668775697</v>
      </c>
      <c r="U246" s="67">
        <f t="shared" si="1595"/>
        <v>7.7445233679051269</v>
      </c>
      <c r="V246" s="67">
        <f t="shared" si="1595"/>
        <v>9.9547012766434353</v>
      </c>
      <c r="W246" s="67">
        <f t="shared" si="1595"/>
        <v>12.423082437275983</v>
      </c>
      <c r="X246" s="67">
        <f t="shared" si="1595"/>
        <v>2.6361093178394666</v>
      </c>
      <c r="Y246" s="67">
        <f t="shared" si="1595"/>
        <v>4.4703010889473003</v>
      </c>
      <c r="Z246" s="67">
        <f t="shared" si="1595"/>
        <v>9.3093043497667765</v>
      </c>
      <c r="AA246" s="67">
        <f t="shared" ref="AA246" si="1596">AA211/AA72*365</f>
        <v>31.578131875388237</v>
      </c>
      <c r="AB246" s="18">
        <f t="shared" si="1595"/>
        <v>40.029022097544939</v>
      </c>
      <c r="AC246" s="18">
        <f t="shared" si="1595"/>
        <v>46.525139993988326</v>
      </c>
      <c r="AD246" s="18">
        <f t="shared" si="1595"/>
        <v>46.925963639784889</v>
      </c>
      <c r="AE246" s="18">
        <f t="shared" si="1595"/>
        <v>46.468939595947731</v>
      </c>
      <c r="AI246" s="67">
        <f>AJ211/AI72*90</f>
        <v>16.917482710608379</v>
      </c>
      <c r="AJ246" s="67">
        <f>AJ211/AJ72*90</f>
        <v>33.782744569380185</v>
      </c>
      <c r="AK246" s="67">
        <f>+AJ246</f>
        <v>33.782744569380185</v>
      </c>
      <c r="AL246" s="67">
        <f>AL211/AL72*90</f>
        <v>12.972362136086995</v>
      </c>
      <c r="AM246" s="67">
        <f t="shared" si="1569"/>
        <v>12.972362136086995</v>
      </c>
      <c r="AN246" s="67">
        <f>AN211/AN72*90</f>
        <v>35.475457736129606</v>
      </c>
      <c r="AO246" s="67">
        <f t="shared" si="1570"/>
        <v>35.475457736129606</v>
      </c>
      <c r="AP246" s="67">
        <f>AP211/AP72*90</f>
        <v>9.626037304910545</v>
      </c>
      <c r="AQ246" s="67">
        <f t="shared" si="1571"/>
        <v>9.626037304910545</v>
      </c>
      <c r="AR246" s="67">
        <f>AR211/AR72*90</f>
        <v>40.857215624245995</v>
      </c>
      <c r="AS246" s="67">
        <f t="shared" si="1572"/>
        <v>40.857215624245995</v>
      </c>
      <c r="AT246" s="67">
        <f>AT211/AT72*90</f>
        <v>16.389414449163208</v>
      </c>
      <c r="AU246" s="67">
        <f t="shared" si="1573"/>
        <v>16.389414449163208</v>
      </c>
      <c r="AV246" s="67">
        <f>AV211/AV72*90</f>
        <v>76.069452619187757</v>
      </c>
      <c r="AW246" s="67">
        <f t="shared" si="1574"/>
        <v>76.069452619187757</v>
      </c>
      <c r="AX246" s="67">
        <f>AX211/AX72*90</f>
        <v>23.111817837888964</v>
      </c>
      <c r="AY246" s="67">
        <f t="shared" si="1575"/>
        <v>23.111817837888964</v>
      </c>
      <c r="AZ246" s="67">
        <f>AZ211/AZ72*90</f>
        <v>47.114355797086127</v>
      </c>
      <c r="BA246" s="67">
        <f t="shared" si="1576"/>
        <v>47.114355797086127</v>
      </c>
      <c r="BB246" s="67">
        <f>BB211/BB72*90</f>
        <v>11.907173505771437</v>
      </c>
      <c r="BC246" s="67">
        <f t="shared" si="1577"/>
        <v>11.907173505771437</v>
      </c>
      <c r="BD246" s="67">
        <f>BD211/BD72*90</f>
        <v>17.745017101073238</v>
      </c>
      <c r="BE246" s="67">
        <f t="shared" si="1578"/>
        <v>17.745017101073238</v>
      </c>
      <c r="BF246" s="67">
        <f>BF211/BF72*90</f>
        <v>12.819191845115871</v>
      </c>
      <c r="BG246" s="67">
        <f t="shared" si="1579"/>
        <v>12.819191845115871</v>
      </c>
      <c r="BH246" s="67">
        <f>BH211/BH72*90</f>
        <v>9.9241099220348037</v>
      </c>
      <c r="BI246" s="67">
        <f t="shared" si="1580"/>
        <v>9.9241099220348037</v>
      </c>
      <c r="BJ246" s="67">
        <f>BJ211/BJ72*90</f>
        <v>15.941662257597018</v>
      </c>
      <c r="BK246" s="67">
        <f t="shared" si="1581"/>
        <v>15.941662257597018</v>
      </c>
      <c r="BL246" s="67">
        <f>BL211/BL72*90</f>
        <v>23.948292371528886</v>
      </c>
      <c r="BM246" s="67">
        <f t="shared" si="1582"/>
        <v>23.948292371528886</v>
      </c>
      <c r="BN246" s="67">
        <f>BN211/BN72*90</f>
        <v>6.8270072220566034</v>
      </c>
      <c r="BO246" s="67">
        <f t="shared" si="1583"/>
        <v>6.8270072220566034</v>
      </c>
      <c r="BP246" s="67">
        <f>BP211/BP72*90</f>
        <v>10.903799185888738</v>
      </c>
      <c r="BQ246" s="67">
        <f t="shared" si="1584"/>
        <v>10.903799185888738</v>
      </c>
      <c r="BR246" s="67">
        <f>BR211/BR72*90</f>
        <v>6.5304215444380276</v>
      </c>
      <c r="BS246" s="67">
        <f t="shared" si="1585"/>
        <v>6.5304215444380276</v>
      </c>
      <c r="BT246" s="67">
        <f>BT211/BT72*90</f>
        <v>5.829545454545455</v>
      </c>
      <c r="BU246" s="67">
        <f t="shared" si="1586"/>
        <v>5.829545454545455</v>
      </c>
      <c r="BV246" s="67">
        <f>BV211/BV72*90</f>
        <v>6.4121725038264161</v>
      </c>
      <c r="BW246" s="67">
        <f t="shared" si="1587"/>
        <v>6.4121725038264161</v>
      </c>
      <c r="BX246" s="67">
        <f>BX211/BX72*90</f>
        <v>2.4525053431488959</v>
      </c>
      <c r="BY246" s="67">
        <f t="shared" si="1588"/>
        <v>2.4525053431488959</v>
      </c>
      <c r="BZ246" s="67">
        <f>BZ211/BZ72*90</f>
        <v>2.5164051355206847</v>
      </c>
      <c r="CA246" s="67">
        <f t="shared" si="1589"/>
        <v>2.5164051355206847</v>
      </c>
      <c r="CB246" s="67">
        <f>CB211/CB72*90</f>
        <v>11.888006157737033</v>
      </c>
      <c r="CC246" s="67">
        <f t="shared" si="1590"/>
        <v>11.888006157737033</v>
      </c>
      <c r="CD246" s="67">
        <f>CD211/CD72*90</f>
        <v>4.6271287854904815</v>
      </c>
      <c r="CE246" s="114">
        <f t="shared" ref="CE246" si="1597">+CD246</f>
        <v>4.6271287854904815</v>
      </c>
      <c r="CF246" s="67">
        <f>CF211/CF72*90</f>
        <v>16.277469370128653</v>
      </c>
      <c r="CG246" s="67">
        <f t="shared" si="1591"/>
        <v>16.277469370128653</v>
      </c>
      <c r="CH246" s="67">
        <f>CH211/CH72*90</f>
        <v>12.928685158803315</v>
      </c>
      <c r="CI246" s="67">
        <f t="shared" si="1591"/>
        <v>12.928685158803315</v>
      </c>
      <c r="CJ246" s="67">
        <f>CJ211/CJ72*90</f>
        <v>35.84175715831131</v>
      </c>
      <c r="CK246" s="114">
        <f t="shared" ref="CK246:CK247" si="1598">+CJ246</f>
        <v>35.84175715831131</v>
      </c>
      <c r="CL246" s="114">
        <f>CL211/CL72*90</f>
        <v>22.134899962124482</v>
      </c>
      <c r="CM246" s="30">
        <f t="shared" si="1592"/>
        <v>27.134899962124482</v>
      </c>
      <c r="CN246" s="30">
        <f t="shared" ref="CN246:DB250" si="1599">+CM246</f>
        <v>27.134899962124482</v>
      </c>
      <c r="CO246" s="30">
        <f t="shared" ref="CO246:CQ246" si="1600">+CN246+5</f>
        <v>32.134899962124479</v>
      </c>
      <c r="CP246" s="30">
        <f t="shared" si="1600"/>
        <v>37.134899962124479</v>
      </c>
      <c r="CQ246" s="30">
        <f t="shared" si="1600"/>
        <v>42.134899962124479</v>
      </c>
      <c r="CR246" s="30">
        <f t="shared" si="1599"/>
        <v>42.134899962124479</v>
      </c>
      <c r="CS246" s="30">
        <f t="shared" si="1599"/>
        <v>42.134899962124479</v>
      </c>
      <c r="CT246" s="30">
        <f t="shared" si="1599"/>
        <v>42.134899962124479</v>
      </c>
      <c r="CU246" s="30">
        <f t="shared" si="1599"/>
        <v>42.134899962124479</v>
      </c>
      <c r="CV246" s="30">
        <f t="shared" si="1599"/>
        <v>42.134899962124479</v>
      </c>
      <c r="CW246" s="30">
        <f t="shared" si="1599"/>
        <v>42.134899962124479</v>
      </c>
      <c r="CX246" s="30">
        <f t="shared" si="1599"/>
        <v>42.134899962124479</v>
      </c>
      <c r="CY246" s="30">
        <f t="shared" si="1599"/>
        <v>42.134899962124479</v>
      </c>
      <c r="CZ246" s="30">
        <f t="shared" si="1599"/>
        <v>42.134899962124479</v>
      </c>
      <c r="DA246" s="30">
        <f t="shared" si="1599"/>
        <v>42.134899962124479</v>
      </c>
      <c r="DB246" s="30">
        <f t="shared" si="1599"/>
        <v>42.134899962124479</v>
      </c>
      <c r="DE246" s="139"/>
      <c r="DF246" s="114">
        <v>31.578131875388237</v>
      </c>
    </row>
    <row r="247" spans="1:110" s="62" customFormat="1" outlineLevel="1" x14ac:dyDescent="0.2">
      <c r="A247" s="68" t="s">
        <v>466</v>
      </c>
      <c r="B247" s="67">
        <f>B248-B246-B245</f>
        <v>94.506100005228561</v>
      </c>
      <c r="C247" s="67">
        <f t="shared" ref="C247:U247" si="1601">C248-C246-C245</f>
        <v>181.80450858351156</v>
      </c>
      <c r="D247" s="67">
        <f t="shared" si="1601"/>
        <v>79.860516633428304</v>
      </c>
      <c r="E247" s="67">
        <f t="shared" si="1601"/>
        <v>13.702240302716969</v>
      </c>
      <c r="F247" s="67">
        <f t="shared" si="1601"/>
        <v>5.156201874344255</v>
      </c>
      <c r="G247" s="67">
        <f t="shared" si="1601"/>
        <v>18.456173732438387</v>
      </c>
      <c r="H247" s="67">
        <f t="shared" si="1601"/>
        <v>48.104703682414922</v>
      </c>
      <c r="I247" s="67">
        <f t="shared" si="1601"/>
        <v>51.400104189027161</v>
      </c>
      <c r="J247" s="67">
        <f t="shared" si="1601"/>
        <v>27.627408220766622</v>
      </c>
      <c r="K247" s="67">
        <f t="shared" si="1601"/>
        <v>42.204504530374798</v>
      </c>
      <c r="L247" s="67">
        <f t="shared" si="1601"/>
        <v>42.684176643948391</v>
      </c>
      <c r="M247" s="67">
        <f t="shared" si="1601"/>
        <v>31.711787452641669</v>
      </c>
      <c r="N247" s="67">
        <f t="shared" si="1601"/>
        <v>37.413783191575163</v>
      </c>
      <c r="O247" s="67">
        <f t="shared" si="1601"/>
        <v>49.273475276048138</v>
      </c>
      <c r="P247" s="67">
        <f t="shared" si="1601"/>
        <v>48.365053409385126</v>
      </c>
      <c r="Q247" s="67">
        <f t="shared" si="1601"/>
        <v>68.55576584567865</v>
      </c>
      <c r="R247" s="67">
        <f t="shared" si="1601"/>
        <v>79.156469681368264</v>
      </c>
      <c r="S247" s="67">
        <f t="shared" si="1601"/>
        <v>82.941230445718276</v>
      </c>
      <c r="T247" s="67">
        <f t="shared" si="1601"/>
        <v>69.739479522654449</v>
      </c>
      <c r="U247" s="67">
        <f t="shared" si="1601"/>
        <v>94.599929789354604</v>
      </c>
      <c r="V247" s="67">
        <f>V248-V246-V245</f>
        <v>179.09791256505846</v>
      </c>
      <c r="W247" s="67">
        <f t="shared" ref="W247" si="1602">W248-W246-W245</f>
        <v>50.94824372759858</v>
      </c>
      <c r="X247" s="67">
        <f t="shared" ref="X247:Y247" si="1603">X248-X246-X245</f>
        <v>49.79556703249407</v>
      </c>
      <c r="Y247" s="67">
        <f t="shared" si="1603"/>
        <v>45.170124067957666</v>
      </c>
      <c r="Z247" s="67">
        <f t="shared" ref="Z247:AA247" si="1604">Z248-Z246-Z245</f>
        <v>120.61474025635874</v>
      </c>
      <c r="AA247" s="67">
        <f t="shared" si="1604"/>
        <v>183.65551079989277</v>
      </c>
      <c r="AB247" s="18">
        <f t="shared" ref="AB247:AD247" si="1605">AB248-AB246-AB245</f>
        <v>135.65754627132443</v>
      </c>
      <c r="AC247" s="18">
        <f t="shared" si="1605"/>
        <v>144.48326248837728</v>
      </c>
      <c r="AD247" s="18">
        <f t="shared" si="1605"/>
        <v>145.72801549792547</v>
      </c>
      <c r="AE247" s="18">
        <f t="shared" ref="AE247" si="1606">AE248-AE246-AE245</f>
        <v>144.30873282843203</v>
      </c>
      <c r="AI247" s="67">
        <f t="shared" ref="AI247:AK247" si="1607">AI248-AI246-AI245</f>
        <v>-49.782055855378985</v>
      </c>
      <c r="AJ247" s="67">
        <f t="shared" ref="AJ247:AM247" si="1608">AJ248-AJ246-AJ245</f>
        <v>67.836407365421749</v>
      </c>
      <c r="AK247" s="67">
        <f t="shared" si="1607"/>
        <v>53.960748959583398</v>
      </c>
      <c r="AL247" s="67">
        <f t="shared" si="1608"/>
        <v>29.37072287588402</v>
      </c>
      <c r="AM247" s="67">
        <f t="shared" si="1608"/>
        <v>48.914823291098237</v>
      </c>
      <c r="AN247" s="67">
        <f t="shared" ref="AN247:AY247" si="1609">AN248-AN246-AN245</f>
        <v>80.427998409377778</v>
      </c>
      <c r="AO247" s="67">
        <f t="shared" si="1609"/>
        <v>61.41298796218728</v>
      </c>
      <c r="AP247" s="67">
        <f t="shared" si="1609"/>
        <v>37.842253521126764</v>
      </c>
      <c r="AQ247" s="67">
        <f t="shared" si="1609"/>
        <v>38.324912634211373</v>
      </c>
      <c r="AR247" s="67">
        <f t="shared" si="1609"/>
        <v>40.075869279643968</v>
      </c>
      <c r="AS247" s="67">
        <f t="shared" si="1609"/>
        <v>76.016781083142632</v>
      </c>
      <c r="AT247" s="67">
        <f t="shared" si="1609"/>
        <v>65.570081770862942</v>
      </c>
      <c r="AU247" s="67">
        <f t="shared" si="1609"/>
        <v>61.848589526574202</v>
      </c>
      <c r="AV247" s="67">
        <f t="shared" si="1609"/>
        <v>96.020011771630408</v>
      </c>
      <c r="AW247" s="67">
        <f t="shared" si="1609"/>
        <v>94.576408750096618</v>
      </c>
      <c r="AX247" s="67">
        <f t="shared" si="1609"/>
        <v>82.437931523692413</v>
      </c>
      <c r="AY247" s="67">
        <f t="shared" si="1609"/>
        <v>63.365106671893223</v>
      </c>
      <c r="AZ247" s="67">
        <f t="shared" ref="AZ247:BC247" si="1610">AZ248-AZ246-AZ245</f>
        <v>81.385570193060033</v>
      </c>
      <c r="BA247" s="67">
        <f t="shared" si="1610"/>
        <v>54.942059045471176</v>
      </c>
      <c r="BB247" s="67">
        <f t="shared" si="1610"/>
        <v>94.599262706230732</v>
      </c>
      <c r="BC247" s="67">
        <f t="shared" si="1610"/>
        <v>61.905320009832664</v>
      </c>
      <c r="BD247" s="67">
        <f t="shared" ref="BD247:CE247" si="1611">BD248-BD246-BD245</f>
        <v>98.687345205802515</v>
      </c>
      <c r="BE247" s="67">
        <f t="shared" si="1611"/>
        <v>62.961851334743486</v>
      </c>
      <c r="BF247" s="67">
        <f t="shared" si="1611"/>
        <v>77.741823115283097</v>
      </c>
      <c r="BG247" s="67">
        <f t="shared" si="1611"/>
        <v>63.080733699290406</v>
      </c>
      <c r="BH247" s="67">
        <f t="shared" si="1611"/>
        <v>62.064150831529986</v>
      </c>
      <c r="BI247" s="67">
        <f t="shared" si="1611"/>
        <v>58.008127453244072</v>
      </c>
      <c r="BJ247" s="67">
        <f t="shared" si="1611"/>
        <v>62.932989809298142</v>
      </c>
      <c r="BK247" s="67">
        <f t="shared" si="1611"/>
        <v>64.901745257281107</v>
      </c>
      <c r="BL247" s="67">
        <f t="shared" si="1611"/>
        <v>141.96935844238749</v>
      </c>
      <c r="BM247" s="67">
        <f t="shared" si="1611"/>
        <v>94.300656058232533</v>
      </c>
      <c r="BN247" s="67">
        <f t="shared" si="1611"/>
        <v>85.96680354275054</v>
      </c>
      <c r="BO247" s="67">
        <f t="shared" si="1611"/>
        <v>842.54759660697459</v>
      </c>
      <c r="BP247" s="67">
        <f t="shared" si="1611"/>
        <v>139.33270013568523</v>
      </c>
      <c r="BQ247" s="67">
        <f t="shared" si="1611"/>
        <v>139.04592969723228</v>
      </c>
      <c r="BR247" s="67">
        <f t="shared" si="1611"/>
        <v>118.23927765237022</v>
      </c>
      <c r="BS247" s="67">
        <f t="shared" si="1611"/>
        <v>117.67711598746081</v>
      </c>
      <c r="BT247" s="67">
        <f t="shared" si="1611"/>
        <v>116.26435406698566</v>
      </c>
      <c r="BU247" s="67">
        <f t="shared" si="1611"/>
        <v>69.315029417008375</v>
      </c>
      <c r="BV247" s="67">
        <f t="shared" si="1611"/>
        <v>26.458989826235722</v>
      </c>
      <c r="BW247" s="67">
        <f t="shared" si="1611"/>
        <v>10.462334456733267</v>
      </c>
      <c r="BX247" s="67">
        <f t="shared" si="1611"/>
        <v>54.740560436950844</v>
      </c>
      <c r="BY247" s="67">
        <f t="shared" si="1611"/>
        <v>36.896020487785364</v>
      </c>
      <c r="BZ247" s="67">
        <f t="shared" si="1611"/>
        <v>52.734607703281029</v>
      </c>
      <c r="CA247" s="67">
        <f t="shared" si="1611"/>
        <v>23.509656477675115</v>
      </c>
      <c r="CB247" s="67">
        <f t="shared" si="1611"/>
        <v>61.842372927948972</v>
      </c>
      <c r="CC247" s="67">
        <f t="shared" si="1611"/>
        <v>35.291423073302866</v>
      </c>
      <c r="CD247" s="67">
        <f t="shared" si="1611"/>
        <v>51.26842481132865</v>
      </c>
      <c r="CE247" s="114">
        <f t="shared" si="1611"/>
        <v>32.9656964140921</v>
      </c>
      <c r="CF247" s="67">
        <f t="shared" ref="CF247:CG247" si="1612">CF248-CF246-CF245</f>
        <v>125.62788624285193</v>
      </c>
      <c r="CG247" s="67">
        <f t="shared" si="1612"/>
        <v>107.66829635201206</v>
      </c>
      <c r="CH247" s="67">
        <f t="shared" ref="CH247" si="1613">CH248-CH246-CH245</f>
        <v>167.50875722785548</v>
      </c>
      <c r="CI247" s="67">
        <f>CH247</f>
        <v>167.50875722785548</v>
      </c>
      <c r="CJ247" s="67">
        <f t="shared" ref="CJ247:CL247" si="1614">CJ248-CJ246-CJ245</f>
        <v>123.12081832746796</v>
      </c>
      <c r="CK247" s="114">
        <f t="shared" si="1598"/>
        <v>123.12081832746796</v>
      </c>
      <c r="CL247" s="114">
        <f t="shared" si="1614"/>
        <v>110.8494248901942</v>
      </c>
      <c r="CM247" s="30">
        <f>CL247+5</f>
        <v>115.8494248901942</v>
      </c>
      <c r="CN247" s="30">
        <f t="shared" si="1599"/>
        <v>115.8494248901942</v>
      </c>
      <c r="CO247" s="30">
        <f t="shared" ref="CO247:CQ247" si="1615">+CN247+5</f>
        <v>120.8494248901942</v>
      </c>
      <c r="CP247" s="30">
        <f t="shared" si="1615"/>
        <v>125.8494248901942</v>
      </c>
      <c r="CQ247" s="30">
        <f t="shared" si="1615"/>
        <v>130.8494248901942</v>
      </c>
      <c r="CR247" s="30">
        <f t="shared" si="1599"/>
        <v>130.8494248901942</v>
      </c>
      <c r="CS247" s="30">
        <f t="shared" si="1599"/>
        <v>130.8494248901942</v>
      </c>
      <c r="CT247" s="30">
        <f t="shared" si="1599"/>
        <v>130.8494248901942</v>
      </c>
      <c r="CU247" s="30">
        <f t="shared" si="1599"/>
        <v>130.8494248901942</v>
      </c>
      <c r="CV247" s="30">
        <f t="shared" si="1599"/>
        <v>130.8494248901942</v>
      </c>
      <c r="CW247" s="30">
        <f t="shared" si="1599"/>
        <v>130.8494248901942</v>
      </c>
      <c r="CX247" s="30">
        <f t="shared" si="1599"/>
        <v>130.8494248901942</v>
      </c>
      <c r="CY247" s="30">
        <f t="shared" si="1599"/>
        <v>130.8494248901942</v>
      </c>
      <c r="CZ247" s="30">
        <f t="shared" si="1599"/>
        <v>130.8494248901942</v>
      </c>
      <c r="DA247" s="30">
        <f t="shared" si="1599"/>
        <v>130.8494248901942</v>
      </c>
      <c r="DB247" s="30">
        <f t="shared" si="1599"/>
        <v>130.8494248901942</v>
      </c>
      <c r="DE247" s="139"/>
      <c r="DF247" s="114">
        <v>183.65551079989277</v>
      </c>
    </row>
    <row r="248" spans="1:110" s="7" customFormat="1" outlineLevel="1" x14ac:dyDescent="0.2">
      <c r="A248" s="69" t="s">
        <v>467</v>
      </c>
      <c r="B248" s="70">
        <f t="shared" ref="B248:AE248" si="1616">B214/B72*365</f>
        <v>273.76653972846259</v>
      </c>
      <c r="C248" s="70">
        <f t="shared" si="1616"/>
        <v>323.66388969005834</v>
      </c>
      <c r="D248" s="70">
        <f t="shared" si="1616"/>
        <v>221.81706321969443</v>
      </c>
      <c r="E248" s="70">
        <f t="shared" si="1616"/>
        <v>199.95339953087722</v>
      </c>
      <c r="F248" s="70">
        <f t="shared" si="1616"/>
        <v>88.318407340885244</v>
      </c>
      <c r="G248" s="70">
        <f t="shared" si="1616"/>
        <v>97.196453240638434</v>
      </c>
      <c r="H248" s="70">
        <f t="shared" si="1616"/>
        <v>88.712086038370316</v>
      </c>
      <c r="I248" s="70">
        <f t="shared" si="1616"/>
        <v>100.28761930690736</v>
      </c>
      <c r="J248" s="70">
        <f t="shared" si="1616"/>
        <v>91.5265381296187</v>
      </c>
      <c r="K248" s="70">
        <f t="shared" si="1616"/>
        <v>68.375937493665589</v>
      </c>
      <c r="L248" s="70">
        <f t="shared" si="1616"/>
        <v>82.036520104990387</v>
      </c>
      <c r="M248" s="70">
        <f t="shared" si="1616"/>
        <v>76.487474355994166</v>
      </c>
      <c r="N248" s="70">
        <f t="shared" si="1616"/>
        <v>68.156923195997578</v>
      </c>
      <c r="O248" s="70">
        <f t="shared" si="1616"/>
        <v>90.932847306720646</v>
      </c>
      <c r="P248" s="70">
        <f t="shared" si="1616"/>
        <v>77.009867521803656</v>
      </c>
      <c r="Q248" s="70">
        <f t="shared" si="1616"/>
        <v>137.80596263408219</v>
      </c>
      <c r="R248" s="70">
        <f t="shared" si="1616"/>
        <v>151.14151454627478</v>
      </c>
      <c r="S248" s="70">
        <f t="shared" si="1616"/>
        <v>156.34700213900393</v>
      </c>
      <c r="T248" s="70">
        <f t="shared" si="1616"/>
        <v>143.72170718681295</v>
      </c>
      <c r="U248" s="70">
        <f t="shared" si="1616"/>
        <v>184.93646878114586</v>
      </c>
      <c r="V248" s="70">
        <f t="shared" si="1616"/>
        <v>355.71809664069656</v>
      </c>
      <c r="W248" s="70">
        <f t="shared" si="1616"/>
        <v>150.67827956989248</v>
      </c>
      <c r="X248" s="70">
        <f t="shared" si="1616"/>
        <v>81.454701958252627</v>
      </c>
      <c r="Y248" s="70">
        <f t="shared" si="1616"/>
        <v>62.567992152835785</v>
      </c>
      <c r="Z248" s="70">
        <f t="shared" si="1616"/>
        <v>153.42376563185812</v>
      </c>
      <c r="AA248" s="70">
        <f t="shared" ref="AA248" si="1617">AA214/AA72*365</f>
        <v>271.96085122894328</v>
      </c>
      <c r="AB248" s="71">
        <f t="shared" si="1616"/>
        <v>234.71787849522272</v>
      </c>
      <c r="AC248" s="71">
        <f t="shared" si="1616"/>
        <v>256.99874362300159</v>
      </c>
      <c r="AD248" s="71">
        <f t="shared" si="1616"/>
        <v>259.21284063372337</v>
      </c>
      <c r="AE248" s="71">
        <f t="shared" si="1616"/>
        <v>256.68830002864775</v>
      </c>
      <c r="AI248" s="70">
        <f t="shared" ref="AI248:CD248" si="1618">AI214/AI72*90</f>
        <v>0</v>
      </c>
      <c r="AJ248" s="70">
        <f t="shared" si="1618"/>
        <v>167.24685192561046</v>
      </c>
      <c r="AK248" s="70">
        <f t="shared" si="1618"/>
        <v>153.37119351977211</v>
      </c>
      <c r="AL248" s="70">
        <f t="shared" si="1618"/>
        <v>53.39921665766046</v>
      </c>
      <c r="AM248" s="70">
        <f t="shared" si="1618"/>
        <v>72.943317072874677</v>
      </c>
      <c r="AN248" s="70">
        <f t="shared" si="1618"/>
        <v>145.85807154342228</v>
      </c>
      <c r="AO248" s="70">
        <f t="shared" si="1618"/>
        <v>126.84306109623179</v>
      </c>
      <c r="AP248" s="70">
        <f t="shared" si="1618"/>
        <v>69.836619718309862</v>
      </c>
      <c r="AQ248" s="70">
        <f t="shared" si="1618"/>
        <v>70.31927883139447</v>
      </c>
      <c r="AR248" s="70">
        <f t="shared" si="1618"/>
        <v>92.362939331385206</v>
      </c>
      <c r="AS248" s="70">
        <f t="shared" si="1618"/>
        <v>128.30385113488387</v>
      </c>
      <c r="AT248" s="70">
        <f t="shared" si="1618"/>
        <v>104.40450186359614</v>
      </c>
      <c r="AU248" s="70">
        <f t="shared" si="1618"/>
        <v>100.6830096193074</v>
      </c>
      <c r="AV248" s="70">
        <f t="shared" si="1618"/>
        <v>210.09417304296647</v>
      </c>
      <c r="AW248" s="70">
        <f t="shared" si="1618"/>
        <v>208.65057002143269</v>
      </c>
      <c r="AX248" s="70">
        <f t="shared" si="1618"/>
        <v>165.71112739998108</v>
      </c>
      <c r="AY248" s="70">
        <f t="shared" si="1618"/>
        <v>146.63830254818188</v>
      </c>
      <c r="AZ248" s="70">
        <f t="shared" si="1618"/>
        <v>182.82611913471911</v>
      </c>
      <c r="BA248" s="70">
        <f t="shared" si="1618"/>
        <v>156.38260798713026</v>
      </c>
      <c r="BB248" s="70">
        <f t="shared" si="1618"/>
        <v>180.62657883604277</v>
      </c>
      <c r="BC248" s="70">
        <f t="shared" si="1618"/>
        <v>147.9326361396447</v>
      </c>
      <c r="BD248" s="70">
        <f t="shared" si="1618"/>
        <v>191.18056374572467</v>
      </c>
      <c r="BE248" s="70">
        <f t="shared" si="1618"/>
        <v>155.45506987466564</v>
      </c>
      <c r="BF248" s="70">
        <f t="shared" si="1618"/>
        <v>146.54618289821065</v>
      </c>
      <c r="BG248" s="70">
        <f t="shared" si="1618"/>
        <v>131.88509348221794</v>
      </c>
      <c r="BH248" s="70">
        <f t="shared" si="1618"/>
        <v>142.72522455755495</v>
      </c>
      <c r="BI248" s="70">
        <f t="shared" si="1618"/>
        <v>138.66920117926904</v>
      </c>
      <c r="BJ248" s="70">
        <f t="shared" si="1618"/>
        <v>129.69542913666581</v>
      </c>
      <c r="BK248" s="70">
        <f t="shared" si="1618"/>
        <v>131.66418458464878</v>
      </c>
      <c r="BL248" s="70">
        <f t="shared" si="1618"/>
        <v>285.9176508139164</v>
      </c>
      <c r="BM248" s="70">
        <f t="shared" si="1618"/>
        <v>238.24894842976141</v>
      </c>
      <c r="BN248" s="70">
        <f t="shared" si="1618"/>
        <v>165.59646878936792</v>
      </c>
      <c r="BO248" s="70">
        <f t="shared" si="1618"/>
        <v>922.17726185359197</v>
      </c>
      <c r="BP248" s="70">
        <f t="shared" si="1618"/>
        <v>247.98968792401632</v>
      </c>
      <c r="BQ248" s="70">
        <f t="shared" si="1618"/>
        <v>247.70291748556338</v>
      </c>
      <c r="BR248" s="70">
        <f t="shared" si="1618"/>
        <v>234.1077221901412</v>
      </c>
      <c r="BS248" s="70">
        <f t="shared" si="1618"/>
        <v>233.54556052523182</v>
      </c>
      <c r="BT248" s="70">
        <f t="shared" si="1618"/>
        <v>228.78767942583735</v>
      </c>
      <c r="BU248" s="70">
        <f t="shared" si="1618"/>
        <v>181.83835477586007</v>
      </c>
      <c r="BV248" s="70">
        <f t="shared" si="1618"/>
        <v>77.934635815251653</v>
      </c>
      <c r="BW248" s="70">
        <f t="shared" si="1618"/>
        <v>61.937980445749204</v>
      </c>
      <c r="BX248" s="70">
        <f t="shared" si="1618"/>
        <v>81.133044407504158</v>
      </c>
      <c r="BY248" s="70">
        <f t="shared" si="1618"/>
        <v>63.288504458338679</v>
      </c>
      <c r="BZ248" s="70">
        <f t="shared" si="1618"/>
        <v>82.957146932952924</v>
      </c>
      <c r="CA248" s="70">
        <f t="shared" si="1618"/>
        <v>53.73219570734701</v>
      </c>
      <c r="CB248" s="70">
        <f t="shared" si="1618"/>
        <v>94.314814305742644</v>
      </c>
      <c r="CC248" s="70">
        <f t="shared" si="1618"/>
        <v>67.763864451096524</v>
      </c>
      <c r="CD248" s="70">
        <f t="shared" si="1618"/>
        <v>69.27664721512717</v>
      </c>
      <c r="CE248" s="115">
        <f>CE214/CE74*90</f>
        <v>50.97391881789062</v>
      </c>
      <c r="CF248" s="70">
        <f>CF214/CF72*90</f>
        <v>158.9770772241919</v>
      </c>
      <c r="CG248" s="70">
        <f>CG214/CG74*90</f>
        <v>141.01748733335205</v>
      </c>
      <c r="CH248" s="70">
        <f>CH214/CH72*90</f>
        <v>213.07366127545458</v>
      </c>
      <c r="CI248" s="70">
        <f>CI245+CI246+CI247</f>
        <v>213.07366127545458</v>
      </c>
      <c r="CJ248" s="70">
        <f>CJ214/CJ72*90</f>
        <v>194.88591890670577</v>
      </c>
      <c r="CK248" s="115">
        <f t="shared" ref="CK248" si="1619">CK245+CK246+CK247</f>
        <v>194.88591890670577</v>
      </c>
      <c r="CL248" s="115">
        <f>CL214/CL72*90</f>
        <v>172.74763610267584</v>
      </c>
      <c r="CM248" s="50">
        <f t="shared" ref="CM248" si="1620">CM245+CM246+CM247</f>
        <v>187.74763610267584</v>
      </c>
      <c r="CN248" s="50">
        <f t="shared" ref="CN248" si="1621">CN245+CN246+CN247</f>
        <v>187.74763610267584</v>
      </c>
      <c r="CO248" s="50">
        <f t="shared" ref="CO248:DB248" si="1622">CO245+CO246+CO247</f>
        <v>202.74763610267584</v>
      </c>
      <c r="CP248" s="50">
        <f t="shared" si="1622"/>
        <v>217.74763610267584</v>
      </c>
      <c r="CQ248" s="50">
        <f t="shared" si="1622"/>
        <v>232.74763610267584</v>
      </c>
      <c r="CR248" s="50">
        <f t="shared" si="1622"/>
        <v>232.74763610267584</v>
      </c>
      <c r="CS248" s="50">
        <f t="shared" si="1622"/>
        <v>232.74763610267584</v>
      </c>
      <c r="CT248" s="50">
        <f t="shared" si="1622"/>
        <v>232.74763610267584</v>
      </c>
      <c r="CU248" s="50">
        <f t="shared" si="1622"/>
        <v>232.74763610267584</v>
      </c>
      <c r="CV248" s="50">
        <f t="shared" si="1622"/>
        <v>232.74763610267584</v>
      </c>
      <c r="CW248" s="50">
        <f t="shared" si="1622"/>
        <v>232.74763610267584</v>
      </c>
      <c r="CX248" s="50">
        <f t="shared" si="1622"/>
        <v>232.74763610267584</v>
      </c>
      <c r="CY248" s="50">
        <f t="shared" si="1622"/>
        <v>232.74763610267584</v>
      </c>
      <c r="CZ248" s="50">
        <f t="shared" si="1622"/>
        <v>232.74763610267584</v>
      </c>
      <c r="DA248" s="50">
        <f t="shared" si="1622"/>
        <v>232.74763610267584</v>
      </c>
      <c r="DB248" s="50">
        <f t="shared" si="1622"/>
        <v>232.74763610267584</v>
      </c>
      <c r="DE248" s="138"/>
      <c r="DF248" s="115">
        <v>271.96085122894328</v>
      </c>
    </row>
    <row r="249" spans="1:110" s="62" customFormat="1" outlineLevel="1" x14ac:dyDescent="0.2">
      <c r="A249" s="68" t="s">
        <v>468</v>
      </c>
      <c r="B249" s="67">
        <f t="shared" ref="B249:AE249" si="1623">B219/B72*365</f>
        <v>50.206663819997559</v>
      </c>
      <c r="C249" s="67">
        <f t="shared" si="1623"/>
        <v>73.184197771478395</v>
      </c>
      <c r="D249" s="67">
        <f t="shared" si="1623"/>
        <v>27.407229568706235</v>
      </c>
      <c r="E249" s="67">
        <f t="shared" si="1623"/>
        <v>35.664557089346566</v>
      </c>
      <c r="F249" s="67">
        <f t="shared" si="1623"/>
        <v>6.119444098660928</v>
      </c>
      <c r="G249" s="67">
        <f t="shared" si="1623"/>
        <v>105.45960844177941</v>
      </c>
      <c r="H249" s="67">
        <f t="shared" si="1623"/>
        <v>78.108626264516602</v>
      </c>
      <c r="I249" s="67">
        <f t="shared" si="1623"/>
        <v>102.55397541348384</v>
      </c>
      <c r="J249" s="67">
        <f t="shared" si="1623"/>
        <v>120.6302560387214</v>
      </c>
      <c r="K249" s="67">
        <f t="shared" si="1623"/>
        <v>132.53972946128741</v>
      </c>
      <c r="L249" s="67">
        <f t="shared" si="1623"/>
        <v>143.56152987335858</v>
      </c>
      <c r="M249" s="67">
        <f t="shared" si="1623"/>
        <v>113.68443199621642</v>
      </c>
      <c r="N249" s="67">
        <f t="shared" si="1623"/>
        <v>101.6157375889693</v>
      </c>
      <c r="O249" s="67">
        <f t="shared" si="1623"/>
        <v>73.007720271852904</v>
      </c>
      <c r="P249" s="67">
        <f t="shared" si="1623"/>
        <v>34.808790458013519</v>
      </c>
      <c r="Q249" s="67">
        <f t="shared" si="1623"/>
        <v>56.689827536509789</v>
      </c>
      <c r="R249" s="67">
        <f t="shared" si="1623"/>
        <v>54.510875135632141</v>
      </c>
      <c r="S249" s="67">
        <f t="shared" si="1623"/>
        <v>59.504350352923602</v>
      </c>
      <c r="T249" s="67">
        <f t="shared" si="1623"/>
        <v>48.964780922605144</v>
      </c>
      <c r="U249" s="67">
        <f t="shared" si="1623"/>
        <v>60.015809500495649</v>
      </c>
      <c r="V249" s="67">
        <f t="shared" si="1623"/>
        <v>50.776293602339649</v>
      </c>
      <c r="W249" s="67">
        <f t="shared" si="1623"/>
        <v>7.9436559139784944</v>
      </c>
      <c r="X249" s="67">
        <f t="shared" si="1623"/>
        <v>8.0191521411663444</v>
      </c>
      <c r="Y249" s="67">
        <f t="shared" si="1623"/>
        <v>22.101446054577639</v>
      </c>
      <c r="Z249" s="67">
        <f t="shared" si="1623"/>
        <v>5.8667842078246695</v>
      </c>
      <c r="AA249" s="67">
        <f t="shared" ref="AA249" si="1624">AA219/AA72*365</f>
        <v>56.825962868447768</v>
      </c>
      <c r="AB249" s="18">
        <f t="shared" si="1623"/>
        <v>42.936896958664953</v>
      </c>
      <c r="AC249" s="18">
        <f t="shared" si="1623"/>
        <v>43.982879043103637</v>
      </c>
      <c r="AD249" s="18">
        <f t="shared" si="1623"/>
        <v>44.3618005881643</v>
      </c>
      <c r="AE249" s="18">
        <f t="shared" si="1623"/>
        <v>43.92974958858693</v>
      </c>
      <c r="AI249" s="67">
        <f>AJ219/AI72*90</f>
        <v>0</v>
      </c>
      <c r="AJ249" s="67">
        <f>AJ219/AJ72*90</f>
        <v>0</v>
      </c>
      <c r="AK249" s="67">
        <f t="shared" ref="AK249:CE249" si="1625">+AJ249</f>
        <v>0</v>
      </c>
      <c r="AL249" s="67">
        <f>AL219/AL72*90</f>
        <v>79.422038504470891</v>
      </c>
      <c r="AM249" s="67">
        <f t="shared" ref="AM249" si="1626">+AL249</f>
        <v>79.422038504470891</v>
      </c>
      <c r="AN249" s="67">
        <f>AN219/AN72*90</f>
        <v>215.83490378464359</v>
      </c>
      <c r="AO249" s="67">
        <f t="shared" ref="AO249" si="1627">+AN249</f>
        <v>215.83490378464359</v>
      </c>
      <c r="AP249" s="67">
        <f>AP219/AP72*90</f>
        <v>56.070194137799767</v>
      </c>
      <c r="AQ249" s="67">
        <f t="shared" ref="AQ249" si="1628">+AP249</f>
        <v>56.070194137799767</v>
      </c>
      <c r="AR249" s="67">
        <f>AR219/AR72*90</f>
        <v>141.41041795126134</v>
      </c>
      <c r="AS249" s="67">
        <f t="shared" ref="AS249" si="1629">+AR249</f>
        <v>141.41041795126134</v>
      </c>
      <c r="AT249" s="67">
        <f>AT219/AT72*90</f>
        <v>47.191369804058489</v>
      </c>
      <c r="AU249" s="67">
        <f t="shared" ref="AU249" si="1630">+AT249</f>
        <v>47.191369804058489</v>
      </c>
      <c r="AV249" s="67">
        <f>AV219/AV72*90</f>
        <v>124.37433784579166</v>
      </c>
      <c r="AW249" s="67">
        <f t="shared" ref="AW249" si="1631">+AV249</f>
        <v>124.37433784579166</v>
      </c>
      <c r="AX249" s="67">
        <f>AX219/AX72*90</f>
        <v>68.169275513099393</v>
      </c>
      <c r="AY249" s="67">
        <f t="shared" ref="AY249" si="1632">+AX249</f>
        <v>68.169275513099393</v>
      </c>
      <c r="AZ249" s="67">
        <f>AZ219/AZ72*90</f>
        <v>73.264997568247665</v>
      </c>
      <c r="BA249" s="67">
        <f t="shared" ref="BA249" si="1633">+AZ249</f>
        <v>73.264997568247665</v>
      </c>
      <c r="BB249" s="67">
        <f>BB219/BB72*90</f>
        <v>65.144618359823539</v>
      </c>
      <c r="BC249" s="67">
        <f t="shared" ref="BC249" si="1634">+BB249</f>
        <v>65.144618359823539</v>
      </c>
      <c r="BD249" s="67">
        <f>BD219/BD72*90</f>
        <v>74.041750206392251</v>
      </c>
      <c r="BE249" s="67">
        <f t="shared" ref="BE249" si="1635">+BD249</f>
        <v>74.041750206392251</v>
      </c>
      <c r="BF249" s="67">
        <f>BF219/BF72*90</f>
        <v>55.773962305661478</v>
      </c>
      <c r="BG249" s="67">
        <f t="shared" ref="BG249" si="1636">+BF249</f>
        <v>55.773962305661478</v>
      </c>
      <c r="BH249" s="67">
        <f>BH219/BH72*90</f>
        <v>56.834850146740571</v>
      </c>
      <c r="BI249" s="67">
        <f t="shared" ref="BI249" si="1637">+BH249</f>
        <v>56.834850146740571</v>
      </c>
      <c r="BJ249" s="67">
        <f>BJ219/BJ72*90</f>
        <v>44.186009063513602</v>
      </c>
      <c r="BK249" s="67">
        <f t="shared" ref="BK249" si="1638">+BJ249</f>
        <v>44.186009063513602</v>
      </c>
      <c r="BL249" s="67">
        <f>BL219/BL72*90</f>
        <v>108.50622406639003</v>
      </c>
      <c r="BM249" s="67">
        <f t="shared" ref="BM249" si="1639">+BL249</f>
        <v>108.50622406639003</v>
      </c>
      <c r="BN249" s="67">
        <f>BN219/BN72*90</f>
        <v>52.902382028522808</v>
      </c>
      <c r="BO249" s="67">
        <f t="shared" ref="BO249" si="1640">+BN249</f>
        <v>52.902382028522808</v>
      </c>
      <c r="BP249" s="67">
        <f>BP219/BP72*90</f>
        <v>70.339213025780197</v>
      </c>
      <c r="BQ249" s="67">
        <f t="shared" ref="BQ249" si="1641">+BP249</f>
        <v>70.339213025780197</v>
      </c>
      <c r="BR249" s="67">
        <f>BR219/BR72*90</f>
        <v>33.310724972439502</v>
      </c>
      <c r="BS249" s="67">
        <f t="shared" ref="BS249" si="1642">+BR249</f>
        <v>33.310724972439502</v>
      </c>
      <c r="BT249" s="67">
        <f>BT219/BT72*90</f>
        <v>38.538875598086122</v>
      </c>
      <c r="BU249" s="67">
        <f t="shared" ref="BU249" si="1643">+BT249</f>
        <v>38.538875598086122</v>
      </c>
      <c r="BV249" s="67">
        <f>BV219/BV72*90</f>
        <v>4.1001170433060237</v>
      </c>
      <c r="BW249" s="67">
        <f t="shared" ref="BW249" si="1644">+BV249</f>
        <v>4.1001170433060237</v>
      </c>
      <c r="BX249" s="67">
        <f>BX219/BX72*90</f>
        <v>12.139634291142245</v>
      </c>
      <c r="BY249" s="67">
        <f t="shared" ref="BY249" si="1645">+BX249</f>
        <v>12.139634291142245</v>
      </c>
      <c r="BZ249" s="67">
        <f>BZ219/BZ72*90</f>
        <v>7.6550071326676177</v>
      </c>
      <c r="CA249" s="67">
        <f t="shared" ref="CA249" si="1646">+BZ249</f>
        <v>7.6550071326676177</v>
      </c>
      <c r="CB249" s="67">
        <f>CB219/CB72*90</f>
        <v>7.3727904994914386</v>
      </c>
      <c r="CC249" s="67">
        <f t="shared" ref="CC249" si="1647">+CB249</f>
        <v>7.3727904994914386</v>
      </c>
      <c r="CD249" s="67">
        <f>CD219/CD72*90</f>
        <v>22.876811920555362</v>
      </c>
      <c r="CE249" s="114">
        <f t="shared" si="1625"/>
        <v>22.876811920555362</v>
      </c>
      <c r="CF249" s="67">
        <f>CF219/CF72*90</f>
        <v>4.4564634426651999</v>
      </c>
      <c r="CG249" s="67">
        <f t="shared" ref="CG249:CI249" si="1648">+CF249</f>
        <v>4.4564634426651999</v>
      </c>
      <c r="CH249" s="67">
        <f>CH219/CH72*90</f>
        <v>8.1477415570267304</v>
      </c>
      <c r="CI249" s="67">
        <f t="shared" si="1648"/>
        <v>8.1477415570267304</v>
      </c>
      <c r="CJ249" s="67">
        <f>CJ219/CJ72*90</f>
        <v>30.154874224601862</v>
      </c>
      <c r="CK249" s="114">
        <f>+CJ249</f>
        <v>30.154874224601862</v>
      </c>
      <c r="CL249" s="114">
        <f>CL219/CL72*90</f>
        <v>39.832533739110787</v>
      </c>
      <c r="CM249" s="30">
        <f t="shared" ref="CM249" si="1649">+CL249</f>
        <v>39.832533739110787</v>
      </c>
      <c r="CN249" s="30">
        <f t="shared" si="1599"/>
        <v>39.832533739110787</v>
      </c>
      <c r="CO249" s="30">
        <f t="shared" si="1599"/>
        <v>39.832533739110787</v>
      </c>
      <c r="CP249" s="30">
        <f t="shared" si="1599"/>
        <v>39.832533739110787</v>
      </c>
      <c r="CQ249" s="30">
        <f t="shared" si="1599"/>
        <v>39.832533739110787</v>
      </c>
      <c r="CR249" s="30">
        <f t="shared" si="1599"/>
        <v>39.832533739110787</v>
      </c>
      <c r="CS249" s="30">
        <f t="shared" si="1599"/>
        <v>39.832533739110787</v>
      </c>
      <c r="CT249" s="30">
        <f t="shared" si="1599"/>
        <v>39.832533739110787</v>
      </c>
      <c r="CU249" s="30">
        <f t="shared" si="1599"/>
        <v>39.832533739110787</v>
      </c>
      <c r="CV249" s="30">
        <f t="shared" si="1599"/>
        <v>39.832533739110787</v>
      </c>
      <c r="CW249" s="30">
        <f t="shared" si="1599"/>
        <v>39.832533739110787</v>
      </c>
      <c r="CX249" s="30">
        <f t="shared" si="1599"/>
        <v>39.832533739110787</v>
      </c>
      <c r="CY249" s="30">
        <f t="shared" si="1599"/>
        <v>39.832533739110787</v>
      </c>
      <c r="CZ249" s="30">
        <f t="shared" si="1599"/>
        <v>39.832533739110787</v>
      </c>
      <c r="DA249" s="30">
        <f t="shared" si="1599"/>
        <v>39.832533739110787</v>
      </c>
      <c r="DB249" s="30">
        <f t="shared" si="1599"/>
        <v>39.832533739110787</v>
      </c>
      <c r="DE249" s="139"/>
      <c r="DF249" s="114">
        <v>56.825962868447768</v>
      </c>
    </row>
    <row r="250" spans="1:110" s="62" customFormat="1" outlineLevel="1" x14ac:dyDescent="0.2">
      <c r="A250" s="68" t="s">
        <v>466</v>
      </c>
      <c r="B250" s="67">
        <f>B251-B249</f>
        <v>33.168835073287212</v>
      </c>
      <c r="C250" s="67">
        <f t="shared" ref="C250:V250" si="1650">C251-C249</f>
        <v>49.611305762105573</v>
      </c>
      <c r="D250" s="67">
        <f t="shared" si="1650"/>
        <v>28.429974047551013</v>
      </c>
      <c r="E250" s="67">
        <f t="shared" si="1650"/>
        <v>31.936894234134904</v>
      </c>
      <c r="F250" s="67">
        <f t="shared" si="1650"/>
        <v>23.625008446997313</v>
      </c>
      <c r="G250" s="67">
        <f t="shared" si="1650"/>
        <v>40.34750419255522</v>
      </c>
      <c r="H250" s="67">
        <f t="shared" si="1650"/>
        <v>94.165067780020536</v>
      </c>
      <c r="I250" s="67">
        <f t="shared" si="1650"/>
        <v>63.558776485740765</v>
      </c>
      <c r="J250" s="67">
        <f t="shared" si="1650"/>
        <v>31.769566091993426</v>
      </c>
      <c r="K250" s="67">
        <f t="shared" si="1650"/>
        <v>51.147807278329196</v>
      </c>
      <c r="L250" s="67">
        <f t="shared" si="1650"/>
        <v>33.446868589293871</v>
      </c>
      <c r="M250" s="67">
        <f t="shared" si="1650"/>
        <v>24.310016065155608</v>
      </c>
      <c r="N250" s="67">
        <f t="shared" si="1650"/>
        <v>37.443759527814848</v>
      </c>
      <c r="O250" s="67">
        <f t="shared" si="1650"/>
        <v>128.63715618538362</v>
      </c>
      <c r="P250" s="67">
        <f t="shared" si="1650"/>
        <v>151.26673737014659</v>
      </c>
      <c r="Q250" s="67">
        <f t="shared" si="1650"/>
        <v>287.60563603927193</v>
      </c>
      <c r="R250" s="67">
        <f t="shared" si="1650"/>
        <v>317.80181908548462</v>
      </c>
      <c r="S250" s="67">
        <f t="shared" si="1650"/>
        <v>329.70243971843286</v>
      </c>
      <c r="T250" s="67">
        <f t="shared" si="1650"/>
        <v>249.38509402530292</v>
      </c>
      <c r="U250" s="67">
        <f t="shared" si="1650"/>
        <v>310.27707514825607</v>
      </c>
      <c r="V250" s="67">
        <f t="shared" si="1650"/>
        <v>473.94673858268146</v>
      </c>
      <c r="W250" s="67">
        <f t="shared" ref="W250" si="1651">W251-W249</f>
        <v>121.16953405017924</v>
      </c>
      <c r="X250" s="67">
        <f t="shared" ref="X250:Y250" si="1652">X251-X249</f>
        <v>45.295889821390141</v>
      </c>
      <c r="Y250" s="67">
        <f t="shared" si="1652"/>
        <v>36.093024146889107</v>
      </c>
      <c r="Z250" s="67">
        <f t="shared" ref="Z250:AA250" si="1653">Z251-Z249</f>
        <v>104.34436583569531</v>
      </c>
      <c r="AA250" s="67">
        <f t="shared" si="1653"/>
        <v>122.04198994078658</v>
      </c>
      <c r="AB250" s="18">
        <f t="shared" ref="AB250:AD250" si="1654">AB251-AB249</f>
        <v>66.68036938832077</v>
      </c>
      <c r="AC250" s="18">
        <f t="shared" si="1654"/>
        <v>68.304764179380825</v>
      </c>
      <c r="AD250" s="18">
        <f t="shared" si="1654"/>
        <v>68.893223765041199</v>
      </c>
      <c r="AE250" s="18">
        <f t="shared" ref="AE250" si="1655">AE251-AE249</f>
        <v>68.222254918034238</v>
      </c>
      <c r="AI250" s="67">
        <f t="shared" ref="AI250:AK250" si="1656">AI251-AI249</f>
        <v>0</v>
      </c>
      <c r="AJ250" s="67">
        <f t="shared" ref="AJ250:AM250" si="1657">AJ251-AJ249</f>
        <v>281.72944943166146</v>
      </c>
      <c r="AK250" s="67">
        <f t="shared" si="1656"/>
        <v>249.57909807700139</v>
      </c>
      <c r="AL250" s="67">
        <f t="shared" si="1657"/>
        <v>31.267783961598084</v>
      </c>
      <c r="AM250" s="67">
        <f t="shared" si="1657"/>
        <v>48.493815124245657</v>
      </c>
      <c r="AN250" s="67">
        <f t="shared" ref="AN250:AY250" si="1658">AN251-AN249</f>
        <v>68.73199744117295</v>
      </c>
      <c r="AO250" s="67">
        <f t="shared" si="1658"/>
        <v>39.606171544252049</v>
      </c>
      <c r="AP250" s="67">
        <f t="shared" si="1658"/>
        <v>101.41850019033117</v>
      </c>
      <c r="AQ250" s="67">
        <f t="shared" si="1658"/>
        <v>104.49379368559116</v>
      </c>
      <c r="AR250" s="67">
        <f t="shared" si="1658"/>
        <v>34.001635344896926</v>
      </c>
      <c r="AS250" s="67">
        <f t="shared" si="1658"/>
        <v>64.495041952707851</v>
      </c>
      <c r="AT250" s="67">
        <f t="shared" si="1658"/>
        <v>208.99463251833143</v>
      </c>
      <c r="AU250" s="67">
        <f t="shared" si="1658"/>
        <v>197.13294372659109</v>
      </c>
      <c r="AV250" s="67">
        <f t="shared" si="1658"/>
        <v>340.32018834608584</v>
      </c>
      <c r="AW250" s="67">
        <f t="shared" si="1658"/>
        <v>335.20367936925089</v>
      </c>
      <c r="AX250" s="67">
        <f t="shared" si="1658"/>
        <v>346.06864182351273</v>
      </c>
      <c r="AY250" s="67">
        <f t="shared" si="1658"/>
        <v>284.04710126967666</v>
      </c>
      <c r="AZ250" s="67">
        <f t="shared" ref="AZ250:BC250" si="1659">AZ251-AZ249</f>
        <v>315.94870059842259</v>
      </c>
      <c r="BA250" s="67">
        <f t="shared" si="1659"/>
        <v>232.02611462282397</v>
      </c>
      <c r="BB250" s="67">
        <f t="shared" si="1659"/>
        <v>379.79815072218531</v>
      </c>
      <c r="BC250" s="67">
        <f t="shared" si="1659"/>
        <v>279.35780173031731</v>
      </c>
      <c r="BD250" s="67">
        <f t="shared" ref="BD250:CE250" si="1660">BD251-BD249</f>
        <v>409.98820615638624</v>
      </c>
      <c r="BE250" s="67">
        <f t="shared" si="1660"/>
        <v>261.56967168571452</v>
      </c>
      <c r="BF250" s="67">
        <f t="shared" si="1660"/>
        <v>309.29992299794668</v>
      </c>
      <c r="BG250" s="67">
        <f t="shared" si="1660"/>
        <v>250.97000937207122</v>
      </c>
      <c r="BH250" s="67">
        <f t="shared" si="1660"/>
        <v>345.70568879139125</v>
      </c>
      <c r="BI250" s="67">
        <f t="shared" si="1660"/>
        <v>323.11309166474251</v>
      </c>
      <c r="BJ250" s="67">
        <f t="shared" si="1660"/>
        <v>230.02921487888472</v>
      </c>
      <c r="BK250" s="67">
        <f t="shared" si="1660"/>
        <v>237.22530188127189</v>
      </c>
      <c r="BL250" s="67">
        <f t="shared" si="1660"/>
        <v>488.37695499521226</v>
      </c>
      <c r="BM250" s="67">
        <f t="shared" si="1660"/>
        <v>324.39582572643428</v>
      </c>
      <c r="BN250" s="67">
        <f t="shared" si="1660"/>
        <v>292.27086078067452</v>
      </c>
      <c r="BO250" s="67">
        <f t="shared" si="1660"/>
        <v>2864.5023562676724</v>
      </c>
      <c r="BP250" s="67">
        <f t="shared" si="1660"/>
        <v>395.26852103120768</v>
      </c>
      <c r="BQ250" s="67">
        <f t="shared" si="1660"/>
        <v>394.45499106320756</v>
      </c>
      <c r="BR250" s="67">
        <f t="shared" si="1660"/>
        <v>378.0075594519397</v>
      </c>
      <c r="BS250" s="67">
        <f t="shared" si="1660"/>
        <v>376.2103448275862</v>
      </c>
      <c r="BT250" s="67">
        <f t="shared" si="1660"/>
        <v>218.38098086124404</v>
      </c>
      <c r="BU250" s="67">
        <f t="shared" si="1660"/>
        <v>130.19540024959883</v>
      </c>
      <c r="BV250" s="67">
        <f t="shared" si="1660"/>
        <v>72.994507967948152</v>
      </c>
      <c r="BW250" s="67">
        <f t="shared" si="1660"/>
        <v>28.863269568519488</v>
      </c>
      <c r="BX250" s="67">
        <f t="shared" si="1660"/>
        <v>133.24878294941817</v>
      </c>
      <c r="BY250" s="67">
        <f t="shared" si="1660"/>
        <v>89.811828494828035</v>
      </c>
      <c r="BZ250" s="67">
        <f t="shared" si="1660"/>
        <v>43.40028530670471</v>
      </c>
      <c r="CA250" s="67">
        <f t="shared" si="1660"/>
        <v>19.348314949733407</v>
      </c>
      <c r="CB250" s="67">
        <f t="shared" si="1660"/>
        <v>49.187398631003113</v>
      </c>
      <c r="CC250" s="67">
        <f t="shared" si="1660"/>
        <v>28.069642427601792</v>
      </c>
      <c r="CD250" s="67">
        <f t="shared" si="1660"/>
        <v>37.359244413848124</v>
      </c>
      <c r="CE250" s="114">
        <f t="shared" si="1660"/>
        <v>24.022066489053643</v>
      </c>
      <c r="CF250" s="67">
        <f t="shared" ref="CF250:CG250" si="1661">CF251-CF249</f>
        <v>78.1181870738112</v>
      </c>
      <c r="CG250" s="67">
        <f t="shared" si="1661"/>
        <v>66.95051845484339</v>
      </c>
      <c r="CH250" s="67">
        <f t="shared" ref="CH250" si="1662">CH251-CH249</f>
        <v>144.91259532389171</v>
      </c>
      <c r="CI250" s="67">
        <f>CH250</f>
        <v>144.91259532389171</v>
      </c>
      <c r="CJ250" s="67">
        <f t="shared" ref="CJ250:CL250" si="1663">CJ251-CJ249</f>
        <v>66.814958850835978</v>
      </c>
      <c r="CK250" s="114">
        <f>+CJ250</f>
        <v>66.814958850835978</v>
      </c>
      <c r="CL250" s="114">
        <f t="shared" si="1663"/>
        <v>61.859338972576808</v>
      </c>
      <c r="CM250" s="30">
        <f t="shared" ref="CM250" si="1664">CL250</f>
        <v>61.859338972576808</v>
      </c>
      <c r="CN250" s="30">
        <f t="shared" si="1599"/>
        <v>61.859338972576808</v>
      </c>
      <c r="CO250" s="30">
        <f t="shared" si="1599"/>
        <v>61.859338972576808</v>
      </c>
      <c r="CP250" s="30">
        <f t="shared" si="1599"/>
        <v>61.859338972576808</v>
      </c>
      <c r="CQ250" s="30">
        <f t="shared" si="1599"/>
        <v>61.859338972576808</v>
      </c>
      <c r="CR250" s="30">
        <f t="shared" si="1599"/>
        <v>61.859338972576808</v>
      </c>
      <c r="CS250" s="30">
        <f t="shared" si="1599"/>
        <v>61.859338972576808</v>
      </c>
      <c r="CT250" s="30">
        <f t="shared" si="1599"/>
        <v>61.859338972576808</v>
      </c>
      <c r="CU250" s="30">
        <f t="shared" si="1599"/>
        <v>61.859338972576808</v>
      </c>
      <c r="CV250" s="30">
        <f t="shared" si="1599"/>
        <v>61.859338972576808</v>
      </c>
      <c r="CW250" s="30">
        <f t="shared" si="1599"/>
        <v>61.859338972576808</v>
      </c>
      <c r="CX250" s="30">
        <f t="shared" si="1599"/>
        <v>61.859338972576808</v>
      </c>
      <c r="CY250" s="30">
        <f t="shared" si="1599"/>
        <v>61.859338972576808</v>
      </c>
      <c r="CZ250" s="30">
        <f t="shared" si="1599"/>
        <v>61.859338972576808</v>
      </c>
      <c r="DA250" s="30">
        <f t="shared" si="1599"/>
        <v>61.859338972576808</v>
      </c>
      <c r="DB250" s="30">
        <f t="shared" si="1599"/>
        <v>61.859338972576808</v>
      </c>
      <c r="DE250" s="139"/>
      <c r="DF250" s="114">
        <v>122.04198994078658</v>
      </c>
    </row>
    <row r="251" spans="1:110" s="7" customFormat="1" outlineLevel="1" x14ac:dyDescent="0.2">
      <c r="A251" s="69" t="s">
        <v>469</v>
      </c>
      <c r="B251" s="70">
        <f t="shared" ref="B251:AE251" si="1665">B222/B72*365</f>
        <v>83.375498893284771</v>
      </c>
      <c r="C251" s="70">
        <f t="shared" si="1665"/>
        <v>122.79550353358397</v>
      </c>
      <c r="D251" s="70">
        <f t="shared" si="1665"/>
        <v>55.837203616257248</v>
      </c>
      <c r="E251" s="70">
        <f t="shared" si="1665"/>
        <v>67.60145132348147</v>
      </c>
      <c r="F251" s="70">
        <f t="shared" si="1665"/>
        <v>29.744452545658241</v>
      </c>
      <c r="G251" s="70">
        <f t="shared" si="1665"/>
        <v>145.80711263433463</v>
      </c>
      <c r="H251" s="70">
        <f t="shared" si="1665"/>
        <v>172.27369404453714</v>
      </c>
      <c r="I251" s="70">
        <f t="shared" si="1665"/>
        <v>166.11275189922461</v>
      </c>
      <c r="J251" s="70">
        <f t="shared" si="1665"/>
        <v>152.39982213071482</v>
      </c>
      <c r="K251" s="70">
        <f t="shared" si="1665"/>
        <v>183.6875367396166</v>
      </c>
      <c r="L251" s="70">
        <f t="shared" si="1665"/>
        <v>177.00839846265245</v>
      </c>
      <c r="M251" s="70">
        <f t="shared" si="1665"/>
        <v>137.99444806137203</v>
      </c>
      <c r="N251" s="70">
        <f t="shared" si="1665"/>
        <v>139.05949711678414</v>
      </c>
      <c r="O251" s="70">
        <f t="shared" si="1665"/>
        <v>201.64487645723651</v>
      </c>
      <c r="P251" s="70">
        <f t="shared" si="1665"/>
        <v>186.07552782816009</v>
      </c>
      <c r="Q251" s="70">
        <f t="shared" si="1665"/>
        <v>344.2954635757817</v>
      </c>
      <c r="R251" s="70">
        <f t="shared" si="1665"/>
        <v>372.31269422111677</v>
      </c>
      <c r="S251" s="70">
        <f t="shared" si="1665"/>
        <v>389.20679007135647</v>
      </c>
      <c r="T251" s="70">
        <f t="shared" si="1665"/>
        <v>298.34987494790806</v>
      </c>
      <c r="U251" s="70">
        <f t="shared" si="1665"/>
        <v>370.29288464875174</v>
      </c>
      <c r="V251" s="70">
        <f t="shared" si="1665"/>
        <v>524.72303218502111</v>
      </c>
      <c r="W251" s="70">
        <f t="shared" si="1665"/>
        <v>129.11318996415773</v>
      </c>
      <c r="X251" s="70">
        <f t="shared" si="1665"/>
        <v>53.315041962556485</v>
      </c>
      <c r="Y251" s="70">
        <f t="shared" si="1665"/>
        <v>58.194470201466743</v>
      </c>
      <c r="Z251" s="70">
        <f t="shared" si="1665"/>
        <v>110.21115004351998</v>
      </c>
      <c r="AA251" s="70">
        <f t="shared" ref="AA251" si="1666">AA222/AA72*365</f>
        <v>178.86795280923434</v>
      </c>
      <c r="AB251" s="71">
        <f t="shared" si="1665"/>
        <v>109.61726634698573</v>
      </c>
      <c r="AC251" s="71">
        <f t="shared" si="1665"/>
        <v>112.28764322248446</v>
      </c>
      <c r="AD251" s="71">
        <f t="shared" si="1665"/>
        <v>113.2550243532055</v>
      </c>
      <c r="AE251" s="71">
        <f t="shared" si="1665"/>
        <v>112.15200450662117</v>
      </c>
      <c r="AI251" s="70">
        <f t="shared" ref="AI251:CD251" si="1667">AI222/AI72*90</f>
        <v>0</v>
      </c>
      <c r="AJ251" s="70">
        <f t="shared" si="1667"/>
        <v>281.72944943166146</v>
      </c>
      <c r="AK251" s="70">
        <f t="shared" si="1667"/>
        <v>249.57909807700139</v>
      </c>
      <c r="AL251" s="70">
        <f t="shared" si="1667"/>
        <v>110.68982246606897</v>
      </c>
      <c r="AM251" s="70">
        <f t="shared" si="1667"/>
        <v>127.91585362871655</v>
      </c>
      <c r="AN251" s="70">
        <f t="shared" si="1667"/>
        <v>284.56690122581654</v>
      </c>
      <c r="AO251" s="70">
        <f t="shared" si="1667"/>
        <v>255.44107532889564</v>
      </c>
      <c r="AP251" s="70">
        <f t="shared" si="1667"/>
        <v>157.48869432813095</v>
      </c>
      <c r="AQ251" s="70">
        <f t="shared" si="1667"/>
        <v>160.56398782339093</v>
      </c>
      <c r="AR251" s="70">
        <f t="shared" si="1667"/>
        <v>175.41205329615826</v>
      </c>
      <c r="AS251" s="70">
        <f t="shared" si="1667"/>
        <v>205.90545990396919</v>
      </c>
      <c r="AT251" s="70">
        <f t="shared" si="1667"/>
        <v>256.18600232238992</v>
      </c>
      <c r="AU251" s="70">
        <f t="shared" si="1667"/>
        <v>244.32431353064959</v>
      </c>
      <c r="AV251" s="70">
        <f t="shared" si="1667"/>
        <v>464.69452619187751</v>
      </c>
      <c r="AW251" s="70">
        <f t="shared" si="1667"/>
        <v>459.57801721504256</v>
      </c>
      <c r="AX251" s="70">
        <f t="shared" si="1667"/>
        <v>414.2379173366121</v>
      </c>
      <c r="AY251" s="70">
        <f t="shared" si="1667"/>
        <v>352.21637678277602</v>
      </c>
      <c r="AZ251" s="70">
        <f t="shared" si="1667"/>
        <v>389.21369816667027</v>
      </c>
      <c r="BA251" s="70">
        <f t="shared" si="1667"/>
        <v>305.29111219107165</v>
      </c>
      <c r="BB251" s="70">
        <f t="shared" si="1667"/>
        <v>444.94276908200885</v>
      </c>
      <c r="BC251" s="70">
        <f t="shared" si="1667"/>
        <v>344.50242009014084</v>
      </c>
      <c r="BD251" s="70">
        <f t="shared" si="1667"/>
        <v>484.02995636277848</v>
      </c>
      <c r="BE251" s="70">
        <f t="shared" si="1667"/>
        <v>335.61142189210676</v>
      </c>
      <c r="BF251" s="70">
        <f t="shared" si="1667"/>
        <v>365.07388530360817</v>
      </c>
      <c r="BG251" s="70">
        <f t="shared" si="1667"/>
        <v>306.7439716777327</v>
      </c>
      <c r="BH251" s="70">
        <f t="shared" si="1667"/>
        <v>402.54053893813182</v>
      </c>
      <c r="BI251" s="70">
        <f t="shared" si="1667"/>
        <v>379.94794181148308</v>
      </c>
      <c r="BJ251" s="70">
        <f t="shared" si="1667"/>
        <v>274.21522394239832</v>
      </c>
      <c r="BK251" s="70">
        <f t="shared" si="1667"/>
        <v>281.4113109447855</v>
      </c>
      <c r="BL251" s="70">
        <f t="shared" si="1667"/>
        <v>596.88317906160228</v>
      </c>
      <c r="BM251" s="70">
        <f t="shared" si="1667"/>
        <v>432.9020497928243</v>
      </c>
      <c r="BN251" s="70">
        <f t="shared" si="1667"/>
        <v>345.17324280919735</v>
      </c>
      <c r="BO251" s="70">
        <f t="shared" si="1667"/>
        <v>2917.4047382961953</v>
      </c>
      <c r="BP251" s="70">
        <f t="shared" si="1667"/>
        <v>465.60773405698785</v>
      </c>
      <c r="BQ251" s="70">
        <f t="shared" si="1667"/>
        <v>464.79420408898773</v>
      </c>
      <c r="BR251" s="70">
        <f t="shared" si="1667"/>
        <v>411.31828442437921</v>
      </c>
      <c r="BS251" s="70">
        <f t="shared" si="1667"/>
        <v>409.52106980002571</v>
      </c>
      <c r="BT251" s="70">
        <f t="shared" si="1667"/>
        <v>256.91985645933016</v>
      </c>
      <c r="BU251" s="70">
        <f t="shared" si="1667"/>
        <v>168.73427584768496</v>
      </c>
      <c r="BV251" s="70">
        <f t="shared" si="1667"/>
        <v>77.09462501125418</v>
      </c>
      <c r="BW251" s="70">
        <f t="shared" si="1667"/>
        <v>32.963386611825513</v>
      </c>
      <c r="BX251" s="70">
        <f t="shared" si="1667"/>
        <v>145.38841724056041</v>
      </c>
      <c r="BY251" s="70">
        <f t="shared" si="1667"/>
        <v>101.95146278597028</v>
      </c>
      <c r="BZ251" s="70">
        <f t="shared" si="1667"/>
        <v>51.05529243937233</v>
      </c>
      <c r="CA251" s="70">
        <f t="shared" si="1667"/>
        <v>27.003322082401024</v>
      </c>
      <c r="CB251" s="70">
        <f t="shared" si="1667"/>
        <v>56.56018913049455</v>
      </c>
      <c r="CC251" s="70">
        <f t="shared" si="1667"/>
        <v>35.442432927093229</v>
      </c>
      <c r="CD251" s="70">
        <f t="shared" si="1667"/>
        <v>60.236056334403486</v>
      </c>
      <c r="CE251" s="115">
        <f>CE222/CE74*90</f>
        <v>46.898878409609004</v>
      </c>
      <c r="CF251" s="70">
        <f>CF222/CF72*90</f>
        <v>82.574650516476396</v>
      </c>
      <c r="CG251" s="70">
        <f>CG222/CG74*90</f>
        <v>71.406981897508587</v>
      </c>
      <c r="CH251" s="70">
        <f>CH222/CH72*90</f>
        <v>153.06033688091844</v>
      </c>
      <c r="CI251" s="70">
        <f>CI249+CI250</f>
        <v>153.06033688091844</v>
      </c>
      <c r="CJ251" s="70">
        <f>CJ222/CJ72*90</f>
        <v>96.969833075437847</v>
      </c>
      <c r="CK251" s="115">
        <f t="shared" ref="CK251" si="1668">CK249+CK250</f>
        <v>96.969833075437833</v>
      </c>
      <c r="CL251" s="115">
        <f>CL222/CL72*90</f>
        <v>101.69187271168759</v>
      </c>
      <c r="CM251" s="50">
        <f t="shared" ref="CM251" si="1669">CM249+CM250</f>
        <v>101.69187271168759</v>
      </c>
      <c r="CN251" s="50">
        <f t="shared" ref="CN251" si="1670">CN249+CN250</f>
        <v>101.69187271168759</v>
      </c>
      <c r="CO251" s="50">
        <f t="shared" ref="CO251:DB251" si="1671">CO249+CO250</f>
        <v>101.69187271168759</v>
      </c>
      <c r="CP251" s="50">
        <f t="shared" si="1671"/>
        <v>101.69187271168759</v>
      </c>
      <c r="CQ251" s="50">
        <f t="shared" si="1671"/>
        <v>101.69187271168759</v>
      </c>
      <c r="CR251" s="50">
        <f t="shared" si="1671"/>
        <v>101.69187271168759</v>
      </c>
      <c r="CS251" s="50">
        <f t="shared" si="1671"/>
        <v>101.69187271168759</v>
      </c>
      <c r="CT251" s="50">
        <f t="shared" si="1671"/>
        <v>101.69187271168759</v>
      </c>
      <c r="CU251" s="50">
        <f t="shared" si="1671"/>
        <v>101.69187271168759</v>
      </c>
      <c r="CV251" s="50">
        <f t="shared" si="1671"/>
        <v>101.69187271168759</v>
      </c>
      <c r="CW251" s="50">
        <f t="shared" si="1671"/>
        <v>101.69187271168759</v>
      </c>
      <c r="CX251" s="50">
        <f t="shared" si="1671"/>
        <v>101.69187271168759</v>
      </c>
      <c r="CY251" s="50">
        <f t="shared" si="1671"/>
        <v>101.69187271168759</v>
      </c>
      <c r="CZ251" s="50">
        <f t="shared" si="1671"/>
        <v>101.69187271168759</v>
      </c>
      <c r="DA251" s="50">
        <f t="shared" si="1671"/>
        <v>101.69187271168759</v>
      </c>
      <c r="DB251" s="50">
        <f t="shared" si="1671"/>
        <v>101.69187271168759</v>
      </c>
      <c r="DE251" s="138"/>
      <c r="DF251" s="115">
        <v>178.86795280923434</v>
      </c>
    </row>
    <row r="252" spans="1:110" s="7" customFormat="1" x14ac:dyDescent="0.2">
      <c r="A252" s="69" t="s">
        <v>470</v>
      </c>
      <c r="B252" s="70">
        <f>B248-B251</f>
        <v>190.39104083517782</v>
      </c>
      <c r="C252" s="70">
        <f t="shared" ref="C252:V252" si="1672">C248-C251</f>
        <v>200.86838615647437</v>
      </c>
      <c r="D252" s="70">
        <f t="shared" si="1672"/>
        <v>165.97985960343718</v>
      </c>
      <c r="E252" s="70">
        <f t="shared" si="1672"/>
        <v>132.35194820739576</v>
      </c>
      <c r="F252" s="70">
        <f t="shared" si="1672"/>
        <v>58.573954795227003</v>
      </c>
      <c r="G252" s="70">
        <f t="shared" si="1672"/>
        <v>-48.610659393696196</v>
      </c>
      <c r="H252" s="70">
        <f t="shared" si="1672"/>
        <v>-83.561608006166821</v>
      </c>
      <c r="I252" s="70">
        <f t="shared" si="1672"/>
        <v>-65.825132592317246</v>
      </c>
      <c r="J252" s="70">
        <f t="shared" si="1672"/>
        <v>-60.873284001096124</v>
      </c>
      <c r="K252" s="70">
        <f t="shared" si="1672"/>
        <v>-115.31159924595102</v>
      </c>
      <c r="L252" s="70">
        <f t="shared" si="1672"/>
        <v>-94.971878357662064</v>
      </c>
      <c r="M252" s="70">
        <f t="shared" si="1672"/>
        <v>-61.50697370537786</v>
      </c>
      <c r="N252" s="70">
        <f t="shared" si="1672"/>
        <v>-70.902573920786566</v>
      </c>
      <c r="O252" s="70">
        <f t="shared" si="1672"/>
        <v>-110.71202915051586</v>
      </c>
      <c r="P252" s="70">
        <f t="shared" si="1672"/>
        <v>-109.06566030635643</v>
      </c>
      <c r="Q252" s="70">
        <f t="shared" si="1672"/>
        <v>-206.4895009416995</v>
      </c>
      <c r="R252" s="70">
        <f t="shared" si="1672"/>
        <v>-221.17117967484199</v>
      </c>
      <c r="S252" s="70">
        <f t="shared" si="1672"/>
        <v>-232.85978793235253</v>
      </c>
      <c r="T252" s="70">
        <f t="shared" si="1672"/>
        <v>-154.62816776109511</v>
      </c>
      <c r="U252" s="70">
        <f t="shared" si="1672"/>
        <v>-185.35641586760588</v>
      </c>
      <c r="V252" s="70">
        <f t="shared" si="1672"/>
        <v>-169.00493554432455</v>
      </c>
      <c r="W252" s="70">
        <f t="shared" ref="W252" si="1673">W248-W251</f>
        <v>21.565089605734755</v>
      </c>
      <c r="X252" s="70">
        <f t="shared" ref="X252:Y252" si="1674">X248-X251</f>
        <v>28.139659995696142</v>
      </c>
      <c r="Y252" s="70">
        <f t="shared" si="1674"/>
        <v>4.3735219513690424</v>
      </c>
      <c r="Z252" s="70">
        <f t="shared" ref="Z252:AA252" si="1675">Z248-Z251</f>
        <v>43.212615588338139</v>
      </c>
      <c r="AA252" s="70">
        <f t="shared" si="1675"/>
        <v>93.092898419708945</v>
      </c>
      <c r="AB252" s="71">
        <f t="shared" ref="AB252:AD252" si="1676">AB248-AB251</f>
        <v>125.10061214823699</v>
      </c>
      <c r="AC252" s="71">
        <f t="shared" si="1676"/>
        <v>144.71110040051713</v>
      </c>
      <c r="AD252" s="71">
        <f t="shared" si="1676"/>
        <v>145.95781628051787</v>
      </c>
      <c r="AE252" s="71">
        <f t="shared" ref="AE252" si="1677">AE248-AE251</f>
        <v>144.53629552202659</v>
      </c>
      <c r="AI252" s="70">
        <f t="shared" ref="AI252:AK252" si="1678">AI248-AI251</f>
        <v>0</v>
      </c>
      <c r="AJ252" s="70">
        <f t="shared" ref="AJ252:AM252" si="1679">AJ248-AJ251</f>
        <v>-114.48259750605101</v>
      </c>
      <c r="AK252" s="70">
        <f t="shared" si="1678"/>
        <v>-96.207904557229284</v>
      </c>
      <c r="AL252" s="70">
        <f t="shared" si="1679"/>
        <v>-57.290605808408515</v>
      </c>
      <c r="AM252" s="70">
        <f t="shared" si="1679"/>
        <v>-54.97253655584187</v>
      </c>
      <c r="AN252" s="70">
        <f t="shared" ref="AN252:AY252" si="1680">AN248-AN251</f>
        <v>-138.70882968239425</v>
      </c>
      <c r="AO252" s="70">
        <f t="shared" si="1680"/>
        <v>-128.59801423266384</v>
      </c>
      <c r="AP252" s="70">
        <f t="shared" si="1680"/>
        <v>-87.652074609821085</v>
      </c>
      <c r="AQ252" s="70">
        <f t="shared" si="1680"/>
        <v>-90.244708991996461</v>
      </c>
      <c r="AR252" s="70">
        <f t="shared" si="1680"/>
        <v>-83.049113964773056</v>
      </c>
      <c r="AS252" s="70">
        <f t="shared" si="1680"/>
        <v>-77.601608769085317</v>
      </c>
      <c r="AT252" s="70">
        <f t="shared" si="1680"/>
        <v>-151.7815004587938</v>
      </c>
      <c r="AU252" s="70">
        <f t="shared" si="1680"/>
        <v>-143.64130391134219</v>
      </c>
      <c r="AV252" s="70">
        <f t="shared" si="1680"/>
        <v>-254.60035314891104</v>
      </c>
      <c r="AW252" s="70">
        <f t="shared" si="1680"/>
        <v>-250.92744719360988</v>
      </c>
      <c r="AX252" s="70">
        <f t="shared" si="1680"/>
        <v>-248.52678993663102</v>
      </c>
      <c r="AY252" s="70">
        <f t="shared" si="1680"/>
        <v>-205.57807423459414</v>
      </c>
      <c r="AZ252" s="70">
        <f t="shared" ref="AZ252:BC252" si="1681">AZ248-AZ251</f>
        <v>-206.38757903195116</v>
      </c>
      <c r="BA252" s="70">
        <f t="shared" si="1681"/>
        <v>-148.90850420394139</v>
      </c>
      <c r="BB252" s="70">
        <f t="shared" si="1681"/>
        <v>-264.31619024596608</v>
      </c>
      <c r="BC252" s="70">
        <f t="shared" si="1681"/>
        <v>-196.56978395049615</v>
      </c>
      <c r="BD252" s="70">
        <f t="shared" ref="BD252:CE252" si="1682">BD248-BD251</f>
        <v>-292.84939261705381</v>
      </c>
      <c r="BE252" s="70">
        <f t="shared" si="1682"/>
        <v>-180.15635201744112</v>
      </c>
      <c r="BF252" s="70">
        <f t="shared" si="1682"/>
        <v>-218.52770240539752</v>
      </c>
      <c r="BG252" s="70">
        <f t="shared" si="1682"/>
        <v>-174.85887819551476</v>
      </c>
      <c r="BH252" s="70">
        <f t="shared" si="1682"/>
        <v>-259.81531438057687</v>
      </c>
      <c r="BI252" s="70">
        <f t="shared" si="1682"/>
        <v>-241.27874063221404</v>
      </c>
      <c r="BJ252" s="70">
        <f t="shared" si="1682"/>
        <v>-144.51979480573252</v>
      </c>
      <c r="BK252" s="70">
        <f t="shared" si="1682"/>
        <v>-149.74712636013672</v>
      </c>
      <c r="BL252" s="70">
        <f t="shared" si="1682"/>
        <v>-310.96552824768588</v>
      </c>
      <c r="BM252" s="70">
        <f t="shared" si="1682"/>
        <v>-194.65310136306289</v>
      </c>
      <c r="BN252" s="70">
        <f t="shared" si="1682"/>
        <v>-179.57677401982943</v>
      </c>
      <c r="BO252" s="70">
        <f t="shared" si="1682"/>
        <v>-1995.2274764426033</v>
      </c>
      <c r="BP252" s="70">
        <f t="shared" si="1682"/>
        <v>-217.61804613297153</v>
      </c>
      <c r="BQ252" s="70">
        <f t="shared" si="1682"/>
        <v>-217.09128660342435</v>
      </c>
      <c r="BR252" s="70">
        <f t="shared" si="1682"/>
        <v>-177.21056223423801</v>
      </c>
      <c r="BS252" s="70">
        <f t="shared" si="1682"/>
        <v>-175.97550927479389</v>
      </c>
      <c r="BT252" s="70">
        <f t="shared" si="1682"/>
        <v>-28.132177033492809</v>
      </c>
      <c r="BU252" s="70">
        <f t="shared" si="1682"/>
        <v>13.104078928175113</v>
      </c>
      <c r="BV252" s="70">
        <f t="shared" si="1682"/>
        <v>0.84001080399747252</v>
      </c>
      <c r="BW252" s="70">
        <f t="shared" si="1682"/>
        <v>28.974593833923691</v>
      </c>
      <c r="BX252" s="70">
        <f t="shared" si="1682"/>
        <v>-64.255372833056256</v>
      </c>
      <c r="BY252" s="70">
        <f t="shared" si="1682"/>
        <v>-38.6629583276316</v>
      </c>
      <c r="BZ252" s="70">
        <f t="shared" si="1682"/>
        <v>31.901854493580593</v>
      </c>
      <c r="CA252" s="70">
        <f t="shared" si="1682"/>
        <v>26.728873624945987</v>
      </c>
      <c r="CB252" s="70">
        <f t="shared" si="1682"/>
        <v>37.754625175248094</v>
      </c>
      <c r="CC252" s="70">
        <f t="shared" si="1682"/>
        <v>32.321431524003295</v>
      </c>
      <c r="CD252" s="70">
        <f t="shared" si="1682"/>
        <v>9.0405908807236841</v>
      </c>
      <c r="CE252" s="115">
        <f t="shared" si="1682"/>
        <v>4.0750404082816161</v>
      </c>
      <c r="CF252" s="70">
        <f t="shared" ref="CF252:CG252" si="1683">CF248-CF251</f>
        <v>76.402426707715506</v>
      </c>
      <c r="CG252" s="70">
        <f t="shared" si="1683"/>
        <v>69.610505435843464</v>
      </c>
      <c r="CH252" s="70">
        <f t="shared" ref="CH252:CI252" si="1684">CH248-CH251</f>
        <v>60.013324394536141</v>
      </c>
      <c r="CI252" s="70">
        <f t="shared" si="1684"/>
        <v>60.013324394536141</v>
      </c>
      <c r="CJ252" s="70">
        <f t="shared" ref="CJ252:CM252" si="1685">CJ248-CJ251</f>
        <v>97.916085831267921</v>
      </c>
      <c r="CK252" s="115">
        <f t="shared" ref="CK252:CL252" si="1686">CK248-CK251</f>
        <v>97.916085831267935</v>
      </c>
      <c r="CL252" s="115">
        <f t="shared" si="1686"/>
        <v>71.055763390988247</v>
      </c>
      <c r="CM252" s="50">
        <f t="shared" si="1685"/>
        <v>86.055763390988247</v>
      </c>
      <c r="CN252" s="50">
        <f t="shared" ref="CN252" si="1687">CN248-CN251</f>
        <v>86.055763390988247</v>
      </c>
      <c r="CO252" s="50">
        <f t="shared" ref="CO252:DB252" si="1688">CO248-CO251</f>
        <v>101.05576339098825</v>
      </c>
      <c r="CP252" s="50">
        <f t="shared" si="1688"/>
        <v>116.05576339098825</v>
      </c>
      <c r="CQ252" s="50">
        <f t="shared" si="1688"/>
        <v>131.05576339098826</v>
      </c>
      <c r="CR252" s="50">
        <f t="shared" si="1688"/>
        <v>131.05576339098826</v>
      </c>
      <c r="CS252" s="50">
        <f t="shared" si="1688"/>
        <v>131.05576339098826</v>
      </c>
      <c r="CT252" s="50">
        <f t="shared" si="1688"/>
        <v>131.05576339098826</v>
      </c>
      <c r="CU252" s="50">
        <f t="shared" si="1688"/>
        <v>131.05576339098826</v>
      </c>
      <c r="CV252" s="50">
        <f t="shared" si="1688"/>
        <v>131.05576339098826</v>
      </c>
      <c r="CW252" s="50">
        <f t="shared" si="1688"/>
        <v>131.05576339098826</v>
      </c>
      <c r="CX252" s="50">
        <f t="shared" si="1688"/>
        <v>131.05576339098826</v>
      </c>
      <c r="CY252" s="50">
        <f t="shared" si="1688"/>
        <v>131.05576339098826</v>
      </c>
      <c r="CZ252" s="50">
        <f t="shared" si="1688"/>
        <v>131.05576339098826</v>
      </c>
      <c r="DA252" s="50">
        <f t="shared" si="1688"/>
        <v>131.05576339098826</v>
      </c>
      <c r="DB252" s="50">
        <f t="shared" si="1688"/>
        <v>131.05576339098826</v>
      </c>
      <c r="DE252" s="138"/>
      <c r="DF252" s="115">
        <v>93.092898419708945</v>
      </c>
    </row>
    <row r="253" spans="1:110" s="7" customFormat="1" x14ac:dyDescent="0.2">
      <c r="A253" s="69" t="s">
        <v>86</v>
      </c>
      <c r="AB253" s="77"/>
      <c r="AC253" s="77"/>
      <c r="AD253" s="77"/>
      <c r="AE253" s="77"/>
      <c r="CE253" s="115"/>
      <c r="CG253" s="115"/>
      <c r="CM253" s="50"/>
      <c r="CN253" s="50"/>
      <c r="CO253" s="50"/>
      <c r="CP253" s="50"/>
      <c r="CQ253" s="50"/>
      <c r="CR253" s="50"/>
      <c r="CS253" s="50"/>
      <c r="CT253" s="50"/>
      <c r="CU253" s="50"/>
      <c r="CV253" s="50"/>
      <c r="CW253" s="50"/>
      <c r="CX253" s="50"/>
      <c r="CY253" s="50"/>
      <c r="CZ253" s="50"/>
      <c r="DA253" s="50"/>
      <c r="DB253" s="50"/>
      <c r="DE253" s="138"/>
      <c r="DF253" s="115"/>
    </row>
    <row r="254" spans="1:110" s="86" customFormat="1" x14ac:dyDescent="0.2">
      <c r="A254" s="86" t="s">
        <v>440</v>
      </c>
      <c r="C254" s="86">
        <f t="shared" ref="C254:AE254" si="1689">C74/B74-1</f>
        <v>3.7651168619587727E-2</v>
      </c>
      <c r="D254" s="86">
        <f t="shared" si="1689"/>
        <v>0.41576683851780261</v>
      </c>
      <c r="E254" s="86">
        <f t="shared" si="1689"/>
        <v>0.17178360185941144</v>
      </c>
      <c r="F254" s="86">
        <f t="shared" si="1689"/>
        <v>0.46520481938674751</v>
      </c>
      <c r="G254" s="86">
        <f t="shared" si="1689"/>
        <v>-1.4001405186769511E-2</v>
      </c>
      <c r="H254" s="86">
        <f t="shared" si="1689"/>
        <v>0.32530412188496505</v>
      </c>
      <c r="I254" s="86">
        <f t="shared" si="1689"/>
        <v>0.13473571955840136</v>
      </c>
      <c r="J254" s="86">
        <f t="shared" si="1689"/>
        <v>0.7832127393337136</v>
      </c>
      <c r="K254" s="86">
        <f t="shared" si="1689"/>
        <v>-0.1663126994964792</v>
      </c>
      <c r="L254" s="86">
        <f t="shared" si="1689"/>
        <v>0.21501029593188292</v>
      </c>
      <c r="M254" s="86">
        <f t="shared" si="1689"/>
        <v>0.45914179664181276</v>
      </c>
      <c r="N254" s="86">
        <f t="shared" si="1689"/>
        <v>-0.24592842757164513</v>
      </c>
      <c r="O254" s="86">
        <f t="shared" si="1689"/>
        <v>-0.25218064436588827</v>
      </c>
      <c r="P254" s="86">
        <f t="shared" si="1689"/>
        <v>0.12535480208494598</v>
      </c>
      <c r="Q254" s="86">
        <f t="shared" si="1689"/>
        <v>-0.41014168064086065</v>
      </c>
      <c r="R254" s="86">
        <f t="shared" si="1689"/>
        <v>-2.1032197326503743E-2</v>
      </c>
      <c r="S254" s="86">
        <f t="shared" si="1689"/>
        <v>9.1271994566104242E-2</v>
      </c>
      <c r="T254" s="86">
        <f t="shared" si="1689"/>
        <v>0.18544519663323222</v>
      </c>
      <c r="U254" s="86">
        <f t="shared" si="1689"/>
        <v>-0.22113299688590227</v>
      </c>
      <c r="V254" s="86">
        <f t="shared" si="1689"/>
        <v>-0.3183200018292428</v>
      </c>
      <c r="W254" s="86">
        <f t="shared" si="1689"/>
        <v>1.7524923374164931</v>
      </c>
      <c r="X254" s="86">
        <f t="shared" si="1689"/>
        <v>3.8635268817204302</v>
      </c>
      <c r="Y254" s="86">
        <f t="shared" si="1689"/>
        <v>0.92336490474042754</v>
      </c>
      <c r="Z254" s="86">
        <f t="shared" si="1689"/>
        <v>3.0101231483681268E-2</v>
      </c>
      <c r="AA254" s="86">
        <f t="shared" si="1689"/>
        <v>1.5461304409281285</v>
      </c>
      <c r="AB254" s="87">
        <f t="shared" si="1689"/>
        <v>0.28631739435006187</v>
      </c>
      <c r="AC254" s="87">
        <f t="shared" si="1689"/>
        <v>0.38734495172048988</v>
      </c>
      <c r="AD254" s="87">
        <f t="shared" si="1689"/>
        <v>0.13241910181380989</v>
      </c>
      <c r="AE254" s="87">
        <f t="shared" si="1689"/>
        <v>0.20190088388867244</v>
      </c>
      <c r="AN254" s="86">
        <f t="shared" ref="AN254:BS254" si="1690">+(AN74+AM74)/(AJ74+AI74)-1</f>
        <v>-0.33344182262001643</v>
      </c>
      <c r="AO254" s="86">
        <f t="shared" si="1690"/>
        <v>-8.9768168834068796E-2</v>
      </c>
      <c r="AP254" s="86">
        <f t="shared" si="1690"/>
        <v>-0.18180577785941066</v>
      </c>
      <c r="AQ254" s="86">
        <f t="shared" si="1690"/>
        <v>-5.9869835612261446E-2</v>
      </c>
      <c r="AR254" s="86">
        <f t="shared" si="1690"/>
        <v>0.58708902994791679</v>
      </c>
      <c r="AS254" s="86">
        <f t="shared" si="1690"/>
        <v>0.41218913889358832</v>
      </c>
      <c r="AT254" s="86">
        <f t="shared" si="1690"/>
        <v>-0.2266773992854898</v>
      </c>
      <c r="AU254" s="86">
        <f t="shared" si="1690"/>
        <v>-0.29065466288286534</v>
      </c>
      <c r="AV254" s="86">
        <f t="shared" si="1690"/>
        <v>-0.46925339001084498</v>
      </c>
      <c r="AW254" s="86">
        <f t="shared" si="1690"/>
        <v>-0.53855069512246256</v>
      </c>
      <c r="AX254" s="86">
        <f t="shared" si="1690"/>
        <v>-0.32733402726228433</v>
      </c>
      <c r="AY254" s="86">
        <f t="shared" si="1690"/>
        <v>-0.29222964983366706</v>
      </c>
      <c r="AZ254" s="86">
        <f t="shared" si="1690"/>
        <v>-0.12216082004115669</v>
      </c>
      <c r="BA254" s="86">
        <f t="shared" si="1690"/>
        <v>0.33575420082166696</v>
      </c>
      <c r="BB254" s="86">
        <f t="shared" si="1690"/>
        <v>0.18054819180548165</v>
      </c>
      <c r="BC254" s="86">
        <f t="shared" si="1690"/>
        <v>-5.3094388167090778E-2</v>
      </c>
      <c r="BD254" s="86">
        <f t="shared" si="1690"/>
        <v>-4.2955014444902906E-2</v>
      </c>
      <c r="BE254" s="86">
        <f t="shared" si="1690"/>
        <v>-4.8039687282868782E-2</v>
      </c>
      <c r="BF254" s="86">
        <f t="shared" si="1690"/>
        <v>0.19430054519248863</v>
      </c>
      <c r="BG254" s="86">
        <f t="shared" si="1690"/>
        <v>0.43225138649556261</v>
      </c>
      <c r="BH254" s="86">
        <f t="shared" si="1690"/>
        <v>0.35488934503993241</v>
      </c>
      <c r="BI254" s="86">
        <f t="shared" si="1690"/>
        <v>6.9170384132460683E-2</v>
      </c>
      <c r="BJ254" s="86">
        <f t="shared" si="1690"/>
        <v>4.3677497496709572E-2</v>
      </c>
      <c r="BK254" s="86">
        <f t="shared" si="1690"/>
        <v>5.4777645464624491E-2</v>
      </c>
      <c r="BL254" s="86">
        <f t="shared" si="1690"/>
        <v>-0.22402722785932849</v>
      </c>
      <c r="BM254" s="86">
        <f t="shared" si="1690"/>
        <v>-0.32547714752188817</v>
      </c>
      <c r="BN254" s="86">
        <f t="shared" si="1690"/>
        <v>-0.20864056844080991</v>
      </c>
      <c r="BO254" s="86">
        <f t="shared" si="1690"/>
        <v>-0.55387160820648584</v>
      </c>
      <c r="BP254" s="86">
        <f t="shared" si="1690"/>
        <v>-0.53891419789883566</v>
      </c>
      <c r="BQ254" s="86">
        <f t="shared" si="1690"/>
        <v>4.4283237198768699E-2</v>
      </c>
      <c r="BR254" s="86">
        <f t="shared" si="1690"/>
        <v>-0.10477637541823714</v>
      </c>
      <c r="BS254" s="86">
        <f t="shared" si="1690"/>
        <v>0.66623035507037698</v>
      </c>
      <c r="BT254" s="86">
        <f t="shared" ref="BT254:CL254" si="1691">+(BT74+BS74)/(BP74+BO74)-1</f>
        <v>1.3249911042580949</v>
      </c>
      <c r="BU254" s="86">
        <f t="shared" si="1691"/>
        <v>0.82030741704619392</v>
      </c>
      <c r="BV254" s="86">
        <f t="shared" si="1691"/>
        <v>1.9656351088428536</v>
      </c>
      <c r="BW254" s="86">
        <f t="shared" si="1691"/>
        <v>5.1582654691141423</v>
      </c>
      <c r="BX254" s="86">
        <f t="shared" si="1691"/>
        <v>6.7361493725130099</v>
      </c>
      <c r="BY254" s="86">
        <f t="shared" si="1691"/>
        <v>5.2302393983394762</v>
      </c>
      <c r="BZ254" s="86">
        <f t="shared" si="1691"/>
        <v>2.7406676238334526</v>
      </c>
      <c r="CA254" s="86">
        <f t="shared" si="1691"/>
        <v>1.4166971400386092</v>
      </c>
      <c r="CB254" s="86">
        <f t="shared" si="1691"/>
        <v>1.0157935691487956</v>
      </c>
      <c r="CC254" s="86">
        <f t="shared" si="1691"/>
        <v>0.79495990151669038</v>
      </c>
      <c r="CD254" s="86">
        <f t="shared" si="1691"/>
        <v>0.84801185583222738</v>
      </c>
      <c r="CE254" s="86">
        <f t="shared" si="1691"/>
        <v>0.39755504491918758</v>
      </c>
      <c r="CF254" s="86">
        <f t="shared" si="1691"/>
        <v>0.26043319386423169</v>
      </c>
      <c r="CG254" s="86">
        <f t="shared" si="1691"/>
        <v>3.5693239891465334E-2</v>
      </c>
      <c r="CH254" s="86">
        <f t="shared" si="1691"/>
        <v>-0.17254797887285345</v>
      </c>
      <c r="CI254" s="86">
        <f t="shared" si="1691"/>
        <v>-9.9384871825215826E-2</v>
      </c>
      <c r="CJ254" s="86">
        <f t="shared" si="1691"/>
        <v>0.56630668088960889</v>
      </c>
      <c r="CL254" s="86">
        <f t="shared" si="1691"/>
        <v>2.8619194204575953</v>
      </c>
      <c r="CM254" s="87"/>
      <c r="CN254" s="87"/>
      <c r="CO254" s="87"/>
      <c r="CP254" s="87"/>
      <c r="CQ254" s="87"/>
      <c r="CR254" s="87"/>
      <c r="CS254" s="87"/>
      <c r="CT254" s="87"/>
      <c r="CU254" s="87"/>
      <c r="CV254" s="87"/>
      <c r="CW254" s="87"/>
      <c r="CX254" s="87"/>
      <c r="CY254" s="87"/>
      <c r="CZ254" s="87"/>
      <c r="DA254" s="87"/>
      <c r="DB254" s="87"/>
      <c r="DE254" s="141"/>
      <c r="DF254" s="86">
        <v>1.5461304409281285</v>
      </c>
    </row>
    <row r="255" spans="1:110" s="86" customFormat="1" x14ac:dyDescent="0.2">
      <c r="A255" s="86" t="s">
        <v>441</v>
      </c>
      <c r="C255" s="86">
        <f t="shared" ref="C255" si="1692">C252/B252-1</f>
        <v>5.5030663603372165E-2</v>
      </c>
      <c r="D255" s="86">
        <f t="shared" ref="D255" si="1693">D252/C252-1</f>
        <v>-0.17368848936666115</v>
      </c>
      <c r="E255" s="86">
        <f>E252/D252-1</f>
        <v>-0.20260236077067406</v>
      </c>
      <c r="F255" s="86">
        <f t="shared" ref="F255" si="1694">F252/E252-1</f>
        <v>-0.55743791014363087</v>
      </c>
      <c r="G255" s="86">
        <f t="shared" ref="G255" si="1695">G252/F252-1</f>
        <v>-1.8299022929839341</v>
      </c>
      <c r="H255" s="86">
        <f t="shared" ref="H255" si="1696">H252/G252-1</f>
        <v>0.71899762415078539</v>
      </c>
      <c r="I255" s="86">
        <f t="shared" ref="I255" si="1697">I252/H252-1</f>
        <v>-0.21225627219309406</v>
      </c>
      <c r="J255" s="86">
        <f t="shared" ref="J255" si="1698">J252/I252-1</f>
        <v>-7.522732421809164E-2</v>
      </c>
      <c r="K255" s="86">
        <f>K252/J252-1</f>
        <v>0.89428911448041215</v>
      </c>
      <c r="L255" s="86">
        <f t="shared" ref="L255" si="1699">L252/K252-1</f>
        <v>-0.17638920127112145</v>
      </c>
      <c r="M255" s="86">
        <f t="shared" ref="M255" si="1700">M252/L252-1</f>
        <v>-0.35236646079859646</v>
      </c>
      <c r="N255" s="86">
        <f t="shared" ref="N255" si="1701">N252/M252-1</f>
        <v>0.15275666561671852</v>
      </c>
      <c r="O255" s="86">
        <f t="shared" ref="O255" si="1702">O252/N252-1</f>
        <v>0.56146699658893939</v>
      </c>
      <c r="P255" s="86">
        <f t="shared" ref="P255" si="1703">P252/O252-1</f>
        <v>-1.4870731363085588E-2</v>
      </c>
      <c r="Q255" s="86">
        <f t="shared" ref="Q255" si="1704">Q252/P252-1</f>
        <v>0.89325861468850554</v>
      </c>
      <c r="R255" s="86">
        <f t="shared" ref="R255" si="1705">R252/Q252-1</f>
        <v>7.1101332833807041E-2</v>
      </c>
      <c r="S255" s="86">
        <f t="shared" ref="S255" si="1706">S252/R252-1</f>
        <v>5.2848695181237915E-2</v>
      </c>
      <c r="T255" s="86">
        <f t="shared" ref="T255" si="1707">T252/S252-1</f>
        <v>-0.33596019676005318</v>
      </c>
      <c r="U255" s="86">
        <f t="shared" ref="U255" si="1708">U252/T252-1</f>
        <v>0.19872348325297873</v>
      </c>
      <c r="V255" s="86">
        <f t="shared" ref="V255" si="1709">V252/U252-1</f>
        <v>-8.8216424809166916E-2</v>
      </c>
      <c r="W255" s="86">
        <f t="shared" ref="W255:AA255" si="1710">W252/V252-1</f>
        <v>-1.1276003540149804</v>
      </c>
      <c r="X255" s="86">
        <f t="shared" si="1710"/>
        <v>0.30487099799543738</v>
      </c>
      <c r="Y255" s="86">
        <f t="shared" si="1710"/>
        <v>-0.8445780101096475</v>
      </c>
      <c r="Z255" s="86">
        <f t="shared" si="1710"/>
        <v>8.8805073048304486</v>
      </c>
      <c r="AA255" s="86">
        <f t="shared" si="1710"/>
        <v>1.1542990895656886</v>
      </c>
      <c r="AB255" s="87">
        <f t="shared" ref="AB255" si="1711">AB252/AA252-1</f>
        <v>0.34382551485529445</v>
      </c>
      <c r="AC255" s="87">
        <f t="shared" ref="AC255" si="1712">AC252/AB252-1</f>
        <v>0.15675773216075739</v>
      </c>
      <c r="AD255" s="87">
        <f t="shared" ref="AD255" si="1713">AD252/AC252-1</f>
        <v>8.6152055823651708E-3</v>
      </c>
      <c r="AE255" s="87">
        <f t="shared" ref="AE255" si="1714">AE252/AD252-1</f>
        <v>-9.7392575109458424E-3</v>
      </c>
      <c r="AN255" s="86">
        <f t="shared" ref="AN255:CI255" si="1715">+AN252/AJ252-1</f>
        <v>0.21161497646018002</v>
      </c>
      <c r="AO255" s="86">
        <f t="shared" si="1715"/>
        <v>0.3366678634619602</v>
      </c>
      <c r="AP255" s="86">
        <f t="shared" si="1715"/>
        <v>0.52995545033940683</v>
      </c>
      <c r="AQ255" s="86">
        <f t="shared" si="1715"/>
        <v>0.64163261595769061</v>
      </c>
      <c r="AR255" s="86">
        <f t="shared" si="1715"/>
        <v>-0.40127017036382551</v>
      </c>
      <c r="AS255" s="86">
        <f t="shared" si="1715"/>
        <v>-0.39655671020949135</v>
      </c>
      <c r="AT255" s="86">
        <f t="shared" si="1715"/>
        <v>0.73163614363312801</v>
      </c>
      <c r="AU255" s="86">
        <f t="shared" si="1715"/>
        <v>0.59168670956744207</v>
      </c>
      <c r="AV255" s="86">
        <f t="shared" si="1715"/>
        <v>2.0656600774441118</v>
      </c>
      <c r="AW255" s="86">
        <f t="shared" si="1715"/>
        <v>2.2335340874218264</v>
      </c>
      <c r="AX255" s="86">
        <f t="shared" si="1715"/>
        <v>0.63739842593071461</v>
      </c>
      <c r="AY255" s="86">
        <f t="shared" si="1715"/>
        <v>0.43119053250505401</v>
      </c>
      <c r="AZ255" s="86">
        <f t="shared" si="1715"/>
        <v>-0.1893664856339029</v>
      </c>
      <c r="BA255" s="86">
        <f t="shared" si="1715"/>
        <v>-0.40656749243917112</v>
      </c>
      <c r="BB255" s="86">
        <f t="shared" si="1715"/>
        <v>6.3531985076381581E-2</v>
      </c>
      <c r="BC255" s="86">
        <f t="shared" si="1715"/>
        <v>-4.3819314475230686E-2</v>
      </c>
      <c r="BD255" s="86">
        <f t="shared" si="1715"/>
        <v>0.41892934638143786</v>
      </c>
      <c r="BE255" s="86">
        <f t="shared" si="1715"/>
        <v>0.20984595863446098</v>
      </c>
      <c r="BF255" s="86">
        <f t="shared" si="1715"/>
        <v>-0.17323376142021019</v>
      </c>
      <c r="BG255" s="86">
        <f t="shared" si="1715"/>
        <v>-0.11044884579233716</v>
      </c>
      <c r="BH255" s="86">
        <f t="shared" si="1715"/>
        <v>-0.11280227676508836</v>
      </c>
      <c r="BI255" s="86">
        <f t="shared" si="1715"/>
        <v>0.33927412456073491</v>
      </c>
      <c r="BJ255" s="86">
        <f t="shared" si="1715"/>
        <v>-0.33866602167614723</v>
      </c>
      <c r="BK255" s="86">
        <f t="shared" si="1715"/>
        <v>-0.14361153459591491</v>
      </c>
      <c r="BL255" s="86">
        <f t="shared" si="1715"/>
        <v>0.19687143534651041</v>
      </c>
      <c r="BM255" s="86">
        <f t="shared" si="1715"/>
        <v>-0.1932438769656194</v>
      </c>
      <c r="BN255" s="86">
        <f t="shared" si="1715"/>
        <v>0.24257562267661315</v>
      </c>
      <c r="BO255" s="86">
        <f t="shared" si="1715"/>
        <v>12.323978395713247</v>
      </c>
      <c r="BP255" s="86">
        <f t="shared" si="1715"/>
        <v>-0.30018594871506954</v>
      </c>
      <c r="BQ255" s="86">
        <f t="shared" si="1715"/>
        <v>0.11527268295874848</v>
      </c>
      <c r="BR255" s="86">
        <f t="shared" si="1715"/>
        <v>-1.3176602589654141E-2</v>
      </c>
      <c r="BS255" s="86">
        <f t="shared" si="1715"/>
        <v>-0.91180178132442824</v>
      </c>
      <c r="BT255" s="86">
        <f t="shared" si="1715"/>
        <v>-0.87072681915219863</v>
      </c>
      <c r="BU255" s="86">
        <f t="shared" si="1715"/>
        <v>-1.0603620676499708</v>
      </c>
      <c r="BV255" s="86">
        <f t="shared" si="1715"/>
        <v>-1.0047401847463648</v>
      </c>
      <c r="BW255" s="86">
        <f t="shared" si="1715"/>
        <v>-1.1646512855870104</v>
      </c>
      <c r="BX255" s="86">
        <f t="shared" si="1715"/>
        <v>1.2840526261638736</v>
      </c>
      <c r="BY255" s="86">
        <f t="shared" si="1715"/>
        <v>-3.9504521866471878</v>
      </c>
      <c r="BZ255" s="86">
        <f t="shared" si="1715"/>
        <v>36.977909738499726</v>
      </c>
      <c r="CA255" s="86">
        <f t="shared" si="1715"/>
        <v>-7.7506529404681279E-2</v>
      </c>
      <c r="CB255" s="86">
        <f t="shared" si="1715"/>
        <v>-1.5875714902991767</v>
      </c>
      <c r="CC255" s="86">
        <f t="shared" si="1715"/>
        <v>-1.8359792659969285</v>
      </c>
      <c r="CD255" s="86">
        <f t="shared" si="1715"/>
        <v>-0.71661237178099269</v>
      </c>
      <c r="CE255" s="86">
        <f t="shared" si="1715"/>
        <v>-0.84754163361083834</v>
      </c>
      <c r="CF255" s="86">
        <f t="shared" si="1715"/>
        <v>1.0236574023202034</v>
      </c>
      <c r="CG255" s="86">
        <f t="shared" si="1715"/>
        <v>1.1536949990642489</v>
      </c>
      <c r="CH255" s="86">
        <f t="shared" si="1715"/>
        <v>5.6382081864246665</v>
      </c>
      <c r="CI255" s="86">
        <f t="shared" si="1715"/>
        <v>13.727050134907218</v>
      </c>
      <c r="CJ255" s="86">
        <f>+CJ252/CF252-1</f>
        <v>0.28158345291642228</v>
      </c>
      <c r="CL255" s="86">
        <f>+CL252/CH252-1</f>
        <v>0.18399978851125698</v>
      </c>
      <c r="CM255" s="87"/>
      <c r="CN255" s="87"/>
      <c r="CO255" s="87"/>
      <c r="CP255" s="87"/>
      <c r="CQ255" s="87"/>
      <c r="CR255" s="87"/>
      <c r="CS255" s="87"/>
      <c r="CT255" s="87"/>
      <c r="CU255" s="87"/>
      <c r="CV255" s="87"/>
      <c r="CW255" s="87"/>
      <c r="CX255" s="87"/>
      <c r="CY255" s="87"/>
      <c r="CZ255" s="87"/>
      <c r="DA255" s="87"/>
      <c r="DB255" s="87"/>
      <c r="DE255" s="141"/>
      <c r="DF255" s="86">
        <v>1.1542990895656886</v>
      </c>
    </row>
    <row r="256" spans="1:110" s="103" customFormat="1" x14ac:dyDescent="0.2">
      <c r="A256" s="147" t="s">
        <v>87</v>
      </c>
      <c r="C256" s="103" t="str">
        <f>IF(C255&gt;C254,"RF",0)</f>
        <v>RF</v>
      </c>
      <c r="D256" s="103">
        <f>IF(D255&gt;D254,"RF",0)</f>
        <v>0</v>
      </c>
      <c r="E256" s="103">
        <f t="shared" ref="E256:U256" si="1716">IF(E255&gt;E254,"RF",0)</f>
        <v>0</v>
      </c>
      <c r="F256" s="103">
        <f t="shared" si="1716"/>
        <v>0</v>
      </c>
      <c r="G256" s="103">
        <f t="shared" si="1716"/>
        <v>0</v>
      </c>
      <c r="H256" s="103" t="str">
        <f t="shared" si="1716"/>
        <v>RF</v>
      </c>
      <c r="I256" s="103">
        <f t="shared" si="1716"/>
        <v>0</v>
      </c>
      <c r="J256" s="103">
        <f t="shared" si="1716"/>
        <v>0</v>
      </c>
      <c r="K256" s="103" t="str">
        <f t="shared" si="1716"/>
        <v>RF</v>
      </c>
      <c r="L256" s="103">
        <f t="shared" si="1716"/>
        <v>0</v>
      </c>
      <c r="M256" s="103">
        <f t="shared" si="1716"/>
        <v>0</v>
      </c>
      <c r="N256" s="103" t="str">
        <f t="shared" si="1716"/>
        <v>RF</v>
      </c>
      <c r="O256" s="103" t="str">
        <f t="shared" si="1716"/>
        <v>RF</v>
      </c>
      <c r="P256" s="103">
        <f t="shared" si="1716"/>
        <v>0</v>
      </c>
      <c r="Q256" s="103" t="str">
        <f t="shared" si="1716"/>
        <v>RF</v>
      </c>
      <c r="R256" s="103" t="str">
        <f t="shared" si="1716"/>
        <v>RF</v>
      </c>
      <c r="S256" s="103">
        <f t="shared" si="1716"/>
        <v>0</v>
      </c>
      <c r="T256" s="103">
        <f t="shared" si="1716"/>
        <v>0</v>
      </c>
      <c r="U256" s="103" t="str">
        <f t="shared" si="1716"/>
        <v>RF</v>
      </c>
      <c r="V256" s="103" t="str">
        <f>IF(V255&gt;V254,"RF",0)</f>
        <v>RF</v>
      </c>
      <c r="W256" s="103">
        <f t="shared" ref="W256" si="1717">IF(W255&gt;W254,"RF",0)</f>
        <v>0</v>
      </c>
      <c r="X256" s="103">
        <f t="shared" ref="X256:Y256" si="1718">IF(X255&gt;X254,"RF",0)</f>
        <v>0</v>
      </c>
      <c r="Y256" s="103">
        <f t="shared" si="1718"/>
        <v>0</v>
      </c>
      <c r="Z256" s="103" t="str">
        <f t="shared" ref="Z256:AA256" si="1719">IF(Z255&gt;Z254,"RF",0)</f>
        <v>RF</v>
      </c>
      <c r="AA256" s="103">
        <f t="shared" si="1719"/>
        <v>0</v>
      </c>
      <c r="AB256" s="73" t="str">
        <f t="shared" ref="AB256:AD256" si="1720">IF(AB255&gt;AB254,"RF",0)</f>
        <v>RF</v>
      </c>
      <c r="AC256" s="73">
        <f t="shared" si="1720"/>
        <v>0</v>
      </c>
      <c r="AD256" s="73">
        <f t="shared" si="1720"/>
        <v>0</v>
      </c>
      <c r="AE256" s="73">
        <f t="shared" ref="AE256" si="1721">IF(AE255&gt;AE254,"RF",0)</f>
        <v>0</v>
      </c>
      <c r="CM256" s="73"/>
      <c r="CN256" s="73"/>
      <c r="CO256" s="73"/>
      <c r="CP256" s="73"/>
      <c r="CQ256" s="73"/>
      <c r="CR256" s="73"/>
      <c r="CS256" s="73"/>
      <c r="CT256" s="73"/>
      <c r="CU256" s="73"/>
      <c r="CV256" s="73"/>
      <c r="CW256" s="73"/>
      <c r="CX256" s="73"/>
      <c r="CY256" s="73"/>
      <c r="CZ256" s="73"/>
      <c r="DA256" s="73"/>
      <c r="DB256" s="73"/>
      <c r="DE256" s="142"/>
      <c r="DF256" s="103">
        <v>0</v>
      </c>
    </row>
    <row r="257" spans="1:110" x14ac:dyDescent="0.2">
      <c r="A257" s="153" t="s">
        <v>494</v>
      </c>
      <c r="AA257" s="2"/>
      <c r="DF257" s="111"/>
    </row>
    <row r="258" spans="1:110" x14ac:dyDescent="0.2">
      <c r="A258" s="152" t="s">
        <v>495</v>
      </c>
      <c r="AA258" s="2"/>
      <c r="DF258" s="111"/>
    </row>
    <row r="259" spans="1:110" s="23" customFormat="1" x14ac:dyDescent="0.2">
      <c r="A259" s="23" t="s">
        <v>22</v>
      </c>
      <c r="C259" s="23">
        <f t="shared" ref="C259:AE259" si="1722">C115</f>
        <v>-86.305499999999995</v>
      </c>
      <c r="D259" s="23">
        <f t="shared" si="1722"/>
        <v>-32.414100000000005</v>
      </c>
      <c r="E259" s="23">
        <f t="shared" si="1722"/>
        <v>-1.5715999999999752</v>
      </c>
      <c r="F259" s="23">
        <f t="shared" si="1722"/>
        <v>29.82540000000002</v>
      </c>
      <c r="G259" s="23">
        <f t="shared" si="1722"/>
        <v>42.052200000000028</v>
      </c>
      <c r="H259" s="23">
        <f t="shared" si="1722"/>
        <v>-30.656100000000038</v>
      </c>
      <c r="I259" s="23">
        <f t="shared" si="1722"/>
        <v>22.505399999999973</v>
      </c>
      <c r="J259" s="23">
        <f t="shared" si="1722"/>
        <v>28.414900000000028</v>
      </c>
      <c r="K259" s="23">
        <f t="shared" si="1722"/>
        <v>17.888700000000078</v>
      </c>
      <c r="L259" s="23">
        <f t="shared" si="1722"/>
        <v>18.604800000000022</v>
      </c>
      <c r="M259" s="23">
        <f t="shared" si="1722"/>
        <v>3.7322999999999471</v>
      </c>
      <c r="N259" s="23">
        <f t="shared" si="1722"/>
        <v>1.9155000000000566</v>
      </c>
      <c r="O259" s="23">
        <f t="shared" si="1722"/>
        <v>-42.445699999999952</v>
      </c>
      <c r="P259" s="23">
        <f t="shared" si="1722"/>
        <v>-20.818399999999944</v>
      </c>
      <c r="Q259" s="23">
        <f t="shared" si="1722"/>
        <v>0.72119999999999429</v>
      </c>
      <c r="R259" s="23">
        <f t="shared" si="1722"/>
        <v>5.5720000000000223</v>
      </c>
      <c r="S259" s="23">
        <f t="shared" si="1722"/>
        <v>17.034100000000002</v>
      </c>
      <c r="T259" s="23">
        <f t="shared" si="1722"/>
        <v>20.633299999999977</v>
      </c>
      <c r="U259" s="23">
        <f t="shared" si="1722"/>
        <v>31.826400000000028</v>
      </c>
      <c r="V259" s="23">
        <f t="shared" si="1722"/>
        <v>0.12680000000002067</v>
      </c>
      <c r="W259" s="23">
        <f t="shared" si="1722"/>
        <v>97.370000000000019</v>
      </c>
      <c r="X259" s="23">
        <f t="shared" si="1722"/>
        <v>-288.55000000000007</v>
      </c>
      <c r="Y259" s="23">
        <f t="shared" si="1722"/>
        <v>1242.9299999999989</v>
      </c>
      <c r="Z259" s="23">
        <f t="shared" si="1722"/>
        <v>1455.2399999999998</v>
      </c>
      <c r="AA259" s="23">
        <f t="shared" ref="AA259" si="1723">AA115</f>
        <v>3680.8499999999981</v>
      </c>
      <c r="AB259" s="24">
        <f t="shared" si="1722"/>
        <v>6348.4831849178199</v>
      </c>
      <c r="AC259" s="24">
        <f t="shared" si="1722"/>
        <v>7682.6409437294478</v>
      </c>
      <c r="AD259" s="24">
        <f t="shared" si="1722"/>
        <v>8392.2138405430815</v>
      </c>
      <c r="AE259" s="24">
        <f t="shared" si="1722"/>
        <v>10078.706996316576</v>
      </c>
      <c r="AI259" s="23">
        <f t="shared" ref="AI259:BN259" si="1724">AI115</f>
        <v>1.5350000000000081</v>
      </c>
      <c r="AJ259" s="23">
        <f t="shared" si="1724"/>
        <v>-1.345999999999991</v>
      </c>
      <c r="AK259" s="23">
        <f t="shared" si="1724"/>
        <v>-6.2589999999999995</v>
      </c>
      <c r="AL259" s="23">
        <f t="shared" si="1724"/>
        <v>7.9869999999999859</v>
      </c>
      <c r="AM259" s="23">
        <f t="shared" si="1724"/>
        <v>-12.709000000000024</v>
      </c>
      <c r="AN259" s="23">
        <f t="shared" si="1724"/>
        <v>-10.804999999999996</v>
      </c>
      <c r="AO259" s="23">
        <f t="shared" si="1724"/>
        <v>-5.9130000000000003</v>
      </c>
      <c r="AP259" s="23">
        <f t="shared" si="1724"/>
        <v>-13.019999999999987</v>
      </c>
      <c r="AQ259" s="23">
        <f t="shared" si="1724"/>
        <v>-8.5669999999999717</v>
      </c>
      <c r="AR259" s="23">
        <f t="shared" si="1724"/>
        <v>-3.0439999999999752</v>
      </c>
      <c r="AS259" s="23">
        <f t="shared" si="1724"/>
        <v>-6.6430000000000158</v>
      </c>
      <c r="AT259" s="23">
        <f t="shared" si="1724"/>
        <v>-2.5620000000000029</v>
      </c>
      <c r="AU259" s="23">
        <f t="shared" si="1724"/>
        <v>2.7400000000000175</v>
      </c>
      <c r="AV259" s="23">
        <f t="shared" si="1724"/>
        <v>0.35799999999999188</v>
      </c>
      <c r="AW259" s="23">
        <f t="shared" si="1724"/>
        <v>0.25499999999999212</v>
      </c>
      <c r="AX259" s="23">
        <f t="shared" si="1724"/>
        <v>-2.6309999999999976</v>
      </c>
      <c r="AY259" s="23">
        <f t="shared" si="1724"/>
        <v>0.13900000000000867</v>
      </c>
      <c r="AZ259" s="23">
        <f t="shared" si="1724"/>
        <v>0.30899999999998451</v>
      </c>
      <c r="BA259" s="23">
        <f t="shared" si="1724"/>
        <v>0.42899999999999805</v>
      </c>
      <c r="BB259" s="23">
        <f t="shared" si="1724"/>
        <v>4.6959999999999935</v>
      </c>
      <c r="BC259" s="23">
        <f t="shared" si="1724"/>
        <v>5.2819999999999965</v>
      </c>
      <c r="BD259" s="23">
        <f t="shared" si="1724"/>
        <v>0.18100000000001004</v>
      </c>
      <c r="BE259" s="23">
        <f t="shared" si="1724"/>
        <v>1.5730000000000164</v>
      </c>
      <c r="BF259" s="23">
        <f t="shared" si="1724"/>
        <v>9.9979999999999816</v>
      </c>
      <c r="BG259" s="23">
        <f t="shared" si="1724"/>
        <v>10.261000000000005</v>
      </c>
      <c r="BH259" s="23">
        <f t="shared" si="1724"/>
        <v>0.6999999999999964</v>
      </c>
      <c r="BI259" s="23">
        <f t="shared" si="1724"/>
        <v>1.8480000000000034</v>
      </c>
      <c r="BJ259" s="23">
        <f t="shared" si="1724"/>
        <v>7.8240000000000149</v>
      </c>
      <c r="BK259" s="23">
        <f t="shared" si="1724"/>
        <v>7.4890000000000008</v>
      </c>
      <c r="BL259" s="23">
        <f t="shared" si="1724"/>
        <v>1.2999999999996792E-2</v>
      </c>
      <c r="BM259" s="23">
        <f t="shared" si="1724"/>
        <v>3.082999999999994</v>
      </c>
      <c r="BN259" s="23">
        <f t="shared" si="1724"/>
        <v>21.239999999999988</v>
      </c>
      <c r="BO259" s="23">
        <f t="shared" ref="BO259:CT259" si="1725">BO115</f>
        <v>-9.4359999999999999</v>
      </c>
      <c r="BP259" s="23">
        <f t="shared" si="1725"/>
        <v>1.6180000000000012</v>
      </c>
      <c r="BQ259" s="23">
        <f t="shared" si="1725"/>
        <v>2.5960000000000063</v>
      </c>
      <c r="BR259" s="23">
        <f t="shared" si="1725"/>
        <v>5.3490000000000029</v>
      </c>
      <c r="BS259" s="23">
        <f t="shared" si="1725"/>
        <v>-0.17999999999999616</v>
      </c>
      <c r="BT259" s="23">
        <f t="shared" si="1725"/>
        <v>0.30999999999999783</v>
      </c>
      <c r="BU259" s="23">
        <f t="shared" si="1725"/>
        <v>-26.13999999999999</v>
      </c>
      <c r="BV259" s="23">
        <f t="shared" si="1725"/>
        <v>123.38999999999996</v>
      </c>
      <c r="BW259" s="23">
        <f t="shared" si="1725"/>
        <v>-930.33000000000015</v>
      </c>
      <c r="BX259" s="23">
        <f t="shared" si="1725"/>
        <v>142.70000000000002</v>
      </c>
      <c r="BY259" s="23">
        <f t="shared" si="1725"/>
        <v>230.02999999999992</v>
      </c>
      <c r="BZ259" s="23">
        <f t="shared" si="1725"/>
        <v>269.04000000000008</v>
      </c>
      <c r="CA259" s="23">
        <f t="shared" si="1725"/>
        <v>403.25999999999988</v>
      </c>
      <c r="CB259" s="23">
        <f t="shared" si="1725"/>
        <v>231.26000000000008</v>
      </c>
      <c r="CC259" s="23">
        <f t="shared" si="1725"/>
        <v>331.49999999999977</v>
      </c>
      <c r="CD259" s="23">
        <f t="shared" si="1725"/>
        <v>276.91000000000008</v>
      </c>
      <c r="CE259" s="23">
        <f t="shared" si="1725"/>
        <v>557.39999999999941</v>
      </c>
      <c r="CF259" s="23">
        <f t="shared" si="1725"/>
        <v>301.31999999999994</v>
      </c>
      <c r="CG259" s="23">
        <f t="shared" si="1725"/>
        <v>389.28999999999985</v>
      </c>
      <c r="CH259" s="23">
        <f t="shared" si="1725"/>
        <v>201.88000000000025</v>
      </c>
      <c r="CI259" s="23">
        <f t="shared" si="1725"/>
        <v>641.59000000000015</v>
      </c>
      <c r="CJ259" s="23">
        <f t="shared" si="1725"/>
        <v>572.36</v>
      </c>
      <c r="CK259" s="23">
        <f t="shared" si="1725"/>
        <v>1047.3899999999999</v>
      </c>
      <c r="CL259" s="23">
        <f t="shared" ref="CL259" si="1726">CL115</f>
        <v>1419.5000000000009</v>
      </c>
      <c r="CM259" s="24">
        <f t="shared" si="1725"/>
        <v>1619.2092784000001</v>
      </c>
      <c r="CN259" s="24">
        <f t="shared" si="1725"/>
        <v>1534.4021957777152</v>
      </c>
      <c r="CO259" s="24">
        <f t="shared" si="1725"/>
        <v>1561.3858723903118</v>
      </c>
      <c r="CP259" s="24">
        <f t="shared" si="1725"/>
        <v>1633.4858383497926</v>
      </c>
      <c r="CQ259" s="24">
        <f t="shared" si="1725"/>
        <v>1722.9417028855264</v>
      </c>
      <c r="CR259" s="24">
        <f t="shared" si="1725"/>
        <v>1780.36720199095</v>
      </c>
      <c r="CS259" s="24">
        <f t="shared" si="1725"/>
        <v>2020.9710855379553</v>
      </c>
      <c r="CT259" s="24">
        <f t="shared" si="1725"/>
        <v>2158.3609533150184</v>
      </c>
      <c r="CU259" s="24">
        <f t="shared" ref="CU259:DB259" si="1727">CU115</f>
        <v>2015.2725181428864</v>
      </c>
      <c r="CV259" s="24">
        <f t="shared" si="1727"/>
        <v>1908.2643234055604</v>
      </c>
      <c r="CW259" s="24">
        <f t="shared" si="1727"/>
        <v>2170.574174661609</v>
      </c>
      <c r="CX259" s="24">
        <f t="shared" si="1727"/>
        <v>2298.1028243330225</v>
      </c>
      <c r="CY259" s="24">
        <f t="shared" si="1727"/>
        <v>2424.3931175604876</v>
      </c>
      <c r="CZ259" s="24">
        <f t="shared" si="1727"/>
        <v>2312.5760498279592</v>
      </c>
      <c r="DA259" s="24">
        <f t="shared" si="1727"/>
        <v>2595.2518267264991</v>
      </c>
      <c r="DB259" s="24">
        <f t="shared" si="1727"/>
        <v>2746.4860022016323</v>
      </c>
      <c r="DE259" s="123"/>
      <c r="DF259" s="23">
        <v>3680.8499999999981</v>
      </c>
    </row>
    <row r="260" spans="1:110" s="23" customFormat="1" x14ac:dyDescent="0.2">
      <c r="A260" s="23" t="s">
        <v>88</v>
      </c>
      <c r="C260" s="23">
        <f t="shared" ref="C260:AE260" si="1728">C99</f>
        <v>15.9398</v>
      </c>
      <c r="D260" s="23">
        <f t="shared" si="1728"/>
        <v>15.901400000000001</v>
      </c>
      <c r="E260" s="23">
        <f t="shared" si="1728"/>
        <v>15.9565</v>
      </c>
      <c r="F260" s="23">
        <f t="shared" si="1728"/>
        <v>16.0655</v>
      </c>
      <c r="G260" s="23">
        <f t="shared" si="1728"/>
        <v>15.8018</v>
      </c>
      <c r="H260" s="23">
        <f t="shared" si="1728"/>
        <v>20.636399999999998</v>
      </c>
      <c r="I260" s="23">
        <f t="shared" si="1728"/>
        <v>21.239000000000001</v>
      </c>
      <c r="J260" s="23">
        <f t="shared" si="1728"/>
        <v>19.5686</v>
      </c>
      <c r="K260" s="23">
        <f t="shared" si="1728"/>
        <v>16.8005</v>
      </c>
      <c r="L260" s="23">
        <f t="shared" si="1728"/>
        <v>19.917999999999999</v>
      </c>
      <c r="M260" s="23">
        <f t="shared" si="1728"/>
        <v>26.011500000000002</v>
      </c>
      <c r="N260" s="23">
        <f t="shared" si="1728"/>
        <v>26.5185</v>
      </c>
      <c r="O260" s="23">
        <f t="shared" si="1728"/>
        <v>26.727499999999999</v>
      </c>
      <c r="P260" s="23">
        <f t="shared" si="1728"/>
        <v>10.671900000000001</v>
      </c>
      <c r="Q260" s="23">
        <f t="shared" si="1728"/>
        <v>10.647399999999999</v>
      </c>
      <c r="R260" s="23">
        <f t="shared" si="1728"/>
        <v>12.9734</v>
      </c>
      <c r="S260" s="23">
        <f t="shared" si="1728"/>
        <v>13.680099999999999</v>
      </c>
      <c r="T260" s="23">
        <f t="shared" si="1728"/>
        <v>15.078200000000001</v>
      </c>
      <c r="U260" s="23">
        <f t="shared" si="1728"/>
        <v>17.553999999999998</v>
      </c>
      <c r="V260" s="23">
        <f t="shared" si="1728"/>
        <v>13.8253</v>
      </c>
      <c r="W260" s="23">
        <f t="shared" si="1728"/>
        <v>17.98</v>
      </c>
      <c r="X260" s="23">
        <f t="shared" si="1728"/>
        <v>22.99</v>
      </c>
      <c r="Y260" s="23">
        <f t="shared" si="1728"/>
        <v>48.99</v>
      </c>
      <c r="Z260" s="23">
        <f t="shared" si="1728"/>
        <v>80.8</v>
      </c>
      <c r="AA260" s="23">
        <f t="shared" ref="AA260" si="1729">AA99</f>
        <v>607.16</v>
      </c>
      <c r="AB260" s="24">
        <f t="shared" si="1728"/>
        <v>730.63072959954945</v>
      </c>
      <c r="AC260" s="24">
        <f t="shared" si="1728"/>
        <v>784.94919847698486</v>
      </c>
      <c r="AD260" s="24">
        <f t="shared" si="1728"/>
        <v>835.87383212048144</v>
      </c>
      <c r="AE260" s="24">
        <f t="shared" si="1728"/>
        <v>883.61667843626958</v>
      </c>
      <c r="AI260" s="23">
        <f t="shared" ref="AI260:BN260" si="1730">AI99</f>
        <v>6.5659999999999998</v>
      </c>
      <c r="AJ260" s="23">
        <f t="shared" si="1730"/>
        <v>6.6580000000000004</v>
      </c>
      <c r="AK260" s="23">
        <f t="shared" si="1730"/>
        <v>6.6769999999999996</v>
      </c>
      <c r="AL260" s="23">
        <f t="shared" si="1730"/>
        <v>6.617</v>
      </c>
      <c r="AM260" s="23">
        <f t="shared" si="1730"/>
        <v>6.6719999999999997</v>
      </c>
      <c r="AN260" s="23">
        <f t="shared" si="1730"/>
        <v>6.7469999999999999</v>
      </c>
      <c r="AO260" s="23">
        <f t="shared" si="1730"/>
        <v>6.7149999999999999</v>
      </c>
      <c r="AP260" s="23">
        <f t="shared" si="1730"/>
        <v>6.5949999999999998</v>
      </c>
      <c r="AQ260" s="23">
        <f t="shared" si="1730"/>
        <v>2.6579999999999999</v>
      </c>
      <c r="AR260" s="23">
        <f t="shared" si="1730"/>
        <v>2.6459999999999999</v>
      </c>
      <c r="AS260" s="23">
        <f t="shared" si="1730"/>
        <v>2.6560000000000001</v>
      </c>
      <c r="AT260" s="23">
        <f t="shared" si="1730"/>
        <v>2.7109999999999999</v>
      </c>
      <c r="AU260" s="23">
        <f t="shared" si="1730"/>
        <v>2.7320000000000002</v>
      </c>
      <c r="AV260" s="23">
        <f t="shared" si="1730"/>
        <v>2.7429999999999999</v>
      </c>
      <c r="AW260" s="23">
        <f t="shared" si="1730"/>
        <v>2.722</v>
      </c>
      <c r="AX260" s="23">
        <f t="shared" si="1730"/>
        <v>2.4510000000000001</v>
      </c>
      <c r="AY260" s="23">
        <f t="shared" si="1730"/>
        <v>2.968</v>
      </c>
      <c r="AZ260" s="23">
        <f t="shared" si="1730"/>
        <v>3.0009999999999999</v>
      </c>
      <c r="BA260" s="23">
        <f t="shared" si="1730"/>
        <v>3.1859999999999999</v>
      </c>
      <c r="BB260" s="23">
        <f t="shared" si="1730"/>
        <v>3.8180000000000001</v>
      </c>
      <c r="BC260" s="23">
        <f t="shared" si="1730"/>
        <v>3.7120000000000002</v>
      </c>
      <c r="BD260" s="23">
        <f t="shared" si="1730"/>
        <v>3.754</v>
      </c>
      <c r="BE260" s="23">
        <f t="shared" si="1730"/>
        <v>3.7949999999999999</v>
      </c>
      <c r="BF260" s="23">
        <f t="shared" si="1730"/>
        <v>2.419</v>
      </c>
      <c r="BG260" s="23">
        <f t="shared" si="1730"/>
        <v>3.8170000000000002</v>
      </c>
      <c r="BH260" s="23">
        <f t="shared" si="1730"/>
        <v>3.81</v>
      </c>
      <c r="BI260" s="23">
        <f t="shared" si="1730"/>
        <v>3.694</v>
      </c>
      <c r="BJ260" s="23">
        <f t="shared" si="1730"/>
        <v>3.758</v>
      </c>
      <c r="BK260" s="23">
        <f t="shared" si="1730"/>
        <v>3.976</v>
      </c>
      <c r="BL260" s="23">
        <f t="shared" si="1730"/>
        <v>4.3079999999999998</v>
      </c>
      <c r="BM260" s="23">
        <f t="shared" si="1730"/>
        <v>4.673</v>
      </c>
      <c r="BN260" s="23">
        <f t="shared" si="1730"/>
        <v>4.5970000000000004</v>
      </c>
      <c r="BO260" s="23">
        <f t="shared" ref="BO260:CT260" si="1731">BO99</f>
        <v>0.23300000000000001</v>
      </c>
      <c r="BP260" s="23">
        <f t="shared" si="1731"/>
        <v>4.6520000000000001</v>
      </c>
      <c r="BQ260" s="23">
        <f t="shared" si="1731"/>
        <v>4.5149999999999997</v>
      </c>
      <c r="BR260" s="23">
        <f t="shared" si="1731"/>
        <v>4.4260000000000002</v>
      </c>
      <c r="BS260" s="23">
        <f t="shared" si="1731"/>
        <v>4.5</v>
      </c>
      <c r="BT260" s="23">
        <f t="shared" si="1731"/>
        <v>4.57</v>
      </c>
      <c r="BU260" s="23">
        <f t="shared" si="1731"/>
        <v>4.57</v>
      </c>
      <c r="BV260" s="23">
        <f t="shared" si="1731"/>
        <v>4.34</v>
      </c>
      <c r="BW260" s="23">
        <f t="shared" si="1731"/>
        <v>5.0199999999999996</v>
      </c>
      <c r="BX260" s="23">
        <f t="shared" si="1731"/>
        <v>5.46</v>
      </c>
      <c r="BY260" s="23">
        <f t="shared" si="1731"/>
        <v>5.69</v>
      </c>
      <c r="BZ260" s="23">
        <f t="shared" si="1731"/>
        <v>6.83</v>
      </c>
      <c r="CA260" s="23">
        <f t="shared" si="1731"/>
        <v>7.57</v>
      </c>
      <c r="CB260" s="23">
        <f t="shared" si="1731"/>
        <v>10.199999999999999</v>
      </c>
      <c r="CC260" s="23">
        <f t="shared" si="1731"/>
        <v>14.7</v>
      </c>
      <c r="CD260" s="23">
        <f t="shared" si="1731"/>
        <v>16.52</v>
      </c>
      <c r="CE260" s="23">
        <f t="shared" si="1731"/>
        <v>18.73</v>
      </c>
      <c r="CF260" s="23">
        <f t="shared" si="1731"/>
        <v>17.68</v>
      </c>
      <c r="CG260" s="23">
        <f t="shared" si="1731"/>
        <v>22.06</v>
      </c>
      <c r="CH260" s="23">
        <f t="shared" si="1731"/>
        <v>22.34</v>
      </c>
      <c r="CI260" s="23">
        <f t="shared" si="1731"/>
        <v>30.73</v>
      </c>
      <c r="CJ260" s="23">
        <f t="shared" si="1731"/>
        <v>166.53</v>
      </c>
      <c r="CK260" s="23">
        <f t="shared" si="1731"/>
        <v>185.55</v>
      </c>
      <c r="CL260" s="23">
        <f t="shared" ref="CL260" si="1732">CL99</f>
        <v>224.35</v>
      </c>
      <c r="CM260" s="24">
        <f t="shared" si="1731"/>
        <v>177.37135999999998</v>
      </c>
      <c r="CN260" s="24">
        <f t="shared" si="1731"/>
        <v>180.93341823999998</v>
      </c>
      <c r="CO260" s="24">
        <f t="shared" si="1731"/>
        <v>184.43848354815998</v>
      </c>
      <c r="CP260" s="24">
        <f t="shared" si="1731"/>
        <v>187.88746781138943</v>
      </c>
      <c r="CQ260" s="24">
        <f t="shared" si="1731"/>
        <v>191.28126832640717</v>
      </c>
      <c r="CR260" s="24">
        <f t="shared" si="1731"/>
        <v>194.62076803318467</v>
      </c>
      <c r="CS260" s="24">
        <f t="shared" si="1731"/>
        <v>197.9068357446537</v>
      </c>
      <c r="CT260" s="24">
        <f t="shared" si="1731"/>
        <v>201.14032637273928</v>
      </c>
      <c r="CU260" s="24">
        <f t="shared" ref="CU260:DB260" si="1733">CU99</f>
        <v>204.32208115077543</v>
      </c>
      <c r="CV260" s="24">
        <f t="shared" si="1733"/>
        <v>207.45292785236305</v>
      </c>
      <c r="CW260" s="24">
        <f t="shared" si="1733"/>
        <v>210.5336810067252</v>
      </c>
      <c r="CX260" s="24">
        <f t="shared" si="1733"/>
        <v>213.56514211061761</v>
      </c>
      <c r="CY260" s="24">
        <f t="shared" si="1733"/>
        <v>216.54809983684774</v>
      </c>
      <c r="CZ260" s="24">
        <f t="shared" si="1733"/>
        <v>219.48333023945818</v>
      </c>
      <c r="DA260" s="24">
        <f t="shared" si="1733"/>
        <v>222.37159695562687</v>
      </c>
      <c r="DB260" s="24">
        <f t="shared" si="1733"/>
        <v>225.21365140433679</v>
      </c>
      <c r="DE260" s="123"/>
      <c r="DF260" s="23">
        <v>607.16</v>
      </c>
    </row>
    <row r="261" spans="1:110" s="22" customFormat="1" x14ac:dyDescent="0.2">
      <c r="A261" s="22" t="s">
        <v>89</v>
      </c>
      <c r="C261" s="22">
        <f t="shared" ref="C261:W261" si="1734">C259+C260</f>
        <v>-70.36569999999999</v>
      </c>
      <c r="D261" s="22">
        <f t="shared" si="1734"/>
        <v>-16.512700000000002</v>
      </c>
      <c r="E261" s="22">
        <f t="shared" si="1734"/>
        <v>14.384900000000025</v>
      </c>
      <c r="F261" s="22">
        <f t="shared" si="1734"/>
        <v>45.890900000000016</v>
      </c>
      <c r="G261" s="22">
        <f t="shared" si="1734"/>
        <v>57.854000000000028</v>
      </c>
      <c r="H261" s="22">
        <f t="shared" si="1734"/>
        <v>-10.019700000000039</v>
      </c>
      <c r="I261" s="22">
        <f t="shared" si="1734"/>
        <v>43.74439999999997</v>
      </c>
      <c r="J261" s="22">
        <f t="shared" si="1734"/>
        <v>47.983500000000028</v>
      </c>
      <c r="K261" s="22">
        <f t="shared" si="1734"/>
        <v>34.689200000000078</v>
      </c>
      <c r="L261" s="22">
        <f t="shared" si="1734"/>
        <v>38.522800000000018</v>
      </c>
      <c r="M261" s="22">
        <f t="shared" si="1734"/>
        <v>29.743799999999951</v>
      </c>
      <c r="N261" s="22">
        <f t="shared" si="1734"/>
        <v>28.434000000000054</v>
      </c>
      <c r="O261" s="22">
        <f t="shared" si="1734"/>
        <v>-15.718199999999953</v>
      </c>
      <c r="P261" s="22">
        <f t="shared" si="1734"/>
        <v>-10.146499999999943</v>
      </c>
      <c r="Q261" s="22">
        <f t="shared" si="1734"/>
        <v>11.368599999999994</v>
      </c>
      <c r="R261" s="22">
        <f t="shared" si="1734"/>
        <v>18.545400000000022</v>
      </c>
      <c r="S261" s="22">
        <f t="shared" si="1734"/>
        <v>30.714200000000002</v>
      </c>
      <c r="T261" s="22">
        <f t="shared" si="1734"/>
        <v>35.71149999999998</v>
      </c>
      <c r="U261" s="22">
        <f t="shared" si="1734"/>
        <v>49.380400000000023</v>
      </c>
      <c r="V261" s="22">
        <f t="shared" si="1734"/>
        <v>13.952100000000021</v>
      </c>
      <c r="W261" s="22">
        <f t="shared" si="1734"/>
        <v>115.35000000000002</v>
      </c>
      <c r="X261" s="22">
        <f t="shared" ref="X261:Y261" si="1735">X259+X260</f>
        <v>-265.56000000000006</v>
      </c>
      <c r="Y261" s="22">
        <f t="shared" si="1735"/>
        <v>1291.9199999999989</v>
      </c>
      <c r="Z261" s="22">
        <f t="shared" ref="Z261:AA261" si="1736">Z259+Z260</f>
        <v>1536.0399999999997</v>
      </c>
      <c r="AA261" s="22">
        <f t="shared" si="1736"/>
        <v>4288.0099999999984</v>
      </c>
      <c r="AB261" s="21">
        <f t="shared" ref="AB261:AD261" si="1737">AB259+AB260</f>
        <v>7079.1139145173693</v>
      </c>
      <c r="AC261" s="21">
        <f t="shared" si="1737"/>
        <v>8467.5901422064326</v>
      </c>
      <c r="AD261" s="21">
        <f t="shared" si="1737"/>
        <v>9228.0876726635634</v>
      </c>
      <c r="AE261" s="21">
        <f t="shared" ref="AE261" si="1738">AE259+AE260</f>
        <v>10962.323674752846</v>
      </c>
      <c r="AI261" s="22">
        <f t="shared" ref="AI261" si="1739">AI259+AI260</f>
        <v>8.101000000000008</v>
      </c>
      <c r="AJ261" s="22">
        <f t="shared" ref="AJ261:AL261" si="1740">AJ259+AJ260</f>
        <v>5.3120000000000092</v>
      </c>
      <c r="AK261" s="22">
        <f t="shared" si="1740"/>
        <v>0.41800000000000015</v>
      </c>
      <c r="AL261" s="22">
        <f t="shared" si="1740"/>
        <v>14.603999999999985</v>
      </c>
      <c r="AM261" s="22">
        <f t="shared" ref="AM261" si="1741">AM259+AM260</f>
        <v>-6.0370000000000248</v>
      </c>
      <c r="AN261" s="22">
        <f t="shared" ref="AN261:CD261" si="1742">AN259+AN260</f>
        <v>-4.0579999999999963</v>
      </c>
      <c r="AO261" s="22">
        <f t="shared" si="1742"/>
        <v>0.8019999999999996</v>
      </c>
      <c r="AP261" s="22">
        <f t="shared" si="1742"/>
        <v>-6.4249999999999874</v>
      </c>
      <c r="AQ261" s="22">
        <f t="shared" si="1742"/>
        <v>-5.9089999999999723</v>
      </c>
      <c r="AR261" s="22">
        <f t="shared" si="1742"/>
        <v>-0.39799999999997526</v>
      </c>
      <c r="AS261" s="22">
        <f t="shared" si="1742"/>
        <v>-3.9870000000000156</v>
      </c>
      <c r="AT261" s="22">
        <f t="shared" si="1742"/>
        <v>0.14899999999999691</v>
      </c>
      <c r="AU261" s="22">
        <f t="shared" si="1742"/>
        <v>5.4720000000000173</v>
      </c>
      <c r="AV261" s="22">
        <f t="shared" si="1742"/>
        <v>3.100999999999992</v>
      </c>
      <c r="AW261" s="22">
        <f t="shared" si="1742"/>
        <v>2.9769999999999923</v>
      </c>
      <c r="AX261" s="22">
        <f t="shared" si="1742"/>
        <v>-0.1799999999999975</v>
      </c>
      <c r="AY261" s="22">
        <f t="shared" si="1742"/>
        <v>3.1070000000000086</v>
      </c>
      <c r="AZ261" s="22">
        <f t="shared" si="1742"/>
        <v>3.3099999999999845</v>
      </c>
      <c r="BA261" s="22">
        <f t="shared" si="1742"/>
        <v>3.614999999999998</v>
      </c>
      <c r="BB261" s="22">
        <f t="shared" si="1742"/>
        <v>8.513999999999994</v>
      </c>
      <c r="BC261" s="22">
        <f t="shared" si="1742"/>
        <v>8.9939999999999962</v>
      </c>
      <c r="BD261" s="22">
        <f t="shared" si="1742"/>
        <v>3.9350000000000103</v>
      </c>
      <c r="BE261" s="22">
        <f t="shared" si="1742"/>
        <v>5.3680000000000163</v>
      </c>
      <c r="BF261" s="22">
        <f t="shared" si="1742"/>
        <v>12.416999999999982</v>
      </c>
      <c r="BG261" s="22">
        <f t="shared" si="1742"/>
        <v>14.078000000000005</v>
      </c>
      <c r="BH261" s="22">
        <f t="shared" si="1742"/>
        <v>4.5099999999999962</v>
      </c>
      <c r="BI261" s="22">
        <f t="shared" si="1742"/>
        <v>5.5420000000000034</v>
      </c>
      <c r="BJ261" s="22">
        <f t="shared" si="1742"/>
        <v>11.582000000000015</v>
      </c>
      <c r="BK261" s="22">
        <f t="shared" si="1742"/>
        <v>11.465</v>
      </c>
      <c r="BL261" s="22">
        <f t="shared" si="1742"/>
        <v>4.3209999999999962</v>
      </c>
      <c r="BM261" s="22">
        <f t="shared" si="1742"/>
        <v>7.755999999999994</v>
      </c>
      <c r="BN261" s="22">
        <f t="shared" si="1742"/>
        <v>25.836999999999989</v>
      </c>
      <c r="BO261" s="22">
        <f t="shared" si="1742"/>
        <v>-9.2029999999999994</v>
      </c>
      <c r="BP261" s="22">
        <f t="shared" si="1742"/>
        <v>6.2700000000000014</v>
      </c>
      <c r="BQ261" s="22">
        <f t="shared" si="1742"/>
        <v>7.111000000000006</v>
      </c>
      <c r="BR261" s="22">
        <f t="shared" si="1742"/>
        <v>9.7750000000000021</v>
      </c>
      <c r="BS261" s="22">
        <f t="shared" si="1742"/>
        <v>4.3200000000000038</v>
      </c>
      <c r="BT261" s="22">
        <f t="shared" si="1742"/>
        <v>4.8799999999999981</v>
      </c>
      <c r="BU261" s="22">
        <f t="shared" si="1742"/>
        <v>-21.56999999999999</v>
      </c>
      <c r="BV261" s="22">
        <f t="shared" si="1742"/>
        <v>127.72999999999996</v>
      </c>
      <c r="BW261" s="22">
        <f t="shared" si="1742"/>
        <v>-925.31000000000017</v>
      </c>
      <c r="BX261" s="22">
        <f t="shared" si="1742"/>
        <v>148.16000000000003</v>
      </c>
      <c r="BY261" s="22">
        <f t="shared" si="1742"/>
        <v>235.71999999999991</v>
      </c>
      <c r="BZ261" s="22">
        <f t="shared" si="1742"/>
        <v>275.87000000000006</v>
      </c>
      <c r="CA261" s="22">
        <f t="shared" si="1742"/>
        <v>410.82999999999987</v>
      </c>
      <c r="CB261" s="22">
        <f t="shared" si="1742"/>
        <v>241.46000000000006</v>
      </c>
      <c r="CC261" s="22">
        <f t="shared" si="1742"/>
        <v>346.19999999999976</v>
      </c>
      <c r="CD261" s="22">
        <f t="shared" si="1742"/>
        <v>293.43000000000006</v>
      </c>
      <c r="CE261" s="22">
        <f t="shared" ref="CE261:CF261" si="1743">CE259+CE260</f>
        <v>576.12999999999943</v>
      </c>
      <c r="CF261" s="22">
        <f t="shared" si="1743"/>
        <v>318.99999999999994</v>
      </c>
      <c r="CG261" s="22">
        <f t="shared" ref="CG261:CH261" si="1744">CG259+CG260</f>
        <v>411.34999999999985</v>
      </c>
      <c r="CH261" s="22">
        <f t="shared" si="1744"/>
        <v>224.22000000000025</v>
      </c>
      <c r="CI261" s="22">
        <f t="shared" ref="CI261:CJ261" si="1745">CI259+CI260</f>
        <v>672.32000000000016</v>
      </c>
      <c r="CJ261" s="22">
        <f t="shared" si="1745"/>
        <v>738.89</v>
      </c>
      <c r="CK261" s="22">
        <f t="shared" ref="CK261:DB261" si="1746">CK259+CK260</f>
        <v>1232.9399999999998</v>
      </c>
      <c r="CL261" s="22">
        <f t="shared" si="1746"/>
        <v>1643.8500000000008</v>
      </c>
      <c r="CM261" s="21">
        <f t="shared" si="1746"/>
        <v>1796.5806384000002</v>
      </c>
      <c r="CN261" s="21">
        <f t="shared" si="1746"/>
        <v>1715.3356140177152</v>
      </c>
      <c r="CO261" s="21">
        <f t="shared" si="1746"/>
        <v>1745.8243559384719</v>
      </c>
      <c r="CP261" s="21">
        <f t="shared" si="1746"/>
        <v>1821.373306161182</v>
      </c>
      <c r="CQ261" s="21">
        <f t="shared" si="1746"/>
        <v>1914.2229712119336</v>
      </c>
      <c r="CR261" s="21">
        <f t="shared" si="1746"/>
        <v>1974.9879700241347</v>
      </c>
      <c r="CS261" s="21">
        <f t="shared" si="1746"/>
        <v>2218.8779212826089</v>
      </c>
      <c r="CT261" s="21">
        <f t="shared" si="1746"/>
        <v>2359.5012796877577</v>
      </c>
      <c r="CU261" s="21">
        <f t="shared" si="1746"/>
        <v>2219.5945992936618</v>
      </c>
      <c r="CV261" s="21">
        <f t="shared" si="1746"/>
        <v>2115.7172512579236</v>
      </c>
      <c r="CW261" s="21">
        <f t="shared" si="1746"/>
        <v>2381.1078556683342</v>
      </c>
      <c r="CX261" s="21">
        <f t="shared" si="1746"/>
        <v>2511.6679664436401</v>
      </c>
      <c r="CY261" s="21">
        <f t="shared" si="1746"/>
        <v>2640.9412173973351</v>
      </c>
      <c r="CZ261" s="21">
        <f t="shared" si="1746"/>
        <v>2532.0593800674174</v>
      </c>
      <c r="DA261" s="21">
        <f t="shared" si="1746"/>
        <v>2817.623423682126</v>
      </c>
      <c r="DB261" s="21">
        <f t="shared" si="1746"/>
        <v>2971.6996536059692</v>
      </c>
      <c r="DE261" s="126"/>
      <c r="DF261" s="22">
        <v>4288.0099999999984</v>
      </c>
    </row>
    <row r="262" spans="1:110" s="23" customFormat="1" x14ac:dyDescent="0.2">
      <c r="A262" s="23" t="s">
        <v>65</v>
      </c>
      <c r="C262" s="23">
        <f t="shared" ref="C262:AA262" si="1747">B214-C214+B229+B230-C229-C230</f>
        <v>-17.169300000000021</v>
      </c>
      <c r="D262" s="23">
        <f t="shared" si="1747"/>
        <v>1.4453000000000007</v>
      </c>
      <c r="E262" s="23">
        <f>D214-E214+D229+D230-E229-E230</f>
        <v>-5.1728999999999896</v>
      </c>
      <c r="F262" s="23">
        <f t="shared" si="1747"/>
        <v>41.3934</v>
      </c>
      <c r="G262" s="23">
        <f t="shared" si="1747"/>
        <v>-10.728299999999999</v>
      </c>
      <c r="H262" s="23">
        <f t="shared" si="1747"/>
        <v>-3.4543000000000017</v>
      </c>
      <c r="I262" s="23">
        <f t="shared" si="1747"/>
        <v>-23.169999999999998</v>
      </c>
      <c r="J262" s="23">
        <f>I214-J214+I229+I230-J229-J230</f>
        <v>-81.534000000000006</v>
      </c>
      <c r="K262" s="23">
        <f>J214-K214+J229+J230-K229-K230</f>
        <v>75.589399999999998</v>
      </c>
      <c r="L262" s="23">
        <f t="shared" si="1747"/>
        <v>-52.807099999999991</v>
      </c>
      <c r="M262" s="23">
        <f t="shared" si="1747"/>
        <v>-55.264400000000023</v>
      </c>
      <c r="N262" s="23">
        <f t="shared" si="1747"/>
        <v>68.905800000000013</v>
      </c>
      <c r="O262" s="23">
        <f t="shared" si="1747"/>
        <v>-2.3575999999999881</v>
      </c>
      <c r="P262" s="23">
        <f t="shared" si="1747"/>
        <v>10.025699999999972</v>
      </c>
      <c r="Q262" s="23">
        <f t="shared" si="1747"/>
        <v>-12.880599999999987</v>
      </c>
      <c r="R262" s="23">
        <f t="shared" si="1747"/>
        <v>-10.306399999999996</v>
      </c>
      <c r="S262" s="23">
        <f t="shared" si="1747"/>
        <v>-11.581299999999999</v>
      </c>
      <c r="T262" s="23">
        <f t="shared" si="1747"/>
        <v>-10.306399999999968</v>
      </c>
      <c r="U262" s="23">
        <f t="shared" si="1747"/>
        <v>-19.150600000000015</v>
      </c>
      <c r="V262" s="23">
        <f t="shared" si="1747"/>
        <v>-58.611899999999991</v>
      </c>
      <c r="W262" s="23">
        <f t="shared" si="1747"/>
        <v>-50.484200000000072</v>
      </c>
      <c r="X262" s="23">
        <f t="shared" si="1747"/>
        <v>-578.2399999999999</v>
      </c>
      <c r="Y262" s="23">
        <f t="shared" si="1747"/>
        <v>-137.67000000000007</v>
      </c>
      <c r="Z262" s="23">
        <f t="shared" si="1747"/>
        <v>-1717.5100000000002</v>
      </c>
      <c r="AA262" s="23">
        <f t="shared" si="1747"/>
        <v>-9799.3700000000008</v>
      </c>
      <c r="AB262" s="24">
        <f t="shared" ref="AB262" si="1748">AA214-AB214+AA229+AA230-AB229-AB230</f>
        <v>-1404.6847798492254</v>
      </c>
      <c r="AC262" s="24">
        <f t="shared" ref="AC262" si="1749">AB214-AC214+AB229+AB230-AC229-AC230</f>
        <v>-7347.1732173179116</v>
      </c>
      <c r="AD262" s="24">
        <f t="shared" ref="AD262" si="1750">AC214-AD214+AC229+AC230-AD229-AD230</f>
        <v>-3057.1175009561121</v>
      </c>
      <c r="AE262" s="24">
        <f t="shared" ref="AE262" si="1751">AD214-AE214+AD229+AD230-AE229-AE230</f>
        <v>-4671.1186924676258</v>
      </c>
      <c r="AI262" s="23">
        <f>AH214-AI214+AH229+AH230-AI229-AJ230</f>
        <v>0</v>
      </c>
      <c r="AJ262" s="23">
        <f t="shared" ref="AJ262:AL262" si="1752">AI214-AJ214+AI229+AI230-AJ229-AK230</f>
        <v>-242.61199999999999</v>
      </c>
      <c r="AK262" s="23">
        <f t="shared" si="1752"/>
        <v>-8.5316252642543873</v>
      </c>
      <c r="AL262" s="23">
        <f t="shared" si="1752"/>
        <v>100.7186252642544</v>
      </c>
      <c r="AM262" s="23">
        <f t="shared" ref="AM262" si="1753">AL214-AM214+AL229+AL230-AM229-AM230</f>
        <v>30.947899041135315</v>
      </c>
      <c r="AN262" s="23">
        <f t="shared" ref="AN262" si="1754">AM214-AN214+AM229+AM230-AN229-AN230</f>
        <v>-67.995899041135345</v>
      </c>
      <c r="AO262" s="23">
        <f t="shared" ref="AO262" si="1755">AN214-AO214+AN229+AN230-AO229-AO230</f>
        <v>-9.1703882501426222</v>
      </c>
      <c r="AP262" s="23">
        <f t="shared" ref="AP262" si="1756">AO214-AP214+AO229+AO230-AP229-AP230</f>
        <v>43.759388250142621</v>
      </c>
      <c r="AQ262" s="23">
        <f t="shared" ref="AQ262" si="1757">AP214-AQ214+AP229+AP230-AQ229-AQ230</f>
        <v>8.1372338028169224</v>
      </c>
      <c r="AR262" s="23">
        <f t="shared" ref="AR262" si="1758">AQ214-AR214+AQ229+AQ230-AR229-AR230</f>
        <v>-84.935233802816896</v>
      </c>
      <c r="AS262" s="23">
        <f t="shared" ref="AS262" si="1759">AR214-AS214+AR229+AR230-AS229-AS230</f>
        <v>61.475651162167225</v>
      </c>
      <c r="AT262" s="23">
        <f t="shared" ref="AT262" si="1760">AS214-AT214+AS229+AS230-AT229-AT230</f>
        <v>25.347348837832754</v>
      </c>
      <c r="AU262" s="23">
        <f t="shared" ref="AU262" si="1761">AT214-AU214+AT229+AT230-AU229-AU230</f>
        <v>-3.197367254301696</v>
      </c>
      <c r="AV262" s="23">
        <f t="shared" ref="AV262" si="1762">AU214-AV214+AU229+AU230-AV229-AV230</f>
        <v>-32.418632745698318</v>
      </c>
      <c r="AW262" s="23">
        <f t="shared" ref="AW262" si="1763">AV214-AW214+AV229+AV230-AW229-AW230</f>
        <v>-1.4791616244849592</v>
      </c>
      <c r="AX262" s="23">
        <f t="shared" ref="AX262" si="1764">AW214-AX214+AW229+AW230-AX229-AX230</f>
        <v>24.215161624484978</v>
      </c>
      <c r="AY262" s="23">
        <f t="shared" ref="AY262" si="1765">AX214-AY214+AX229+AX230-AY229-AY230</f>
        <v>-9.6217551546392031</v>
      </c>
      <c r="AZ262" s="23">
        <f t="shared" ref="AZ262" si="1766">AY214-AZ214+AY229+AY230-AZ229-AZ230</f>
        <v>-26.773244845360807</v>
      </c>
      <c r="BA262" s="23">
        <f t="shared" ref="BA262" si="1767">AZ214-BA214+AZ229+AZ230-BA229-BA230</f>
        <v>-27.597464898183546</v>
      </c>
      <c r="BB262" s="23">
        <f t="shared" ref="BB262" si="1768">BA214-BB214+BA229+BA230-BB229-BB230</f>
        <v>53.685464898183568</v>
      </c>
      <c r="BC262" s="23">
        <f t="shared" ref="BC262" si="1769">BB214-BC214+BB229+BB230-BC229-BC230</f>
        <v>-14.216491919985486</v>
      </c>
      <c r="BD262" s="23">
        <f t="shared" ref="BD262" si="1770">BC214-BD214+BC229+BC230-BD229-BD230</f>
        <v>18.160491919985503</v>
      </c>
      <c r="BE262" s="23">
        <f t="shared" ref="BE262" si="1771">BD214-BE214+BD229+BD230-BE229-BE230</f>
        <v>-44.499515141984801</v>
      </c>
      <c r="BF262" s="23">
        <f t="shared" ref="BF262" si="1772">BE214-BF214+BE229+BE230-BF229-BF230</f>
        <v>28.974515141984767</v>
      </c>
      <c r="BG262" s="23">
        <f t="shared" ref="BG262" si="1773">BF214-BG214+BF229+BF230-BG229-BG230</f>
        <v>-19.382952643737156</v>
      </c>
      <c r="BH262" s="23">
        <f t="shared" ref="BH262" si="1774">BG214-BH214+BG229+BG230-BH229-BH230</f>
        <v>36.524952643737151</v>
      </c>
      <c r="BI262" s="23">
        <f t="shared" ref="BI262" si="1775">BH214-BI214+BH229+BH230-BI229-BI230</f>
        <v>-6.3417528631705977</v>
      </c>
      <c r="BJ262" s="23">
        <f t="shared" ref="BJ262" si="1776">BI214-BJ214+BI229+BI230-BJ229-BJ230</f>
        <v>-21.106247136829381</v>
      </c>
      <c r="BK262" s="23">
        <f t="shared" ref="BK262" si="1777">BJ214-BK214+BJ229+BJ230-BK229-BK230</f>
        <v>2.9345801108785281</v>
      </c>
      <c r="BL262" s="23">
        <f t="shared" ref="BL262" si="1778">BK214-BL214+BK229+BK230-BL229-BL230</f>
        <v>5.8424198891214587</v>
      </c>
      <c r="BM262" s="23">
        <f t="shared" ref="BM262" si="1779">BL214-BM214+BL229+BL230-BM229-BM230</f>
        <v>-45.594821895946353</v>
      </c>
      <c r="BN262" s="23">
        <f t="shared" ref="BN262" si="1780">BM214-BN214+BM229+BM230-BN229-BN230</f>
        <v>14.685821895946365</v>
      </c>
      <c r="BO262" s="23">
        <f t="shared" ref="BO262" si="1781">BN214-BO214+BN229+BN230-BO229-BO230</f>
        <v>82.6175472414821</v>
      </c>
      <c r="BP262" s="23">
        <f t="shared" ref="BP262" si="1782">BO214-BP214+BO229+BO230-BP229-BP230</f>
        <v>-94.361547241482128</v>
      </c>
      <c r="BQ262" s="23">
        <f t="shared" ref="BQ262" si="1783">BP214-BQ214+BP229+BP230-BQ229-BQ230</f>
        <v>-0.1835095793758228</v>
      </c>
      <c r="BR262" s="23">
        <f t="shared" ref="BR262" si="1784">BQ214-BR214+BQ229+BQ230-BR229-BR230</f>
        <v>-44.491490420624132</v>
      </c>
      <c r="BS262" s="23">
        <f t="shared" ref="BS262" si="1785">BR214-BS214+BR229+BR230-BS229-BS230</f>
        <v>-0.58577935849652363</v>
      </c>
      <c r="BT262" s="23">
        <f t="shared" ref="BT262" si="1786">BS214-BT214+BS229+BS230-BT229-BT230</f>
        <v>-6.6852206415035198</v>
      </c>
      <c r="BU262" s="23">
        <f t="shared" ref="BU262" si="1787">BT214-BU214+BT229+BT230-BU229-BU230</f>
        <v>-84.955110645933047</v>
      </c>
      <c r="BV262" s="23">
        <f t="shared" ref="BV262" si="1788">BU214-BV214+BU229+BU230-BV229-BV230</f>
        <v>41.930110645933055</v>
      </c>
      <c r="BW262" s="23">
        <f t="shared" ref="BW262" si="1789">BV214-BW214+BV229+BV230-BW229-BW230</f>
        <v>-291.39219291137709</v>
      </c>
      <c r="BX262" s="23">
        <f t="shared" ref="BX262" si="1790">BW214-BX214+BW229+BW230-BX229-BX230</f>
        <v>-27.447807088622881</v>
      </c>
      <c r="BY262" s="23">
        <f t="shared" ref="BY262" si="1791">BX214-BY214+BX229+BX230-BY229-BY230</f>
        <v>-95.558386962716781</v>
      </c>
      <c r="BZ262" s="23">
        <f t="shared" ref="BZ262" si="1792">BY214-BZ214+BY229+BY230-BZ229-BZ230</f>
        <v>-213.88161303728327</v>
      </c>
      <c r="CA262" s="23">
        <f t="shared" ref="CA262" si="1793">BZ214-CA214+BZ229+BZ230-CA229-CA230</f>
        <v>-365.78339229671883</v>
      </c>
      <c r="CB262" s="23">
        <f t="shared" ref="CB262" si="1794">CA214-CB214+CA229+CA230-CB229-CB230</f>
        <v>230.02339229671901</v>
      </c>
      <c r="CC262" s="23">
        <f t="shared" ref="CC262" si="1795">CB214-CC214+CB229+CB230-CC229-CC230</f>
        <v>-296.23165049344379</v>
      </c>
      <c r="CD262" s="23">
        <f t="shared" ref="CD262" si="1796">CC214-CD214+CC229+CC230-CD229-CD230</f>
        <v>267.0116504934436</v>
      </c>
      <c r="CE262" s="23">
        <f t="shared" ref="CE262" si="1797">CD214-CE214+CD229+CD230-CE229-CE230</f>
        <v>-172.66883914842128</v>
      </c>
      <c r="CF262" s="23">
        <f t="shared" ref="CF262" si="1798">CE214-CF214+CE229+CE230-CF229-CF230</f>
        <v>-1155.3611608515789</v>
      </c>
      <c r="CG262" s="23">
        <f t="shared" ref="CG262" si="1799">CF214-CG214+CF229+CF230-CG229-CG230</f>
        <v>-88.738491735680768</v>
      </c>
      <c r="CH262" s="23">
        <f t="shared" ref="CH262:CL262" si="1800">CG214-CH214+CG229+CG230-CH229-CH230</f>
        <v>-222.79150826431913</v>
      </c>
      <c r="CI262" s="23">
        <f t="shared" si="1800"/>
        <v>-2817.8281458141269</v>
      </c>
      <c r="CJ262" s="23">
        <f t="shared" si="1800"/>
        <v>-2281.4818541858731</v>
      </c>
      <c r="CK262" s="23">
        <f t="shared" ref="CK262" si="1801">CJ214-CK214+CJ229+CJ230-CK229-CK230</f>
        <v>-3046.1318744847822</v>
      </c>
      <c r="CL262" s="23">
        <f t="shared" si="1800"/>
        <v>-457.6681255152165</v>
      </c>
      <c r="CM262" s="24">
        <f t="shared" ref="CM262" si="1802">CL214-CM214+CL229+CL230-CM229-CM230</f>
        <v>-71.803399205977229</v>
      </c>
      <c r="CN262" s="24">
        <f t="shared" ref="CN262" si="1803">CM214-CN214+CM229+CM230-CN229-CN230</f>
        <v>804.33045505951304</v>
      </c>
      <c r="CO262" s="24">
        <f t="shared" ref="CO262" si="1804">CN214-CO214+CN229+CN230-CO229-CO230</f>
        <v>-1344.81122066643</v>
      </c>
      <c r="CP262" s="24">
        <f t="shared" ref="CP262" si="1805">CO214-CP214+CO229+CO230-CP229-CP230</f>
        <v>-1988.6606150363332</v>
      </c>
      <c r="CQ262" s="24">
        <f t="shared" ref="CQ262" si="1806">CP214-CQ214+CP229+CP230-CQ229-CQ230</f>
        <v>-4528.3477280759944</v>
      </c>
      <c r="CR262" s="24">
        <f t="shared" ref="CR262" si="1807">CQ214-CR214+CQ229+CQ230-CR229-CR230</f>
        <v>355.69177495836266</v>
      </c>
      <c r="CS262" s="24">
        <f t="shared" ref="CS262" si="1808">CR214-CS214+CR229+CR230-CS229-CS230</f>
        <v>-2133.5864818627124</v>
      </c>
      <c r="CT262" s="24">
        <f t="shared" ref="CT262" si="1809">CS214-CT214+CS229+CS230-CT229-CT230</f>
        <v>-1040.9307823375675</v>
      </c>
      <c r="CU262" s="24">
        <f t="shared" ref="CU262" si="1810">CT214-CU214+CT229+CT230-CU229-CU230</f>
        <v>-47.625993391906377</v>
      </c>
      <c r="CV262" s="24">
        <f t="shared" ref="CV262" si="1811">CU214-CV214+CU229+CU230-CV229-CV230</f>
        <v>1273.3919188562213</v>
      </c>
      <c r="CW262" s="24">
        <f t="shared" ref="CW262" si="1812">CV214-CW214+CV229+CV230-CW229-CW230</f>
        <v>-2770.3979299045568</v>
      </c>
      <c r="CX262" s="24">
        <f t="shared" ref="CX262" si="1813">CW214-CX214+CW229+CW230-CX229-CX230</f>
        <v>-1512.4854965158702</v>
      </c>
      <c r="CY262" s="24">
        <f t="shared" ref="CY262" si="1814">CX214-CY214+CX229+CX230-CY229-CY230</f>
        <v>-1390.0381611438534</v>
      </c>
      <c r="CZ262" s="24">
        <f t="shared" ref="CZ262" si="1815">CY214-CZ214+CY229+CY230-CZ229-CZ230</f>
        <v>1272.3957647945463</v>
      </c>
      <c r="DA262" s="24">
        <f t="shared" ref="DA262" si="1816">CZ214-DA214+CZ229+CZ230-DA229-DA230</f>
        <v>-2955.4049758323526</v>
      </c>
      <c r="DB262" s="24">
        <f t="shared" ref="DB262" si="1817">DA214-DB214+DA229+DA230-DB229-DB230</f>
        <v>-1598.0713202859661</v>
      </c>
      <c r="DE262" s="123"/>
      <c r="DF262" s="23">
        <v>-9799.3700000000008</v>
      </c>
    </row>
    <row r="263" spans="1:110" s="23" customFormat="1" x14ac:dyDescent="0.2">
      <c r="A263" s="23" t="s">
        <v>73</v>
      </c>
      <c r="C263" s="23">
        <f t="shared" ref="C263:AA263" si="1818">B222-C222</f>
        <v>-13.212899999999998</v>
      </c>
      <c r="D263" s="23">
        <f t="shared" si="1818"/>
        <v>13.460100000000001</v>
      </c>
      <c r="E263" s="23">
        <f>D222-E222</f>
        <v>-10.861299999999996</v>
      </c>
      <c r="F263" s="23">
        <f t="shared" si="1818"/>
        <v>13.914299999999997</v>
      </c>
      <c r="G263" s="23">
        <f t="shared" si="1818"/>
        <v>-94.950200000000009</v>
      </c>
      <c r="H263" s="23">
        <f t="shared" si="1818"/>
        <v>-41.025699999999986</v>
      </c>
      <c r="I263" s="23">
        <f t="shared" si="1818"/>
        <v>-14.960100000000011</v>
      </c>
      <c r="J263" s="23">
        <f>I222-J222</f>
        <v>-136.66799999999998</v>
      </c>
      <c r="K263" s="23">
        <f>J222-K222</f>
        <v>12.58850000000001</v>
      </c>
      <c r="L263" s="23">
        <f t="shared" si="1818"/>
        <v>-55.29890000000006</v>
      </c>
      <c r="M263" s="23">
        <f t="shared" si="1818"/>
        <v>-41.827399999999955</v>
      </c>
      <c r="N263" s="23">
        <f t="shared" si="1818"/>
        <v>88.882000000000005</v>
      </c>
      <c r="O263" s="23">
        <f t="shared" si="1818"/>
        <v>-32.850700000000018</v>
      </c>
      <c r="P263" s="23">
        <f t="shared" si="1818"/>
        <v>-6.1597999999999615</v>
      </c>
      <c r="Q263" s="23">
        <f t="shared" si="1818"/>
        <v>-43.917100000000062</v>
      </c>
      <c r="R263" s="23">
        <f t="shared" si="1818"/>
        <v>-19.926499999999976</v>
      </c>
      <c r="S263" s="23">
        <f t="shared" si="1818"/>
        <v>-33.154000000000053</v>
      </c>
      <c r="T263" s="23">
        <f t="shared" si="1818"/>
        <v>52.052400000000091</v>
      </c>
      <c r="U263" s="23">
        <f t="shared" si="1818"/>
        <v>12.998999999999967</v>
      </c>
      <c r="V263" s="23">
        <f t="shared" si="1818"/>
        <v>12.832299999999975</v>
      </c>
      <c r="W263" s="23">
        <f t="shared" si="1818"/>
        <v>117.5668</v>
      </c>
      <c r="X263" s="23">
        <f t="shared" si="1818"/>
        <v>-248.77999999999997</v>
      </c>
      <c r="Y263" s="23">
        <f t="shared" si="1818"/>
        <v>-544.76</v>
      </c>
      <c r="Z263" s="23">
        <f t="shared" si="1818"/>
        <v>-989.13999999999987</v>
      </c>
      <c r="AA263" s="23">
        <f t="shared" si="1818"/>
        <v>-6356.6399999999994</v>
      </c>
      <c r="AB263" s="24">
        <f t="shared" ref="AB263" si="1819">AA222-AB222</f>
        <v>1775.2804062083851</v>
      </c>
      <c r="AC263" s="24">
        <f t="shared" ref="AC263" si="1820">AB222-AC222</f>
        <v>-2784.0723564362306</v>
      </c>
      <c r="AD263" s="24">
        <f t="shared" ref="AD263" si="1821">AC222-AD222</f>
        <v>-1335.7128303324898</v>
      </c>
      <c r="AE263" s="24">
        <f t="shared" ref="AE263" si="1822">AD222-AE222</f>
        <v>-2040.9006744371454</v>
      </c>
      <c r="AI263" s="23">
        <f t="shared" ref="AI263" si="1823">AH222-AI222</f>
        <v>0</v>
      </c>
      <c r="AJ263" s="23">
        <f t="shared" ref="AJ263" si="1824">AI222-AJ222</f>
        <v>-408.68299999999999</v>
      </c>
      <c r="AK263" s="23">
        <f t="shared" ref="AK263" si="1825">AJ222-AK222</f>
        <v>0</v>
      </c>
      <c r="AL263" s="23">
        <f t="shared" ref="AL263" si="1826">AK222-AL222</f>
        <v>96.870999999999981</v>
      </c>
      <c r="AM263" s="23">
        <f t="shared" ref="AM263" si="1827">AL222-AM222</f>
        <v>102.29293819247505</v>
      </c>
      <c r="AN263" s="23">
        <f t="shared" ref="AN263" si="1828">AM222-AN222</f>
        <v>-156.23793819247504</v>
      </c>
      <c r="AO263" s="23">
        <f t="shared" ref="AO263" si="1829">AN222-AO222</f>
        <v>-30.250460848216619</v>
      </c>
      <c r="AP263" s="23">
        <f t="shared" ref="AP263" si="1830">AO222-AP222</f>
        <v>51.238460848216619</v>
      </c>
      <c r="AQ263" s="23">
        <f t="shared" ref="AQ263" si="1831">AP222-AQ222</f>
        <v>14.260519375713784</v>
      </c>
      <c r="AR263" s="23">
        <f t="shared" ref="AR263" si="1832">AQ222-AR222</f>
        <v>-105.69451937571375</v>
      </c>
      <c r="AS263" s="23">
        <f t="shared" ref="AS263" si="1833">AR222-AS222</f>
        <v>166.26094206589636</v>
      </c>
      <c r="AT263" s="23">
        <f t="shared" ref="AT263" si="1834">AS222-AT222</f>
        <v>-80.6029420658964</v>
      </c>
      <c r="AU263" s="23">
        <f t="shared" ref="AU263" si="1835">AT222-AU222</f>
        <v>-3.8854227805341566</v>
      </c>
      <c r="AV263" s="23">
        <f t="shared" ref="AV263" si="1836">AU222-AV222</f>
        <v>-40.327577219465809</v>
      </c>
      <c r="AW263" s="23">
        <f t="shared" ref="AW263" si="1837">AV222-AW222</f>
        <v>-1.6127205807337646</v>
      </c>
      <c r="AX263" s="23">
        <f t="shared" ref="AX263" si="1838">AW222-AX222</f>
        <v>7.0607205807337436</v>
      </c>
      <c r="AY263" s="23">
        <f t="shared" ref="AY263" si="1839">AX222-AY222</f>
        <v>-7.8765810673413625</v>
      </c>
      <c r="AZ263" s="23">
        <f t="shared" ref="AZ263" si="1840">AY222-AZ222</f>
        <v>-11.842418932658632</v>
      </c>
      <c r="BA263" s="23">
        <f t="shared" ref="BA263" si="1841">AZ222-BA222</f>
        <v>-19.932149616206004</v>
      </c>
      <c r="BB263" s="23">
        <f t="shared" ref="BB263" si="1842">BA222-BB222</f>
        <v>19.93514961620599</v>
      </c>
      <c r="BC263" s="23">
        <f t="shared" ref="BC263" si="1843">BB222-BC222</f>
        <v>-10.765510098507264</v>
      </c>
      <c r="BD263" s="23">
        <f t="shared" ref="BD263" si="1844">BC222-BD222</f>
        <v>9.3825100985073391</v>
      </c>
      <c r="BE263" s="23">
        <f t="shared" ref="BE263" si="1845">BD222-BE222</f>
        <v>-35.622308710408731</v>
      </c>
      <c r="BF263" s="23">
        <f t="shared" ref="BF263" si="1846">BE222-BF222</f>
        <v>3.5293087104086567</v>
      </c>
      <c r="BG263" s="23">
        <f t="shared" ref="BG263" si="1847">BF222-BG222</f>
        <v>-15.712144892197102</v>
      </c>
      <c r="BH263" s="23">
        <f t="shared" ref="BH263" si="1848">BG222-BH222</f>
        <v>5.5841448921971164</v>
      </c>
      <c r="BI263" s="23">
        <f t="shared" ref="BI263" si="1849">BH222-BI222</f>
        <v>-4.4684822182037465</v>
      </c>
      <c r="BJ263" s="23">
        <f t="shared" ref="BJ263" si="1850">BI222-BJ222</f>
        <v>59.751482218203762</v>
      </c>
      <c r="BK263" s="23">
        <f t="shared" ref="BK263" si="1851">BJ222-BK222</f>
        <v>1.942220576169575</v>
      </c>
      <c r="BL263" s="23">
        <f t="shared" ref="BL263" si="1852">BK222-BL222</f>
        <v>21.397779423830457</v>
      </c>
      <c r="BM263" s="23">
        <f t="shared" ref="BM263" si="1853">BL222-BM222</f>
        <v>-34.36874366067309</v>
      </c>
      <c r="BN263" s="23">
        <f t="shared" ref="BN263" si="1854">BM222-BN222</f>
        <v>9.5587436606730307</v>
      </c>
      <c r="BO263" s="23">
        <f t="shared" ref="BO263" si="1855">BN222-BO222</f>
        <v>54.887396963081926</v>
      </c>
      <c r="BP263" s="23">
        <f t="shared" ref="BP263" si="1856">BO222-BP222</f>
        <v>-37.351396963081982</v>
      </c>
      <c r="BQ263" s="23">
        <f t="shared" ref="BQ263" si="1857">BP222-BQ222</f>
        <v>-0.11879511533243203</v>
      </c>
      <c r="BR263" s="23">
        <f t="shared" ref="BR263" si="1858">BQ222-BR222</f>
        <v>-53.889204884667549</v>
      </c>
      <c r="BS263" s="23">
        <f t="shared" ref="BS263" si="1859">BR222-BS222</f>
        <v>-0.16840422069401484</v>
      </c>
      <c r="BT263" s="23">
        <f t="shared" ref="BT263" si="1860">BS222-BT222</f>
        <v>149.07740422069406</v>
      </c>
      <c r="BU263" s="23">
        <f t="shared" ref="BU263" si="1861">BT222-BU222</f>
        <v>-29.096851076555026</v>
      </c>
      <c r="BV263" s="23">
        <f t="shared" ref="BV263" si="1862">BU222-BV222</f>
        <v>30.046851076555015</v>
      </c>
      <c r="BW263" s="23">
        <f t="shared" ref="BW263" si="1863">BV222-BW222</f>
        <v>-23.209851445034701</v>
      </c>
      <c r="BX263" s="23">
        <f t="shared" ref="BX263" si="1864">BW222-BX222</f>
        <v>-779.77014855496509</v>
      </c>
      <c r="BY263" s="23">
        <f t="shared" ref="BY263" si="1865">BX222-BY222</f>
        <v>-43.953569223462409</v>
      </c>
      <c r="BZ263" s="23">
        <f t="shared" ref="BZ263" si="1866">BY222-BZ222</f>
        <v>635.28356922346222</v>
      </c>
      <c r="CA263" s="23">
        <f t="shared" ref="CA263" si="1867">BZ222-CA222</f>
        <v>-92.64855132667617</v>
      </c>
      <c r="CB263" s="23">
        <f t="shared" ref="CB263" si="1868">CA222-CB222</f>
        <v>-96.10144867332383</v>
      </c>
      <c r="CC263" s="23">
        <f t="shared" ref="CC263" si="1869">CB222-CC222</f>
        <v>-67.25869093108281</v>
      </c>
      <c r="CD263" s="23">
        <f t="shared" ref="CD263" si="1870">CC222-CD222</f>
        <v>-287.18130906891713</v>
      </c>
      <c r="CE263" s="23">
        <f t="shared" ref="CE263" si="1871">CD222-CE222</f>
        <v>-219.35049829825834</v>
      </c>
      <c r="CF263" s="23">
        <f t="shared" ref="CF263" si="1872">CE222-CF222</f>
        <v>-57.619501701741456</v>
      </c>
      <c r="CG263" s="23">
        <f t="shared" ref="CG263" si="1873">CF222-CG222</f>
        <v>-11.8581540583275</v>
      </c>
      <c r="CH263" s="23">
        <f t="shared" ref="CH263:CL263" si="1874">CG222-CH222</f>
        <v>-700.31184594167257</v>
      </c>
      <c r="CI263" s="23">
        <f t="shared" si="1874"/>
        <v>-2024.1719351378524</v>
      </c>
      <c r="CJ263" s="23">
        <f t="shared" si="1874"/>
        <v>119.46193513785238</v>
      </c>
      <c r="CK263" s="23">
        <f t="shared" ref="CK263" si="1875">CJ222-CK222</f>
        <v>-1515.6708142467851</v>
      </c>
      <c r="CL263" s="23">
        <f t="shared" si="1874"/>
        <v>-1351.9491857532148</v>
      </c>
      <c r="CM263" s="24">
        <f t="shared" ref="CM263" si="1876">CL222-CM222</f>
        <v>504.52980305901838</v>
      </c>
      <c r="CN263" s="24">
        <f t="shared" ref="CN263" si="1877">CM222-CN222</f>
        <v>435.65858911434589</v>
      </c>
      <c r="CO263" s="24">
        <f t="shared" ref="CO263" si="1878">CN222-CO222</f>
        <v>-240.85655593602132</v>
      </c>
      <c r="CP263" s="24">
        <f t="shared" ref="CP263" si="1879">CO222-CP222</f>
        <v>-508.36143002895733</v>
      </c>
      <c r="CQ263" s="24">
        <f t="shared" ref="CQ263" si="1880">CP222-CQ222</f>
        <v>-1552.4738420607973</v>
      </c>
      <c r="CR263" s="24">
        <f t="shared" ref="CR263" si="1881">CQ222-CR222</f>
        <v>155.40850729716294</v>
      </c>
      <c r="CS263" s="24">
        <f t="shared" ref="CS263" si="1882">CR222-CS222</f>
        <v>-932.20454809365219</v>
      </c>
      <c r="CT263" s="24">
        <f t="shared" ref="CT263" si="1883">CS222-CT222</f>
        <v>-454.80247357894405</v>
      </c>
      <c r="CU263" s="24">
        <f t="shared" ref="CU263" si="1884">CT222-CU222</f>
        <v>-20.808703103823063</v>
      </c>
      <c r="CV263" s="24">
        <f t="shared" ref="CV263" si="1885">CU222-CV222</f>
        <v>556.36916916867267</v>
      </c>
      <c r="CW263" s="24">
        <f t="shared" ref="CW263" si="1886">CV222-CW222</f>
        <v>-1210.4395918517275</v>
      </c>
      <c r="CX263" s="24">
        <f t="shared" ref="CX263" si="1887">CW222-CX222</f>
        <v>-660.83370454561191</v>
      </c>
      <c r="CY263" s="24">
        <f t="shared" ref="CY263" si="1888">CX222-CY222</f>
        <v>-607.33413285912138</v>
      </c>
      <c r="CZ263" s="24">
        <f t="shared" ref="CZ263" si="1889">CY222-CZ222</f>
        <v>555.9339304967034</v>
      </c>
      <c r="DA263" s="24">
        <f t="shared" ref="DA263" si="1890">CZ222-DA222</f>
        <v>-1291.2726919436845</v>
      </c>
      <c r="DB263" s="24">
        <f t="shared" ref="DB263" si="1891">DA222-DB222</f>
        <v>-698.22778013104289</v>
      </c>
      <c r="DE263" s="123"/>
      <c r="DF263" s="23">
        <v>-6356.6399999999994</v>
      </c>
    </row>
    <row r="264" spans="1:110" s="22" customFormat="1" x14ac:dyDescent="0.2">
      <c r="A264" s="22" t="s">
        <v>90</v>
      </c>
      <c r="C264" s="22">
        <f t="shared" ref="C264:W264" si="1892">C262-C263</f>
        <v>-3.9564000000000235</v>
      </c>
      <c r="D264" s="22">
        <f t="shared" si="1892"/>
        <v>-12.014799999999999</v>
      </c>
      <c r="E264" s="22">
        <f t="shared" si="1892"/>
        <v>5.6884000000000068</v>
      </c>
      <c r="F264" s="22">
        <f t="shared" si="1892"/>
        <v>27.479100000000003</v>
      </c>
      <c r="G264" s="22">
        <f t="shared" si="1892"/>
        <v>84.221900000000005</v>
      </c>
      <c r="H264" s="22">
        <f t="shared" si="1892"/>
        <v>37.571399999999983</v>
      </c>
      <c r="I264" s="22">
        <f t="shared" si="1892"/>
        <v>-8.2098999999999869</v>
      </c>
      <c r="J264" s="22">
        <f>J262-J263</f>
        <v>55.133999999999972</v>
      </c>
      <c r="K264" s="22">
        <f t="shared" si="1892"/>
        <v>63.000899999999987</v>
      </c>
      <c r="L264" s="22">
        <f t="shared" si="1892"/>
        <v>2.4918000000000688</v>
      </c>
      <c r="M264" s="22">
        <f t="shared" si="1892"/>
        <v>-13.437000000000069</v>
      </c>
      <c r="N264" s="22">
        <f t="shared" si="1892"/>
        <v>-19.976199999999992</v>
      </c>
      <c r="O264" s="22">
        <f t="shared" si="1892"/>
        <v>30.49310000000003</v>
      </c>
      <c r="P264" s="22">
        <f t="shared" si="1892"/>
        <v>16.185499999999934</v>
      </c>
      <c r="Q264" s="22">
        <f t="shared" si="1892"/>
        <v>31.036500000000075</v>
      </c>
      <c r="R264" s="22">
        <f t="shared" si="1892"/>
        <v>9.6200999999999794</v>
      </c>
      <c r="S264" s="22">
        <f t="shared" si="1892"/>
        <v>21.572700000000054</v>
      </c>
      <c r="T264" s="22">
        <f t="shared" si="1892"/>
        <v>-62.358800000000059</v>
      </c>
      <c r="U264" s="22">
        <f t="shared" si="1892"/>
        <v>-32.149599999999978</v>
      </c>
      <c r="V264" s="22">
        <f t="shared" si="1892"/>
        <v>-71.444199999999967</v>
      </c>
      <c r="W264" s="22">
        <f t="shared" si="1892"/>
        <v>-168.05100000000007</v>
      </c>
      <c r="X264" s="22">
        <f t="shared" ref="X264:Y264" si="1893">X262-X263</f>
        <v>-329.45999999999992</v>
      </c>
      <c r="Y264" s="22">
        <f t="shared" si="1893"/>
        <v>407.08999999999992</v>
      </c>
      <c r="Z264" s="22">
        <f t="shared" ref="Z264:AA264" si="1894">Z262-Z263</f>
        <v>-728.37000000000035</v>
      </c>
      <c r="AA264" s="22">
        <f t="shared" si="1894"/>
        <v>-3442.7300000000014</v>
      </c>
      <c r="AB264" s="21">
        <f t="shared" ref="AB264:AD264" si="1895">AB262-AB263</f>
        <v>-3179.9651860576105</v>
      </c>
      <c r="AC264" s="21">
        <f t="shared" si="1895"/>
        <v>-4563.100860881681</v>
      </c>
      <c r="AD264" s="21">
        <f t="shared" si="1895"/>
        <v>-1721.4046706236222</v>
      </c>
      <c r="AE264" s="21">
        <f t="shared" ref="AE264" si="1896">AE262-AE263</f>
        <v>-2630.2180180304804</v>
      </c>
      <c r="AI264" s="22">
        <f t="shared" ref="AI264" si="1897">AI262-AI263</f>
        <v>0</v>
      </c>
      <c r="AJ264" s="22">
        <f t="shared" ref="AJ264:AL264" si="1898">AJ262-AJ263</f>
        <v>166.071</v>
      </c>
      <c r="AK264" s="22">
        <f t="shared" si="1898"/>
        <v>-8.5316252642543873</v>
      </c>
      <c r="AL264" s="22">
        <f t="shared" si="1898"/>
        <v>3.8476252642544182</v>
      </c>
      <c r="AM264" s="22">
        <f t="shared" ref="AM264" si="1899">AM262-AM263</f>
        <v>-71.345039151339734</v>
      </c>
      <c r="AN264" s="22">
        <f t="shared" ref="AN264:CD264" si="1900">AN262-AN263</f>
        <v>88.242039151339696</v>
      </c>
      <c r="AO264" s="22">
        <f t="shared" si="1900"/>
        <v>21.080072598073997</v>
      </c>
      <c r="AP264" s="22">
        <f t="shared" si="1900"/>
        <v>-7.4790725980739978</v>
      </c>
      <c r="AQ264" s="22">
        <f t="shared" si="1900"/>
        <v>-6.1232855728968616</v>
      </c>
      <c r="AR264" s="22">
        <f t="shared" si="1900"/>
        <v>20.759285572896857</v>
      </c>
      <c r="AS264" s="22">
        <f t="shared" si="1900"/>
        <v>-104.78529090372913</v>
      </c>
      <c r="AT264" s="22">
        <f t="shared" si="1900"/>
        <v>105.95029090372915</v>
      </c>
      <c r="AU264" s="22">
        <f t="shared" si="1900"/>
        <v>0.68805552623246058</v>
      </c>
      <c r="AV264" s="22">
        <f t="shared" si="1900"/>
        <v>7.908944473767491</v>
      </c>
      <c r="AW264" s="22">
        <f t="shared" si="1900"/>
        <v>0.13355895624880532</v>
      </c>
      <c r="AX264" s="22">
        <f t="shared" si="1900"/>
        <v>17.154441043751234</v>
      </c>
      <c r="AY264" s="22">
        <f t="shared" si="1900"/>
        <v>-1.7451740872978405</v>
      </c>
      <c r="AZ264" s="22">
        <f t="shared" si="1900"/>
        <v>-14.930825912702176</v>
      </c>
      <c r="BA264" s="22">
        <f t="shared" si="1900"/>
        <v>-7.6653152819775414</v>
      </c>
      <c r="BB264" s="22">
        <f t="shared" si="1900"/>
        <v>33.750315281977578</v>
      </c>
      <c r="BC264" s="22">
        <f t="shared" si="1900"/>
        <v>-3.4509818214782229</v>
      </c>
      <c r="BD264" s="22">
        <f t="shared" si="1900"/>
        <v>8.7779818214781642</v>
      </c>
      <c r="BE264" s="22">
        <f t="shared" si="1900"/>
        <v>-8.8772064315760701</v>
      </c>
      <c r="BF264" s="22">
        <f t="shared" si="1900"/>
        <v>25.445206431576111</v>
      </c>
      <c r="BG264" s="22">
        <f t="shared" si="1900"/>
        <v>-3.6708077515400532</v>
      </c>
      <c r="BH264" s="22">
        <f t="shared" si="1900"/>
        <v>30.940807751540035</v>
      </c>
      <c r="BI264" s="22">
        <f t="shared" si="1900"/>
        <v>-1.8732706449668513</v>
      </c>
      <c r="BJ264" s="22">
        <f t="shared" si="1900"/>
        <v>-80.857729355033143</v>
      </c>
      <c r="BK264" s="22">
        <f t="shared" si="1900"/>
        <v>0.99235953470895311</v>
      </c>
      <c r="BL264" s="22">
        <f t="shared" si="1900"/>
        <v>-15.555359534708998</v>
      </c>
      <c r="BM264" s="22">
        <f t="shared" si="1900"/>
        <v>-11.226078235273263</v>
      </c>
      <c r="BN264" s="22">
        <f t="shared" si="1900"/>
        <v>5.1270782352733342</v>
      </c>
      <c r="BO264" s="22">
        <f t="shared" si="1900"/>
        <v>27.730150278400174</v>
      </c>
      <c r="BP264" s="22">
        <f t="shared" si="1900"/>
        <v>-57.010150278400147</v>
      </c>
      <c r="BQ264" s="22">
        <f t="shared" si="1900"/>
        <v>-6.4714464043390763E-2</v>
      </c>
      <c r="BR264" s="22">
        <f t="shared" si="1900"/>
        <v>9.3977144640434176</v>
      </c>
      <c r="BS264" s="22">
        <f t="shared" si="1900"/>
        <v>-0.41737513780250879</v>
      </c>
      <c r="BT264" s="22">
        <f t="shared" si="1900"/>
        <v>-155.76262486219758</v>
      </c>
      <c r="BU264" s="22">
        <f t="shared" si="1900"/>
        <v>-55.858259569378021</v>
      </c>
      <c r="BV264" s="22">
        <f t="shared" si="1900"/>
        <v>11.883259569378041</v>
      </c>
      <c r="BW264" s="22">
        <f t="shared" si="1900"/>
        <v>-268.18234146634239</v>
      </c>
      <c r="BX264" s="22">
        <f t="shared" si="1900"/>
        <v>752.32234146634221</v>
      </c>
      <c r="BY264" s="22">
        <f t="shared" si="1900"/>
        <v>-51.604817739254372</v>
      </c>
      <c r="BZ264" s="22">
        <f t="shared" si="1900"/>
        <v>-849.1651822607455</v>
      </c>
      <c r="CA264" s="22">
        <f t="shared" si="1900"/>
        <v>-273.13484097004266</v>
      </c>
      <c r="CB264" s="22">
        <f t="shared" si="1900"/>
        <v>326.12484097004284</v>
      </c>
      <c r="CC264" s="22">
        <f t="shared" si="1900"/>
        <v>-228.97295956236098</v>
      </c>
      <c r="CD264" s="22">
        <f t="shared" si="1900"/>
        <v>554.19295956236078</v>
      </c>
      <c r="CE264" s="22">
        <f t="shared" ref="CE264:CF264" si="1901">CE262-CE263</f>
        <v>46.68165914983706</v>
      </c>
      <c r="CF264" s="22">
        <f t="shared" si="1901"/>
        <v>-1097.7416591498375</v>
      </c>
      <c r="CG264" s="22">
        <f t="shared" ref="CG264:CH264" si="1902">CG262-CG263</f>
        <v>-76.880337677353268</v>
      </c>
      <c r="CH264" s="22">
        <f t="shared" si="1902"/>
        <v>477.52033767735344</v>
      </c>
      <c r="CI264" s="22">
        <f t="shared" ref="CI264:CJ264" si="1903">CI262-CI263</f>
        <v>-793.65621067627444</v>
      </c>
      <c r="CJ264" s="22">
        <f t="shared" si="1903"/>
        <v>-2400.9437893237255</v>
      </c>
      <c r="CK264" s="22">
        <f t="shared" ref="CK264:DB264" si="1904">CK262-CK263</f>
        <v>-1530.4610602379971</v>
      </c>
      <c r="CL264" s="22">
        <f t="shared" si="1904"/>
        <v>894.2810602379983</v>
      </c>
      <c r="CM264" s="21">
        <f t="shared" si="1904"/>
        <v>-576.33320226499563</v>
      </c>
      <c r="CN264" s="21">
        <f t="shared" si="1904"/>
        <v>368.67186594516716</v>
      </c>
      <c r="CO264" s="21">
        <f t="shared" si="1904"/>
        <v>-1103.9546647304087</v>
      </c>
      <c r="CP264" s="21">
        <f t="shared" si="1904"/>
        <v>-1480.2991850073759</v>
      </c>
      <c r="CQ264" s="21">
        <f t="shared" si="1904"/>
        <v>-2975.8738860151971</v>
      </c>
      <c r="CR264" s="21">
        <f t="shared" si="1904"/>
        <v>200.28326766119972</v>
      </c>
      <c r="CS264" s="21">
        <f t="shared" si="1904"/>
        <v>-1201.3819337690602</v>
      </c>
      <c r="CT264" s="21">
        <f t="shared" si="1904"/>
        <v>-586.12830875862346</v>
      </c>
      <c r="CU264" s="21">
        <f t="shared" si="1904"/>
        <v>-26.817290288083313</v>
      </c>
      <c r="CV264" s="21">
        <f t="shared" si="1904"/>
        <v>717.02274968754864</v>
      </c>
      <c r="CW264" s="21">
        <f t="shared" si="1904"/>
        <v>-1559.9583380528293</v>
      </c>
      <c r="CX264" s="21">
        <f t="shared" si="1904"/>
        <v>-851.65179197025827</v>
      </c>
      <c r="CY264" s="21">
        <f t="shared" si="1904"/>
        <v>-782.70402828473198</v>
      </c>
      <c r="CZ264" s="21">
        <f t="shared" si="1904"/>
        <v>716.46183429784287</v>
      </c>
      <c r="DA264" s="21">
        <f t="shared" si="1904"/>
        <v>-1664.1322838886681</v>
      </c>
      <c r="DB264" s="21">
        <f t="shared" si="1904"/>
        <v>-899.84354015492318</v>
      </c>
      <c r="DE264" s="126"/>
      <c r="DF264" s="22">
        <v>-3442.7300000000014</v>
      </c>
    </row>
    <row r="265" spans="1:110" s="22" customFormat="1" x14ac:dyDescent="0.2">
      <c r="A265" s="22" t="s">
        <v>91</v>
      </c>
      <c r="C265" s="22">
        <f t="shared" ref="C265:W265" si="1905">C261+C264</f>
        <v>-74.322100000000006</v>
      </c>
      <c r="D265" s="22">
        <f>D261+D264</f>
        <v>-28.527500000000003</v>
      </c>
      <c r="E265" s="22">
        <f t="shared" si="1905"/>
        <v>20.073300000000032</v>
      </c>
      <c r="F265" s="22">
        <f t="shared" si="1905"/>
        <v>73.370000000000019</v>
      </c>
      <c r="G265" s="22">
        <f t="shared" si="1905"/>
        <v>142.07590000000005</v>
      </c>
      <c r="H265" s="22">
        <f t="shared" si="1905"/>
        <v>27.551699999999943</v>
      </c>
      <c r="I265" s="22">
        <f t="shared" si="1905"/>
        <v>35.53449999999998</v>
      </c>
      <c r="J265" s="22">
        <f>J261+J264</f>
        <v>103.11750000000001</v>
      </c>
      <c r="K265" s="22">
        <f t="shared" si="1905"/>
        <v>97.690100000000058</v>
      </c>
      <c r="L265" s="22">
        <f t="shared" si="1905"/>
        <v>41.014600000000087</v>
      </c>
      <c r="M265" s="22">
        <f t="shared" si="1905"/>
        <v>16.306799999999882</v>
      </c>
      <c r="N265" s="22">
        <f t="shared" si="1905"/>
        <v>8.4578000000000628</v>
      </c>
      <c r="O265" s="22">
        <f t="shared" si="1905"/>
        <v>14.774900000000077</v>
      </c>
      <c r="P265" s="22">
        <f t="shared" si="1905"/>
        <v>6.0389999999999908</v>
      </c>
      <c r="Q265" s="22">
        <f t="shared" si="1905"/>
        <v>42.405100000000068</v>
      </c>
      <c r="R265" s="22">
        <f t="shared" si="1905"/>
        <v>28.165500000000002</v>
      </c>
      <c r="S265" s="22">
        <f t="shared" si="1905"/>
        <v>52.28690000000006</v>
      </c>
      <c r="T265" s="22">
        <f t="shared" si="1905"/>
        <v>-26.647300000000079</v>
      </c>
      <c r="U265" s="22">
        <f t="shared" si="1905"/>
        <v>17.230800000000045</v>
      </c>
      <c r="V265" s="22">
        <f t="shared" si="1905"/>
        <v>-57.492099999999944</v>
      </c>
      <c r="W265" s="22">
        <f t="shared" si="1905"/>
        <v>-52.70100000000005</v>
      </c>
      <c r="X265" s="22">
        <f t="shared" ref="X265:Y265" si="1906">X261+X264</f>
        <v>-595.02</v>
      </c>
      <c r="Y265" s="22">
        <f t="shared" si="1906"/>
        <v>1699.0099999999989</v>
      </c>
      <c r="Z265" s="22">
        <f t="shared" ref="Z265:AA265" si="1907">Z261+Z264</f>
        <v>807.66999999999939</v>
      </c>
      <c r="AA265" s="22">
        <f t="shared" si="1907"/>
        <v>845.27999999999702</v>
      </c>
      <c r="AB265" s="21">
        <f t="shared" ref="AB265:AD265" si="1908">AB261+AB264</f>
        <v>3899.1487284597588</v>
      </c>
      <c r="AC265" s="21">
        <f t="shared" si="1908"/>
        <v>3904.4892813247516</v>
      </c>
      <c r="AD265" s="21">
        <f t="shared" si="1908"/>
        <v>7506.6830020399411</v>
      </c>
      <c r="AE265" s="21">
        <f t="shared" ref="AE265" si="1909">AE261+AE264</f>
        <v>8332.1056567223659</v>
      </c>
      <c r="AI265" s="22">
        <f t="shared" ref="AI265" si="1910">AI261+AI264</f>
        <v>8.101000000000008</v>
      </c>
      <c r="AJ265" s="22">
        <f t="shared" ref="AJ265:AL265" si="1911">AJ261+AJ264</f>
        <v>171.38300000000001</v>
      </c>
      <c r="AK265" s="22">
        <f t="shared" si="1911"/>
        <v>-8.113625264254388</v>
      </c>
      <c r="AL265" s="22">
        <f t="shared" si="1911"/>
        <v>18.451625264254403</v>
      </c>
      <c r="AM265" s="22">
        <f t="shared" ref="AM265" si="1912">AM261+AM264</f>
        <v>-77.382039151339754</v>
      </c>
      <c r="AN265" s="22">
        <f t="shared" ref="AN265:CD265" si="1913">AN261+AN264</f>
        <v>84.184039151339704</v>
      </c>
      <c r="AO265" s="22">
        <f t="shared" si="1913"/>
        <v>21.882072598073997</v>
      </c>
      <c r="AP265" s="22">
        <f t="shared" si="1913"/>
        <v>-13.904072598073984</v>
      </c>
      <c r="AQ265" s="22">
        <f t="shared" si="1913"/>
        <v>-12.032285572896834</v>
      </c>
      <c r="AR265" s="22">
        <f t="shared" si="1913"/>
        <v>20.361285572896882</v>
      </c>
      <c r="AS265" s="22">
        <f t="shared" si="1913"/>
        <v>-108.77229090372914</v>
      </c>
      <c r="AT265" s="22">
        <f t="shared" si="1913"/>
        <v>106.09929090372916</v>
      </c>
      <c r="AU265" s="22">
        <f t="shared" si="1913"/>
        <v>6.1600555262324779</v>
      </c>
      <c r="AV265" s="22">
        <f t="shared" si="1913"/>
        <v>11.009944473767483</v>
      </c>
      <c r="AW265" s="22">
        <f t="shared" si="1913"/>
        <v>3.1105589562487976</v>
      </c>
      <c r="AX265" s="22">
        <f t="shared" si="1913"/>
        <v>16.974441043751238</v>
      </c>
      <c r="AY265" s="22">
        <f t="shared" si="1913"/>
        <v>1.3618259127021681</v>
      </c>
      <c r="AZ265" s="22">
        <f t="shared" si="1913"/>
        <v>-11.620825912702191</v>
      </c>
      <c r="BA265" s="22">
        <f t="shared" si="1913"/>
        <v>-4.050315281977543</v>
      </c>
      <c r="BB265" s="22">
        <f t="shared" si="1913"/>
        <v>42.264315281977574</v>
      </c>
      <c r="BC265" s="22">
        <f t="shared" si="1913"/>
        <v>5.5430181785217734</v>
      </c>
      <c r="BD265" s="22">
        <f t="shared" si="1913"/>
        <v>12.712981821478174</v>
      </c>
      <c r="BE265" s="22">
        <f t="shared" si="1913"/>
        <v>-3.5092064315760538</v>
      </c>
      <c r="BF265" s="22">
        <f t="shared" si="1913"/>
        <v>37.862206431576091</v>
      </c>
      <c r="BG265" s="22">
        <f t="shared" si="1913"/>
        <v>10.407192248459952</v>
      </c>
      <c r="BH265" s="22">
        <f t="shared" si="1913"/>
        <v>35.450807751540033</v>
      </c>
      <c r="BI265" s="22">
        <f t="shared" si="1913"/>
        <v>3.6687293550331521</v>
      </c>
      <c r="BJ265" s="22">
        <f t="shared" si="1913"/>
        <v>-69.275729355033121</v>
      </c>
      <c r="BK265" s="22">
        <f t="shared" si="1913"/>
        <v>12.457359534708953</v>
      </c>
      <c r="BL265" s="22">
        <f t="shared" si="1913"/>
        <v>-11.234359534709002</v>
      </c>
      <c r="BM265" s="22">
        <f t="shared" si="1913"/>
        <v>-3.4700782352732693</v>
      </c>
      <c r="BN265" s="22">
        <f t="shared" si="1913"/>
        <v>30.964078235273323</v>
      </c>
      <c r="BO265" s="22">
        <f t="shared" si="1913"/>
        <v>18.527150278400175</v>
      </c>
      <c r="BP265" s="22">
        <f t="shared" si="1913"/>
        <v>-50.740150278400144</v>
      </c>
      <c r="BQ265" s="22">
        <f t="shared" si="1913"/>
        <v>7.0462855359566152</v>
      </c>
      <c r="BR265" s="22">
        <f t="shared" si="1913"/>
        <v>19.17271446404342</v>
      </c>
      <c r="BS265" s="22">
        <f t="shared" si="1913"/>
        <v>3.902624862197495</v>
      </c>
      <c r="BT265" s="22">
        <f t="shared" si="1913"/>
        <v>-150.88262486219759</v>
      </c>
      <c r="BU265" s="22">
        <f t="shared" si="1913"/>
        <v>-77.428259569378014</v>
      </c>
      <c r="BV265" s="22">
        <f t="shared" si="1913"/>
        <v>139.61325956937799</v>
      </c>
      <c r="BW265" s="22">
        <f t="shared" si="1913"/>
        <v>-1193.4923414663426</v>
      </c>
      <c r="BX265" s="22">
        <f t="shared" si="1913"/>
        <v>900.48234146634218</v>
      </c>
      <c r="BY265" s="22">
        <f t="shared" si="1913"/>
        <v>184.11518226074554</v>
      </c>
      <c r="BZ265" s="22">
        <f t="shared" si="1913"/>
        <v>-573.29518226074538</v>
      </c>
      <c r="CA265" s="22">
        <f t="shared" si="1913"/>
        <v>137.69515902995721</v>
      </c>
      <c r="CB265" s="22">
        <f t="shared" si="1913"/>
        <v>567.58484097004293</v>
      </c>
      <c r="CC265" s="22">
        <f t="shared" si="1913"/>
        <v>117.22704043763878</v>
      </c>
      <c r="CD265" s="22">
        <f t="shared" si="1913"/>
        <v>847.62295956236085</v>
      </c>
      <c r="CE265" s="22">
        <f t="shared" ref="CE265:CF265" si="1914">CE261+CE264</f>
        <v>622.81165914983649</v>
      </c>
      <c r="CF265" s="22">
        <f t="shared" si="1914"/>
        <v>-778.74165914983746</v>
      </c>
      <c r="CG265" s="22">
        <f t="shared" ref="CG265:CH265" si="1915">CG261+CG264</f>
        <v>334.46966232264657</v>
      </c>
      <c r="CH265" s="22">
        <f t="shared" si="1915"/>
        <v>701.74033767735364</v>
      </c>
      <c r="CI265" s="22">
        <f t="shared" ref="CI265:CJ265" si="1916">CI261+CI264</f>
        <v>-121.33621067627428</v>
      </c>
      <c r="CJ265" s="22">
        <f t="shared" si="1916"/>
        <v>-1662.0537893237256</v>
      </c>
      <c r="CK265" s="22">
        <f t="shared" ref="CK265:DB265" si="1917">CK261+CK264</f>
        <v>-297.52106023799729</v>
      </c>
      <c r="CL265" s="22">
        <f t="shared" si="1917"/>
        <v>2538.131060237999</v>
      </c>
      <c r="CM265" s="21">
        <f t="shared" si="1917"/>
        <v>1220.2474361350046</v>
      </c>
      <c r="CN265" s="21">
        <f t="shared" si="1917"/>
        <v>2084.0074799628824</v>
      </c>
      <c r="CO265" s="21">
        <f t="shared" si="1917"/>
        <v>641.86969120806316</v>
      </c>
      <c r="CP265" s="21">
        <f t="shared" si="1917"/>
        <v>341.07412115380612</v>
      </c>
      <c r="CQ265" s="21">
        <f t="shared" si="1917"/>
        <v>-1061.6509148032635</v>
      </c>
      <c r="CR265" s="21">
        <f t="shared" si="1917"/>
        <v>2175.2712376853342</v>
      </c>
      <c r="CS265" s="21">
        <f t="shared" si="1917"/>
        <v>1017.4959875135487</v>
      </c>
      <c r="CT265" s="21">
        <f t="shared" si="1917"/>
        <v>1773.3729709291342</v>
      </c>
      <c r="CU265" s="21">
        <f t="shared" si="1917"/>
        <v>2192.7773090055784</v>
      </c>
      <c r="CV265" s="21">
        <f t="shared" si="1917"/>
        <v>2832.7400009454723</v>
      </c>
      <c r="CW265" s="21">
        <f t="shared" si="1917"/>
        <v>821.14951761550492</v>
      </c>
      <c r="CX265" s="21">
        <f t="shared" si="1917"/>
        <v>1660.0161744733819</v>
      </c>
      <c r="CY265" s="21">
        <f t="shared" si="1917"/>
        <v>1858.2371891126031</v>
      </c>
      <c r="CZ265" s="21">
        <f t="shared" si="1917"/>
        <v>3248.5212143652602</v>
      </c>
      <c r="DA265" s="21">
        <f t="shared" si="1917"/>
        <v>1153.4911397934579</v>
      </c>
      <c r="DB265" s="21">
        <f t="shared" si="1917"/>
        <v>2071.856113451046</v>
      </c>
      <c r="DE265" s="126"/>
      <c r="DF265" s="22">
        <v>845.27999999999702</v>
      </c>
    </row>
    <row r="266" spans="1:110" s="23" customFormat="1" x14ac:dyDescent="0.2">
      <c r="AB266" s="24"/>
      <c r="AC266" s="24"/>
      <c r="AD266" s="24"/>
      <c r="AE266" s="24"/>
      <c r="CM266" s="24"/>
      <c r="CN266" s="24"/>
      <c r="CO266" s="24"/>
      <c r="CP266" s="24"/>
      <c r="CQ266" s="24"/>
      <c r="CR266" s="24"/>
      <c r="CS266" s="24"/>
      <c r="CT266" s="24"/>
      <c r="CU266" s="24"/>
      <c r="CV266" s="24"/>
      <c r="CW266" s="24"/>
      <c r="CX266" s="24"/>
      <c r="CY266" s="24"/>
      <c r="CZ266" s="24"/>
      <c r="DA266" s="24"/>
      <c r="DB266" s="24"/>
      <c r="DE266" s="123"/>
    </row>
    <row r="267" spans="1:110" s="22" customFormat="1" x14ac:dyDescent="0.2">
      <c r="A267" s="22" t="s">
        <v>92</v>
      </c>
      <c r="C267" s="22">
        <f t="shared" ref="C267:W267" si="1918">C268+C269</f>
        <v>-0.40249999999997499</v>
      </c>
      <c r="D267" s="22">
        <f>D268+D269</f>
        <v>1.0465999999999447</v>
      </c>
      <c r="E267" s="22">
        <f t="shared" si="1918"/>
        <v>0.27680000000009386</v>
      </c>
      <c r="F267" s="22">
        <f t="shared" si="1918"/>
        <v>102.81749999999997</v>
      </c>
      <c r="G267" s="22">
        <f t="shared" si="1918"/>
        <v>-64.384900000000044</v>
      </c>
      <c r="H267" s="22">
        <f t="shared" si="1918"/>
        <v>-11.666699999999963</v>
      </c>
      <c r="I267" s="22">
        <f t="shared" si="1918"/>
        <v>2.3041999999999754</v>
      </c>
      <c r="J267" s="22">
        <f t="shared" si="1918"/>
        <v>-82.662299999999988</v>
      </c>
      <c r="K267" s="22">
        <f t="shared" si="1918"/>
        <v>-80.391600000000025</v>
      </c>
      <c r="L267" s="22">
        <f t="shared" si="1918"/>
        <v>-30.570799999999984</v>
      </c>
      <c r="M267" s="22">
        <f t="shared" si="1918"/>
        <v>-6.4642000000000053</v>
      </c>
      <c r="N267" s="22">
        <f t="shared" si="1918"/>
        <v>-6.5381000000000427</v>
      </c>
      <c r="O267" s="22">
        <f t="shared" si="1918"/>
        <v>-7.9571999999999949</v>
      </c>
      <c r="P267" s="22">
        <f t="shared" si="1918"/>
        <v>-7.0838999999999848</v>
      </c>
      <c r="Q267" s="22">
        <f t="shared" si="1918"/>
        <v>-34.187900000000035</v>
      </c>
      <c r="R267" s="22">
        <f t="shared" si="1918"/>
        <v>-41.404699999999991</v>
      </c>
      <c r="S267" s="22">
        <f t="shared" si="1918"/>
        <v>-56.559799999999939</v>
      </c>
      <c r="T267" s="22">
        <f t="shared" si="1918"/>
        <v>-38.224500000000091</v>
      </c>
      <c r="U267" s="22">
        <f t="shared" si="1918"/>
        <v>-39.473999999999933</v>
      </c>
      <c r="V267" s="22">
        <f t="shared" si="1918"/>
        <v>-43.920699999999989</v>
      </c>
      <c r="W267" s="22">
        <f t="shared" si="1918"/>
        <v>-57.139900000000118</v>
      </c>
      <c r="X267" s="22">
        <f t="shared" ref="X267:Y267" si="1919">X268+X269</f>
        <v>-367.58999999999992</v>
      </c>
      <c r="Y267" s="22">
        <f t="shared" si="1919"/>
        <v>-1721.6000000000004</v>
      </c>
      <c r="Z267" s="22">
        <f t="shared" ref="Z267:AA267" si="1920">Z268+Z269</f>
        <v>-3535.7200000000003</v>
      </c>
      <c r="AA267" s="22">
        <f t="shared" si="1920"/>
        <v>-22324.929999999993</v>
      </c>
      <c r="AB267" s="21">
        <f t="shared" ref="AB267:AD267" si="1921">AB268+AB269</f>
        <v>-1211.9400000000023</v>
      </c>
      <c r="AC267" s="21">
        <f t="shared" si="1921"/>
        <v>-1600</v>
      </c>
      <c r="AD267" s="21">
        <f t="shared" si="1921"/>
        <v>-1600</v>
      </c>
      <c r="AE267" s="21">
        <f t="shared" ref="AE267" si="1922">AE268+AE269</f>
        <v>-1599.9999999999964</v>
      </c>
      <c r="AI267" s="22">
        <f t="shared" ref="AI267" si="1923">AI268+AI269</f>
        <v>-6.5659999999999998</v>
      </c>
      <c r="AJ267" s="22">
        <f t="shared" ref="AJ267:AL267" si="1924">AJ268+AJ269</f>
        <v>-313.86400000000003</v>
      </c>
      <c r="AK267" s="22">
        <f t="shared" si="1924"/>
        <v>-6.6770000000000209</v>
      </c>
      <c r="AL267" s="22">
        <f t="shared" si="1924"/>
        <v>1.6229999999999905</v>
      </c>
      <c r="AM267" s="22">
        <f t="shared" ref="AM267" si="1925">AM268+AM269</f>
        <v>-6.6720000000000255</v>
      </c>
      <c r="AN267" s="22">
        <f t="shared" ref="AN267:CD267" si="1926">AN268+AN269</f>
        <v>2.1039999999999677</v>
      </c>
      <c r="AO267" s="22">
        <f t="shared" si="1926"/>
        <v>-6.714999999999975</v>
      </c>
      <c r="AP267" s="22">
        <f t="shared" si="1926"/>
        <v>3.4250000000000114</v>
      </c>
      <c r="AQ267" s="22">
        <f t="shared" si="1926"/>
        <v>-2.6580000000000155</v>
      </c>
      <c r="AR267" s="22">
        <f t="shared" si="1926"/>
        <v>-3.8760000000000332</v>
      </c>
      <c r="AS267" s="22">
        <f t="shared" si="1926"/>
        <v>-2.6560000000000059</v>
      </c>
      <c r="AT267" s="22">
        <f t="shared" si="1926"/>
        <v>2.1069999999999824</v>
      </c>
      <c r="AU267" s="22">
        <f t="shared" si="1926"/>
        <v>-2.7320000000000277</v>
      </c>
      <c r="AV267" s="22">
        <f t="shared" si="1926"/>
        <v>-9.4929999999999843</v>
      </c>
      <c r="AW267" s="22">
        <f t="shared" si="1926"/>
        <v>-2.72199999999998</v>
      </c>
      <c r="AX267" s="22">
        <f t="shared" si="1926"/>
        <v>-19.240999999999985</v>
      </c>
      <c r="AY267" s="22">
        <f t="shared" si="1926"/>
        <v>-2.9680000000000177</v>
      </c>
      <c r="AZ267" s="22">
        <f t="shared" si="1926"/>
        <v>1.7740000000000009</v>
      </c>
      <c r="BA267" s="22">
        <f t="shared" si="1926"/>
        <v>-3.1859999999999786</v>
      </c>
      <c r="BB267" s="22">
        <f t="shared" si="1926"/>
        <v>-37.024999999999977</v>
      </c>
      <c r="BC267" s="22">
        <f t="shared" si="1926"/>
        <v>-3.7119999999999891</v>
      </c>
      <c r="BD267" s="22">
        <f t="shared" si="1926"/>
        <v>-4.5900000000000318</v>
      </c>
      <c r="BE267" s="22">
        <f t="shared" si="1926"/>
        <v>-3.7950000000000159</v>
      </c>
      <c r="BF267" s="22">
        <f t="shared" si="1926"/>
        <v>-44.463000000000022</v>
      </c>
      <c r="BG267" s="22">
        <f t="shared" si="1926"/>
        <v>-3.8170000000000073</v>
      </c>
      <c r="BH267" s="22">
        <f t="shared" si="1926"/>
        <v>-40.08299999999997</v>
      </c>
      <c r="BI267" s="22">
        <f t="shared" si="1926"/>
        <v>-3.6940000000000168</v>
      </c>
      <c r="BJ267" s="22">
        <f t="shared" si="1926"/>
        <v>9.3689999999999944</v>
      </c>
      <c r="BK267" s="22">
        <f t="shared" si="1926"/>
        <v>-3.9759999999999991</v>
      </c>
      <c r="BL267" s="22">
        <f t="shared" si="1926"/>
        <v>-20.259999999999959</v>
      </c>
      <c r="BM267" s="22">
        <f t="shared" si="1926"/>
        <v>-4.6730000000000018</v>
      </c>
      <c r="BN267" s="22">
        <f t="shared" si="1926"/>
        <v>-7.5840000000000032</v>
      </c>
      <c r="BO267" s="22">
        <f t="shared" si="1926"/>
        <v>-0.23300000000000409</v>
      </c>
      <c r="BP267" s="22">
        <f t="shared" si="1926"/>
        <v>-1.1589999999999727</v>
      </c>
      <c r="BQ267" s="22">
        <f t="shared" si="1926"/>
        <v>-4.5149999999999864</v>
      </c>
      <c r="BR267" s="22">
        <f t="shared" si="1926"/>
        <v>-40.206999999999994</v>
      </c>
      <c r="BS267" s="22">
        <f t="shared" si="1926"/>
        <v>-4.5</v>
      </c>
      <c r="BT267" s="22">
        <f t="shared" si="1926"/>
        <v>-11.911999999999978</v>
      </c>
      <c r="BU267" s="22">
        <f t="shared" si="1926"/>
        <v>-4.5699999999999932</v>
      </c>
      <c r="BV267" s="22">
        <f t="shared" si="1926"/>
        <v>-36.345999999999982</v>
      </c>
      <c r="BW267" s="22">
        <f t="shared" si="1926"/>
        <v>-5.0199999999999818</v>
      </c>
      <c r="BX267" s="22">
        <f t="shared" si="1926"/>
        <v>-177.55</v>
      </c>
      <c r="BY267" s="22">
        <f t="shared" si="1926"/>
        <v>-5.6900000000000546</v>
      </c>
      <c r="BZ267" s="22">
        <f t="shared" si="1926"/>
        <v>-129.31000000000003</v>
      </c>
      <c r="CA267" s="22">
        <f t="shared" si="1926"/>
        <v>-7.57000000000005</v>
      </c>
      <c r="CB267" s="22">
        <f t="shared" si="1926"/>
        <v>-560.61</v>
      </c>
      <c r="CC267" s="22">
        <f t="shared" si="1926"/>
        <v>-14.700000000000045</v>
      </c>
      <c r="CD267" s="22">
        <f t="shared" si="1926"/>
        <v>-1111.4000000000001</v>
      </c>
      <c r="CE267" s="22">
        <f t="shared" ref="CE267:CF267" si="1927">CE268+CE269</f>
        <v>-18.730000000000018</v>
      </c>
      <c r="CF267" s="22">
        <f t="shared" si="1927"/>
        <v>-1159.8399999999997</v>
      </c>
      <c r="CG267" s="22">
        <f t="shared" ref="CG267:CH267" si="1928">CG268+CG269</f>
        <v>-22.059999999999945</v>
      </c>
      <c r="CH267" s="22">
        <f t="shared" si="1928"/>
        <v>-2413.0500000000006</v>
      </c>
      <c r="CI267" s="22">
        <f t="shared" ref="CI267:CJ267" si="1929">CI268+CI269</f>
        <v>0</v>
      </c>
      <c r="CJ267" s="22">
        <f t="shared" si="1929"/>
        <v>-5438.11</v>
      </c>
      <c r="CK267" s="22">
        <f t="shared" ref="CK267:DB267" si="1930">CK268+CK269</f>
        <v>0</v>
      </c>
      <c r="CL267" s="22">
        <f t="shared" si="1930"/>
        <v>-16498.760000000002</v>
      </c>
      <c r="CM267" s="21">
        <f t="shared" si="1930"/>
        <v>-399.99999999999636</v>
      </c>
      <c r="CN267" s="21">
        <f t="shared" si="1930"/>
        <v>-400.00000000000364</v>
      </c>
      <c r="CO267" s="21">
        <f t="shared" si="1930"/>
        <v>-400</v>
      </c>
      <c r="CP267" s="21">
        <f t="shared" si="1930"/>
        <v>-400.00000000000364</v>
      </c>
      <c r="CQ267" s="21">
        <f t="shared" si="1930"/>
        <v>-399.99999999999636</v>
      </c>
      <c r="CR267" s="21">
        <f t="shared" si="1930"/>
        <v>-400.00000000000364</v>
      </c>
      <c r="CS267" s="21">
        <f t="shared" si="1930"/>
        <v>-400</v>
      </c>
      <c r="CT267" s="21">
        <f t="shared" si="1930"/>
        <v>-400</v>
      </c>
      <c r="CU267" s="21">
        <f t="shared" si="1930"/>
        <v>-399.99999999999636</v>
      </c>
      <c r="CV267" s="21">
        <f t="shared" si="1930"/>
        <v>-400</v>
      </c>
      <c r="CW267" s="21">
        <f t="shared" si="1930"/>
        <v>-400</v>
      </c>
      <c r="CX267" s="21">
        <f t="shared" si="1930"/>
        <v>-400</v>
      </c>
      <c r="CY267" s="21">
        <f t="shared" si="1930"/>
        <v>-399.99999999999636</v>
      </c>
      <c r="CZ267" s="21">
        <f t="shared" si="1930"/>
        <v>-400.00000000000364</v>
      </c>
      <c r="DA267" s="21">
        <f t="shared" si="1930"/>
        <v>-399.99999999999636</v>
      </c>
      <c r="DB267" s="21">
        <f t="shared" si="1930"/>
        <v>-400</v>
      </c>
      <c r="DE267" s="126"/>
      <c r="DF267" s="22">
        <v>-22324.929999999993</v>
      </c>
    </row>
    <row r="268" spans="1:110" s="23" customFormat="1" x14ac:dyDescent="0.2">
      <c r="A268" s="23" t="s">
        <v>93</v>
      </c>
      <c r="C268" s="23">
        <f t="shared" ref="C268:AA268" si="1931">B206-C206</f>
        <v>0</v>
      </c>
      <c r="D268" s="23">
        <f t="shared" si="1931"/>
        <v>1.5731000000000002</v>
      </c>
      <c r="E268" s="23">
        <f>D206-E206</f>
        <v>0</v>
      </c>
      <c r="F268" s="23">
        <f t="shared" si="1931"/>
        <v>0</v>
      </c>
      <c r="G268" s="23">
        <f t="shared" si="1931"/>
        <v>0</v>
      </c>
      <c r="H268" s="23">
        <f t="shared" si="1931"/>
        <v>0</v>
      </c>
      <c r="I268" s="23">
        <f t="shared" si="1931"/>
        <v>1E-3</v>
      </c>
      <c r="J268" s="23">
        <f>I206-J206</f>
        <v>0</v>
      </c>
      <c r="K268" s="23">
        <f>J206-K206</f>
        <v>-8.8000000000000007</v>
      </c>
      <c r="L268" s="23">
        <f t="shared" si="1931"/>
        <v>8.7875000000000014</v>
      </c>
      <c r="M268" s="23">
        <f t="shared" si="1931"/>
        <v>0</v>
      </c>
      <c r="N268" s="23">
        <f t="shared" si="1931"/>
        <v>0</v>
      </c>
      <c r="O268" s="23">
        <f t="shared" si="1931"/>
        <v>-1.9E-2</v>
      </c>
      <c r="P268" s="23">
        <f t="shared" si="1931"/>
        <v>-5.0100000000000006E-2</v>
      </c>
      <c r="Q268" s="23">
        <f t="shared" si="1931"/>
        <v>-4.99E-2</v>
      </c>
      <c r="R268" s="23">
        <f t="shared" si="1931"/>
        <v>0</v>
      </c>
      <c r="S268" s="23">
        <f t="shared" si="1931"/>
        <v>0</v>
      </c>
      <c r="T268" s="23">
        <f t="shared" si="1931"/>
        <v>0</v>
      </c>
      <c r="U268" s="23">
        <f t="shared" si="1931"/>
        <v>0</v>
      </c>
      <c r="V268" s="23">
        <f t="shared" si="1931"/>
        <v>-4.0000000000000036E-3</v>
      </c>
      <c r="W268" s="23">
        <f t="shared" si="1931"/>
        <v>-4.500000000000004E-3</v>
      </c>
      <c r="X268" s="23">
        <f t="shared" si="1931"/>
        <v>0.1</v>
      </c>
      <c r="Y268" s="23">
        <f t="shared" si="1931"/>
        <v>0</v>
      </c>
      <c r="Z268" s="23">
        <f t="shared" si="1931"/>
        <v>1.0000000000000002E-2</v>
      </c>
      <c r="AA268" s="23">
        <f t="shared" si="1931"/>
        <v>-560.6</v>
      </c>
      <c r="AB268" s="24">
        <f t="shared" ref="AB268" si="1932">AA206-AB206</f>
        <v>0</v>
      </c>
      <c r="AC268" s="24">
        <f t="shared" ref="AC268" si="1933">AB206-AC206</f>
        <v>0</v>
      </c>
      <c r="AD268" s="24">
        <f t="shared" ref="AD268" si="1934">AC206-AD206</f>
        <v>0</v>
      </c>
      <c r="AE268" s="24">
        <f t="shared" ref="AE268" si="1935">AD206-AE206</f>
        <v>0</v>
      </c>
      <c r="AI268" s="23">
        <f t="shared" ref="AI268" si="1936">AH206-AI206</f>
        <v>0</v>
      </c>
      <c r="AJ268" s="23">
        <f t="shared" ref="AJ268" si="1937">AI206-AJ206</f>
        <v>-0.113</v>
      </c>
      <c r="AK268" s="23">
        <f t="shared" ref="AK268" si="1938">AJ206-AK206</f>
        <v>0</v>
      </c>
      <c r="AL268" s="23">
        <f t="shared" ref="AL268" si="1939">AK206-AL206</f>
        <v>0</v>
      </c>
      <c r="AM268" s="23">
        <f t="shared" ref="AM268" si="1940">AL206-AM206</f>
        <v>0</v>
      </c>
      <c r="AN268" s="23">
        <f t="shared" ref="AN268" si="1941">AM206-AN206</f>
        <v>8.1000000000000003E-2</v>
      </c>
      <c r="AO268" s="23">
        <f t="shared" ref="AO268" si="1942">AN206-AO206</f>
        <v>0</v>
      </c>
      <c r="AP268" s="23">
        <f t="shared" ref="AP268" si="1943">AO206-AP206</f>
        <v>0</v>
      </c>
      <c r="AQ268" s="23">
        <f t="shared" ref="AQ268" si="1944">AP206-AQ206</f>
        <v>0</v>
      </c>
      <c r="AR268" s="23">
        <f t="shared" ref="AR268" si="1945">AQ206-AR206</f>
        <v>0</v>
      </c>
      <c r="AS268" s="23">
        <f t="shared" ref="AS268" si="1946">AR206-AS206</f>
        <v>0</v>
      </c>
      <c r="AT268" s="23">
        <f t="shared" ref="AT268" si="1947">AS206-AT206</f>
        <v>-0.05</v>
      </c>
      <c r="AU268" s="23">
        <f t="shared" ref="AU268" si="1948">AT206-AU206</f>
        <v>0</v>
      </c>
      <c r="AV268" s="23">
        <f t="shared" ref="AV268" si="1949">AU206-AV206</f>
        <v>-0.05</v>
      </c>
      <c r="AW268" s="23">
        <f t="shared" ref="AW268" si="1950">AV206-AW206</f>
        <v>0</v>
      </c>
      <c r="AX268" s="23">
        <f t="shared" ref="AX268" si="1951">AW206-AX206</f>
        <v>0</v>
      </c>
      <c r="AY268" s="23">
        <f t="shared" ref="AY268" si="1952">AX206-AY206</f>
        <v>0</v>
      </c>
      <c r="AZ268" s="23">
        <f t="shared" ref="AZ268" si="1953">AY206-AZ206</f>
        <v>0</v>
      </c>
      <c r="BA268" s="23">
        <f t="shared" ref="BA268" si="1954">AZ206-BA206</f>
        <v>0</v>
      </c>
      <c r="BB268" s="23">
        <f t="shared" ref="BB268" si="1955">BA206-BB206</f>
        <v>0</v>
      </c>
      <c r="BC268" s="23">
        <f t="shared" ref="BC268" si="1956">BB206-BC206</f>
        <v>0</v>
      </c>
      <c r="BD268" s="23">
        <f t="shared" ref="BD268" si="1957">BC206-BD206</f>
        <v>0</v>
      </c>
      <c r="BE268" s="23">
        <f t="shared" ref="BE268" si="1958">BD206-BE206</f>
        <v>0</v>
      </c>
      <c r="BF268" s="23">
        <f t="shared" ref="BF268" si="1959">BE206-BF206</f>
        <v>0</v>
      </c>
      <c r="BG268" s="23">
        <f t="shared" ref="BG268" si="1960">BF206-BG206</f>
        <v>0</v>
      </c>
      <c r="BH268" s="23">
        <f t="shared" ref="BH268" si="1961">BG206-BH206</f>
        <v>0</v>
      </c>
      <c r="BI268" s="23">
        <f t="shared" ref="BI268" si="1962">BH206-BI206</f>
        <v>0</v>
      </c>
      <c r="BJ268" s="23">
        <f t="shared" ref="BJ268" si="1963">BI206-BJ206</f>
        <v>1.0000000000000009E-3</v>
      </c>
      <c r="BK268" s="23">
        <f t="shared" ref="BK268" si="1964">BJ206-BK206</f>
        <v>0</v>
      </c>
      <c r="BL268" s="23">
        <f t="shared" ref="BL268" si="1965">BK206-BL206</f>
        <v>-1.0000000000000009E-3</v>
      </c>
      <c r="BM268" s="23">
        <f t="shared" ref="BM268" si="1966">BL206-BM206</f>
        <v>0</v>
      </c>
      <c r="BN268" s="23">
        <f t="shared" ref="BN268" si="1967">BM206-BN206</f>
        <v>0</v>
      </c>
      <c r="BO268" s="23">
        <f t="shared" ref="BO268" si="1968">BN206-BO206</f>
        <v>0</v>
      </c>
      <c r="BP268" s="23">
        <f t="shared" ref="BP268" si="1969">BO206-BP206</f>
        <v>-4.0000000000000036E-3</v>
      </c>
      <c r="BQ268" s="23">
        <f t="shared" ref="BQ268" si="1970">BP206-BQ206</f>
        <v>0</v>
      </c>
      <c r="BR268" s="23">
        <f t="shared" ref="BR268" si="1971">BQ206-BR206</f>
        <v>0</v>
      </c>
      <c r="BS268" s="23">
        <f t="shared" ref="BS268" si="1972">BR206-BS206</f>
        <v>0</v>
      </c>
      <c r="BT268" s="23">
        <f t="shared" ref="BT268" si="1973">BS206-BT206</f>
        <v>0</v>
      </c>
      <c r="BU268" s="23">
        <f t="shared" ref="BU268" si="1974">BT206-BU206</f>
        <v>0</v>
      </c>
      <c r="BV268" s="23">
        <f t="shared" ref="BV268" si="1975">BU206-BV206</f>
        <v>-4.0000000000000036E-3</v>
      </c>
      <c r="BW268" s="23">
        <f t="shared" ref="BW268" si="1976">BV206-BW206</f>
        <v>0</v>
      </c>
      <c r="BX268" s="23">
        <f t="shared" ref="BX268" si="1977">BW206-BX206</f>
        <v>-0.06</v>
      </c>
      <c r="BY268" s="23">
        <f t="shared" ref="BY268" si="1978">BX206-BY206</f>
        <v>0</v>
      </c>
      <c r="BZ268" s="23">
        <f t="shared" ref="BZ268" si="1979">BY206-BZ206</f>
        <v>0.16</v>
      </c>
      <c r="CA268" s="23">
        <f t="shared" ref="CA268" si="1980">BZ206-CA206</f>
        <v>0</v>
      </c>
      <c r="CB268" s="23">
        <f t="shared" ref="CB268" si="1981">CA206-CB206</f>
        <v>0</v>
      </c>
      <c r="CC268" s="23">
        <f t="shared" ref="CC268" si="1982">CB206-CC206</f>
        <v>0</v>
      </c>
      <c r="CD268" s="23">
        <f t="shared" ref="CD268" si="1983">CC206-CD206</f>
        <v>0</v>
      </c>
      <c r="CE268" s="23">
        <f t="shared" ref="CE268" si="1984">CD206-CE206</f>
        <v>0</v>
      </c>
      <c r="CF268" s="23">
        <f t="shared" ref="CF268" si="1985">CE206-CF206</f>
        <v>0</v>
      </c>
      <c r="CG268" s="23">
        <f t="shared" ref="CG268" si="1986">CF206-CG206</f>
        <v>0</v>
      </c>
      <c r="CH268" s="23">
        <f t="shared" ref="CH268:CL268" si="1987">CG206-CH206</f>
        <v>1.0000000000000002E-2</v>
      </c>
      <c r="CI268" s="23">
        <f t="shared" si="1987"/>
        <v>0</v>
      </c>
      <c r="CJ268" s="23">
        <f t="shared" si="1987"/>
        <v>-48.37</v>
      </c>
      <c r="CK268" s="23">
        <f t="shared" ref="CK268" si="1988">CJ206-CK206</f>
        <v>0</v>
      </c>
      <c r="CL268" s="23">
        <f t="shared" si="1987"/>
        <v>-512.23</v>
      </c>
      <c r="CM268" s="24">
        <f t="shared" ref="CM268" si="1989">CL206-CM206</f>
        <v>0</v>
      </c>
      <c r="CN268" s="24">
        <f t="shared" ref="CN268" si="1990">CM206-CN206</f>
        <v>0</v>
      </c>
      <c r="CO268" s="24">
        <f t="shared" ref="CO268" si="1991">CN206-CO206</f>
        <v>0</v>
      </c>
      <c r="CP268" s="24">
        <f t="shared" ref="CP268" si="1992">CO206-CP206</f>
        <v>0</v>
      </c>
      <c r="CQ268" s="24">
        <f t="shared" ref="CQ268" si="1993">CP206-CQ206</f>
        <v>0</v>
      </c>
      <c r="CR268" s="24">
        <f t="shared" ref="CR268" si="1994">CQ206-CR206</f>
        <v>0</v>
      </c>
      <c r="CS268" s="24">
        <f t="shared" ref="CS268" si="1995">CR206-CS206</f>
        <v>0</v>
      </c>
      <c r="CT268" s="24">
        <f t="shared" ref="CT268" si="1996">CS206-CT206</f>
        <v>0</v>
      </c>
      <c r="CU268" s="24">
        <f t="shared" ref="CU268" si="1997">CT206-CU206</f>
        <v>0</v>
      </c>
      <c r="CV268" s="24">
        <f t="shared" ref="CV268" si="1998">CU206-CV206</f>
        <v>0</v>
      </c>
      <c r="CW268" s="24">
        <f t="shared" ref="CW268" si="1999">CV206-CW206</f>
        <v>0</v>
      </c>
      <c r="CX268" s="24">
        <f t="shared" ref="CX268" si="2000">CW206-CX206</f>
        <v>0</v>
      </c>
      <c r="CY268" s="24">
        <f t="shared" ref="CY268" si="2001">CX206-CY206</f>
        <v>0</v>
      </c>
      <c r="CZ268" s="24">
        <f t="shared" ref="CZ268" si="2002">CY206-CZ206</f>
        <v>0</v>
      </c>
      <c r="DA268" s="24">
        <f t="shared" ref="DA268" si="2003">CZ206-DA206</f>
        <v>0</v>
      </c>
      <c r="DB268" s="24">
        <f t="shared" ref="DB268" si="2004">DA206-DB206</f>
        <v>0</v>
      </c>
      <c r="DE268" s="123"/>
      <c r="DF268" s="23">
        <v>-560.6</v>
      </c>
    </row>
    <row r="269" spans="1:110" s="23" customFormat="1" x14ac:dyDescent="0.2">
      <c r="A269" s="23" t="s">
        <v>94</v>
      </c>
      <c r="C269" s="23">
        <f t="shared" ref="C269:AE269" si="2005">B204-C99-C204</f>
        <v>-0.40249999999997499</v>
      </c>
      <c r="D269" s="23">
        <f t="shared" si="2005"/>
        <v>-0.52650000000005548</v>
      </c>
      <c r="E269" s="23">
        <f t="shared" si="2005"/>
        <v>0.27680000000009386</v>
      </c>
      <c r="F269" s="23">
        <f t="shared" si="2005"/>
        <v>102.81749999999997</v>
      </c>
      <c r="G269" s="23">
        <f t="shared" si="2005"/>
        <v>-64.384900000000044</v>
      </c>
      <c r="H269" s="23">
        <f t="shared" si="2005"/>
        <v>-11.666699999999963</v>
      </c>
      <c r="I269" s="23">
        <f t="shared" si="2005"/>
        <v>2.3031999999999755</v>
      </c>
      <c r="J269" s="23">
        <f t="shared" si="2005"/>
        <v>-82.662299999999988</v>
      </c>
      <c r="K269" s="23">
        <f t="shared" si="2005"/>
        <v>-71.591600000000028</v>
      </c>
      <c r="L269" s="23">
        <f t="shared" si="2005"/>
        <v>-39.358299999999986</v>
      </c>
      <c r="M269" s="23">
        <f t="shared" si="2005"/>
        <v>-6.4642000000000053</v>
      </c>
      <c r="N269" s="23">
        <f t="shared" si="2005"/>
        <v>-6.5381000000000427</v>
      </c>
      <c r="O269" s="23">
        <f t="shared" si="2005"/>
        <v>-7.9381999999999948</v>
      </c>
      <c r="P269" s="23">
        <f t="shared" si="2005"/>
        <v>-7.0337999999999852</v>
      </c>
      <c r="Q269" s="23">
        <f t="shared" si="2005"/>
        <v>-34.138000000000034</v>
      </c>
      <c r="R269" s="23">
        <f t="shared" si="2005"/>
        <v>-41.404699999999991</v>
      </c>
      <c r="S269" s="23">
        <f t="shared" si="2005"/>
        <v>-56.559799999999939</v>
      </c>
      <c r="T269" s="23">
        <f t="shared" si="2005"/>
        <v>-38.224500000000091</v>
      </c>
      <c r="U269" s="23">
        <f t="shared" si="2005"/>
        <v>-39.473999999999933</v>
      </c>
      <c r="V269" s="23">
        <f t="shared" si="2005"/>
        <v>-43.916699999999992</v>
      </c>
      <c r="W269" s="23">
        <f t="shared" si="2005"/>
        <v>-57.135400000000118</v>
      </c>
      <c r="X269" s="23">
        <f t="shared" si="2005"/>
        <v>-367.68999999999994</v>
      </c>
      <c r="Y269" s="23">
        <f t="shared" si="2005"/>
        <v>-1721.6000000000004</v>
      </c>
      <c r="Z269" s="23">
        <f t="shared" si="2005"/>
        <v>-3535.7300000000005</v>
      </c>
      <c r="AA269" s="23">
        <f t="shared" si="2005"/>
        <v>-21764.329999999994</v>
      </c>
      <c r="AB269" s="24">
        <f t="shared" si="2005"/>
        <v>-1211.9400000000023</v>
      </c>
      <c r="AC269" s="24">
        <f t="shared" si="2005"/>
        <v>-1600</v>
      </c>
      <c r="AD269" s="24">
        <f t="shared" si="2005"/>
        <v>-1600</v>
      </c>
      <c r="AE269" s="24">
        <f t="shared" si="2005"/>
        <v>-1599.9999999999964</v>
      </c>
      <c r="AI269" s="23">
        <f t="shared" ref="AI269:BN269" si="2006">AH204-AI99-AI204</f>
        <v>-6.5659999999999998</v>
      </c>
      <c r="AJ269" s="23">
        <f t="shared" si="2006"/>
        <v>-313.75100000000003</v>
      </c>
      <c r="AK269" s="23">
        <f t="shared" si="2006"/>
        <v>-6.6770000000000209</v>
      </c>
      <c r="AL269" s="23">
        <f t="shared" si="2006"/>
        <v>1.6229999999999905</v>
      </c>
      <c r="AM269" s="23">
        <f t="shared" si="2006"/>
        <v>-6.6720000000000255</v>
      </c>
      <c r="AN269" s="23">
        <f t="shared" si="2006"/>
        <v>2.0229999999999677</v>
      </c>
      <c r="AO269" s="23">
        <f t="shared" si="2006"/>
        <v>-6.714999999999975</v>
      </c>
      <c r="AP269" s="23">
        <f t="shared" si="2006"/>
        <v>3.4250000000000114</v>
      </c>
      <c r="AQ269" s="23">
        <f t="shared" si="2006"/>
        <v>-2.6580000000000155</v>
      </c>
      <c r="AR269" s="23">
        <f t="shared" si="2006"/>
        <v>-3.8760000000000332</v>
      </c>
      <c r="AS269" s="23">
        <f t="shared" si="2006"/>
        <v>-2.6560000000000059</v>
      </c>
      <c r="AT269" s="23">
        <f t="shared" si="2006"/>
        <v>2.1569999999999823</v>
      </c>
      <c r="AU269" s="23">
        <f t="shared" si="2006"/>
        <v>-2.7320000000000277</v>
      </c>
      <c r="AV269" s="23">
        <f t="shared" si="2006"/>
        <v>-9.4429999999999836</v>
      </c>
      <c r="AW269" s="23">
        <f t="shared" si="2006"/>
        <v>-2.72199999999998</v>
      </c>
      <c r="AX269" s="23">
        <f t="shared" si="2006"/>
        <v>-19.240999999999985</v>
      </c>
      <c r="AY269" s="23">
        <f t="shared" si="2006"/>
        <v>-2.9680000000000177</v>
      </c>
      <c r="AZ269" s="23">
        <f t="shared" si="2006"/>
        <v>1.7740000000000009</v>
      </c>
      <c r="BA269" s="23">
        <f t="shared" si="2006"/>
        <v>-3.1859999999999786</v>
      </c>
      <c r="BB269" s="23">
        <f t="shared" si="2006"/>
        <v>-37.024999999999977</v>
      </c>
      <c r="BC269" s="23">
        <f t="shared" si="2006"/>
        <v>-3.7119999999999891</v>
      </c>
      <c r="BD269" s="23">
        <f t="shared" si="2006"/>
        <v>-4.5900000000000318</v>
      </c>
      <c r="BE269" s="23">
        <f t="shared" si="2006"/>
        <v>-3.7950000000000159</v>
      </c>
      <c r="BF269" s="23">
        <f t="shared" si="2006"/>
        <v>-44.463000000000022</v>
      </c>
      <c r="BG269" s="23">
        <f t="shared" si="2006"/>
        <v>-3.8170000000000073</v>
      </c>
      <c r="BH269" s="23">
        <f t="shared" si="2006"/>
        <v>-40.08299999999997</v>
      </c>
      <c r="BI269" s="23">
        <f t="shared" si="2006"/>
        <v>-3.6940000000000168</v>
      </c>
      <c r="BJ269" s="23">
        <f t="shared" si="2006"/>
        <v>9.367999999999995</v>
      </c>
      <c r="BK269" s="23">
        <f t="shared" si="2006"/>
        <v>-3.9759999999999991</v>
      </c>
      <c r="BL269" s="23">
        <f t="shared" si="2006"/>
        <v>-20.258999999999958</v>
      </c>
      <c r="BM269" s="23">
        <f t="shared" si="2006"/>
        <v>-4.6730000000000018</v>
      </c>
      <c r="BN269" s="23">
        <f t="shared" si="2006"/>
        <v>-7.5840000000000032</v>
      </c>
      <c r="BO269" s="23">
        <f t="shared" ref="BO269:CT269" si="2007">BN204-BO99-BO204</f>
        <v>-0.23300000000000409</v>
      </c>
      <c r="BP269" s="23">
        <f t="shared" si="2007"/>
        <v>-1.1549999999999727</v>
      </c>
      <c r="BQ269" s="23">
        <f t="shared" si="2007"/>
        <v>-4.5149999999999864</v>
      </c>
      <c r="BR269" s="23">
        <f t="shared" si="2007"/>
        <v>-40.206999999999994</v>
      </c>
      <c r="BS269" s="23">
        <f t="shared" si="2007"/>
        <v>-4.5</v>
      </c>
      <c r="BT269" s="23">
        <f t="shared" si="2007"/>
        <v>-11.911999999999978</v>
      </c>
      <c r="BU269" s="23">
        <f t="shared" si="2007"/>
        <v>-4.5699999999999932</v>
      </c>
      <c r="BV269" s="23">
        <f t="shared" si="2007"/>
        <v>-36.341999999999985</v>
      </c>
      <c r="BW269" s="23">
        <f t="shared" si="2007"/>
        <v>-5.0199999999999818</v>
      </c>
      <c r="BX269" s="23">
        <f t="shared" si="2007"/>
        <v>-177.49</v>
      </c>
      <c r="BY269" s="23">
        <f t="shared" si="2007"/>
        <v>-5.6900000000000546</v>
      </c>
      <c r="BZ269" s="23">
        <f t="shared" si="2007"/>
        <v>-129.47000000000003</v>
      </c>
      <c r="CA269" s="23">
        <f t="shared" si="2007"/>
        <v>-7.57000000000005</v>
      </c>
      <c r="CB269" s="23">
        <f t="shared" si="2007"/>
        <v>-560.61</v>
      </c>
      <c r="CC269" s="23">
        <f t="shared" si="2007"/>
        <v>-14.700000000000045</v>
      </c>
      <c r="CD269" s="23">
        <f t="shared" si="2007"/>
        <v>-1111.4000000000001</v>
      </c>
      <c r="CE269" s="23">
        <f t="shared" si="2007"/>
        <v>-18.730000000000018</v>
      </c>
      <c r="CF269" s="23">
        <f t="shared" si="2007"/>
        <v>-1159.8399999999997</v>
      </c>
      <c r="CG269" s="23">
        <f t="shared" si="2007"/>
        <v>-22.059999999999945</v>
      </c>
      <c r="CH269" s="23">
        <f t="shared" si="2007"/>
        <v>-2413.0600000000009</v>
      </c>
      <c r="CI269" s="23">
        <f t="shared" si="2007"/>
        <v>0</v>
      </c>
      <c r="CJ269" s="23">
        <f t="shared" si="2007"/>
        <v>-5389.74</v>
      </c>
      <c r="CK269" s="23">
        <f t="shared" si="2007"/>
        <v>0</v>
      </c>
      <c r="CL269" s="23">
        <f t="shared" si="2007"/>
        <v>-15986.53</v>
      </c>
      <c r="CM269" s="24">
        <f t="shared" si="2007"/>
        <v>-399.99999999999636</v>
      </c>
      <c r="CN269" s="24">
        <f t="shared" si="2007"/>
        <v>-400.00000000000364</v>
      </c>
      <c r="CO269" s="24">
        <f t="shared" si="2007"/>
        <v>-400</v>
      </c>
      <c r="CP269" s="24">
        <f t="shared" si="2007"/>
        <v>-400.00000000000364</v>
      </c>
      <c r="CQ269" s="24">
        <f t="shared" si="2007"/>
        <v>-399.99999999999636</v>
      </c>
      <c r="CR269" s="24">
        <f t="shared" si="2007"/>
        <v>-400.00000000000364</v>
      </c>
      <c r="CS269" s="24">
        <f t="shared" si="2007"/>
        <v>-400</v>
      </c>
      <c r="CT269" s="24">
        <f t="shared" si="2007"/>
        <v>-400</v>
      </c>
      <c r="CU269" s="24">
        <f t="shared" ref="CU269:DB269" si="2008">CT204-CU99-CU204</f>
        <v>-399.99999999999636</v>
      </c>
      <c r="CV269" s="24">
        <f t="shared" si="2008"/>
        <v>-400</v>
      </c>
      <c r="CW269" s="24">
        <f t="shared" si="2008"/>
        <v>-400</v>
      </c>
      <c r="CX269" s="24">
        <f t="shared" si="2008"/>
        <v>-400</v>
      </c>
      <c r="CY269" s="24">
        <f t="shared" si="2008"/>
        <v>-399.99999999999636</v>
      </c>
      <c r="CZ269" s="24">
        <f t="shared" si="2008"/>
        <v>-400.00000000000364</v>
      </c>
      <c r="DA269" s="24">
        <f t="shared" si="2008"/>
        <v>-399.99999999999636</v>
      </c>
      <c r="DB269" s="24">
        <f t="shared" si="2008"/>
        <v>-400</v>
      </c>
      <c r="DE269" s="123"/>
      <c r="DF269" s="23">
        <v>-21764.329999999994</v>
      </c>
    </row>
    <row r="270" spans="1:110" s="23" customFormat="1" x14ac:dyDescent="0.2">
      <c r="AB270" s="24"/>
      <c r="AC270" s="24"/>
      <c r="AD270" s="24"/>
      <c r="AE270" s="24"/>
      <c r="CM270" s="24"/>
      <c r="CN270" s="24"/>
      <c r="CO270" s="24"/>
      <c r="CP270" s="24"/>
      <c r="CQ270" s="24"/>
      <c r="CR270" s="24"/>
      <c r="CS270" s="24"/>
      <c r="CT270" s="24"/>
      <c r="CU270" s="24"/>
      <c r="CV270" s="24"/>
      <c r="CW270" s="24"/>
      <c r="CX270" s="24"/>
      <c r="CY270" s="24"/>
      <c r="CZ270" s="24"/>
      <c r="DA270" s="24"/>
      <c r="DB270" s="24"/>
      <c r="DE270" s="123"/>
    </row>
    <row r="271" spans="1:110" s="22" customFormat="1" x14ac:dyDescent="0.2">
      <c r="A271" s="22" t="s">
        <v>95</v>
      </c>
      <c r="C271" s="22">
        <f t="shared" ref="C271:W271" si="2009">C272+C273</f>
        <v>73.912999999999968</v>
      </c>
      <c r="D271" s="22">
        <f t="shared" si="2009"/>
        <v>27.744799999999984</v>
      </c>
      <c r="E271" s="22">
        <f t="shared" si="2009"/>
        <v>-20.462100000000007</v>
      </c>
      <c r="F271" s="22">
        <f t="shared" si="2009"/>
        <v>-175.58409999999998</v>
      </c>
      <c r="G271" s="22">
        <f t="shared" si="2009"/>
        <v>-77.41530000000003</v>
      </c>
      <c r="H271" s="22">
        <f t="shared" si="2009"/>
        <v>-16.636999999999958</v>
      </c>
      <c r="I271" s="22">
        <f t="shared" si="2009"/>
        <v>-37.551599999999993</v>
      </c>
      <c r="J271" s="22">
        <f t="shared" si="2009"/>
        <v>-13.441200000000038</v>
      </c>
      <c r="K271" s="22">
        <f t="shared" si="2009"/>
        <v>-20.277600000000085</v>
      </c>
      <c r="L271" s="22">
        <f t="shared" si="2009"/>
        <v>-7.5117000000000189</v>
      </c>
      <c r="M271" s="22">
        <f t="shared" si="2009"/>
        <v>-5.6338999999999544</v>
      </c>
      <c r="N271" s="22">
        <f t="shared" si="2009"/>
        <v>-6.1116000000000561</v>
      </c>
      <c r="O271" s="22">
        <f t="shared" si="2009"/>
        <v>-4.8166000000000295</v>
      </c>
      <c r="P271" s="22">
        <f t="shared" si="2009"/>
        <v>1.3498999999999448</v>
      </c>
      <c r="Q271" s="22">
        <f t="shared" si="2009"/>
        <v>-10.9061</v>
      </c>
      <c r="R271" s="22">
        <f t="shared" si="2009"/>
        <v>13.926299999999975</v>
      </c>
      <c r="S271" s="22">
        <f t="shared" si="2009"/>
        <v>3.2464999999999833</v>
      </c>
      <c r="T271" s="22">
        <f t="shared" si="2009"/>
        <v>66.189300000000017</v>
      </c>
      <c r="U271" s="22">
        <f t="shared" si="2009"/>
        <v>32.389199999999974</v>
      </c>
      <c r="V271" s="22">
        <f t="shared" si="2009"/>
        <v>90.852699999999984</v>
      </c>
      <c r="W271" s="22">
        <f t="shared" si="2009"/>
        <v>123.67329999999997</v>
      </c>
      <c r="X271" s="22">
        <f t="shared" ref="X271:Y271" si="2010">X272+X273</f>
        <v>1242.0700000000002</v>
      </c>
      <c r="Y271" s="22">
        <f t="shared" si="2010"/>
        <v>37.420000000001373</v>
      </c>
      <c r="Z271" s="22">
        <f t="shared" ref="Z271:AA271" si="2011">Z272+Z273</f>
        <v>3227.8199999999997</v>
      </c>
      <c r="AA271" s="22">
        <f t="shared" si="2011"/>
        <v>23471.710000000006</v>
      </c>
      <c r="AB271" s="21">
        <f t="shared" ref="AB271:AD271" si="2012">AB272+AB273</f>
        <v>-1.0000000003856258E-2</v>
      </c>
      <c r="AC271" s="21">
        <f t="shared" si="2012"/>
        <v>3.637978807091713E-12</v>
      </c>
      <c r="AD271" s="21">
        <f t="shared" si="2012"/>
        <v>0</v>
      </c>
      <c r="AE271" s="21">
        <f t="shared" ref="AE271" si="2013">AE272+AE273</f>
        <v>-7.2759576141834259E-12</v>
      </c>
      <c r="AI271" s="22">
        <f t="shared" ref="AI271" si="2014">AI272+AI273</f>
        <v>-1.5350000000000081</v>
      </c>
      <c r="AJ271" s="22">
        <f t="shared" ref="AJ271:AL271" si="2015">AJ272+AJ273</f>
        <v>151.16399999999999</v>
      </c>
      <c r="AK271" s="22">
        <f t="shared" si="2015"/>
        <v>0</v>
      </c>
      <c r="AL271" s="22">
        <f t="shared" si="2015"/>
        <v>-6.1119999999999699</v>
      </c>
      <c r="AM271" s="22">
        <f t="shared" ref="AM271" si="2016">AM272+AM273</f>
        <v>-1.4210854715202004E-14</v>
      </c>
      <c r="AN271" s="22">
        <f t="shared" ref="AN271:CD271" si="2017">AN272+AN273</f>
        <v>-2.4589999999999783</v>
      </c>
      <c r="AO271" s="22">
        <f t="shared" si="2017"/>
        <v>0</v>
      </c>
      <c r="AP271" s="22">
        <f t="shared" si="2017"/>
        <v>-2.4610000000000269</v>
      </c>
      <c r="AQ271" s="22">
        <f t="shared" si="2017"/>
        <v>0</v>
      </c>
      <c r="AR271" s="22">
        <f t="shared" si="2017"/>
        <v>-3.2510000000000652</v>
      </c>
      <c r="AS271" s="22">
        <f t="shared" si="2017"/>
        <v>0</v>
      </c>
      <c r="AT271" s="22">
        <f t="shared" si="2017"/>
        <v>4.9830000000000219</v>
      </c>
      <c r="AU271" s="22">
        <f t="shared" si="2017"/>
        <v>7.1054273576010019E-15</v>
      </c>
      <c r="AV271" s="22">
        <f t="shared" si="2017"/>
        <v>-7.594000000000019</v>
      </c>
      <c r="AW271" s="22">
        <f t="shared" si="2017"/>
        <v>0</v>
      </c>
      <c r="AX271" s="22">
        <f t="shared" si="2017"/>
        <v>1.8390000000000146</v>
      </c>
      <c r="AY271" s="22">
        <f t="shared" si="2017"/>
        <v>0</v>
      </c>
      <c r="AZ271" s="22">
        <f t="shared" si="2017"/>
        <v>11.261999999999999</v>
      </c>
      <c r="BA271" s="22">
        <f t="shared" si="2017"/>
        <v>7.1054273576010019E-15</v>
      </c>
      <c r="BB271" s="22">
        <f t="shared" si="2017"/>
        <v>2.8740000000000059</v>
      </c>
      <c r="BC271" s="22">
        <f t="shared" si="2017"/>
        <v>0</v>
      </c>
      <c r="BD271" s="22">
        <f t="shared" si="2017"/>
        <v>-9.7420000000000062</v>
      </c>
      <c r="BE271" s="22">
        <f t="shared" si="2017"/>
        <v>0</v>
      </c>
      <c r="BF271" s="22">
        <f t="shared" si="2017"/>
        <v>12.666000000000009</v>
      </c>
      <c r="BG271" s="22">
        <f t="shared" si="2017"/>
        <v>-1.4210854715202004E-14</v>
      </c>
      <c r="BH271" s="22">
        <f t="shared" si="2017"/>
        <v>-2.0560000000000045</v>
      </c>
      <c r="BI271" s="22">
        <f t="shared" si="2017"/>
        <v>0</v>
      </c>
      <c r="BJ271" s="22">
        <f t="shared" si="2017"/>
        <v>61.348999999999982</v>
      </c>
      <c r="BK271" s="22">
        <f t="shared" si="2017"/>
        <v>0</v>
      </c>
      <c r="BL271" s="22">
        <f t="shared" si="2017"/>
        <v>21.782000000000011</v>
      </c>
      <c r="BM271" s="22">
        <f t="shared" si="2017"/>
        <v>0</v>
      </c>
      <c r="BN271" s="22">
        <f t="shared" si="2017"/>
        <v>-3.8609999999999758</v>
      </c>
      <c r="BO271" s="22">
        <f t="shared" si="2017"/>
        <v>0</v>
      </c>
      <c r="BP271" s="22">
        <f t="shared" si="2017"/>
        <v>34.289000000000016</v>
      </c>
      <c r="BQ271" s="22">
        <f t="shared" si="2017"/>
        <v>0</v>
      </c>
      <c r="BR271" s="22">
        <f t="shared" si="2017"/>
        <v>7.2600000000000193</v>
      </c>
      <c r="BS271" s="22">
        <f t="shared" si="2017"/>
        <v>0</v>
      </c>
      <c r="BT271" s="22">
        <f t="shared" si="2017"/>
        <v>175.21099999999996</v>
      </c>
      <c r="BU271" s="22">
        <f t="shared" si="2017"/>
        <v>0</v>
      </c>
      <c r="BV271" s="22">
        <f t="shared" si="2017"/>
        <v>-19.255999999999929</v>
      </c>
      <c r="BW271" s="22">
        <f t="shared" si="2017"/>
        <v>0</v>
      </c>
      <c r="BX271" s="22">
        <f t="shared" si="2017"/>
        <v>475.93000000000006</v>
      </c>
      <c r="BY271" s="22">
        <f t="shared" si="2017"/>
        <v>0</v>
      </c>
      <c r="BZ271" s="22">
        <f t="shared" si="2017"/>
        <v>803.28</v>
      </c>
      <c r="CA271" s="22">
        <f t="shared" si="2017"/>
        <v>2.2737367544323206E-13</v>
      </c>
      <c r="CB271" s="22">
        <f t="shared" si="2017"/>
        <v>17.509999999999991</v>
      </c>
      <c r="CC271" s="22">
        <f t="shared" si="2017"/>
        <v>4.5474735088646412E-13</v>
      </c>
      <c r="CD271" s="22">
        <f t="shared" si="2017"/>
        <v>21.480000000000018</v>
      </c>
      <c r="CE271" s="22">
        <f t="shared" ref="CE271:CF271" si="2018">CE272+CE273</f>
        <v>4.5474735088646412E-13</v>
      </c>
      <c r="CF271" s="22">
        <f t="shared" si="2018"/>
        <v>2116.0099999999998</v>
      </c>
      <c r="CG271" s="22">
        <f t="shared" ref="CG271:CH271" si="2019">CG272+CG273</f>
        <v>0</v>
      </c>
      <c r="CH271" s="22">
        <f t="shared" si="2019"/>
        <v>1117.1600000000003</v>
      </c>
      <c r="CI271" s="22">
        <f t="shared" ref="CI271:CJ271" si="2020">CI272+CI273</f>
        <v>0</v>
      </c>
      <c r="CJ271" s="22">
        <f t="shared" si="2020"/>
        <v>7433.4000000000015</v>
      </c>
      <c r="CK271" s="22">
        <f t="shared" ref="CK271:DB271" si="2021">CK272+CK273</f>
        <v>-9.0949470177292824E-13</v>
      </c>
      <c r="CL271" s="22">
        <f t="shared" si="2021"/>
        <v>16038.310000000001</v>
      </c>
      <c r="CM271" s="21">
        <f t="shared" si="2021"/>
        <v>0</v>
      </c>
      <c r="CN271" s="21">
        <f t="shared" si="2021"/>
        <v>0</v>
      </c>
      <c r="CO271" s="21">
        <f t="shared" si="2021"/>
        <v>0</v>
      </c>
      <c r="CP271" s="21">
        <f t="shared" si="2021"/>
        <v>0</v>
      </c>
      <c r="CQ271" s="21">
        <f t="shared" si="2021"/>
        <v>0</v>
      </c>
      <c r="CR271" s="21">
        <f t="shared" si="2021"/>
        <v>0</v>
      </c>
      <c r="CS271" s="21">
        <f t="shared" si="2021"/>
        <v>0</v>
      </c>
      <c r="CT271" s="21">
        <f t="shared" si="2021"/>
        <v>0</v>
      </c>
      <c r="CU271" s="21">
        <f t="shared" si="2021"/>
        <v>0</v>
      </c>
      <c r="CV271" s="21">
        <f t="shared" si="2021"/>
        <v>0</v>
      </c>
      <c r="CW271" s="21">
        <f t="shared" si="2021"/>
        <v>3.637978807091713E-12</v>
      </c>
      <c r="CX271" s="21">
        <f t="shared" si="2021"/>
        <v>0</v>
      </c>
      <c r="CY271" s="21">
        <f t="shared" si="2021"/>
        <v>0</v>
      </c>
      <c r="CZ271" s="21">
        <f t="shared" si="2021"/>
        <v>0</v>
      </c>
      <c r="DA271" s="21">
        <f t="shared" si="2021"/>
        <v>0</v>
      </c>
      <c r="DB271" s="21">
        <f t="shared" si="2021"/>
        <v>0</v>
      </c>
      <c r="DE271" s="126"/>
      <c r="DF271" s="22">
        <v>23471.710000000006</v>
      </c>
    </row>
    <row r="272" spans="1:110" s="23" customFormat="1" x14ac:dyDescent="0.2">
      <c r="A272" s="23" t="s">
        <v>49</v>
      </c>
      <c r="C272" s="23">
        <f t="shared" ref="C272:AA272" si="2022">C194-B194</f>
        <v>73.916799999999967</v>
      </c>
      <c r="D272" s="23">
        <f t="shared" si="2022"/>
        <v>28.09559999999999</v>
      </c>
      <c r="E272" s="23">
        <f>E194-D194</f>
        <v>-21.230899999999963</v>
      </c>
      <c r="F272" s="23">
        <f t="shared" si="2022"/>
        <v>-175.3417</v>
      </c>
      <c r="G272" s="23">
        <f t="shared" si="2022"/>
        <v>-100.0222</v>
      </c>
      <c r="H272" s="23">
        <f t="shared" si="2022"/>
        <v>-17.294999999999987</v>
      </c>
      <c r="I272" s="23">
        <f t="shared" si="2022"/>
        <v>-57.943200000000019</v>
      </c>
      <c r="J272" s="23">
        <f>J194-I194</f>
        <v>-69.536000000000001</v>
      </c>
      <c r="K272" s="23">
        <f>K194-J194</f>
        <v>-20.187999999999995</v>
      </c>
      <c r="L272" s="23">
        <f t="shared" si="2022"/>
        <v>-7.4414000000000016</v>
      </c>
      <c r="M272" s="23">
        <f t="shared" si="2022"/>
        <v>-5.633899999999997</v>
      </c>
      <c r="N272" s="23">
        <f t="shared" si="2022"/>
        <v>-6.1115999999999993</v>
      </c>
      <c r="O272" s="23">
        <f t="shared" si="2022"/>
        <v>-4.8166000000000011</v>
      </c>
      <c r="P272" s="23">
        <f t="shared" si="2022"/>
        <v>1.6855000000000011</v>
      </c>
      <c r="Q272" s="23">
        <f t="shared" si="2022"/>
        <v>-10.9061</v>
      </c>
      <c r="R272" s="23">
        <f t="shared" si="2022"/>
        <v>13.8451</v>
      </c>
      <c r="S272" s="23">
        <f t="shared" si="2022"/>
        <v>3.4699999999999989</v>
      </c>
      <c r="T272" s="23">
        <f t="shared" si="2022"/>
        <v>63.003399999999999</v>
      </c>
      <c r="U272" s="23">
        <f t="shared" si="2022"/>
        <v>28.063600000000008</v>
      </c>
      <c r="V272" s="23">
        <f t="shared" si="2022"/>
        <v>53.279700000000005</v>
      </c>
      <c r="W272" s="23">
        <f t="shared" si="2022"/>
        <v>-78.431400000000011</v>
      </c>
      <c r="X272" s="23">
        <f t="shared" si="2022"/>
        <v>-93.850000000000009</v>
      </c>
      <c r="Y272" s="23">
        <f t="shared" si="2022"/>
        <v>-1.57</v>
      </c>
      <c r="Z272" s="23">
        <f t="shared" si="2022"/>
        <v>1033.8499999999999</v>
      </c>
      <c r="AA272" s="23">
        <f t="shared" si="2022"/>
        <v>19346.590000000004</v>
      </c>
      <c r="AB272" s="24">
        <f t="shared" ref="AB272" si="2023">AB194-AA194</f>
        <v>-1.0000000002037268E-2</v>
      </c>
      <c r="AC272" s="24">
        <f t="shared" ref="AC272" si="2024">AC194-AB194</f>
        <v>0</v>
      </c>
      <c r="AD272" s="24">
        <f t="shared" ref="AD272" si="2025">AD194-AC194</f>
        <v>0</v>
      </c>
      <c r="AE272" s="24">
        <f t="shared" ref="AE272" si="2026">AE194-AD194</f>
        <v>0</v>
      </c>
      <c r="AI272" s="23">
        <f t="shared" ref="AI272" si="2027">AI194-AH194</f>
        <v>0</v>
      </c>
      <c r="AJ272" s="23">
        <f t="shared" ref="AJ272" si="2028">AJ194-AI194</f>
        <v>26.696999999999999</v>
      </c>
      <c r="AK272" s="23">
        <f t="shared" ref="AK272" si="2029">AK194-AJ194</f>
        <v>0</v>
      </c>
      <c r="AL272" s="23">
        <f t="shared" ref="AL272" si="2030">AL194-AK194</f>
        <v>-6.1119999999999983</v>
      </c>
      <c r="AM272" s="23">
        <f t="shared" ref="AM272" si="2031">AM194-AL194</f>
        <v>0</v>
      </c>
      <c r="AN272" s="23">
        <f t="shared" ref="AN272" si="2032">AN194-AM194</f>
        <v>-2.4610000000000021</v>
      </c>
      <c r="AO272" s="23">
        <f t="shared" ref="AO272" si="2033">AO194-AN194</f>
        <v>0</v>
      </c>
      <c r="AP272" s="23">
        <f t="shared" ref="AP272" si="2034">AP194-AO194</f>
        <v>-2.4609999999999985</v>
      </c>
      <c r="AQ272" s="23">
        <f t="shared" ref="AQ272" si="2035">AQ194-AP194</f>
        <v>0</v>
      </c>
      <c r="AR272" s="23">
        <f t="shared" ref="AR272" si="2036">AR194-AQ194</f>
        <v>-2.9160000000000004</v>
      </c>
      <c r="AS272" s="23">
        <f t="shared" ref="AS272" si="2037">AS194-AR194</f>
        <v>0</v>
      </c>
      <c r="AT272" s="23">
        <f t="shared" ref="AT272" si="2038">AT194-AS194</f>
        <v>4.9860000000000007</v>
      </c>
      <c r="AU272" s="23">
        <f t="shared" ref="AU272" si="2039">AU194-AT194</f>
        <v>0</v>
      </c>
      <c r="AV272" s="23">
        <f t="shared" ref="AV272" si="2040">AV194-AU194</f>
        <v>-7.593</v>
      </c>
      <c r="AW272" s="23">
        <f t="shared" ref="AW272" si="2041">AW194-AV194</f>
        <v>0</v>
      </c>
      <c r="AX272" s="23">
        <f t="shared" ref="AX272" si="2042">AX194-AW194</f>
        <v>1.8390000000000004</v>
      </c>
      <c r="AY272" s="23">
        <f t="shared" ref="AY272" si="2043">AY194-AX194</f>
        <v>0</v>
      </c>
      <c r="AZ272" s="23">
        <f t="shared" ref="AZ272" si="2044">AZ194-AY194</f>
        <v>11.261999999999999</v>
      </c>
      <c r="BA272" s="23">
        <f t="shared" ref="BA272" si="2045">BA194-AZ194</f>
        <v>0</v>
      </c>
      <c r="BB272" s="23">
        <f t="shared" ref="BB272" si="2046">BB194-BA194</f>
        <v>2.7940000000000005</v>
      </c>
      <c r="BC272" s="23">
        <f t="shared" ref="BC272" si="2047">BC194-BB194</f>
        <v>0</v>
      </c>
      <c r="BD272" s="23">
        <f t="shared" ref="BD272" si="2048">BD194-BC194</f>
        <v>-10.199</v>
      </c>
      <c r="BE272" s="23">
        <f t="shared" ref="BE272" si="2049">BE194-BD194</f>
        <v>0</v>
      </c>
      <c r="BF272" s="23">
        <f t="shared" ref="BF272" si="2050">BF194-BE194</f>
        <v>13.346000000000002</v>
      </c>
      <c r="BG272" s="23">
        <f t="shared" ref="BG272" si="2051">BG194-BF194</f>
        <v>0</v>
      </c>
      <c r="BH272" s="23">
        <f t="shared" ref="BH272" si="2052">BH194-BG194</f>
        <v>-1.9450000000000003</v>
      </c>
      <c r="BI272" s="23">
        <f t="shared" ref="BI272" si="2053">BI194-BH194</f>
        <v>0</v>
      </c>
      <c r="BJ272" s="23">
        <f t="shared" ref="BJ272" si="2054">BJ194-BI194</f>
        <v>58.052</v>
      </c>
      <c r="BK272" s="23">
        <f t="shared" ref="BK272" si="2055">BK194-BJ194</f>
        <v>0</v>
      </c>
      <c r="BL272" s="23">
        <f t="shared" ref="BL272" si="2056">BL194-BK194</f>
        <v>17.989000000000004</v>
      </c>
      <c r="BM272" s="23">
        <f t="shared" ref="BM272" si="2057">BM194-BL194</f>
        <v>0</v>
      </c>
      <c r="BN272" s="23">
        <f t="shared" ref="BN272" si="2058">BN194-BM194</f>
        <v>-4.3940000000000055</v>
      </c>
      <c r="BO272" s="23">
        <f t="shared" ref="BO272" si="2059">BO194-BN194</f>
        <v>0</v>
      </c>
      <c r="BP272" s="23">
        <f t="shared" ref="BP272" si="2060">BP194-BO194</f>
        <v>13.081999999999994</v>
      </c>
      <c r="BQ272" s="23">
        <f t="shared" ref="BQ272" si="2061">BQ194-BP194</f>
        <v>0</v>
      </c>
      <c r="BR272" s="23">
        <f t="shared" ref="BR272" si="2062">BR194-BQ194</f>
        <v>-9.1059999999999945</v>
      </c>
      <c r="BS272" s="23">
        <f t="shared" ref="BS272" si="2063">BS194-BR194</f>
        <v>0</v>
      </c>
      <c r="BT272" s="23">
        <f t="shared" ref="BT272" si="2064">BT194-BS194</f>
        <v>-26.427999999999997</v>
      </c>
      <c r="BU272" s="23">
        <f t="shared" ref="BU272" si="2065">BU194-BT194</f>
        <v>0</v>
      </c>
      <c r="BV272" s="23">
        <f t="shared" ref="BV272" si="2066">BV194-BU194</f>
        <v>-19.712000000000003</v>
      </c>
      <c r="BW272" s="23">
        <f t="shared" ref="BW272" si="2067">BW194-BV194</f>
        <v>0</v>
      </c>
      <c r="BX272" s="23">
        <f t="shared" ref="BX272" si="2068">BX194-BW194</f>
        <v>-6.519999999999996</v>
      </c>
      <c r="BY272" s="23">
        <f t="shared" ref="BY272" si="2069">BY194-BX194</f>
        <v>0</v>
      </c>
      <c r="BZ272" s="23">
        <f t="shared" ref="BZ272" si="2070">BZ194-BY194</f>
        <v>-50.2</v>
      </c>
      <c r="CA272" s="23">
        <f t="shared" ref="CA272" si="2071">CA194-BZ194</f>
        <v>0</v>
      </c>
      <c r="CB272" s="23">
        <f t="shared" ref="CB272" si="2072">CB194-CA194</f>
        <v>0</v>
      </c>
      <c r="CC272" s="23">
        <f t="shared" ref="CC272" si="2073">CC194-CB194</f>
        <v>0</v>
      </c>
      <c r="CD272" s="23">
        <f t="shared" ref="CD272" si="2074">CD194-CC194</f>
        <v>0</v>
      </c>
      <c r="CE272" s="23">
        <f t="shared" ref="CE272" si="2075">CE194-CD194</f>
        <v>0</v>
      </c>
      <c r="CF272" s="23">
        <f t="shared" ref="CF272" si="2076">CF194-CE194</f>
        <v>0</v>
      </c>
      <c r="CG272" s="23">
        <f t="shared" ref="CG272" si="2077">CG194-CF194</f>
        <v>0</v>
      </c>
      <c r="CH272" s="23">
        <f t="shared" ref="CH272:CL272" si="2078">CH194-CG194</f>
        <v>1033.8499999999999</v>
      </c>
      <c r="CI272" s="23">
        <f t="shared" si="2078"/>
        <v>0</v>
      </c>
      <c r="CJ272" s="23">
        <f t="shared" si="2078"/>
        <v>6948.3600000000006</v>
      </c>
      <c r="CK272" s="23">
        <f t="shared" ref="CK272" si="2079">CK194-CJ194</f>
        <v>0</v>
      </c>
      <c r="CL272" s="23">
        <f t="shared" si="2078"/>
        <v>12398.220000000001</v>
      </c>
      <c r="CM272" s="24">
        <f t="shared" ref="CM272" si="2080">CM194-CL194</f>
        <v>0</v>
      </c>
      <c r="CN272" s="24">
        <f t="shared" ref="CN272" si="2081">CN194-CM194</f>
        <v>0</v>
      </c>
      <c r="CO272" s="24">
        <f t="shared" ref="CO272" si="2082">CO194-CN194</f>
        <v>0</v>
      </c>
      <c r="CP272" s="24">
        <f t="shared" ref="CP272" si="2083">CP194-CO194</f>
        <v>0</v>
      </c>
      <c r="CQ272" s="24">
        <f t="shared" ref="CQ272" si="2084">CQ194-CP194</f>
        <v>0</v>
      </c>
      <c r="CR272" s="24">
        <f t="shared" ref="CR272" si="2085">CR194-CQ194</f>
        <v>0</v>
      </c>
      <c r="CS272" s="24">
        <f t="shared" ref="CS272" si="2086">CS194-CR194</f>
        <v>0</v>
      </c>
      <c r="CT272" s="24">
        <f t="shared" ref="CT272" si="2087">CT194-CS194</f>
        <v>0</v>
      </c>
      <c r="CU272" s="24">
        <f t="shared" ref="CU272" si="2088">CU194-CT194</f>
        <v>0</v>
      </c>
      <c r="CV272" s="24">
        <f t="shared" ref="CV272" si="2089">CV194-CU194</f>
        <v>0</v>
      </c>
      <c r="CW272" s="24">
        <f t="shared" ref="CW272" si="2090">CW194-CV194</f>
        <v>0</v>
      </c>
      <c r="CX272" s="24">
        <f t="shared" ref="CX272" si="2091">CX194-CW194</f>
        <v>0</v>
      </c>
      <c r="CY272" s="24">
        <f t="shared" ref="CY272" si="2092">CY194-CX194</f>
        <v>0</v>
      </c>
      <c r="CZ272" s="24">
        <f t="shared" ref="CZ272" si="2093">CZ194-CY194</f>
        <v>0</v>
      </c>
      <c r="DA272" s="24">
        <f t="shared" ref="DA272" si="2094">DA194-CZ194</f>
        <v>0</v>
      </c>
      <c r="DB272" s="24">
        <f t="shared" ref="DB272" si="2095">DB194-DA194</f>
        <v>0</v>
      </c>
      <c r="DE272" s="123"/>
      <c r="DF272" s="23">
        <v>19346.590000000004</v>
      </c>
    </row>
    <row r="273" spans="1:110" s="23" customFormat="1" x14ac:dyDescent="0.2">
      <c r="A273" s="23" t="s">
        <v>27</v>
      </c>
      <c r="C273" s="23">
        <f t="shared" ref="C273:AE273" si="2096">C186-C115-B186+C188-B188</f>
        <v>-3.7999999999946965E-3</v>
      </c>
      <c r="D273" s="23">
        <f t="shared" si="2096"/>
        <v>-0.35080000000000666</v>
      </c>
      <c r="E273" s="23">
        <f t="shared" si="2096"/>
        <v>0.76879999999995619</v>
      </c>
      <c r="F273" s="23">
        <f t="shared" si="2096"/>
        <v>-0.24239999999998929</v>
      </c>
      <c r="G273" s="23">
        <f t="shared" si="2096"/>
        <v>22.606899999999968</v>
      </c>
      <c r="H273" s="23">
        <f t="shared" si="2096"/>
        <v>0.65800000000002967</v>
      </c>
      <c r="I273" s="23">
        <f t="shared" si="2096"/>
        <v>20.391600000000029</v>
      </c>
      <c r="J273" s="23">
        <f t="shared" si="2096"/>
        <v>56.094799999999964</v>
      </c>
      <c r="K273" s="23">
        <f t="shared" si="2096"/>
        <v>-8.9600000000089608E-2</v>
      </c>
      <c r="L273" s="23">
        <f t="shared" si="2096"/>
        <v>-7.0300000000017349E-2</v>
      </c>
      <c r="M273" s="23">
        <f t="shared" si="2096"/>
        <v>4.2632564145606011E-14</v>
      </c>
      <c r="N273" s="23">
        <f t="shared" si="2096"/>
        <v>-5.6843418860808015E-14</v>
      </c>
      <c r="O273" s="23">
        <f t="shared" si="2096"/>
        <v>-2.8421709430404007E-14</v>
      </c>
      <c r="P273" s="23">
        <f t="shared" si="2096"/>
        <v>-0.3356000000000563</v>
      </c>
      <c r="Q273" s="23">
        <f t="shared" si="2096"/>
        <v>0</v>
      </c>
      <c r="R273" s="23">
        <f t="shared" si="2096"/>
        <v>8.1199999999974182E-2</v>
      </c>
      <c r="S273" s="23">
        <f t="shared" si="2096"/>
        <v>-0.22350000000001558</v>
      </c>
      <c r="T273" s="23">
        <f t="shared" si="2096"/>
        <v>3.1859000000000179</v>
      </c>
      <c r="U273" s="23">
        <f t="shared" si="2096"/>
        <v>4.3255999999999659</v>
      </c>
      <c r="V273" s="23">
        <f t="shared" si="2096"/>
        <v>37.572999999999979</v>
      </c>
      <c r="W273" s="23">
        <f t="shared" si="2096"/>
        <v>202.10469999999998</v>
      </c>
      <c r="X273" s="23">
        <f t="shared" si="2096"/>
        <v>1335.92</v>
      </c>
      <c r="Y273" s="23">
        <f t="shared" si="2096"/>
        <v>38.990000000001373</v>
      </c>
      <c r="Z273" s="23">
        <f t="shared" si="2096"/>
        <v>2193.9699999999998</v>
      </c>
      <c r="AA273" s="23">
        <f t="shared" si="2096"/>
        <v>4125.1200000000026</v>
      </c>
      <c r="AB273" s="24">
        <f t="shared" si="2096"/>
        <v>-1.8189894035458565E-12</v>
      </c>
      <c r="AC273" s="24">
        <f t="shared" si="2096"/>
        <v>3.637978807091713E-12</v>
      </c>
      <c r="AD273" s="24">
        <f t="shared" si="2096"/>
        <v>0</v>
      </c>
      <c r="AE273" s="24">
        <f t="shared" si="2096"/>
        <v>-7.2759576141834259E-12</v>
      </c>
      <c r="AI273" s="23">
        <f t="shared" ref="AI273:BN273" si="2097">AI186-AI115-AH186+AI188-AH188</f>
        <v>-1.5350000000000081</v>
      </c>
      <c r="AJ273" s="23">
        <f t="shared" si="2097"/>
        <v>124.46699999999998</v>
      </c>
      <c r="AK273" s="23">
        <f t="shared" si="2097"/>
        <v>0</v>
      </c>
      <c r="AL273" s="23">
        <f t="shared" si="2097"/>
        <v>2.8421709430404007E-14</v>
      </c>
      <c r="AM273" s="23">
        <f t="shared" si="2097"/>
        <v>-1.4210854715202004E-14</v>
      </c>
      <c r="AN273" s="23">
        <f t="shared" si="2097"/>
        <v>2.0000000000237605E-3</v>
      </c>
      <c r="AO273" s="23">
        <f t="shared" si="2097"/>
        <v>0</v>
      </c>
      <c r="AP273" s="23">
        <f t="shared" si="2097"/>
        <v>-2.8421709430404007E-14</v>
      </c>
      <c r="AQ273" s="23">
        <f t="shared" si="2097"/>
        <v>0</v>
      </c>
      <c r="AR273" s="23">
        <f t="shared" si="2097"/>
        <v>-0.3350000000000648</v>
      </c>
      <c r="AS273" s="23">
        <f t="shared" si="2097"/>
        <v>0</v>
      </c>
      <c r="AT273" s="23">
        <f t="shared" si="2097"/>
        <v>-2.9999999999787974E-3</v>
      </c>
      <c r="AU273" s="23">
        <f t="shared" si="2097"/>
        <v>7.1054273576010019E-15</v>
      </c>
      <c r="AV273" s="23">
        <f t="shared" si="2097"/>
        <v>-1.0000000000189857E-3</v>
      </c>
      <c r="AW273" s="23">
        <f t="shared" si="2097"/>
        <v>0</v>
      </c>
      <c r="AX273" s="23">
        <f t="shared" si="2097"/>
        <v>1.4210854715202004E-14</v>
      </c>
      <c r="AY273" s="23">
        <f t="shared" si="2097"/>
        <v>0</v>
      </c>
      <c r="AZ273" s="23">
        <f t="shared" si="2097"/>
        <v>0</v>
      </c>
      <c r="BA273" s="23">
        <f t="shared" si="2097"/>
        <v>7.1054273576010019E-15</v>
      </c>
      <c r="BB273" s="23">
        <f t="shared" si="2097"/>
        <v>8.00000000000054E-2</v>
      </c>
      <c r="BC273" s="23">
        <f t="shared" si="2097"/>
        <v>0</v>
      </c>
      <c r="BD273" s="23">
        <f t="shared" si="2097"/>
        <v>0.45699999999999363</v>
      </c>
      <c r="BE273" s="23">
        <f t="shared" si="2097"/>
        <v>0</v>
      </c>
      <c r="BF273" s="23">
        <f t="shared" si="2097"/>
        <v>-0.67999999999999261</v>
      </c>
      <c r="BG273" s="23">
        <f t="shared" si="2097"/>
        <v>-1.4210854715202004E-14</v>
      </c>
      <c r="BH273" s="23">
        <f t="shared" si="2097"/>
        <v>-0.11100000000000421</v>
      </c>
      <c r="BI273" s="23">
        <f t="shared" si="2097"/>
        <v>0</v>
      </c>
      <c r="BJ273" s="23">
        <f t="shared" si="2097"/>
        <v>3.2969999999999828</v>
      </c>
      <c r="BK273" s="23">
        <f t="shared" si="2097"/>
        <v>0</v>
      </c>
      <c r="BL273" s="23">
        <f t="shared" si="2097"/>
        <v>3.7930000000000064</v>
      </c>
      <c r="BM273" s="23">
        <f t="shared" si="2097"/>
        <v>0</v>
      </c>
      <c r="BN273" s="23">
        <f t="shared" si="2097"/>
        <v>0.53300000000002967</v>
      </c>
      <c r="BO273" s="23">
        <f t="shared" ref="BO273:CT273" si="2098">BO186-BO115-BN186+BO188-BN188</f>
        <v>0</v>
      </c>
      <c r="BP273" s="23">
        <f t="shared" si="2098"/>
        <v>21.207000000000022</v>
      </c>
      <c r="BQ273" s="23">
        <f t="shared" si="2098"/>
        <v>0</v>
      </c>
      <c r="BR273" s="23">
        <f t="shared" si="2098"/>
        <v>16.366000000000014</v>
      </c>
      <c r="BS273" s="23">
        <f t="shared" si="2098"/>
        <v>0</v>
      </c>
      <c r="BT273" s="23">
        <f t="shared" si="2098"/>
        <v>201.63899999999995</v>
      </c>
      <c r="BU273" s="23">
        <f t="shared" si="2098"/>
        <v>0</v>
      </c>
      <c r="BV273" s="23">
        <f t="shared" si="2098"/>
        <v>0.45600000000007412</v>
      </c>
      <c r="BW273" s="23">
        <f t="shared" si="2098"/>
        <v>0</v>
      </c>
      <c r="BX273" s="23">
        <f t="shared" si="2098"/>
        <v>482.45000000000005</v>
      </c>
      <c r="BY273" s="23">
        <f t="shared" si="2098"/>
        <v>0</v>
      </c>
      <c r="BZ273" s="23">
        <f t="shared" si="2098"/>
        <v>853.48</v>
      </c>
      <c r="CA273" s="23">
        <f t="shared" si="2098"/>
        <v>2.2737367544323206E-13</v>
      </c>
      <c r="CB273" s="23">
        <f t="shared" si="2098"/>
        <v>17.509999999999991</v>
      </c>
      <c r="CC273" s="23">
        <f t="shared" si="2098"/>
        <v>4.5474735088646412E-13</v>
      </c>
      <c r="CD273" s="23">
        <f t="shared" si="2098"/>
        <v>21.480000000000018</v>
      </c>
      <c r="CE273" s="23">
        <f t="shared" si="2098"/>
        <v>4.5474735088646412E-13</v>
      </c>
      <c r="CF273" s="23">
        <f t="shared" si="2098"/>
        <v>2116.0099999999998</v>
      </c>
      <c r="CG273" s="23">
        <f t="shared" si="2098"/>
        <v>0</v>
      </c>
      <c r="CH273" s="23">
        <f t="shared" si="2098"/>
        <v>83.3100000000004</v>
      </c>
      <c r="CI273" s="23">
        <f t="shared" si="2098"/>
        <v>0</v>
      </c>
      <c r="CJ273" s="23">
        <f t="shared" si="2098"/>
        <v>485.04000000000093</v>
      </c>
      <c r="CK273" s="23">
        <f t="shared" si="2098"/>
        <v>-9.0949470177292824E-13</v>
      </c>
      <c r="CL273" s="23">
        <f t="shared" si="2098"/>
        <v>3640.09</v>
      </c>
      <c r="CM273" s="24">
        <f t="shared" si="2098"/>
        <v>0</v>
      </c>
      <c r="CN273" s="24">
        <f t="shared" si="2098"/>
        <v>0</v>
      </c>
      <c r="CO273" s="24">
        <f t="shared" si="2098"/>
        <v>0</v>
      </c>
      <c r="CP273" s="24">
        <f t="shared" si="2098"/>
        <v>0</v>
      </c>
      <c r="CQ273" s="24">
        <f t="shared" si="2098"/>
        <v>0</v>
      </c>
      <c r="CR273" s="24">
        <f t="shared" si="2098"/>
        <v>0</v>
      </c>
      <c r="CS273" s="24">
        <f t="shared" si="2098"/>
        <v>0</v>
      </c>
      <c r="CT273" s="24">
        <f t="shared" si="2098"/>
        <v>0</v>
      </c>
      <c r="CU273" s="24">
        <f t="shared" ref="CU273:DB273" si="2099">CU186-CU115-CT186+CU188-CT188</f>
        <v>0</v>
      </c>
      <c r="CV273" s="24">
        <f t="shared" si="2099"/>
        <v>0</v>
      </c>
      <c r="CW273" s="24">
        <f t="shared" si="2099"/>
        <v>3.637978807091713E-12</v>
      </c>
      <c r="CX273" s="24">
        <f t="shared" si="2099"/>
        <v>0</v>
      </c>
      <c r="CY273" s="24">
        <f t="shared" si="2099"/>
        <v>0</v>
      </c>
      <c r="CZ273" s="24">
        <f t="shared" si="2099"/>
        <v>0</v>
      </c>
      <c r="DA273" s="24">
        <f t="shared" si="2099"/>
        <v>0</v>
      </c>
      <c r="DB273" s="24">
        <f t="shared" si="2099"/>
        <v>0</v>
      </c>
      <c r="DE273" s="123"/>
      <c r="DF273" s="23">
        <v>4125.1200000000026</v>
      </c>
    </row>
    <row r="274" spans="1:110" s="23" customFormat="1" x14ac:dyDescent="0.2">
      <c r="AB274" s="24"/>
      <c r="AC274" s="24"/>
      <c r="AD274" s="24"/>
      <c r="AE274" s="24"/>
      <c r="CM274" s="24"/>
      <c r="CN274" s="24"/>
      <c r="CO274" s="24"/>
      <c r="CP274" s="24"/>
      <c r="CQ274" s="24"/>
      <c r="CR274" s="24"/>
      <c r="CS274" s="24"/>
      <c r="CT274" s="24"/>
      <c r="CU274" s="24"/>
      <c r="CV274" s="24"/>
      <c r="CW274" s="24"/>
      <c r="CX274" s="24"/>
      <c r="CY274" s="24"/>
      <c r="CZ274" s="24"/>
      <c r="DA274" s="24"/>
      <c r="DB274" s="24"/>
      <c r="DE274" s="123"/>
    </row>
    <row r="275" spans="1:110" s="23" customFormat="1" x14ac:dyDescent="0.2">
      <c r="A275" s="23" t="s">
        <v>442</v>
      </c>
      <c r="C275" s="23">
        <f t="shared" ref="C275" si="2100">B227</f>
        <v>1.1180000000000001</v>
      </c>
      <c r="D275" s="23">
        <f t="shared" ref="D275" si="2101">C227</f>
        <v>0.30640000000000001</v>
      </c>
      <c r="E275" s="23">
        <f>D227</f>
        <v>0.57030000000000003</v>
      </c>
      <c r="F275" s="23">
        <f t="shared" ref="F275" si="2102">E227</f>
        <v>0.45829999999999999</v>
      </c>
      <c r="G275" s="23">
        <f t="shared" ref="G275" si="2103">F227</f>
        <v>1.0617000000000001</v>
      </c>
      <c r="H275" s="23">
        <f t="shared" ref="H275" si="2104">G227</f>
        <v>1.3373999999999999</v>
      </c>
      <c r="I275" s="23">
        <f t="shared" ref="I275" si="2105">H227</f>
        <v>0.58540000000000003</v>
      </c>
      <c r="J275" s="23">
        <f>I227</f>
        <v>0.87250000000000005</v>
      </c>
      <c r="K275" s="23">
        <f>J227</f>
        <v>7.8864999999999998</v>
      </c>
      <c r="L275" s="23">
        <f t="shared" ref="L275" si="2106">K227</f>
        <v>4.9074</v>
      </c>
      <c r="M275" s="23">
        <f t="shared" ref="M275" si="2107">L227</f>
        <v>7.8395000000000001</v>
      </c>
      <c r="N275" s="23">
        <f t="shared" ref="N275" si="2108">M227</f>
        <v>12.0482</v>
      </c>
      <c r="O275" s="23">
        <f t="shared" ref="O275" si="2109">N227</f>
        <v>7.8563000000000001</v>
      </c>
      <c r="P275" s="23">
        <f t="shared" ref="P275" si="2110">O227</f>
        <v>9.8574000000000002</v>
      </c>
      <c r="Q275" s="23">
        <f t="shared" ref="Q275" si="2111">P227</f>
        <v>10.1624</v>
      </c>
      <c r="R275" s="23">
        <f t="shared" ref="R275" si="2112">Q227</f>
        <v>7.4734999999999996</v>
      </c>
      <c r="S275" s="23">
        <f t="shared" ref="S275" si="2113">R227</f>
        <v>8.1606000000000005</v>
      </c>
      <c r="T275" s="23">
        <f t="shared" ref="T275" si="2114">S227</f>
        <v>7.1341999999999999</v>
      </c>
      <c r="U275" s="23">
        <f t="shared" ref="U275" si="2115">T227</f>
        <v>8.4517000000000007</v>
      </c>
      <c r="V275" s="23">
        <f t="shared" ref="V275" si="2116">U227</f>
        <v>18.5977</v>
      </c>
      <c r="W275" s="23">
        <f t="shared" ref="W275:AA275" si="2117">V227</f>
        <v>8.0375999999999994</v>
      </c>
      <c r="X275" s="23">
        <f t="shared" si="2117"/>
        <v>21.87</v>
      </c>
      <c r="Y275" s="23">
        <f t="shared" si="2117"/>
        <v>301.33000000000004</v>
      </c>
      <c r="Z275" s="23">
        <f t="shared" si="2117"/>
        <v>316.15999999999997</v>
      </c>
      <c r="AA275" s="23">
        <f t="shared" si="2117"/>
        <v>815.93000000000006</v>
      </c>
      <c r="AB275" s="24">
        <f t="shared" ref="AB275" si="2118">AA227</f>
        <v>2807.99</v>
      </c>
      <c r="AC275" s="24">
        <f t="shared" ref="AC275" si="2119">AB227</f>
        <v>5495.1887284597524</v>
      </c>
      <c r="AD275" s="24">
        <f t="shared" ref="AD275" si="2120">AC227</f>
        <v>7799.6780097845058</v>
      </c>
      <c r="AE275" s="24">
        <f t="shared" ref="AE275" si="2121">AD227</f>
        <v>13706.361011824451</v>
      </c>
      <c r="AI275" s="23">
        <f t="shared" ref="AI275" si="2122">AH227</f>
        <v>0</v>
      </c>
      <c r="AJ275" s="23">
        <f t="shared" ref="AJ275" si="2123">AI227</f>
        <v>0</v>
      </c>
      <c r="AK275" s="23">
        <f t="shared" ref="AK275" si="2124">AJ227</f>
        <v>8.6829999999999998</v>
      </c>
      <c r="AL275" s="23">
        <f t="shared" ref="AL275" si="2125">AK227</f>
        <v>-6.1076252642544091</v>
      </c>
      <c r="AM275" s="23">
        <f t="shared" ref="AM275" si="2126">AL227</f>
        <v>7.8550000000000004</v>
      </c>
      <c r="AN275" s="23">
        <f t="shared" ref="AN275" si="2127">AM227</f>
        <v>-76.19903915133979</v>
      </c>
      <c r="AO275" s="23">
        <f t="shared" ref="AO275" si="2128">AN227</f>
        <v>7.63</v>
      </c>
      <c r="AP275" s="23">
        <f t="shared" ref="AP275" si="2129">AO227</f>
        <v>22.797072598074021</v>
      </c>
      <c r="AQ275" s="23">
        <f t="shared" ref="AQ275" si="2130">AP227</f>
        <v>9.8569999999999993</v>
      </c>
      <c r="AR275" s="23">
        <f t="shared" ref="AR275" si="2131">AQ227</f>
        <v>-4.83328557289685</v>
      </c>
      <c r="AS275" s="23">
        <f t="shared" ref="AS275" si="2132">AR227</f>
        <v>8.4009999999999998</v>
      </c>
      <c r="AT275" s="23">
        <f t="shared" ref="AT275" si="2133">AS227</f>
        <v>-103.02729090372915</v>
      </c>
      <c r="AU275" s="23">
        <f t="shared" ref="AU275" si="2134">AT227</f>
        <v>10.162000000000001</v>
      </c>
      <c r="AV275" s="23">
        <f t="shared" ref="AV275" si="2135">AU227</f>
        <v>13.590055526232458</v>
      </c>
      <c r="AW275" s="23">
        <f t="shared" ref="AW275" si="2136">AV227</f>
        <v>7.5140000000000002</v>
      </c>
      <c r="AX275" s="23">
        <f t="shared" ref="AX275" si="2137">AW227</f>
        <v>7.9025589562488179</v>
      </c>
      <c r="AY275" s="23">
        <f t="shared" ref="AY275" si="2138">AX227</f>
        <v>7.4740000000000002</v>
      </c>
      <c r="AZ275" s="23">
        <f t="shared" ref="AZ275" si="2139">AY227</f>
        <v>5.8678259127021501</v>
      </c>
      <c r="BA275" s="23">
        <f t="shared" ref="BA275" si="2140">AZ227</f>
        <v>7.2830000000000004</v>
      </c>
      <c r="BB275" s="23">
        <f t="shared" ref="BB275" si="2141">BA227</f>
        <v>4.668471802248586E-2</v>
      </c>
      <c r="BC275" s="23">
        <f t="shared" ref="BC275" si="2142">BB227</f>
        <v>8.1609999999999996</v>
      </c>
      <c r="BD275" s="23">
        <f t="shared" ref="BD275" si="2143">BC227</f>
        <v>9.9920181785217839</v>
      </c>
      <c r="BE275" s="23">
        <f t="shared" ref="BE275" si="2144">BD227</f>
        <v>8.3729999999999993</v>
      </c>
      <c r="BF275" s="23">
        <f t="shared" ref="BF275" si="2145">BE227</f>
        <v>1.0687935684239296</v>
      </c>
      <c r="BG275" s="23">
        <f t="shared" ref="BG275" si="2146">BF227</f>
        <v>7.1340000000000003</v>
      </c>
      <c r="BH275" s="23">
        <f t="shared" ref="BH275" si="2147">BG227</f>
        <v>13.72419224845993</v>
      </c>
      <c r="BI275" s="23">
        <f t="shared" ref="BI275" si="2148">BH227</f>
        <v>7.0359999999999996</v>
      </c>
      <c r="BJ275" s="23">
        <f t="shared" ref="BJ275" si="2149">BI227</f>
        <v>7.0107293550331349</v>
      </c>
      <c r="BK275" s="23">
        <f t="shared" ref="BK275" si="2150">BJ227</f>
        <v>8.452</v>
      </c>
      <c r="BL275" s="23">
        <f t="shared" ref="BL275" si="2151">BK227</f>
        <v>16.933359534708956</v>
      </c>
      <c r="BM275" s="23">
        <f t="shared" ref="BM275" si="2152">BL227</f>
        <v>7.22</v>
      </c>
      <c r="BN275" s="23">
        <f t="shared" ref="BN275" si="2153">BM227</f>
        <v>-0.92307823527327137</v>
      </c>
      <c r="BO275" s="23">
        <f t="shared" ref="BO275" si="2154">BN227</f>
        <v>18.597000000000001</v>
      </c>
      <c r="BP275" s="23">
        <f t="shared" ref="BP275" si="2155">BO227</f>
        <v>36.891150278400175</v>
      </c>
      <c r="BQ275" s="23">
        <f t="shared" ref="BQ275" si="2156">BP227</f>
        <v>19.28</v>
      </c>
      <c r="BR275" s="23">
        <f t="shared" ref="BR275" si="2157">BQ227</f>
        <v>21.811285535956628</v>
      </c>
      <c r="BS275" s="23">
        <f t="shared" ref="BS275" si="2158">BR227</f>
        <v>8.0380000000000003</v>
      </c>
      <c r="BT275" s="23">
        <f t="shared" ref="BT275" si="2159">BS227</f>
        <v>7.4406248621974953</v>
      </c>
      <c r="BU275" s="23">
        <f t="shared" ref="BU275" si="2160">BT227</f>
        <v>19.856999999999999</v>
      </c>
      <c r="BV275" s="23">
        <f t="shared" ref="BV275" si="2161">BU227</f>
        <v>-62.141259569378008</v>
      </c>
      <c r="BW275" s="23">
        <f t="shared" ref="BW275" si="2162">BV227</f>
        <v>21.87</v>
      </c>
      <c r="BX275" s="23">
        <f t="shared" ref="BX275" si="2163">BW227</f>
        <v>-1176.6423414663427</v>
      </c>
      <c r="BY275" s="23">
        <f t="shared" ref="BY275" si="2164">BX227</f>
        <v>22.22</v>
      </c>
      <c r="BZ275" s="23">
        <f t="shared" ref="BZ275" si="2165">BY227</f>
        <v>200.64518226074549</v>
      </c>
      <c r="CA275" s="23">
        <f t="shared" ref="CA275" si="2166">BZ227</f>
        <v>301.32000000000005</v>
      </c>
      <c r="CB275" s="23">
        <f t="shared" ref="CB275" si="2167">CA227</f>
        <v>431.44515902995744</v>
      </c>
      <c r="CC275" s="23">
        <f t="shared" ref="CC275" si="2168">CB227</f>
        <v>455.93</v>
      </c>
      <c r="CD275" s="23">
        <f t="shared" ref="CD275" si="2169">CC227</f>
        <v>558.45704043763919</v>
      </c>
      <c r="CE275" s="23">
        <f t="shared" ref="CE275" si="2170">CD227</f>
        <v>316.15999999999997</v>
      </c>
      <c r="CF275" s="23">
        <f t="shared" ref="CF275" si="2171">CE227</f>
        <v>920.24165914983689</v>
      </c>
      <c r="CG275" s="23">
        <f t="shared" ref="CG275" si="2172">CF227</f>
        <v>1097.67</v>
      </c>
      <c r="CH275" s="23">
        <f t="shared" ref="CH275:CL275" si="2173">CG227</f>
        <v>1410.0796623226468</v>
      </c>
      <c r="CI275" s="23">
        <f t="shared" si="2173"/>
        <v>815.93000000000006</v>
      </c>
      <c r="CJ275" s="23">
        <f t="shared" si="2173"/>
        <v>694.59378932372579</v>
      </c>
      <c r="CK275" s="23">
        <f t="shared" ref="CK275" si="2174">CJ227</f>
        <v>1027.83</v>
      </c>
      <c r="CL275" s="23">
        <f t="shared" si="2173"/>
        <v>730.30893976200173</v>
      </c>
      <c r="CM275" s="24">
        <f t="shared" ref="CM275" si="2175">CL227</f>
        <v>2807.99</v>
      </c>
      <c r="CN275" s="24">
        <f t="shared" ref="CN275" si="2176">CM227</f>
        <v>3628.237436135008</v>
      </c>
      <c r="CO275" s="24">
        <f t="shared" ref="CO275" si="2177">CN227</f>
        <v>5312.2449160978867</v>
      </c>
      <c r="CP275" s="24">
        <f t="shared" ref="CP275" si="2178">CO227</f>
        <v>5554.1146073059499</v>
      </c>
      <c r="CQ275" s="24">
        <f t="shared" ref="CQ275" si="2179">CP227</f>
        <v>5495.1887284597524</v>
      </c>
      <c r="CR275" s="24">
        <f t="shared" ref="CR275" si="2180">CQ227</f>
        <v>4033.5378136564923</v>
      </c>
      <c r="CS275" s="24">
        <f t="shared" ref="CS275" si="2181">CR227</f>
        <v>5808.8090513418229</v>
      </c>
      <c r="CT275" s="24">
        <f t="shared" ref="CT275" si="2182">CS227</f>
        <v>6426.3050388553711</v>
      </c>
      <c r="CU275" s="24">
        <f t="shared" ref="CU275" si="2183">CT227</f>
        <v>7799.6780097845058</v>
      </c>
      <c r="CV275" s="24">
        <f t="shared" ref="CV275" si="2184">CU227</f>
        <v>9592.4553187900874</v>
      </c>
      <c r="CW275" s="24">
        <f t="shared" ref="CW275" si="2185">CV227</f>
        <v>12025.19531973556</v>
      </c>
      <c r="CX275" s="24">
        <f t="shared" ref="CX275" si="2186">CW227</f>
        <v>12446.344837351069</v>
      </c>
      <c r="CY275" s="24">
        <f t="shared" ref="CY275" si="2187">CX227</f>
        <v>13706.361011824451</v>
      </c>
      <c r="CZ275" s="24">
        <f t="shared" ref="CZ275" si="2188">CY227</f>
        <v>15164.598200937056</v>
      </c>
      <c r="DA275" s="24">
        <f t="shared" ref="DA275" si="2189">CZ227</f>
        <v>18013.119415302313</v>
      </c>
      <c r="DB275" s="24">
        <f t="shared" ref="DB275" si="2190">DA227</f>
        <v>18766.610555095776</v>
      </c>
      <c r="DE275" s="123"/>
      <c r="DF275" s="23">
        <v>815.93000000000006</v>
      </c>
    </row>
    <row r="276" spans="1:110" s="23" customFormat="1" x14ac:dyDescent="0.2">
      <c r="A276" s="23" t="s">
        <v>443</v>
      </c>
      <c r="C276" s="23">
        <f t="shared" ref="C276:W276" si="2191">C275+C271+C267+C265</f>
        <v>0.30639999999998224</v>
      </c>
      <c r="D276" s="23">
        <f t="shared" si="2191"/>
        <v>0.57029999999992498</v>
      </c>
      <c r="E276" s="23">
        <f t="shared" si="2191"/>
        <v>0.4583000000001185</v>
      </c>
      <c r="F276" s="23">
        <f t="shared" si="2191"/>
        <v>1.0617000000000161</v>
      </c>
      <c r="G276" s="23">
        <f t="shared" si="2191"/>
        <v>1.3373999999999739</v>
      </c>
      <c r="H276" s="23">
        <f t="shared" si="2191"/>
        <v>0.58540000000002479</v>
      </c>
      <c r="I276" s="23">
        <f t="shared" si="2191"/>
        <v>0.87249999999995964</v>
      </c>
      <c r="J276" s="23">
        <f>J275+J271+J267+J265</f>
        <v>7.8864999999999839</v>
      </c>
      <c r="K276" s="23">
        <f>K275+K271+K267+K265</f>
        <v>4.9073999999999529</v>
      </c>
      <c r="L276" s="23">
        <f>L275+L271+L267+L265</f>
        <v>7.8395000000000863</v>
      </c>
      <c r="M276" s="23">
        <f>M275+M271+M267+M265</f>
        <v>12.048199999999923</v>
      </c>
      <c r="N276" s="23">
        <f t="shared" si="2191"/>
        <v>7.8562999999999636</v>
      </c>
      <c r="O276" s="23">
        <f t="shared" si="2191"/>
        <v>9.8574000000000517</v>
      </c>
      <c r="P276" s="23">
        <f t="shared" si="2191"/>
        <v>10.162399999999952</v>
      </c>
      <c r="Q276" s="23">
        <f t="shared" si="2191"/>
        <v>7.4735000000000369</v>
      </c>
      <c r="R276" s="23">
        <f t="shared" si="2191"/>
        <v>8.1605999999999845</v>
      </c>
      <c r="S276" s="23">
        <f t="shared" si="2191"/>
        <v>7.1342000000001065</v>
      </c>
      <c r="T276" s="23">
        <f t="shared" si="2191"/>
        <v>8.4516999999998532</v>
      </c>
      <c r="U276" s="23">
        <f t="shared" si="2191"/>
        <v>18.597700000000088</v>
      </c>
      <c r="V276" s="23">
        <f t="shared" si="2191"/>
        <v>8.0376000000000474</v>
      </c>
      <c r="W276" s="23">
        <f t="shared" si="2191"/>
        <v>21.869999999999806</v>
      </c>
      <c r="X276" s="23">
        <f t="shared" ref="X276:Y276" si="2192">X275+X271+X267+X265</f>
        <v>301.33000000000015</v>
      </c>
      <c r="Y276" s="23">
        <f t="shared" si="2192"/>
        <v>316.15999999999985</v>
      </c>
      <c r="Z276" s="23">
        <f t="shared" ref="Z276:AA276" si="2193">Z275+Z271+Z267+Z265</f>
        <v>815.9299999999987</v>
      </c>
      <c r="AA276" s="23">
        <f t="shared" si="2193"/>
        <v>2807.9900000000107</v>
      </c>
      <c r="AB276" s="24">
        <f t="shared" ref="AB276:AD276" si="2194">AB275+AB271+AB267+AB265</f>
        <v>5495.1887284597524</v>
      </c>
      <c r="AC276" s="24">
        <f t="shared" si="2194"/>
        <v>7799.6780097845076</v>
      </c>
      <c r="AD276" s="24">
        <f t="shared" si="2194"/>
        <v>13706.361011824447</v>
      </c>
      <c r="AE276" s="24">
        <f t="shared" ref="AE276" si="2195">AE275+AE271+AE267+AE265</f>
        <v>20438.466668546811</v>
      </c>
      <c r="AI276" s="23">
        <f t="shared" ref="AI276" si="2196">AI275+AI271+AI267+AI265</f>
        <v>0</v>
      </c>
      <c r="AJ276" s="23">
        <f t="shared" ref="AJ276:AL276" si="2197">AJ275+AJ271+AJ267+AJ265</f>
        <v>8.6829999999999643</v>
      </c>
      <c r="AK276" s="23">
        <f t="shared" si="2197"/>
        <v>-6.1076252642544091</v>
      </c>
      <c r="AL276" s="23">
        <f t="shared" si="2197"/>
        <v>7.8550000000000146</v>
      </c>
      <c r="AM276" s="23">
        <f t="shared" ref="AM276" si="2198">AM275+AM271+AM267+AM265</f>
        <v>-76.19903915133979</v>
      </c>
      <c r="AN276" s="23">
        <f t="shared" ref="AN276:CD276" si="2199">AN275+AN271+AN267+AN265</f>
        <v>7.6299999999999102</v>
      </c>
      <c r="AO276" s="23">
        <f t="shared" si="2199"/>
        <v>22.797072598074021</v>
      </c>
      <c r="AP276" s="23">
        <f t="shared" si="2199"/>
        <v>9.8570000000000206</v>
      </c>
      <c r="AQ276" s="23">
        <f t="shared" si="2199"/>
        <v>-4.83328557289685</v>
      </c>
      <c r="AR276" s="23">
        <f t="shared" si="2199"/>
        <v>8.4009999999999341</v>
      </c>
      <c r="AS276" s="23">
        <f t="shared" si="2199"/>
        <v>-103.02729090372915</v>
      </c>
      <c r="AT276" s="23">
        <f t="shared" si="2199"/>
        <v>10.162000000000006</v>
      </c>
      <c r="AU276" s="23">
        <f t="shared" si="2199"/>
        <v>13.590055526232458</v>
      </c>
      <c r="AV276" s="23">
        <f t="shared" si="2199"/>
        <v>7.5129999999999377</v>
      </c>
      <c r="AW276" s="23">
        <f t="shared" si="2199"/>
        <v>7.9025589562488179</v>
      </c>
      <c r="AX276" s="23">
        <f t="shared" si="2199"/>
        <v>7.4750000000000849</v>
      </c>
      <c r="AY276" s="23">
        <f t="shared" si="2199"/>
        <v>5.8678259127021501</v>
      </c>
      <c r="AZ276" s="23">
        <f t="shared" si="2199"/>
        <v>7.2829999999999586</v>
      </c>
      <c r="BA276" s="23">
        <f t="shared" si="2199"/>
        <v>4.668471802248586E-2</v>
      </c>
      <c r="BB276" s="23">
        <f t="shared" si="2199"/>
        <v>8.160000000000089</v>
      </c>
      <c r="BC276" s="23">
        <f t="shared" si="2199"/>
        <v>9.9920181785217839</v>
      </c>
      <c r="BD276" s="23">
        <f t="shared" si="2199"/>
        <v>8.3729999999999194</v>
      </c>
      <c r="BE276" s="23">
        <f t="shared" si="2199"/>
        <v>1.0687935684239296</v>
      </c>
      <c r="BF276" s="23">
        <f t="shared" si="2199"/>
        <v>7.1340000000000074</v>
      </c>
      <c r="BG276" s="23">
        <f t="shared" si="2199"/>
        <v>13.72419224845993</v>
      </c>
      <c r="BH276" s="23">
        <f t="shared" si="2199"/>
        <v>7.0359999999999872</v>
      </c>
      <c r="BI276" s="23">
        <f t="shared" si="2199"/>
        <v>7.0107293550331349</v>
      </c>
      <c r="BJ276" s="23">
        <f t="shared" si="2199"/>
        <v>8.453000000000003</v>
      </c>
      <c r="BK276" s="23">
        <f t="shared" si="2199"/>
        <v>16.933359534708956</v>
      </c>
      <c r="BL276" s="23">
        <f t="shared" si="2199"/>
        <v>7.2210000000000054</v>
      </c>
      <c r="BM276" s="23">
        <f t="shared" si="2199"/>
        <v>-0.92307823527327137</v>
      </c>
      <c r="BN276" s="23">
        <f t="shared" si="2199"/>
        <v>18.596000000000075</v>
      </c>
      <c r="BO276" s="23">
        <f t="shared" si="2199"/>
        <v>36.891150278400175</v>
      </c>
      <c r="BP276" s="23">
        <f t="shared" si="2199"/>
        <v>19.28100000000007</v>
      </c>
      <c r="BQ276" s="23">
        <f t="shared" si="2199"/>
        <v>21.811285535956628</v>
      </c>
      <c r="BR276" s="23">
        <f t="shared" si="2199"/>
        <v>8.0370000000000736</v>
      </c>
      <c r="BS276" s="23">
        <f t="shared" si="2199"/>
        <v>7.4406248621974953</v>
      </c>
      <c r="BT276" s="23">
        <f t="shared" si="2199"/>
        <v>19.856999999999886</v>
      </c>
      <c r="BU276" s="23">
        <f t="shared" si="2199"/>
        <v>-62.141259569378008</v>
      </c>
      <c r="BV276" s="23">
        <f t="shared" si="2199"/>
        <v>21.870000000000061</v>
      </c>
      <c r="BW276" s="23">
        <f t="shared" si="2199"/>
        <v>-1176.6423414663427</v>
      </c>
      <c r="BX276" s="23">
        <f t="shared" si="2199"/>
        <v>22.219999999999573</v>
      </c>
      <c r="BY276" s="23">
        <f t="shared" si="2199"/>
        <v>200.64518226074549</v>
      </c>
      <c r="BZ276" s="23">
        <f t="shared" si="2199"/>
        <v>301.32000000000005</v>
      </c>
      <c r="CA276" s="23">
        <f t="shared" si="2199"/>
        <v>431.44515902995744</v>
      </c>
      <c r="CB276" s="23">
        <f t="shared" si="2199"/>
        <v>455.93000000000035</v>
      </c>
      <c r="CC276" s="23">
        <f t="shared" si="2199"/>
        <v>558.45704043763919</v>
      </c>
      <c r="CD276" s="23">
        <f t="shared" si="2199"/>
        <v>316.15999999999997</v>
      </c>
      <c r="CE276" s="23">
        <f t="shared" ref="CE276:CF276" si="2200">CE275+CE271+CE267+CE265</f>
        <v>920.24165914983689</v>
      </c>
      <c r="CF276" s="23">
        <f t="shared" si="2200"/>
        <v>1097.6699999999994</v>
      </c>
      <c r="CG276" s="23">
        <f t="shared" ref="CG276:CH276" si="2201">CG275+CG271+CG267+CG265</f>
        <v>1410.0796623226468</v>
      </c>
      <c r="CH276" s="23">
        <f t="shared" si="2201"/>
        <v>815.92999999999984</v>
      </c>
      <c r="CI276" s="23">
        <f t="shared" ref="CI276:CJ276" si="2202">CI275+CI271+CI267+CI265</f>
        <v>694.59378932372579</v>
      </c>
      <c r="CJ276" s="23">
        <f t="shared" si="2202"/>
        <v>1027.8300000000022</v>
      </c>
      <c r="CK276" s="23">
        <f t="shared" ref="CK276:DB276" si="2203">CK275+CK271+CK267+CK265</f>
        <v>730.30893976200173</v>
      </c>
      <c r="CL276" s="23">
        <f t="shared" si="2203"/>
        <v>2807.9900000000007</v>
      </c>
      <c r="CM276" s="24">
        <f t="shared" si="2203"/>
        <v>3628.237436135008</v>
      </c>
      <c r="CN276" s="24">
        <f t="shared" si="2203"/>
        <v>5312.2449160978867</v>
      </c>
      <c r="CO276" s="24">
        <f t="shared" si="2203"/>
        <v>5554.1146073059499</v>
      </c>
      <c r="CP276" s="24">
        <f t="shared" si="2203"/>
        <v>5495.1887284597524</v>
      </c>
      <c r="CQ276" s="24">
        <f t="shared" si="2203"/>
        <v>4033.5378136564923</v>
      </c>
      <c r="CR276" s="24">
        <f t="shared" si="2203"/>
        <v>5808.8090513418229</v>
      </c>
      <c r="CS276" s="24">
        <f t="shared" si="2203"/>
        <v>6426.3050388553711</v>
      </c>
      <c r="CT276" s="24">
        <f t="shared" si="2203"/>
        <v>7799.6780097845058</v>
      </c>
      <c r="CU276" s="24">
        <f t="shared" si="2203"/>
        <v>9592.4553187900874</v>
      </c>
      <c r="CV276" s="24">
        <f t="shared" si="2203"/>
        <v>12025.19531973556</v>
      </c>
      <c r="CW276" s="24">
        <f t="shared" si="2203"/>
        <v>12446.344837351069</v>
      </c>
      <c r="CX276" s="24">
        <f t="shared" si="2203"/>
        <v>13706.361011824451</v>
      </c>
      <c r="CY276" s="24">
        <f t="shared" si="2203"/>
        <v>15164.598200937056</v>
      </c>
      <c r="CZ276" s="24">
        <f t="shared" si="2203"/>
        <v>18013.119415302313</v>
      </c>
      <c r="DA276" s="24">
        <f t="shared" si="2203"/>
        <v>18766.610555095776</v>
      </c>
      <c r="DB276" s="24">
        <f t="shared" si="2203"/>
        <v>20438.466668546822</v>
      </c>
      <c r="DE276" s="123"/>
      <c r="DF276" s="23">
        <v>2807.9900000000107</v>
      </c>
    </row>
    <row r="277" spans="1:110" s="28" customFormat="1" x14ac:dyDescent="0.2">
      <c r="A277" s="28" t="s">
        <v>444</v>
      </c>
      <c r="C277" s="28">
        <f t="shared" ref="C277:W277" si="2204">C276-C227</f>
        <v>-1.7763568394002505E-14</v>
      </c>
      <c r="D277" s="28">
        <f t="shared" si="2204"/>
        <v>-7.5051076464660582E-14</v>
      </c>
      <c r="E277" s="28">
        <f t="shared" si="2204"/>
        <v>1.1851630787873546E-13</v>
      </c>
      <c r="F277" s="28">
        <f t="shared" si="2204"/>
        <v>1.5987211554602254E-14</v>
      </c>
      <c r="G277" s="28">
        <f t="shared" si="2204"/>
        <v>-2.5979218776228663E-14</v>
      </c>
      <c r="H277" s="28">
        <f t="shared" si="2204"/>
        <v>2.4757973449140991E-14</v>
      </c>
      <c r="I277" s="28">
        <f t="shared" si="2204"/>
        <v>-4.0412118096355698E-14</v>
      </c>
      <c r="J277" s="28">
        <f>J276-J227</f>
        <v>-1.5987211554602254E-14</v>
      </c>
      <c r="K277" s="28">
        <f t="shared" si="2204"/>
        <v>-4.7073456244106637E-14</v>
      </c>
      <c r="L277" s="28">
        <f t="shared" si="2204"/>
        <v>8.6153306710912148E-14</v>
      </c>
      <c r="M277" s="28">
        <f t="shared" si="2204"/>
        <v>-7.638334409421077E-14</v>
      </c>
      <c r="N277" s="28">
        <f t="shared" si="2204"/>
        <v>-3.6415315207705135E-14</v>
      </c>
      <c r="O277" s="28">
        <f t="shared" si="2204"/>
        <v>5.1514348342607263E-14</v>
      </c>
      <c r="P277" s="28">
        <f t="shared" si="2204"/>
        <v>-4.7961634663806763E-14</v>
      </c>
      <c r="Q277" s="28">
        <f t="shared" si="2204"/>
        <v>3.730349362740526E-14</v>
      </c>
      <c r="R277" s="28">
        <f t="shared" si="2204"/>
        <v>-1.5987211554602254E-14</v>
      </c>
      <c r="S277" s="28">
        <f t="shared" si="2204"/>
        <v>1.0658141036401503E-13</v>
      </c>
      <c r="T277" s="28">
        <f t="shared" si="2204"/>
        <v>-1.4743761767022079E-13</v>
      </c>
      <c r="U277" s="28">
        <f t="shared" si="2204"/>
        <v>8.8817841970012523E-14</v>
      </c>
      <c r="V277" s="28">
        <f t="shared" si="2204"/>
        <v>4.7961634663806763E-14</v>
      </c>
      <c r="W277" s="28">
        <f t="shared" si="2204"/>
        <v>-1.9539925233402755E-13</v>
      </c>
      <c r="X277" s="28">
        <f t="shared" ref="X277:Y277" si="2205">X276-X227</f>
        <v>0</v>
      </c>
      <c r="Y277" s="28">
        <f t="shared" si="2205"/>
        <v>0</v>
      </c>
      <c r="Z277" s="28">
        <f t="shared" ref="Z277:AA277" si="2206">Z276-Z227</f>
        <v>-1.3642420526593924E-12</v>
      </c>
      <c r="AA277" s="28">
        <f t="shared" si="2206"/>
        <v>1.0913936421275139E-11</v>
      </c>
      <c r="AB277" s="30">
        <f t="shared" ref="AB277:AD277" si="2207">AB276-AB227</f>
        <v>0</v>
      </c>
      <c r="AC277" s="30">
        <f t="shared" si="2207"/>
        <v>0</v>
      </c>
      <c r="AD277" s="30">
        <f t="shared" si="2207"/>
        <v>0</v>
      </c>
      <c r="AE277" s="30">
        <f t="shared" ref="AE277" si="2208">AE276-AE227</f>
        <v>0</v>
      </c>
      <c r="AI277" s="28">
        <f t="shared" ref="AI277" si="2209">AI276-AI227</f>
        <v>0</v>
      </c>
      <c r="AJ277" s="28">
        <f t="shared" ref="AJ277:AL277" si="2210">AJ276-AJ227</f>
        <v>-3.5527136788005009E-14</v>
      </c>
      <c r="AK277" s="28">
        <f t="shared" si="2210"/>
        <v>0</v>
      </c>
      <c r="AL277" s="28">
        <f t="shared" si="2210"/>
        <v>1.4210854715202004E-14</v>
      </c>
      <c r="AM277" s="28">
        <f t="shared" ref="AM277" si="2211">AM276-AM227</f>
        <v>0</v>
      </c>
      <c r="AN277" s="28">
        <f t="shared" ref="AN277:CD277" si="2212">AN276-AN227</f>
        <v>-8.9706020389712648E-14</v>
      </c>
      <c r="AO277" s="28">
        <f t="shared" si="2212"/>
        <v>0</v>
      </c>
      <c r="AP277" s="28">
        <f t="shared" si="2212"/>
        <v>2.1316282072803006E-14</v>
      </c>
      <c r="AQ277" s="28">
        <f t="shared" si="2212"/>
        <v>0</v>
      </c>
      <c r="AR277" s="28">
        <f t="shared" si="2212"/>
        <v>-6.5725203057809267E-14</v>
      </c>
      <c r="AS277" s="28">
        <f t="shared" si="2212"/>
        <v>0</v>
      </c>
      <c r="AT277" s="28">
        <f t="shared" si="2212"/>
        <v>0</v>
      </c>
      <c r="AU277" s="28">
        <f t="shared" si="2212"/>
        <v>0</v>
      </c>
      <c r="AV277" s="28">
        <f t="shared" si="2212"/>
        <v>-1.0000000000625064E-3</v>
      </c>
      <c r="AW277" s="28">
        <f t="shared" si="2212"/>
        <v>0</v>
      </c>
      <c r="AX277" s="28">
        <f t="shared" si="2212"/>
        <v>1.0000000000847109E-3</v>
      </c>
      <c r="AY277" s="28">
        <f t="shared" si="2212"/>
        <v>0</v>
      </c>
      <c r="AZ277" s="28">
        <f t="shared" si="2212"/>
        <v>-4.1744385725905886E-14</v>
      </c>
      <c r="BA277" s="28">
        <f t="shared" si="2212"/>
        <v>0</v>
      </c>
      <c r="BB277" s="28">
        <f t="shared" si="2212"/>
        <v>-9.9999999991062793E-4</v>
      </c>
      <c r="BC277" s="28">
        <f t="shared" si="2212"/>
        <v>0</v>
      </c>
      <c r="BD277" s="28">
        <f t="shared" si="2212"/>
        <v>-7.9936057773011271E-14</v>
      </c>
      <c r="BE277" s="28">
        <f t="shared" si="2212"/>
        <v>0</v>
      </c>
      <c r="BF277" s="28">
        <f t="shared" si="2212"/>
        <v>7.1054273576010019E-15</v>
      </c>
      <c r="BG277" s="28">
        <f t="shared" si="2212"/>
        <v>0</v>
      </c>
      <c r="BH277" s="28">
        <f t="shared" si="2212"/>
        <v>-1.2434497875801753E-14</v>
      </c>
      <c r="BI277" s="28">
        <f t="shared" si="2212"/>
        <v>0</v>
      </c>
      <c r="BJ277" s="28">
        <f t="shared" si="2212"/>
        <v>1.0000000000029985E-3</v>
      </c>
      <c r="BK277" s="28">
        <f t="shared" si="2212"/>
        <v>0</v>
      </c>
      <c r="BL277" s="28">
        <f t="shared" si="2212"/>
        <v>1.000000000005663E-3</v>
      </c>
      <c r="BM277" s="28">
        <f t="shared" si="2212"/>
        <v>0</v>
      </c>
      <c r="BN277" s="28">
        <f t="shared" si="2212"/>
        <v>-9.9999999992661515E-4</v>
      </c>
      <c r="BO277" s="28">
        <f t="shared" si="2212"/>
        <v>0</v>
      </c>
      <c r="BP277" s="28">
        <f t="shared" si="2212"/>
        <v>1.0000000000687237E-3</v>
      </c>
      <c r="BQ277" s="28">
        <f t="shared" si="2212"/>
        <v>0</v>
      </c>
      <c r="BR277" s="28">
        <f t="shared" si="2212"/>
        <v>-9.9999999992661515E-4</v>
      </c>
      <c r="BS277" s="28">
        <f t="shared" si="2212"/>
        <v>0</v>
      </c>
      <c r="BT277" s="28">
        <f t="shared" si="2212"/>
        <v>-1.1368683772161603E-13</v>
      </c>
      <c r="BU277" s="28">
        <f t="shared" si="2212"/>
        <v>0</v>
      </c>
      <c r="BV277" s="28">
        <f t="shared" si="2212"/>
        <v>6.0396132539608516E-14</v>
      </c>
      <c r="BW277" s="28">
        <f t="shared" si="2212"/>
        <v>0</v>
      </c>
      <c r="BX277" s="28">
        <f t="shared" si="2212"/>
        <v>-4.2632564145606011E-13</v>
      </c>
      <c r="BY277" s="28">
        <f t="shared" si="2212"/>
        <v>0</v>
      </c>
      <c r="BZ277" s="28">
        <f t="shared" si="2212"/>
        <v>0</v>
      </c>
      <c r="CA277" s="28">
        <f t="shared" si="2212"/>
        <v>0</v>
      </c>
      <c r="CB277" s="28">
        <f t="shared" si="2212"/>
        <v>0</v>
      </c>
      <c r="CC277" s="28">
        <f t="shared" si="2212"/>
        <v>0</v>
      </c>
      <c r="CD277" s="28">
        <f t="shared" si="2212"/>
        <v>0</v>
      </c>
      <c r="CE277" s="28">
        <f t="shared" ref="CE277:CF277" si="2213">CE276-CE227</f>
        <v>0</v>
      </c>
      <c r="CF277" s="28">
        <f t="shared" si="2213"/>
        <v>0</v>
      </c>
      <c r="CG277" s="28">
        <f t="shared" ref="CG277:CH277" si="2214">CG276-CG227</f>
        <v>0</v>
      </c>
      <c r="CH277" s="28">
        <f t="shared" si="2214"/>
        <v>0</v>
      </c>
      <c r="CI277" s="28">
        <f t="shared" ref="CI277:CJ277" si="2215">CI276-CI227</f>
        <v>0</v>
      </c>
      <c r="CJ277" s="28">
        <f t="shared" si="2215"/>
        <v>2.2737367544323206E-12</v>
      </c>
      <c r="CK277" s="28">
        <f t="shared" ref="CK277:DB277" si="2216">CK276-CK227</f>
        <v>0</v>
      </c>
      <c r="CL277" s="28">
        <f t="shared" si="2216"/>
        <v>0</v>
      </c>
      <c r="CM277" s="30">
        <f t="shared" si="2216"/>
        <v>0</v>
      </c>
      <c r="CN277" s="30">
        <f t="shared" si="2216"/>
        <v>0</v>
      </c>
      <c r="CO277" s="30">
        <f t="shared" si="2216"/>
        <v>0</v>
      </c>
      <c r="CP277" s="30">
        <f t="shared" si="2216"/>
        <v>0</v>
      </c>
      <c r="CQ277" s="30">
        <f t="shared" si="2216"/>
        <v>0</v>
      </c>
      <c r="CR277" s="30">
        <f t="shared" si="2216"/>
        <v>0</v>
      </c>
      <c r="CS277" s="30">
        <f t="shared" si="2216"/>
        <v>0</v>
      </c>
      <c r="CT277" s="30">
        <f t="shared" si="2216"/>
        <v>0</v>
      </c>
      <c r="CU277" s="30">
        <f t="shared" si="2216"/>
        <v>0</v>
      </c>
      <c r="CV277" s="30">
        <f t="shared" si="2216"/>
        <v>0</v>
      </c>
      <c r="CW277" s="30">
        <f t="shared" si="2216"/>
        <v>0</v>
      </c>
      <c r="CX277" s="30">
        <f t="shared" si="2216"/>
        <v>0</v>
      </c>
      <c r="CY277" s="30">
        <f t="shared" si="2216"/>
        <v>0</v>
      </c>
      <c r="CZ277" s="30">
        <f t="shared" si="2216"/>
        <v>0</v>
      </c>
      <c r="DA277" s="30">
        <f t="shared" si="2216"/>
        <v>0</v>
      </c>
      <c r="DB277" s="30">
        <f t="shared" si="2216"/>
        <v>0</v>
      </c>
      <c r="DE277" s="139"/>
      <c r="DF277" s="28">
        <v>1.0913936421275139E-11</v>
      </c>
    </row>
    <row r="278" spans="1:110" s="23" customFormat="1" x14ac:dyDescent="0.2">
      <c r="AB278" s="24"/>
      <c r="AC278" s="24"/>
      <c r="AD278" s="24"/>
      <c r="AE278" s="24"/>
      <c r="CM278" s="24"/>
      <c r="CN278" s="24"/>
      <c r="CO278" s="24"/>
      <c r="CP278" s="24"/>
      <c r="CQ278" s="24"/>
      <c r="CR278" s="24"/>
      <c r="CS278" s="24"/>
      <c r="CT278" s="24"/>
      <c r="CU278" s="24"/>
      <c r="CV278" s="24"/>
      <c r="CW278" s="24"/>
      <c r="CX278" s="24"/>
      <c r="CY278" s="24"/>
      <c r="CZ278" s="24"/>
      <c r="DA278" s="24"/>
      <c r="DB278" s="24"/>
      <c r="DE278" s="123"/>
    </row>
    <row r="279" spans="1:110" s="22" customFormat="1" x14ac:dyDescent="0.2">
      <c r="A279" s="22" t="s">
        <v>96</v>
      </c>
      <c r="C279" s="22">
        <f t="shared" ref="C279:W279" si="2217">C265+C267</f>
        <v>-74.724599999999981</v>
      </c>
      <c r="D279" s="22">
        <f t="shared" si="2217"/>
        <v>-27.480900000000059</v>
      </c>
      <c r="E279" s="22">
        <f t="shared" si="2217"/>
        <v>20.350100000000126</v>
      </c>
      <c r="F279" s="22">
        <f t="shared" si="2217"/>
        <v>176.1875</v>
      </c>
      <c r="G279" s="22">
        <f t="shared" si="2217"/>
        <v>77.691000000000003</v>
      </c>
      <c r="H279" s="22">
        <f t="shared" si="2217"/>
        <v>15.88499999999998</v>
      </c>
      <c r="I279" s="22">
        <f t="shared" si="2217"/>
        <v>37.838699999999953</v>
      </c>
      <c r="J279" s="22">
        <f>J265+J267</f>
        <v>20.455200000000019</v>
      </c>
      <c r="K279" s="22">
        <f t="shared" si="2217"/>
        <v>17.298500000000033</v>
      </c>
      <c r="L279" s="22">
        <f t="shared" si="2217"/>
        <v>10.443800000000103</v>
      </c>
      <c r="M279" s="22">
        <f t="shared" si="2217"/>
        <v>9.8425999999998766</v>
      </c>
      <c r="N279" s="22">
        <f t="shared" si="2217"/>
        <v>1.9197000000000202</v>
      </c>
      <c r="O279" s="22">
        <f t="shared" si="2217"/>
        <v>6.817700000000082</v>
      </c>
      <c r="P279" s="22">
        <f t="shared" si="2217"/>
        <v>-1.0448999999999939</v>
      </c>
      <c r="Q279" s="22">
        <f t="shared" si="2217"/>
        <v>8.2172000000000338</v>
      </c>
      <c r="R279" s="22">
        <f t="shared" si="2217"/>
        <v>-13.23919999999999</v>
      </c>
      <c r="S279" s="22">
        <f t="shared" si="2217"/>
        <v>-4.2728999999998791</v>
      </c>
      <c r="T279" s="22">
        <f t="shared" si="2217"/>
        <v>-64.871800000000178</v>
      </c>
      <c r="U279" s="22">
        <f t="shared" si="2217"/>
        <v>-22.243199999999888</v>
      </c>
      <c r="V279" s="22">
        <f t="shared" si="2217"/>
        <v>-101.41279999999993</v>
      </c>
      <c r="W279" s="22">
        <f t="shared" si="2217"/>
        <v>-109.84090000000018</v>
      </c>
      <c r="X279" s="22">
        <f t="shared" ref="X279:Y279" si="2218">X265+X267</f>
        <v>-962.6099999999999</v>
      </c>
      <c r="Y279" s="22">
        <f t="shared" si="2218"/>
        <v>-22.59000000000151</v>
      </c>
      <c r="Z279" s="22">
        <f t="shared" ref="Z279:AA279" si="2219">Z265+Z267</f>
        <v>-2728.0500000000011</v>
      </c>
      <c r="AA279" s="22">
        <f t="shared" si="2219"/>
        <v>-21479.649999999994</v>
      </c>
      <c r="AB279" s="21">
        <f t="shared" ref="AB279:AD279" si="2220">AB265+AB267</f>
        <v>2687.2087284597565</v>
      </c>
      <c r="AC279" s="21">
        <f t="shared" si="2220"/>
        <v>2304.4892813247516</v>
      </c>
      <c r="AD279" s="21">
        <f t="shared" si="2220"/>
        <v>5906.6830020399411</v>
      </c>
      <c r="AE279" s="21">
        <f t="shared" ref="AE279" si="2221">AE265+AE267</f>
        <v>6732.1056567223695</v>
      </c>
      <c r="AI279" s="22">
        <f t="shared" ref="AI279" si="2222">AI265+AI267</f>
        <v>1.5350000000000081</v>
      </c>
      <c r="AJ279" s="22">
        <f t="shared" ref="AJ279:AL279" si="2223">AJ265+AJ267</f>
        <v>-142.48100000000002</v>
      </c>
      <c r="AK279" s="22">
        <f t="shared" si="2223"/>
        <v>-14.790625264254409</v>
      </c>
      <c r="AL279" s="22">
        <f t="shared" si="2223"/>
        <v>20.074625264254394</v>
      </c>
      <c r="AM279" s="22">
        <f t="shared" ref="AM279" si="2224">AM265+AM267</f>
        <v>-84.054039151339779</v>
      </c>
      <c r="AN279" s="22">
        <f t="shared" ref="AN279:CD279" si="2225">AN265+AN267</f>
        <v>86.288039151339675</v>
      </c>
      <c r="AO279" s="22">
        <f t="shared" si="2225"/>
        <v>15.167072598074022</v>
      </c>
      <c r="AP279" s="22">
        <f t="shared" si="2225"/>
        <v>-10.479072598073973</v>
      </c>
      <c r="AQ279" s="22">
        <f t="shared" si="2225"/>
        <v>-14.690285572896849</v>
      </c>
      <c r="AR279" s="22">
        <f t="shared" si="2225"/>
        <v>16.485285572896849</v>
      </c>
      <c r="AS279" s="22">
        <f t="shared" si="2225"/>
        <v>-111.42829090372915</v>
      </c>
      <c r="AT279" s="22">
        <f t="shared" si="2225"/>
        <v>108.20629090372914</v>
      </c>
      <c r="AU279" s="22">
        <f t="shared" si="2225"/>
        <v>3.4280555262324501</v>
      </c>
      <c r="AV279" s="22">
        <f t="shared" si="2225"/>
        <v>1.5169444737674986</v>
      </c>
      <c r="AW279" s="22">
        <f t="shared" si="2225"/>
        <v>0.38855895624881764</v>
      </c>
      <c r="AX279" s="22">
        <f t="shared" si="2225"/>
        <v>-2.2665589562487476</v>
      </c>
      <c r="AY279" s="22">
        <f t="shared" si="2225"/>
        <v>-1.6061740872978496</v>
      </c>
      <c r="AZ279" s="22">
        <f t="shared" si="2225"/>
        <v>-9.8468259127021902</v>
      </c>
      <c r="BA279" s="22">
        <f t="shared" si="2225"/>
        <v>-7.2363152819775216</v>
      </c>
      <c r="BB279" s="22">
        <f t="shared" si="2225"/>
        <v>5.2393152819775963</v>
      </c>
      <c r="BC279" s="22">
        <f t="shared" si="2225"/>
        <v>1.8310181785217843</v>
      </c>
      <c r="BD279" s="22">
        <f t="shared" si="2225"/>
        <v>8.1229818214781417</v>
      </c>
      <c r="BE279" s="22">
        <f t="shared" si="2225"/>
        <v>-7.3042064315760697</v>
      </c>
      <c r="BF279" s="22">
        <f t="shared" si="2225"/>
        <v>-6.6007935684239314</v>
      </c>
      <c r="BG279" s="22">
        <f t="shared" si="2225"/>
        <v>6.5901922484599442</v>
      </c>
      <c r="BH279" s="22">
        <f t="shared" si="2225"/>
        <v>-4.6321922484599369</v>
      </c>
      <c r="BI279" s="22">
        <f t="shared" si="2225"/>
        <v>-2.5270644966864708E-2</v>
      </c>
      <c r="BJ279" s="22">
        <f t="shared" si="2225"/>
        <v>-59.906729355033129</v>
      </c>
      <c r="BK279" s="22">
        <f t="shared" si="2225"/>
        <v>8.4813595347089539</v>
      </c>
      <c r="BL279" s="22">
        <f t="shared" si="2225"/>
        <v>-31.494359534708963</v>
      </c>
      <c r="BM279" s="22">
        <f t="shared" si="2225"/>
        <v>-8.143078235273272</v>
      </c>
      <c r="BN279" s="22">
        <f t="shared" si="2225"/>
        <v>23.38007823527332</v>
      </c>
      <c r="BO279" s="22">
        <f t="shared" si="2225"/>
        <v>18.294150278400171</v>
      </c>
      <c r="BP279" s="22">
        <f t="shared" si="2225"/>
        <v>-51.899150278400114</v>
      </c>
      <c r="BQ279" s="22">
        <f t="shared" si="2225"/>
        <v>2.5312855359566289</v>
      </c>
      <c r="BR279" s="22">
        <f t="shared" si="2225"/>
        <v>-21.034285535956574</v>
      </c>
      <c r="BS279" s="22">
        <f t="shared" si="2225"/>
        <v>-0.59737513780250495</v>
      </c>
      <c r="BT279" s="22">
        <f t="shared" si="2225"/>
        <v>-162.79462486219757</v>
      </c>
      <c r="BU279" s="22">
        <f t="shared" si="2225"/>
        <v>-81.998259569378007</v>
      </c>
      <c r="BV279" s="22">
        <f t="shared" si="2225"/>
        <v>103.26725956937801</v>
      </c>
      <c r="BW279" s="22">
        <f t="shared" si="2225"/>
        <v>-1198.5123414663426</v>
      </c>
      <c r="BX279" s="22">
        <f t="shared" si="2225"/>
        <v>722.93234146634222</v>
      </c>
      <c r="BY279" s="22">
        <f t="shared" si="2225"/>
        <v>178.42518226074549</v>
      </c>
      <c r="BZ279" s="22">
        <f t="shared" si="2225"/>
        <v>-702.60518226074544</v>
      </c>
      <c r="CA279" s="22">
        <f t="shared" si="2225"/>
        <v>130.12515902995716</v>
      </c>
      <c r="CB279" s="22">
        <f t="shared" si="2225"/>
        <v>6.9748409700429193</v>
      </c>
      <c r="CC279" s="22">
        <f t="shared" si="2225"/>
        <v>102.52704043763873</v>
      </c>
      <c r="CD279" s="22">
        <f t="shared" si="2225"/>
        <v>-263.77704043763924</v>
      </c>
      <c r="CE279" s="22">
        <f t="shared" ref="CE279:CF279" si="2226">CE265+CE267</f>
        <v>604.08165914983647</v>
      </c>
      <c r="CF279" s="22">
        <f t="shared" si="2226"/>
        <v>-1938.5816591498372</v>
      </c>
      <c r="CG279" s="22">
        <f t="shared" ref="CG279:CH279" si="2227">CG265+CG267</f>
        <v>312.40966232264662</v>
      </c>
      <c r="CH279" s="22">
        <f t="shared" si="2227"/>
        <v>-1711.309662322647</v>
      </c>
      <c r="CI279" s="22">
        <f t="shared" ref="CI279:CJ279" si="2228">CI265+CI267</f>
        <v>-121.33621067627428</v>
      </c>
      <c r="CJ279" s="22">
        <f t="shared" si="2228"/>
        <v>-7100.1637893237257</v>
      </c>
      <c r="CK279" s="22">
        <f t="shared" ref="CK279:DB279" si="2229">CK265+CK267</f>
        <v>-297.52106023799729</v>
      </c>
      <c r="CL279" s="22">
        <f t="shared" si="2229"/>
        <v>-13960.628939762002</v>
      </c>
      <c r="CM279" s="21">
        <f t="shared" si="2229"/>
        <v>820.24743613500823</v>
      </c>
      <c r="CN279" s="21">
        <f t="shared" si="2229"/>
        <v>1684.0074799628787</v>
      </c>
      <c r="CO279" s="21">
        <f t="shared" si="2229"/>
        <v>241.86969120806316</v>
      </c>
      <c r="CP279" s="21">
        <f t="shared" si="2229"/>
        <v>-58.92587884619752</v>
      </c>
      <c r="CQ279" s="21">
        <f t="shared" si="2229"/>
        <v>-1461.6509148032599</v>
      </c>
      <c r="CR279" s="21">
        <f t="shared" si="2229"/>
        <v>1775.2712376853306</v>
      </c>
      <c r="CS279" s="21">
        <f t="shared" si="2229"/>
        <v>617.4959875135487</v>
      </c>
      <c r="CT279" s="21">
        <f t="shared" si="2229"/>
        <v>1373.3729709291342</v>
      </c>
      <c r="CU279" s="21">
        <f t="shared" si="2229"/>
        <v>1792.7773090055821</v>
      </c>
      <c r="CV279" s="21">
        <f t="shared" si="2229"/>
        <v>2432.7400009454723</v>
      </c>
      <c r="CW279" s="21">
        <f t="shared" si="2229"/>
        <v>421.14951761550492</v>
      </c>
      <c r="CX279" s="21">
        <f t="shared" si="2229"/>
        <v>1260.0161744733819</v>
      </c>
      <c r="CY279" s="21">
        <f t="shared" si="2229"/>
        <v>1458.2371891126068</v>
      </c>
      <c r="CZ279" s="21">
        <f t="shared" si="2229"/>
        <v>2848.5212143652566</v>
      </c>
      <c r="DA279" s="21">
        <f t="shared" si="2229"/>
        <v>753.49113979346157</v>
      </c>
      <c r="DB279" s="21">
        <f t="shared" si="2229"/>
        <v>1671.856113451046</v>
      </c>
      <c r="DE279" s="126"/>
      <c r="DF279" s="22">
        <v>-21479.649999999994</v>
      </c>
    </row>
    <row r="280" spans="1:110" x14ac:dyDescent="0.2">
      <c r="A280" s="152" t="s">
        <v>496</v>
      </c>
      <c r="AA280" s="2"/>
      <c r="DF280" s="111"/>
    </row>
    <row r="281" spans="1:110" x14ac:dyDescent="0.2">
      <c r="AA281" s="2"/>
      <c r="DF281" s="111"/>
    </row>
    <row r="282" spans="1:110" s="7" customFormat="1" hidden="1" outlineLevel="1" x14ac:dyDescent="0.2">
      <c r="A282" s="61" t="s">
        <v>97</v>
      </c>
      <c r="AB282" s="77"/>
      <c r="AC282" s="77"/>
      <c r="AD282" s="77"/>
      <c r="AE282" s="77"/>
      <c r="CM282" s="50"/>
      <c r="CN282" s="50"/>
      <c r="CO282" s="50"/>
      <c r="CP282" s="50"/>
      <c r="CQ282" s="50"/>
      <c r="CR282" s="50"/>
      <c r="CS282" s="50"/>
      <c r="CT282" s="50"/>
      <c r="CU282" s="50"/>
      <c r="CV282" s="50"/>
      <c r="CW282" s="50"/>
      <c r="CX282" s="50"/>
      <c r="CY282" s="50"/>
      <c r="CZ282" s="50"/>
      <c r="DA282" s="50"/>
      <c r="DB282" s="50"/>
      <c r="DE282" s="138"/>
      <c r="DF282" s="115"/>
    </row>
    <row r="283" spans="1:110" s="62" customFormat="1" hidden="1" outlineLevel="1" x14ac:dyDescent="0.2">
      <c r="A283" s="62" t="s">
        <v>98</v>
      </c>
      <c r="AB283" s="63"/>
      <c r="AC283" s="63"/>
      <c r="AD283" s="63"/>
      <c r="AE283" s="63"/>
      <c r="CM283" s="30"/>
      <c r="CN283" s="30"/>
      <c r="CO283" s="30"/>
      <c r="CP283" s="30"/>
      <c r="CQ283" s="30"/>
      <c r="CR283" s="30"/>
      <c r="CS283" s="30"/>
      <c r="CT283" s="30"/>
      <c r="CU283" s="30"/>
      <c r="CV283" s="30"/>
      <c r="CW283" s="30"/>
      <c r="CX283" s="30"/>
      <c r="CY283" s="30"/>
      <c r="CZ283" s="30"/>
      <c r="DA283" s="30"/>
      <c r="DB283" s="30"/>
      <c r="DE283" s="139"/>
      <c r="DF283" s="114"/>
    </row>
    <row r="284" spans="1:110" s="62" customFormat="1" hidden="1" outlineLevel="1" x14ac:dyDescent="0.2">
      <c r="A284" s="62" t="s">
        <v>99</v>
      </c>
      <c r="AB284" s="63"/>
      <c r="AC284" s="63"/>
      <c r="AD284" s="63"/>
      <c r="AE284" s="63"/>
      <c r="CM284" s="30"/>
      <c r="CN284" s="30"/>
      <c r="CO284" s="30"/>
      <c r="CP284" s="30"/>
      <c r="CQ284" s="30"/>
      <c r="CR284" s="30"/>
      <c r="CS284" s="30"/>
      <c r="CT284" s="30"/>
      <c r="CU284" s="30"/>
      <c r="CV284" s="30"/>
      <c r="CW284" s="30"/>
      <c r="CX284" s="30"/>
      <c r="CY284" s="30"/>
      <c r="CZ284" s="30"/>
      <c r="DA284" s="30"/>
      <c r="DB284" s="30"/>
      <c r="DE284" s="139"/>
      <c r="DF284" s="114"/>
    </row>
    <row r="285" spans="1:110" s="62" customFormat="1" hidden="1" outlineLevel="1" x14ac:dyDescent="0.2">
      <c r="A285" s="62" t="s">
        <v>100</v>
      </c>
      <c r="AB285" s="63"/>
      <c r="AC285" s="63"/>
      <c r="AD285" s="63"/>
      <c r="AE285" s="63"/>
      <c r="CM285" s="30"/>
      <c r="CN285" s="30"/>
      <c r="CO285" s="30"/>
      <c r="CP285" s="30"/>
      <c r="CQ285" s="30"/>
      <c r="CR285" s="30"/>
      <c r="CS285" s="30"/>
      <c r="CT285" s="30"/>
      <c r="CU285" s="30"/>
      <c r="CV285" s="30"/>
      <c r="CW285" s="30"/>
      <c r="CX285" s="30"/>
      <c r="CY285" s="30"/>
      <c r="CZ285" s="30"/>
      <c r="DA285" s="30"/>
      <c r="DB285" s="30"/>
      <c r="DE285" s="139"/>
      <c r="DF285" s="114"/>
    </row>
    <row r="286" spans="1:110" s="62" customFormat="1" hidden="1" outlineLevel="1" x14ac:dyDescent="0.2">
      <c r="AB286" s="63"/>
      <c r="AC286" s="63"/>
      <c r="AD286" s="63"/>
      <c r="AE286" s="63"/>
      <c r="CM286" s="30"/>
      <c r="CN286" s="30"/>
      <c r="CO286" s="30"/>
      <c r="CP286" s="30"/>
      <c r="CQ286" s="30"/>
      <c r="CR286" s="30"/>
      <c r="CS286" s="30"/>
      <c r="CT286" s="30"/>
      <c r="CU286" s="30"/>
      <c r="CV286" s="30"/>
      <c r="CW286" s="30"/>
      <c r="CX286" s="30"/>
      <c r="CY286" s="30"/>
      <c r="CZ286" s="30"/>
      <c r="DA286" s="30"/>
      <c r="DB286" s="30"/>
      <c r="DE286" s="139"/>
      <c r="DF286" s="114"/>
    </row>
    <row r="287" spans="1:110" s="62" customFormat="1" hidden="1" outlineLevel="1" x14ac:dyDescent="0.2">
      <c r="AB287" s="63"/>
      <c r="AC287" s="63"/>
      <c r="AD287" s="63"/>
      <c r="AE287" s="63"/>
      <c r="CM287" s="30"/>
      <c r="CN287" s="30"/>
      <c r="CO287" s="30"/>
      <c r="CP287" s="30"/>
      <c r="CQ287" s="30"/>
      <c r="CR287" s="30"/>
      <c r="CS287" s="30"/>
      <c r="CT287" s="30"/>
      <c r="CU287" s="30"/>
      <c r="CV287" s="30"/>
      <c r="CW287" s="30"/>
      <c r="CX287" s="30"/>
      <c r="CY287" s="30"/>
      <c r="CZ287" s="30"/>
      <c r="DA287" s="30"/>
      <c r="DB287" s="30"/>
      <c r="DE287" s="139"/>
      <c r="DF287" s="114"/>
    </row>
    <row r="288" spans="1:110" s="62" customFormat="1" hidden="1" outlineLevel="1" x14ac:dyDescent="0.2">
      <c r="AB288" s="63"/>
      <c r="AC288" s="63"/>
      <c r="AD288" s="63"/>
      <c r="AE288" s="63"/>
      <c r="CM288" s="30"/>
      <c r="CN288" s="30"/>
      <c r="CO288" s="30"/>
      <c r="CP288" s="30"/>
      <c r="CQ288" s="30"/>
      <c r="CR288" s="30"/>
      <c r="CS288" s="30"/>
      <c r="CT288" s="30"/>
      <c r="CU288" s="30"/>
      <c r="CV288" s="30"/>
      <c r="CW288" s="30"/>
      <c r="CX288" s="30"/>
      <c r="CY288" s="30"/>
      <c r="CZ288" s="30"/>
      <c r="DA288" s="30"/>
      <c r="DB288" s="30"/>
      <c r="DE288" s="139"/>
      <c r="DF288" s="114"/>
    </row>
    <row r="289" spans="1:110" s="11" customFormat="1" collapsed="1" x14ac:dyDescent="0.2">
      <c r="AB289" s="63"/>
      <c r="AC289" s="63"/>
      <c r="AD289" s="63"/>
      <c r="AE289" s="63"/>
      <c r="CM289" s="30"/>
      <c r="CN289" s="30"/>
      <c r="CO289" s="30"/>
      <c r="CP289" s="30"/>
      <c r="CQ289" s="30"/>
      <c r="CR289" s="30"/>
      <c r="CS289" s="30"/>
      <c r="CT289" s="30"/>
      <c r="CU289" s="30"/>
      <c r="CV289" s="30"/>
      <c r="CW289" s="30"/>
      <c r="CX289" s="30"/>
      <c r="CY289" s="30"/>
      <c r="CZ289" s="30"/>
      <c r="DA289" s="30"/>
      <c r="DB289" s="30"/>
      <c r="DE289" s="139"/>
      <c r="DF289" s="212"/>
    </row>
    <row r="290" spans="1:110" s="83" customFormat="1" x14ac:dyDescent="0.2">
      <c r="A290" s="82" t="s">
        <v>101</v>
      </c>
      <c r="AB290" s="72"/>
      <c r="AC290" s="72"/>
      <c r="AD290" s="72"/>
      <c r="AE290" s="72"/>
      <c r="CM290" s="30"/>
      <c r="CN290" s="30"/>
      <c r="CO290" s="30"/>
      <c r="CP290" s="30"/>
      <c r="CQ290" s="30"/>
      <c r="CR290" s="30"/>
      <c r="CS290" s="30"/>
      <c r="CT290" s="30"/>
      <c r="CU290" s="30"/>
      <c r="CV290" s="30"/>
      <c r="CW290" s="30"/>
      <c r="CX290" s="30"/>
      <c r="CY290" s="30"/>
      <c r="CZ290" s="30"/>
      <c r="DA290" s="30"/>
      <c r="DB290" s="30"/>
      <c r="DE290" s="139"/>
    </row>
    <row r="291" spans="1:110" s="66" customFormat="1" x14ac:dyDescent="0.2">
      <c r="A291" s="66" t="s">
        <v>471</v>
      </c>
      <c r="AB291" s="50"/>
      <c r="AC291" s="50"/>
      <c r="AD291" s="50"/>
      <c r="AE291" s="50"/>
      <c r="AL291" s="66">
        <f t="shared" ref="AL291:BQ291" si="2230">SUM(AI74:AL74)</f>
        <v>749.81</v>
      </c>
      <c r="AM291" s="66">
        <f t="shared" si="2230"/>
        <v>640.20000000000005</v>
      </c>
      <c r="AN291" s="66">
        <f t="shared" si="2230"/>
        <v>626.87</v>
      </c>
      <c r="AO291" s="66">
        <f t="shared" si="2230"/>
        <v>616.88200000000006</v>
      </c>
      <c r="AP291" s="66">
        <f t="shared" si="2230"/>
        <v>557.58199999999999</v>
      </c>
      <c r="AQ291" s="66">
        <f t="shared" si="2230"/>
        <v>594.10500000000002</v>
      </c>
      <c r="AR291" s="66">
        <f t="shared" si="2230"/>
        <v>701.86500000000001</v>
      </c>
      <c r="AS291" s="66">
        <f t="shared" si="2230"/>
        <v>691.5630000000001</v>
      </c>
      <c r="AT291" s="66">
        <f t="shared" si="2230"/>
        <v>631.18200000000002</v>
      </c>
      <c r="AU291" s="66">
        <f t="shared" si="2230"/>
        <v>587.60599999999999</v>
      </c>
      <c r="AV291" s="66">
        <f t="shared" si="2230"/>
        <v>448.15299999999996</v>
      </c>
      <c r="AW291" s="66">
        <f t="shared" si="2230"/>
        <v>407.78500000000003</v>
      </c>
      <c r="AX291" s="66">
        <f t="shared" si="2230"/>
        <v>369.22</v>
      </c>
      <c r="AY291" s="66">
        <f t="shared" si="2230"/>
        <v>333.64400000000001</v>
      </c>
      <c r="AZ291" s="66">
        <f t="shared" si="2230"/>
        <v>343.93100000000004</v>
      </c>
      <c r="BA291" s="66">
        <f t="shared" si="2230"/>
        <v>385.37599999999998</v>
      </c>
      <c r="BB291" s="66">
        <f t="shared" si="2230"/>
        <v>373.21699999999998</v>
      </c>
      <c r="BC291" s="66">
        <f t="shared" si="2230"/>
        <v>375.84199999999998</v>
      </c>
      <c r="BD291" s="66">
        <f t="shared" si="2230"/>
        <v>365.41100000000006</v>
      </c>
      <c r="BE291" s="66">
        <f t="shared" si="2230"/>
        <v>365.95500000000004</v>
      </c>
      <c r="BF291" s="66">
        <f t="shared" si="2230"/>
        <v>402.61800000000005</v>
      </c>
      <c r="BG291" s="66">
        <f t="shared" si="2230"/>
        <v>439.452</v>
      </c>
      <c r="BH291" s="66">
        <f t="shared" si="2230"/>
        <v>464.34000000000003</v>
      </c>
      <c r="BI291" s="66">
        <f t="shared" si="2230"/>
        <v>453.00400000000002</v>
      </c>
      <c r="BJ291" s="66">
        <f t="shared" si="2230"/>
        <v>474.32900000000006</v>
      </c>
      <c r="BK291" s="66">
        <f t="shared" si="2230"/>
        <v>466.34399999999999</v>
      </c>
      <c r="BL291" s="66">
        <f t="shared" si="2230"/>
        <v>421.53899999999999</v>
      </c>
      <c r="BM291" s="66">
        <f t="shared" si="2230"/>
        <v>398.16500000000002</v>
      </c>
      <c r="BN291" s="66">
        <f t="shared" si="2230"/>
        <v>371.73900000000003</v>
      </c>
      <c r="BO291" s="66">
        <f t="shared" si="2230"/>
        <v>255.892</v>
      </c>
      <c r="BP291" s="66">
        <f t="shared" si="2230"/>
        <v>273.19799999999998</v>
      </c>
      <c r="BQ291" s="66">
        <f t="shared" si="2230"/>
        <v>262.149</v>
      </c>
      <c r="BR291" s="66">
        <f t="shared" ref="BR291:CW291" si="2231">SUM(BO74:BR74)</f>
        <v>253.40700000000001</v>
      </c>
      <c r="BS291" s="66">
        <f t="shared" si="2231"/>
        <v>338.49700000000001</v>
      </c>
      <c r="BT291" s="66">
        <f t="shared" si="2231"/>
        <v>365.11700000000002</v>
      </c>
      <c r="BU291" s="66">
        <f t="shared" si="2231"/>
        <v>459.53499999999997</v>
      </c>
      <c r="BV291" s="66">
        <f t="shared" si="2231"/>
        <v>697.5</v>
      </c>
      <c r="BW291" s="66">
        <f t="shared" si="2231"/>
        <v>1444.48</v>
      </c>
      <c r="BX291" s="66">
        <f t="shared" si="2231"/>
        <v>2017.9199999999998</v>
      </c>
      <c r="BY291" s="66">
        <f t="shared" si="2231"/>
        <v>2849.27</v>
      </c>
      <c r="BZ291" s="66">
        <f t="shared" si="2231"/>
        <v>3392.31</v>
      </c>
      <c r="CA291" s="66">
        <f t="shared" si="2231"/>
        <v>4515.1499999999996</v>
      </c>
      <c r="CB291" s="66">
        <f t="shared" si="2231"/>
        <v>4932.7</v>
      </c>
      <c r="CC291" s="66">
        <f t="shared" si="2231"/>
        <v>5845.42</v>
      </c>
      <c r="CD291" s="66">
        <f t="shared" si="2231"/>
        <v>6523.46</v>
      </c>
      <c r="CE291" s="66">
        <f t="shared" si="2231"/>
        <v>6975.1799999999994</v>
      </c>
      <c r="CF291" s="66">
        <f t="shared" si="2231"/>
        <v>7319.5599999999995</v>
      </c>
      <c r="CG291" s="66">
        <f t="shared" si="2231"/>
        <v>7082.3899999999994</v>
      </c>
      <c r="CH291" s="66">
        <f t="shared" si="2231"/>
        <v>6721.4</v>
      </c>
      <c r="CI291" s="66">
        <f t="shared" si="2231"/>
        <v>6687.68</v>
      </c>
      <c r="CJ291" s="66">
        <f t="shared" si="2231"/>
        <v>8903.34</v>
      </c>
      <c r="CK291" s="66">
        <f t="shared" si="2231"/>
        <v>12286.25</v>
      </c>
      <c r="CL291" s="66">
        <f t="shared" si="2231"/>
        <v>17112.670000000002</v>
      </c>
      <c r="CM291" s="50">
        <f t="shared" si="2231"/>
        <v>20302.34776509093</v>
      </c>
      <c r="CN291" s="50">
        <f t="shared" si="2231"/>
        <v>21838.626143221547</v>
      </c>
      <c r="CO291" s="50">
        <f t="shared" si="2231"/>
        <v>22181.33895088037</v>
      </c>
      <c r="CP291" s="50">
        <f t="shared" si="2231"/>
        <v>22012.32508477247</v>
      </c>
      <c r="CQ291" s="50">
        <f t="shared" si="2231"/>
        <v>23663.81391100516</v>
      </c>
      <c r="CR291" s="50">
        <f t="shared" si="2231"/>
        <v>25563.331480253095</v>
      </c>
      <c r="CS291" s="50">
        <f t="shared" si="2231"/>
        <v>28074.710328431291</v>
      </c>
      <c r="CT291" s="50">
        <f t="shared" si="2231"/>
        <v>30538.688081989392</v>
      </c>
      <c r="CU291" s="50">
        <f t="shared" si="2231"/>
        <v>31647.101631346508</v>
      </c>
      <c r="CV291" s="50">
        <f t="shared" si="2231"/>
        <v>32400.654378102932</v>
      </c>
      <c r="CW291" s="50">
        <f t="shared" si="2231"/>
        <v>33400.452505837071</v>
      </c>
      <c r="CX291" s="50">
        <f t="shared" ref="CX291:DB291" si="2232">SUM(CU74:CX74)</f>
        <v>34582.593728378532</v>
      </c>
      <c r="CY291" s="50">
        <f t="shared" si="2232"/>
        <v>36283.825486577996</v>
      </c>
      <c r="CZ291" s="50">
        <f t="shared" si="2232"/>
        <v>37985.442442526633</v>
      </c>
      <c r="DA291" s="50">
        <f t="shared" si="2232"/>
        <v>39758.598832397409</v>
      </c>
      <c r="DB291" s="50">
        <f t="shared" si="2232"/>
        <v>41564.849969301016</v>
      </c>
      <c r="DE291" s="138"/>
    </row>
    <row r="292" spans="1:110" s="66" customFormat="1" x14ac:dyDescent="0.2">
      <c r="A292" s="66" t="s">
        <v>472</v>
      </c>
      <c r="AB292" s="50"/>
      <c r="AC292" s="50"/>
      <c r="AD292" s="50"/>
      <c r="AE292" s="50"/>
      <c r="AL292" s="66">
        <f t="shared" ref="AL292:BQ292" si="2233">SUM(AI95:AL95)</f>
        <v>20.672000000000004</v>
      </c>
      <c r="AM292" s="66">
        <f t="shared" si="2233"/>
        <v>4.5189999999999699</v>
      </c>
      <c r="AN292" s="66">
        <f t="shared" si="2233"/>
        <v>4.1549999999999638</v>
      </c>
      <c r="AO292" s="66">
        <f t="shared" si="2233"/>
        <v>3.0999999999999623</v>
      </c>
      <c r="AP292" s="66">
        <f t="shared" si="2233"/>
        <v>-25.237000000000013</v>
      </c>
      <c r="AQ292" s="66">
        <f t="shared" si="2233"/>
        <v>-24.609999999999957</v>
      </c>
      <c r="AR292" s="66">
        <f t="shared" si="2233"/>
        <v>-26.210999999999938</v>
      </c>
      <c r="AS292" s="66">
        <f t="shared" si="2233"/>
        <v>-31.004999999999953</v>
      </c>
      <c r="AT292" s="66">
        <f t="shared" si="2233"/>
        <v>-26.372999999999969</v>
      </c>
      <c r="AU292" s="66">
        <f t="shared" si="2233"/>
        <v>-15.758999999999975</v>
      </c>
      <c r="AV292" s="66">
        <f t="shared" si="2233"/>
        <v>-6.8490000000000091</v>
      </c>
      <c r="AW292" s="66">
        <f t="shared" si="2233"/>
        <v>0.81699999999999839</v>
      </c>
      <c r="AX292" s="66">
        <f t="shared" si="2233"/>
        <v>13.187000000000005</v>
      </c>
      <c r="AY292" s="66">
        <f t="shared" si="2233"/>
        <v>12.067999999999996</v>
      </c>
      <c r="AZ292" s="66">
        <f t="shared" si="2233"/>
        <v>10.725999999999988</v>
      </c>
      <c r="BA292" s="66">
        <f t="shared" si="2233"/>
        <v>15.858999999999995</v>
      </c>
      <c r="BB292" s="66">
        <f t="shared" si="2233"/>
        <v>19.058999999999983</v>
      </c>
      <c r="BC292" s="66">
        <f t="shared" si="2233"/>
        <v>25.571999999999971</v>
      </c>
      <c r="BD292" s="66">
        <f t="shared" si="2233"/>
        <v>24.627999999999997</v>
      </c>
      <c r="BE292" s="66">
        <f t="shared" si="2233"/>
        <v>20.508000000000017</v>
      </c>
      <c r="BF292" s="66">
        <f t="shared" si="2233"/>
        <v>16.444000000000006</v>
      </c>
      <c r="BG292" s="66">
        <f t="shared" si="2233"/>
        <v>16.822000000000013</v>
      </c>
      <c r="BH292" s="66">
        <f t="shared" si="2233"/>
        <v>22.648</v>
      </c>
      <c r="BI292" s="66">
        <f t="shared" si="2233"/>
        <v>27.976999999999986</v>
      </c>
      <c r="BJ292" s="66">
        <f t="shared" si="2233"/>
        <v>15.757000000000019</v>
      </c>
      <c r="BK292" s="66">
        <f t="shared" si="2233"/>
        <v>16.402000000000015</v>
      </c>
      <c r="BL292" s="66">
        <f t="shared" si="2233"/>
        <v>14.315000000000015</v>
      </c>
      <c r="BM292" s="66">
        <f t="shared" si="2233"/>
        <v>13.450000000000006</v>
      </c>
      <c r="BN292" s="66">
        <f t="shared" si="2233"/>
        <v>21.127999999999979</v>
      </c>
      <c r="BO292" s="66">
        <f t="shared" si="2233"/>
        <v>5.3169999999999771</v>
      </c>
      <c r="BP292" s="66">
        <f t="shared" si="2233"/>
        <v>6.2579999999999814</v>
      </c>
      <c r="BQ292" s="66">
        <f t="shared" si="2233"/>
        <v>7.159999999999993</v>
      </c>
      <c r="BR292" s="66">
        <f t="shared" ref="BR292:CW292" si="2234">SUM(BO95:BR95)</f>
        <v>10.87300000000001</v>
      </c>
      <c r="BS292" s="66">
        <f t="shared" si="2234"/>
        <v>20.468000000000014</v>
      </c>
      <c r="BT292" s="66">
        <f t="shared" si="2234"/>
        <v>16.235000000000014</v>
      </c>
      <c r="BU292" s="66">
        <f t="shared" si="2234"/>
        <v>40.771000000000015</v>
      </c>
      <c r="BV292" s="66">
        <f t="shared" si="2234"/>
        <v>145.53999999999996</v>
      </c>
      <c r="BW292" s="66">
        <f t="shared" si="2234"/>
        <v>405.4899999999999</v>
      </c>
      <c r="BX292" s="66">
        <f t="shared" si="2234"/>
        <v>563.00999999999988</v>
      </c>
      <c r="BY292" s="66">
        <f t="shared" si="2234"/>
        <v>757.87999999999977</v>
      </c>
      <c r="BZ292" s="66">
        <f t="shared" si="2234"/>
        <v>810.28999999999985</v>
      </c>
      <c r="CA292" s="66">
        <f t="shared" si="2234"/>
        <v>1084.3</v>
      </c>
      <c r="CB292" s="66">
        <f t="shared" si="2234"/>
        <v>1213.6999999999998</v>
      </c>
      <c r="CC292" s="66">
        <f t="shared" si="2234"/>
        <v>1436.2099999999998</v>
      </c>
      <c r="CD292" s="66">
        <f t="shared" si="2234"/>
        <v>1730.07</v>
      </c>
      <c r="CE292" s="66">
        <f t="shared" si="2234"/>
        <v>1912.8699999999992</v>
      </c>
      <c r="CF292" s="66">
        <f t="shared" si="2234"/>
        <v>2037.2599999999993</v>
      </c>
      <c r="CG292" s="66">
        <f t="shared" si="2234"/>
        <v>2124.2199999999993</v>
      </c>
      <c r="CH292" s="66">
        <f t="shared" si="2234"/>
        <v>1926.9099999999994</v>
      </c>
      <c r="CI292" s="66">
        <f t="shared" si="2234"/>
        <v>2002.4299999999998</v>
      </c>
      <c r="CJ292" s="66">
        <f t="shared" si="2234"/>
        <v>2634.81</v>
      </c>
      <c r="CK292" s="66">
        <f t="shared" si="2234"/>
        <v>3857.59</v>
      </c>
      <c r="CL292" s="66">
        <f t="shared" si="2234"/>
        <v>6141.7900000000009</v>
      </c>
      <c r="CM292" s="50">
        <f t="shared" si="2234"/>
        <v>7650.0426800000005</v>
      </c>
      <c r="CN292" s="50">
        <f t="shared" si="2234"/>
        <v>8804.8569339999995</v>
      </c>
      <c r="CO292" s="50">
        <f t="shared" si="2234"/>
        <v>9276.4916300000004</v>
      </c>
      <c r="CP292" s="50">
        <f t="shared" si="2234"/>
        <v>9054.9934999999987</v>
      </c>
      <c r="CQ292" s="50">
        <f t="shared" si="2234"/>
        <v>9228.1854232910155</v>
      </c>
      <c r="CR292" s="50">
        <f t="shared" si="2234"/>
        <v>9588.3454007446053</v>
      </c>
      <c r="CS292" s="50">
        <f t="shared" si="2234"/>
        <v>10210.729502154994</v>
      </c>
      <c r="CT292" s="50">
        <f t="shared" si="2234"/>
        <v>10912.039774977229</v>
      </c>
      <c r="CU292" s="50">
        <f t="shared" si="2234"/>
        <v>11450.661036978581</v>
      </c>
      <c r="CV292" s="50">
        <f t="shared" si="2234"/>
        <v>11767.052246790841</v>
      </c>
      <c r="CW292" s="50">
        <f t="shared" si="2234"/>
        <v>12142.555368825089</v>
      </c>
      <c r="CX292" s="50">
        <f t="shared" ref="CX292:DB292" si="2235">SUM(CU95:CX95)</f>
        <v>12535.029516807354</v>
      </c>
      <c r="CY292" s="50">
        <f t="shared" si="2235"/>
        <v>13082.7088516523</v>
      </c>
      <c r="CZ292" s="50">
        <f t="shared" si="2235"/>
        <v>13620.547551780768</v>
      </c>
      <c r="DA292" s="50">
        <f t="shared" si="2235"/>
        <v>14176.047083281699</v>
      </c>
      <c r="DB292" s="50">
        <f t="shared" si="2235"/>
        <v>14745.929363666903</v>
      </c>
      <c r="DE292" s="138"/>
    </row>
    <row r="293" spans="1:110" s="66" customFormat="1" x14ac:dyDescent="0.2">
      <c r="A293" s="66" t="s">
        <v>473</v>
      </c>
      <c r="AB293" s="50"/>
      <c r="AC293" s="50"/>
      <c r="AD293" s="50"/>
      <c r="AE293" s="50"/>
      <c r="AL293" s="66">
        <f t="shared" ref="AL293:BQ293" si="2236">SUM(AI108:AL108)</f>
        <v>1.9170000000000034</v>
      </c>
      <c r="AM293" s="66">
        <f t="shared" si="2236"/>
        <v>-12.32700000000003</v>
      </c>
      <c r="AN293" s="66">
        <f t="shared" si="2236"/>
        <v>-21.786000000000033</v>
      </c>
      <c r="AO293" s="66">
        <f t="shared" si="2236"/>
        <v>-21.440000000000033</v>
      </c>
      <c r="AP293" s="66">
        <f t="shared" si="2236"/>
        <v>-42.44700000000001</v>
      </c>
      <c r="AQ293" s="66">
        <f t="shared" si="2236"/>
        <v>-38.304999999999957</v>
      </c>
      <c r="AR293" s="66">
        <f t="shared" si="2236"/>
        <v>-30.543999999999933</v>
      </c>
      <c r="AS293" s="66">
        <f t="shared" si="2236"/>
        <v>-31.273999999999951</v>
      </c>
      <c r="AT293" s="66">
        <f t="shared" si="2236"/>
        <v>-20.815999999999967</v>
      </c>
      <c r="AU293" s="66">
        <f t="shared" si="2236"/>
        <v>-9.5089999999999755</v>
      </c>
      <c r="AV293" s="66">
        <f t="shared" si="2236"/>
        <v>-6.10700000000001</v>
      </c>
      <c r="AW293" s="66">
        <f t="shared" si="2236"/>
        <v>0.79099999999999859</v>
      </c>
      <c r="AX293" s="66">
        <f t="shared" si="2236"/>
        <v>6.9510000000000041</v>
      </c>
      <c r="AY293" s="66">
        <f t="shared" si="2236"/>
        <v>4.3499999999999943</v>
      </c>
      <c r="AZ293" s="66">
        <f t="shared" si="2236"/>
        <v>4.3009999999999877</v>
      </c>
      <c r="BA293" s="66">
        <f t="shared" si="2236"/>
        <v>4.4749999999999943</v>
      </c>
      <c r="BB293" s="66">
        <f t="shared" si="2236"/>
        <v>5.5729999999999844</v>
      </c>
      <c r="BC293" s="66">
        <f t="shared" si="2236"/>
        <v>10.715999999999973</v>
      </c>
      <c r="BD293" s="66">
        <f t="shared" si="2236"/>
        <v>10.587999999999997</v>
      </c>
      <c r="BE293" s="66">
        <f t="shared" si="2236"/>
        <v>11.732000000000017</v>
      </c>
      <c r="BF293" s="66">
        <f t="shared" si="2236"/>
        <v>17.034000000000006</v>
      </c>
      <c r="BG293" s="66">
        <f t="shared" si="2236"/>
        <v>22.013000000000012</v>
      </c>
      <c r="BH293" s="66">
        <f t="shared" si="2236"/>
        <v>22.531999999999996</v>
      </c>
      <c r="BI293" s="66">
        <f t="shared" si="2236"/>
        <v>22.806999999999984</v>
      </c>
      <c r="BJ293" s="66">
        <f t="shared" si="2236"/>
        <v>20.63300000000002</v>
      </c>
      <c r="BK293" s="66">
        <f t="shared" si="2236"/>
        <v>17.861000000000015</v>
      </c>
      <c r="BL293" s="66">
        <f t="shared" si="2236"/>
        <v>17.174000000000017</v>
      </c>
      <c r="BM293" s="66">
        <f t="shared" si="2236"/>
        <v>18.409000000000006</v>
      </c>
      <c r="BN293" s="66">
        <f t="shared" si="2236"/>
        <v>31.824999999999978</v>
      </c>
      <c r="BO293" s="66">
        <f t="shared" si="2236"/>
        <v>14.899999999999977</v>
      </c>
      <c r="BP293" s="66">
        <f t="shared" si="2236"/>
        <v>16.504999999999985</v>
      </c>
      <c r="BQ293" s="66">
        <f t="shared" si="2236"/>
        <v>16.017999999999997</v>
      </c>
      <c r="BR293" s="66">
        <f t="shared" ref="BR293:CW293" si="2237">SUM(BO108:BR108)</f>
        <v>0.12700000000001044</v>
      </c>
      <c r="BS293" s="66">
        <f t="shared" si="2237"/>
        <v>9.3830000000000133</v>
      </c>
      <c r="BT293" s="66">
        <f t="shared" si="2237"/>
        <v>8.0750000000000099</v>
      </c>
      <c r="BU293" s="66">
        <f t="shared" si="2237"/>
        <v>30.649000000000015</v>
      </c>
      <c r="BV293" s="66">
        <f t="shared" si="2237"/>
        <v>148.66999999999996</v>
      </c>
      <c r="BW293" s="66">
        <f t="shared" si="2237"/>
        <v>412.9199999999999</v>
      </c>
      <c r="BX293" s="66">
        <f t="shared" si="2237"/>
        <v>555.31999999999994</v>
      </c>
      <c r="BY293" s="66">
        <f t="shared" si="2237"/>
        <v>760.17999999999984</v>
      </c>
      <c r="BZ293" s="66">
        <f t="shared" si="2237"/>
        <v>905.85</v>
      </c>
      <c r="CA293" s="66">
        <f t="shared" si="2237"/>
        <v>1045.04</v>
      </c>
      <c r="CB293" s="66">
        <f t="shared" si="2237"/>
        <v>1133.5899999999999</v>
      </c>
      <c r="CC293" s="66">
        <f t="shared" si="2237"/>
        <v>1235.06</v>
      </c>
      <c r="CD293" s="66">
        <f t="shared" si="2237"/>
        <v>1242.9299999999998</v>
      </c>
      <c r="CE293" s="66">
        <f t="shared" si="2237"/>
        <v>1397.0699999999993</v>
      </c>
      <c r="CF293" s="66">
        <f t="shared" si="2237"/>
        <v>1467.1299999999992</v>
      </c>
      <c r="CG293" s="66">
        <f t="shared" si="2237"/>
        <v>1524.9199999999992</v>
      </c>
      <c r="CH293" s="66">
        <f t="shared" si="2237"/>
        <v>1449.8899999999996</v>
      </c>
      <c r="CI293" s="66">
        <f t="shared" si="2237"/>
        <v>1534.0800000000002</v>
      </c>
      <c r="CJ293" s="66">
        <f t="shared" si="2237"/>
        <v>1800.15</v>
      </c>
      <c r="CK293" s="66">
        <f t="shared" si="2237"/>
        <v>2502.3700000000003</v>
      </c>
      <c r="CL293" s="66">
        <f t="shared" si="2237"/>
        <v>3808.0300000000007</v>
      </c>
      <c r="CM293" s="50">
        <f t="shared" si="2237"/>
        <v>4830.6492784000011</v>
      </c>
      <c r="CN293" s="50">
        <f t="shared" si="2237"/>
        <v>5842.6614741777157</v>
      </c>
      <c r="CO293" s="50">
        <f t="shared" si="2237"/>
        <v>6357.5373465680277</v>
      </c>
      <c r="CP293" s="50">
        <f t="shared" si="2237"/>
        <v>6528.483184917819</v>
      </c>
      <c r="CQ293" s="50">
        <f t="shared" si="2237"/>
        <v>6632.2156094033453</v>
      </c>
      <c r="CR293" s="50">
        <f t="shared" si="2237"/>
        <v>6878.1806156165803</v>
      </c>
      <c r="CS293" s="50">
        <f t="shared" si="2237"/>
        <v>7337.7658287642244</v>
      </c>
      <c r="CT293" s="50">
        <f t="shared" si="2237"/>
        <v>7862.6409437294506</v>
      </c>
      <c r="CU293" s="50">
        <f t="shared" si="2237"/>
        <v>8154.9717589868105</v>
      </c>
      <c r="CV293" s="50">
        <f t="shared" si="2237"/>
        <v>8282.86888040142</v>
      </c>
      <c r="CW293" s="50">
        <f t="shared" si="2237"/>
        <v>8432.4719695250733</v>
      </c>
      <c r="CX293" s="50">
        <f t="shared" ref="CX293:DB293" si="2238">SUM(CU108:CX108)</f>
        <v>8572.2138405430778</v>
      </c>
      <c r="CY293" s="50">
        <f t="shared" si="2238"/>
        <v>8981.3344399606794</v>
      </c>
      <c r="CZ293" s="50">
        <f t="shared" si="2238"/>
        <v>9385.6461663830778</v>
      </c>
      <c r="DA293" s="50">
        <f t="shared" si="2238"/>
        <v>9810.3238184479687</v>
      </c>
      <c r="DB293" s="50">
        <f t="shared" si="2238"/>
        <v>10258.706996316578</v>
      </c>
      <c r="DE293" s="138"/>
    </row>
    <row r="294" spans="1:110" s="93" customFormat="1" x14ac:dyDescent="0.2">
      <c r="AB294" s="30"/>
      <c r="AC294" s="30"/>
      <c r="AD294" s="30"/>
      <c r="AE294" s="30"/>
      <c r="CM294" s="30"/>
      <c r="CN294" s="30"/>
      <c r="CO294" s="30"/>
      <c r="CP294" s="30"/>
      <c r="CQ294" s="30"/>
      <c r="CR294" s="30"/>
      <c r="CS294" s="30"/>
      <c r="CT294" s="30"/>
      <c r="CU294" s="30"/>
      <c r="CV294" s="30"/>
      <c r="CW294" s="30"/>
      <c r="CX294" s="30"/>
      <c r="CY294" s="30"/>
      <c r="CZ294" s="30"/>
      <c r="DA294" s="30"/>
      <c r="DB294" s="30"/>
      <c r="DE294" s="139"/>
    </row>
    <row r="295" spans="1:110" s="11" customFormat="1" x14ac:dyDescent="0.2">
      <c r="AB295" s="63"/>
      <c r="AC295" s="63"/>
      <c r="AD295" s="63"/>
      <c r="AE295" s="63"/>
      <c r="CM295" s="30"/>
      <c r="CN295" s="30"/>
      <c r="CO295" s="30"/>
      <c r="CP295" s="30"/>
      <c r="CQ295" s="30"/>
      <c r="CR295" s="30"/>
      <c r="CS295" s="30"/>
      <c r="CT295" s="30"/>
      <c r="CU295" s="30"/>
      <c r="CV295" s="30"/>
      <c r="CW295" s="30"/>
      <c r="CX295" s="30"/>
      <c r="CY295" s="30"/>
      <c r="CZ295" s="30"/>
      <c r="DA295" s="30"/>
      <c r="DB295" s="30"/>
      <c r="DE295" s="139"/>
      <c r="DF295" s="212"/>
    </row>
    <row r="296" spans="1:110" s="62" customFormat="1" hidden="1" outlineLevel="1" x14ac:dyDescent="0.2">
      <c r="A296" s="61" t="s">
        <v>339</v>
      </c>
      <c r="AB296" s="63"/>
      <c r="AC296" s="63"/>
      <c r="AD296" s="63"/>
      <c r="AE296" s="63"/>
      <c r="CM296" s="30"/>
      <c r="CN296" s="30"/>
      <c r="CO296" s="30"/>
      <c r="CP296" s="30"/>
      <c r="CQ296" s="30"/>
      <c r="CR296" s="30"/>
      <c r="CS296" s="30"/>
      <c r="CT296" s="30"/>
      <c r="CU296" s="30"/>
      <c r="CV296" s="30"/>
      <c r="CW296" s="30"/>
      <c r="CX296" s="30"/>
      <c r="CY296" s="30"/>
      <c r="CZ296" s="30"/>
      <c r="DA296" s="30"/>
      <c r="DB296" s="30"/>
      <c r="DE296" s="139"/>
      <c r="DF296" s="114"/>
    </row>
    <row r="297" spans="1:110" s="64" customFormat="1" hidden="1" outlineLevel="1" x14ac:dyDescent="0.2">
      <c r="A297" s="64" t="s">
        <v>474</v>
      </c>
      <c r="B297" s="64">
        <f t="shared" ref="B297:Z297" si="2239">B72-B303</f>
        <v>114.754</v>
      </c>
      <c r="C297" s="64">
        <f t="shared" si="2239"/>
        <v>117.18980000000001</v>
      </c>
      <c r="D297" s="64">
        <f t="shared" si="2239"/>
        <v>169.73349999999999</v>
      </c>
      <c r="E297" s="64">
        <f t="shared" si="2239"/>
        <v>198.83920000000001</v>
      </c>
      <c r="F297" s="64">
        <f t="shared" si="2239"/>
        <v>281.16500000000002</v>
      </c>
      <c r="G297" s="64">
        <f t="shared" si="2239"/>
        <v>295.04680000000002</v>
      </c>
      <c r="H297" s="64">
        <f t="shared" si="2239"/>
        <v>336.64049999999997</v>
      </c>
      <c r="I297" s="64">
        <f t="shared" si="2239"/>
        <v>381.99799999999999</v>
      </c>
      <c r="J297" s="64">
        <f t="shared" si="2239"/>
        <v>743.69219999999996</v>
      </c>
      <c r="K297" s="64">
        <f t="shared" si="2239"/>
        <v>592.00400000000002</v>
      </c>
      <c r="L297" s="64">
        <f t="shared" si="2239"/>
        <v>728.37139999999999</v>
      </c>
      <c r="M297" s="64">
        <f t="shared" si="2239"/>
        <v>1044.9322999999999</v>
      </c>
      <c r="N297" s="64">
        <f t="shared" si="2239"/>
        <v>803.63390000000004</v>
      </c>
      <c r="O297" s="64">
        <f t="shared" si="2239"/>
        <v>613.67010000000005</v>
      </c>
      <c r="P297" s="64">
        <f t="shared" si="2239"/>
        <v>677.1001</v>
      </c>
      <c r="Q297" s="64">
        <f t="shared" si="2239"/>
        <v>412.49889999999999</v>
      </c>
      <c r="R297" s="64">
        <f t="shared" si="2239"/>
        <v>400.99270000000001</v>
      </c>
      <c r="S297" s="64">
        <f t="shared" si="2239"/>
        <v>414.67899999999997</v>
      </c>
      <c r="T297" s="64">
        <f t="shared" si="2239"/>
        <v>477.28109999999998</v>
      </c>
      <c r="U297" s="64">
        <f t="shared" si="2239"/>
        <v>371.73849999999999</v>
      </c>
      <c r="V297" s="64">
        <f t="shared" si="2239"/>
        <v>253.4067</v>
      </c>
      <c r="W297" s="64">
        <f t="shared" si="2239"/>
        <v>697.5</v>
      </c>
      <c r="X297" s="64">
        <f t="shared" si="2239"/>
        <v>3392.31</v>
      </c>
      <c r="Y297" s="64">
        <f t="shared" si="2239"/>
        <v>6524.65</v>
      </c>
      <c r="Z297" s="64">
        <f t="shared" si="2239"/>
        <v>6721.05</v>
      </c>
      <c r="AA297" s="64">
        <f t="shared" ref="AA297" si="2240">AA72-AA303</f>
        <v>17112.669999999998</v>
      </c>
      <c r="AB297" s="30"/>
      <c r="AC297" s="30"/>
      <c r="AD297" s="30"/>
      <c r="AE297" s="30"/>
      <c r="AI297" s="64">
        <f t="shared" ref="AI297:BN297" si="2241">AI72-AI303</f>
        <v>260.709</v>
      </c>
      <c r="AJ297" s="64">
        <f t="shared" si="2241"/>
        <v>130.55600000000001</v>
      </c>
      <c r="AK297" s="64">
        <f t="shared" si="2241"/>
        <v>147.374</v>
      </c>
      <c r="AL297" s="64">
        <f t="shared" si="2241"/>
        <v>253.529</v>
      </c>
      <c r="AM297" s="64">
        <f t="shared" si="2241"/>
        <v>147.41499999999999</v>
      </c>
      <c r="AN297" s="64">
        <f t="shared" si="2241"/>
        <v>115.678</v>
      </c>
      <c r="AO297" s="64">
        <f t="shared" si="2241"/>
        <v>139.52600000000001</v>
      </c>
      <c r="AP297" s="64">
        <f t="shared" si="2241"/>
        <v>197.02500000000001</v>
      </c>
      <c r="AQ297" s="64">
        <f t="shared" si="2241"/>
        <v>185.25800000000001</v>
      </c>
      <c r="AR297" s="64">
        <f t="shared" si="2241"/>
        <v>223.80600000000001</v>
      </c>
      <c r="AS297" s="64">
        <f t="shared" si="2241"/>
        <v>117.99</v>
      </c>
      <c r="AT297" s="64">
        <f t="shared" si="2241"/>
        <v>123.149</v>
      </c>
      <c r="AU297" s="64">
        <f t="shared" si="2241"/>
        <v>130.559</v>
      </c>
      <c r="AV297" s="64">
        <f t="shared" si="2241"/>
        <v>76.454999999999998</v>
      </c>
      <c r="AW297" s="64">
        <f t="shared" si="2241"/>
        <v>77.622</v>
      </c>
      <c r="AX297" s="64">
        <f t="shared" si="2241"/>
        <v>84.584000000000003</v>
      </c>
      <c r="AY297" s="64">
        <f t="shared" si="2241"/>
        <v>101.491</v>
      </c>
      <c r="AZ297" s="64">
        <f t="shared" si="2241"/>
        <v>94.581999999999994</v>
      </c>
      <c r="BA297" s="64">
        <f t="shared" si="2241"/>
        <v>126.458</v>
      </c>
      <c r="BB297" s="64">
        <f t="shared" si="2241"/>
        <v>82.734999999999999</v>
      </c>
      <c r="BC297" s="64">
        <f t="shared" si="2241"/>
        <v>109.669</v>
      </c>
      <c r="BD297" s="64">
        <f t="shared" si="2241"/>
        <v>76.311000000000007</v>
      </c>
      <c r="BE297" s="64">
        <f t="shared" si="2241"/>
        <v>119.611</v>
      </c>
      <c r="BF297" s="64">
        <f t="shared" si="2241"/>
        <v>109.08799999999999</v>
      </c>
      <c r="BG297" s="64">
        <f t="shared" si="2241"/>
        <v>134.44200000000001</v>
      </c>
      <c r="BH297" s="64">
        <f t="shared" si="2241"/>
        <v>101.199</v>
      </c>
      <c r="BI297" s="64">
        <f t="shared" si="2241"/>
        <v>108.27500000000001</v>
      </c>
      <c r="BJ297" s="64">
        <f t="shared" si="2241"/>
        <v>130.41300000000001</v>
      </c>
      <c r="BK297" s="64">
        <f t="shared" si="2241"/>
        <v>126.45699999999999</v>
      </c>
      <c r="BL297" s="64">
        <f t="shared" si="2241"/>
        <v>56.393999999999998</v>
      </c>
      <c r="BM297" s="64">
        <f t="shared" si="2241"/>
        <v>84.900999999999996</v>
      </c>
      <c r="BN297" s="64">
        <f t="shared" si="2241"/>
        <v>103.98699999999999</v>
      </c>
      <c r="BO297" s="64">
        <f t="shared" ref="BO297:CT297" si="2242">BO72-BO303</f>
        <v>10.61</v>
      </c>
      <c r="BP297" s="64">
        <f t="shared" si="2242"/>
        <v>73.7</v>
      </c>
      <c r="BQ297" s="64">
        <f t="shared" si="2242"/>
        <v>73.852000000000004</v>
      </c>
      <c r="BR297" s="64">
        <f t="shared" si="2242"/>
        <v>95.245000000000005</v>
      </c>
      <c r="BS297" s="64">
        <f t="shared" si="2242"/>
        <v>95.7</v>
      </c>
      <c r="BT297" s="64">
        <f t="shared" si="2242"/>
        <v>100.32</v>
      </c>
      <c r="BU297" s="64">
        <f t="shared" si="2242"/>
        <v>168.27</v>
      </c>
      <c r="BV297" s="64">
        <f t="shared" si="2242"/>
        <v>333.21</v>
      </c>
      <c r="BW297" s="64">
        <f t="shared" si="2242"/>
        <v>842.68</v>
      </c>
      <c r="BX297" s="64">
        <f t="shared" si="2242"/>
        <v>673.76</v>
      </c>
      <c r="BY297" s="64">
        <f t="shared" si="2242"/>
        <v>999.62</v>
      </c>
      <c r="BZ297" s="64">
        <f t="shared" si="2242"/>
        <v>876.25</v>
      </c>
      <c r="CA297" s="64">
        <f t="shared" si="2242"/>
        <v>1965.52</v>
      </c>
      <c r="CB297" s="64">
        <f t="shared" si="2242"/>
        <v>1091.31</v>
      </c>
      <c r="CC297" s="64">
        <f t="shared" si="2242"/>
        <v>1912.34</v>
      </c>
      <c r="CD297" s="64">
        <f t="shared" si="2242"/>
        <v>1554.29</v>
      </c>
      <c r="CE297" s="64">
        <f t="shared" si="2242"/>
        <v>2417.2399999999998</v>
      </c>
      <c r="CF297" s="64">
        <f t="shared" si="2242"/>
        <v>1435.6899999999998</v>
      </c>
      <c r="CG297" s="64">
        <f t="shared" si="2242"/>
        <v>1675.1699999999998</v>
      </c>
      <c r="CH297" s="64">
        <f t="shared" si="2242"/>
        <v>1193.3000000000002</v>
      </c>
      <c r="CI297" s="64">
        <f t="shared" si="2242"/>
        <v>2383.52</v>
      </c>
      <c r="CJ297" s="64">
        <f t="shared" si="2242"/>
        <v>3651.35</v>
      </c>
      <c r="CK297" s="64">
        <f t="shared" si="2242"/>
        <v>5058.08</v>
      </c>
      <c r="CL297" s="64">
        <f t="shared" ref="CL297" si="2243">CL72-CL303</f>
        <v>6019.72</v>
      </c>
      <c r="CM297" s="30">
        <f t="shared" si="2242"/>
        <v>5573.1977650909275</v>
      </c>
      <c r="CN297" s="30">
        <f t="shared" si="2242"/>
        <v>5187.6283781306183</v>
      </c>
      <c r="CO297" s="30">
        <f t="shared" si="2242"/>
        <v>5400.792807658825</v>
      </c>
      <c r="CP297" s="30">
        <f t="shared" si="2242"/>
        <v>5850.7061338921003</v>
      </c>
      <c r="CQ297" s="30">
        <f t="shared" si="2242"/>
        <v>7224.6865913236134</v>
      </c>
      <c r="CR297" s="30">
        <f t="shared" si="2242"/>
        <v>7087.1459473785535</v>
      </c>
      <c r="CS297" s="30">
        <f t="shared" si="2242"/>
        <v>7912.1716558370226</v>
      </c>
      <c r="CT297" s="30">
        <f t="shared" si="2242"/>
        <v>8314.6838874502046</v>
      </c>
      <c r="CU297" s="30">
        <f t="shared" ref="CU297:DB297" si="2244">CU72-CU303</f>
        <v>8333.1001406807245</v>
      </c>
      <c r="CV297" s="30">
        <f t="shared" si="2244"/>
        <v>7840.6986941349805</v>
      </c>
      <c r="CW297" s="30">
        <f t="shared" si="2244"/>
        <v>8911.969783571165</v>
      </c>
      <c r="CX297" s="30">
        <f t="shared" si="2244"/>
        <v>9496.8251099916579</v>
      </c>
      <c r="CY297" s="30">
        <f t="shared" si="2244"/>
        <v>10034.331898880193</v>
      </c>
      <c r="CZ297" s="30">
        <f t="shared" si="2244"/>
        <v>9542.3156500836176</v>
      </c>
      <c r="DA297" s="30">
        <f t="shared" si="2244"/>
        <v>10685.12617344194</v>
      </c>
      <c r="DB297" s="30">
        <f t="shared" si="2244"/>
        <v>11303.076246895269</v>
      </c>
      <c r="DE297" s="139"/>
      <c r="DF297" s="64">
        <v>17112.669999999998</v>
      </c>
    </row>
    <row r="298" spans="1:110" s="64" customFormat="1" hidden="1" outlineLevel="1" x14ac:dyDescent="0.2">
      <c r="A298" s="64" t="s">
        <v>475</v>
      </c>
      <c r="B298" s="64">
        <f t="shared" ref="B298:Z298" si="2245">B95-B304</f>
        <v>6.4892000000000181</v>
      </c>
      <c r="C298" s="64">
        <f t="shared" si="2245"/>
        <v>3.0330000000000048</v>
      </c>
      <c r="D298" s="64">
        <f t="shared" si="2245"/>
        <v>7.0851999999999933</v>
      </c>
      <c r="E298" s="64">
        <f t="shared" si="2245"/>
        <v>6.5686000000000249</v>
      </c>
      <c r="F298" s="64">
        <f t="shared" si="2245"/>
        <v>25.353000000000023</v>
      </c>
      <c r="G298" s="64">
        <f t="shared" si="2245"/>
        <v>-0.70329999999997739</v>
      </c>
      <c r="H298" s="64">
        <f t="shared" si="2245"/>
        <v>1.4717999999999591</v>
      </c>
      <c r="I298" s="64">
        <f t="shared" si="2245"/>
        <v>34.690799999999975</v>
      </c>
      <c r="J298" s="64">
        <f t="shared" si="2245"/>
        <v>50.786400000000029</v>
      </c>
      <c r="K298" s="64">
        <f t="shared" si="2245"/>
        <v>34.34080000000008</v>
      </c>
      <c r="L298" s="64">
        <f t="shared" si="2245"/>
        <v>22.161200000000022</v>
      </c>
      <c r="M298" s="64">
        <f t="shared" si="2245"/>
        <v>27.49099999999995</v>
      </c>
      <c r="N298" s="64">
        <f t="shared" si="2245"/>
        <v>20.670400000000058</v>
      </c>
      <c r="O298" s="64">
        <f t="shared" si="2245"/>
        <v>-25.236199999999954</v>
      </c>
      <c r="P298" s="64">
        <f t="shared" si="2245"/>
        <v>-26.374799999999944</v>
      </c>
      <c r="Q298" s="64">
        <f t="shared" si="2245"/>
        <v>13.185599999999994</v>
      </c>
      <c r="R298" s="64">
        <f t="shared" si="2245"/>
        <v>14.788100000000021</v>
      </c>
      <c r="S298" s="64">
        <f t="shared" si="2245"/>
        <v>16.444600000000001</v>
      </c>
      <c r="T298" s="64">
        <f t="shared" si="2245"/>
        <v>15.756699999999981</v>
      </c>
      <c r="U298" s="64">
        <f t="shared" si="2245"/>
        <v>21.127900000000025</v>
      </c>
      <c r="V298" s="64">
        <f t="shared" si="2245"/>
        <v>10.871800000000022</v>
      </c>
      <c r="W298" s="64">
        <f t="shared" si="2245"/>
        <v>145.53</v>
      </c>
      <c r="X298" s="64">
        <f t="shared" si="2245"/>
        <v>810.29</v>
      </c>
      <c r="Y298" s="64">
        <f t="shared" si="2245"/>
        <v>1731.2499999999991</v>
      </c>
      <c r="Z298" s="64">
        <f t="shared" si="2245"/>
        <v>1955.7399999999998</v>
      </c>
      <c r="AA298" s="64">
        <f t="shared" ref="AA298" si="2246">AA95-AA304</f>
        <v>6152.159999999998</v>
      </c>
      <c r="AB298" s="30"/>
      <c r="AC298" s="30"/>
      <c r="AD298" s="30"/>
      <c r="AE298" s="30"/>
      <c r="AI298" s="64">
        <f t="shared" ref="AI298:BN298" si="2247">AI95-AI304</f>
        <v>6.6210000000000075</v>
      </c>
      <c r="AJ298" s="64">
        <f t="shared" si="2247"/>
        <v>-5.7059999999999906</v>
      </c>
      <c r="AK298" s="64">
        <f t="shared" si="2247"/>
        <v>-0.64199999999999946</v>
      </c>
      <c r="AL298" s="64">
        <f t="shared" si="2247"/>
        <v>20.398999999999987</v>
      </c>
      <c r="AM298" s="64">
        <f t="shared" si="2247"/>
        <v>-9.5320000000000267</v>
      </c>
      <c r="AN298" s="64">
        <f t="shared" si="2247"/>
        <v>-6.0699999999999967</v>
      </c>
      <c r="AO298" s="64">
        <f t="shared" si="2247"/>
        <v>-1.697000000000001</v>
      </c>
      <c r="AP298" s="64">
        <f t="shared" si="2247"/>
        <v>-7.9379999999999882</v>
      </c>
      <c r="AQ298" s="64">
        <f t="shared" si="2247"/>
        <v>-8.9049999999999727</v>
      </c>
      <c r="AR298" s="64">
        <f t="shared" si="2247"/>
        <v>-7.6709999999999745</v>
      </c>
      <c r="AS298" s="64">
        <f t="shared" si="2247"/>
        <v>-6.4910000000000156</v>
      </c>
      <c r="AT298" s="64">
        <f t="shared" si="2247"/>
        <v>-3.3060000000000027</v>
      </c>
      <c r="AU298" s="64">
        <f t="shared" si="2247"/>
        <v>1.7090000000000174</v>
      </c>
      <c r="AV298" s="64">
        <f t="shared" si="2247"/>
        <v>1.2389999999999919</v>
      </c>
      <c r="AW298" s="64">
        <f t="shared" si="2247"/>
        <v>1.1749999999999918</v>
      </c>
      <c r="AX298" s="64">
        <f t="shared" si="2247"/>
        <v>9.0640000000000036</v>
      </c>
      <c r="AY298" s="64">
        <f t="shared" si="2247"/>
        <v>0.59000000000000874</v>
      </c>
      <c r="AZ298" s="64">
        <f t="shared" si="2247"/>
        <v>-0.10300000000001575</v>
      </c>
      <c r="BA298" s="64">
        <f t="shared" si="2247"/>
        <v>6.3079999999999981</v>
      </c>
      <c r="BB298" s="64">
        <f t="shared" si="2247"/>
        <v>12.263999999999992</v>
      </c>
      <c r="BC298" s="64">
        <f t="shared" si="2247"/>
        <v>7.102999999999998</v>
      </c>
      <c r="BD298" s="64">
        <f t="shared" si="2247"/>
        <v>-1.0469999999999899</v>
      </c>
      <c r="BE298" s="64">
        <f t="shared" si="2247"/>
        <v>2.1880000000000166</v>
      </c>
      <c r="BF298" s="64">
        <f t="shared" si="2247"/>
        <v>8.1999999999999815</v>
      </c>
      <c r="BG298" s="64">
        <f t="shared" si="2247"/>
        <v>7.4810000000000052</v>
      </c>
      <c r="BH298" s="64">
        <f t="shared" si="2247"/>
        <v>4.7789999999999964</v>
      </c>
      <c r="BI298" s="64">
        <f t="shared" si="2247"/>
        <v>7.517000000000003</v>
      </c>
      <c r="BJ298" s="64">
        <f t="shared" si="2247"/>
        <v>-4.0199999999999854</v>
      </c>
      <c r="BK298" s="64">
        <f t="shared" si="2247"/>
        <v>8.1260000000000012</v>
      </c>
      <c r="BL298" s="64">
        <f t="shared" si="2247"/>
        <v>2.6919999999999966</v>
      </c>
      <c r="BM298" s="64">
        <f t="shared" si="2247"/>
        <v>6.6519999999999939</v>
      </c>
      <c r="BN298" s="64">
        <f t="shared" si="2247"/>
        <v>3.657999999999987</v>
      </c>
      <c r="BO298" s="64">
        <f t="shared" ref="BO298:CT298" si="2248">BO95-BO304</f>
        <v>-7.6850000000000005</v>
      </c>
      <c r="BP298" s="64">
        <f t="shared" si="2248"/>
        <v>3.6330000000000009</v>
      </c>
      <c r="BQ298" s="64">
        <f t="shared" si="2248"/>
        <v>7.5540000000000056</v>
      </c>
      <c r="BR298" s="64">
        <f t="shared" si="2248"/>
        <v>7.371000000000004</v>
      </c>
      <c r="BS298" s="64">
        <f t="shared" si="2248"/>
        <v>1.9100000000000037</v>
      </c>
      <c r="BT298" s="64">
        <f t="shared" si="2248"/>
        <v>-0.60000000000000142</v>
      </c>
      <c r="BU298" s="64">
        <f t="shared" si="2248"/>
        <v>32.090000000000011</v>
      </c>
      <c r="BV298" s="64">
        <f t="shared" si="2248"/>
        <v>112.13999999999996</v>
      </c>
      <c r="BW298" s="64">
        <f t="shared" si="2248"/>
        <v>261.8599999999999</v>
      </c>
      <c r="BX298" s="64">
        <f t="shared" si="2248"/>
        <v>156.92000000000002</v>
      </c>
      <c r="BY298" s="64">
        <f t="shared" si="2248"/>
        <v>226.95999999999992</v>
      </c>
      <c r="BZ298" s="64">
        <f t="shared" si="2248"/>
        <v>164.55000000000007</v>
      </c>
      <c r="CA298" s="64">
        <f t="shared" si="2248"/>
        <v>535.86999999999989</v>
      </c>
      <c r="CB298" s="64">
        <f t="shared" si="2248"/>
        <v>286.32000000000005</v>
      </c>
      <c r="CC298" s="64">
        <f t="shared" si="2248"/>
        <v>449.4699999999998</v>
      </c>
      <c r="CD298" s="64">
        <f t="shared" si="2248"/>
        <v>458.41000000000008</v>
      </c>
      <c r="CE298" s="64">
        <f t="shared" si="2248"/>
        <v>718.66999999999939</v>
      </c>
      <c r="CF298" s="64">
        <f t="shared" si="2248"/>
        <v>410.70999999999992</v>
      </c>
      <c r="CG298" s="64">
        <f t="shared" si="2248"/>
        <v>536.42999999999972</v>
      </c>
      <c r="CH298" s="64">
        <f t="shared" si="2248"/>
        <v>261.10000000000025</v>
      </c>
      <c r="CI298" s="64">
        <f t="shared" si="2248"/>
        <v>794.19</v>
      </c>
      <c r="CJ298" s="64">
        <f t="shared" si="2248"/>
        <v>1043.0899999999999</v>
      </c>
      <c r="CK298" s="64">
        <f t="shared" si="2248"/>
        <v>1759.21</v>
      </c>
      <c r="CL298" s="64">
        <f t="shared" ref="CL298" si="2249">CL95-CL304</f>
        <v>2545.3000000000006</v>
      </c>
      <c r="CM298" s="30">
        <f t="shared" si="2248"/>
        <v>2302.4426800000001</v>
      </c>
      <c r="CN298" s="30">
        <f t="shared" si="2248"/>
        <v>2197.9042539999996</v>
      </c>
      <c r="CO298" s="30">
        <f t="shared" si="2248"/>
        <v>2230.8446960000001</v>
      </c>
      <c r="CP298" s="30">
        <f t="shared" si="2248"/>
        <v>2323.8018699999998</v>
      </c>
      <c r="CQ298" s="30">
        <f t="shared" si="2248"/>
        <v>2475.6346032910164</v>
      </c>
      <c r="CR298" s="30">
        <f t="shared" si="2248"/>
        <v>2558.0642314535894</v>
      </c>
      <c r="CS298" s="30">
        <f t="shared" si="2248"/>
        <v>2853.2287974103883</v>
      </c>
      <c r="CT298" s="30">
        <f t="shared" si="2248"/>
        <v>3025.112142822235</v>
      </c>
      <c r="CU298" s="30">
        <f t="shared" ref="CU298:DB298" si="2250">CU95-CU304</f>
        <v>3014.2558652923681</v>
      </c>
      <c r="CV298" s="30">
        <f t="shared" si="2250"/>
        <v>2874.4554412658517</v>
      </c>
      <c r="CW298" s="30">
        <f t="shared" si="2250"/>
        <v>3228.7319194446336</v>
      </c>
      <c r="CX298" s="30">
        <f t="shared" si="2250"/>
        <v>3417.5862908045001</v>
      </c>
      <c r="CY298" s="30">
        <f t="shared" si="2250"/>
        <v>3561.9352001373145</v>
      </c>
      <c r="CZ298" s="30">
        <f t="shared" si="2250"/>
        <v>3412.294141394319</v>
      </c>
      <c r="DA298" s="30">
        <f t="shared" si="2250"/>
        <v>3784.2314509455664</v>
      </c>
      <c r="DB298" s="30">
        <f t="shared" si="2250"/>
        <v>3987.4685711897046</v>
      </c>
      <c r="DE298" s="139"/>
      <c r="DF298" s="64">
        <v>6152.159999999998</v>
      </c>
    </row>
    <row r="299" spans="1:110" s="89" customFormat="1" hidden="1" outlineLevel="1" x14ac:dyDescent="0.2">
      <c r="A299" s="86" t="s">
        <v>476</v>
      </c>
      <c r="B299" s="86">
        <f>+B298/B297</f>
        <v>5.6548791327535576E-2</v>
      </c>
      <c r="C299" s="86">
        <f t="shared" ref="C299" si="2251">+C298/C297</f>
        <v>2.5881092040433592E-2</v>
      </c>
      <c r="D299" s="86">
        <f t="shared" ref="D299" si="2252">+D298/D297</f>
        <v>4.1743085484008714E-2</v>
      </c>
      <c r="E299" s="86">
        <f t="shared" ref="E299" si="2253">+E298/E297</f>
        <v>3.3034733593778412E-2</v>
      </c>
      <c r="F299" s="86">
        <f t="shared" ref="F299" si="2254">+F298/F297</f>
        <v>9.0171251756086354E-2</v>
      </c>
      <c r="G299" s="86">
        <f t="shared" ref="G299" si="2255">+G298/G297</f>
        <v>-2.3836896383894941E-3</v>
      </c>
      <c r="H299" s="86">
        <f t="shared" ref="H299" si="2256">+H298/H297</f>
        <v>4.3720229740627147E-3</v>
      </c>
      <c r="I299" s="86">
        <f t="shared" ref="I299" si="2257">+I298/I297</f>
        <v>9.0814088031874449E-2</v>
      </c>
      <c r="J299" s="86">
        <f t="shared" ref="J299" si="2258">+J298/J297</f>
        <v>6.8289542367124506E-2</v>
      </c>
      <c r="K299" s="86">
        <f t="shared" ref="K299" si="2259">+K298/K297</f>
        <v>5.8007716164080105E-2</v>
      </c>
      <c r="L299" s="86">
        <f t="shared" ref="L299" si="2260">+L298/L297</f>
        <v>3.0425686675781095E-2</v>
      </c>
      <c r="M299" s="86">
        <f t="shared" ref="M299" si="2261">+M298/M297</f>
        <v>2.630888144619508E-2</v>
      </c>
      <c r="N299" s="86">
        <f t="shared" ref="N299" si="2262">+N298/N297</f>
        <v>2.5721164823932958E-2</v>
      </c>
      <c r="O299" s="86">
        <f t="shared" ref="O299" si="2263">+O298/O297</f>
        <v>-4.1123398386201236E-2</v>
      </c>
      <c r="P299" s="86">
        <f t="shared" ref="P299" si="2264">+P298/P297</f>
        <v>-3.8952586183342672E-2</v>
      </c>
      <c r="Q299" s="86">
        <f t="shared" ref="Q299" si="2265">+Q298/Q297</f>
        <v>3.1965176149560626E-2</v>
      </c>
      <c r="R299" s="86">
        <f t="shared" ref="R299" si="2266">+R298/R297</f>
        <v>3.6878726221200586E-2</v>
      </c>
      <c r="S299" s="86">
        <f t="shared" ref="S299" si="2267">+S298/S297</f>
        <v>3.9656216012867791E-2</v>
      </c>
      <c r="T299" s="86">
        <f t="shared" ref="T299" si="2268">+T298/T297</f>
        <v>3.3013458944843997E-2</v>
      </c>
      <c r="U299" s="86">
        <f t="shared" ref="U299" si="2269">+U298/U297</f>
        <v>5.6835382937199204E-2</v>
      </c>
      <c r="V299" s="86">
        <f t="shared" ref="V299" si="2270">+V298/V297</f>
        <v>4.2902575188422491E-2</v>
      </c>
      <c r="W299" s="86">
        <f t="shared" ref="W299" si="2271">+W298/W297</f>
        <v>0.20864516129032259</v>
      </c>
      <c r="X299" s="86">
        <f t="shared" ref="X299:Y299" si="2272">+X298/X297</f>
        <v>0.2388608352420622</v>
      </c>
      <c r="Y299" s="86">
        <f t="shared" si="2272"/>
        <v>0.26533990328983154</v>
      </c>
      <c r="Z299" s="86">
        <f t="shared" ref="Z299:AA299" si="2273">+Z298/Z297</f>
        <v>0.29098727133409208</v>
      </c>
      <c r="AA299" s="86">
        <f t="shared" si="2273"/>
        <v>0.3595090655052659</v>
      </c>
      <c r="AB299" s="87"/>
      <c r="AC299" s="87"/>
      <c r="AD299" s="87"/>
      <c r="AE299" s="87"/>
      <c r="AF299" s="86"/>
      <c r="AG299" s="86"/>
      <c r="AH299" s="86"/>
      <c r="AI299" s="86">
        <f t="shared" ref="AI299" si="2274">+AI298/AI297</f>
        <v>2.5396131318826766E-2</v>
      </c>
      <c r="AJ299" s="86">
        <f t="shared" ref="AJ299" si="2275">+AJ298/AJ297</f>
        <v>-4.3705383130610544E-2</v>
      </c>
      <c r="AK299" s="86">
        <f t="shared" ref="AK299" si="2276">+AK298/AK297</f>
        <v>-4.3562636557330295E-3</v>
      </c>
      <c r="AL299" s="86">
        <f t="shared" ref="AL299" si="2277">+AL298/AL297</f>
        <v>8.0460223485281715E-2</v>
      </c>
      <c r="AM299" s="86">
        <f t="shared" ref="AM299" si="2278">+AM298/AM297</f>
        <v>-6.4660991079605379E-2</v>
      </c>
      <c r="AN299" s="86">
        <f t="shared" ref="AN299" si="2279">+AN298/AN297</f>
        <v>-5.2473244696485045E-2</v>
      </c>
      <c r="AO299" s="86">
        <f t="shared" ref="AO299" si="2280">+AO298/AO297</f>
        <v>-1.2162607686022682E-2</v>
      </c>
      <c r="AP299" s="86">
        <f t="shared" ref="AP299" si="2281">+AP298/AP297</f>
        <v>-4.0289303387894874E-2</v>
      </c>
      <c r="AQ299" s="86">
        <f t="shared" ref="AQ299" si="2282">+AQ298/AQ297</f>
        <v>-4.8068099623228E-2</v>
      </c>
      <c r="AR299" s="86">
        <f t="shared" ref="AR299" si="2283">+AR298/AR297</f>
        <v>-3.4275220503471641E-2</v>
      </c>
      <c r="AS299" s="86">
        <f t="shared" ref="AS299" si="2284">+AS298/AS297</f>
        <v>-5.5013136706500688E-2</v>
      </c>
      <c r="AT299" s="86">
        <f t="shared" ref="AT299" si="2285">+AT298/AT297</f>
        <v>-2.6845528587321071E-2</v>
      </c>
      <c r="AU299" s="86">
        <f t="shared" ref="AU299" si="2286">+AU298/AU297</f>
        <v>1.3089867416264046E-2</v>
      </c>
      <c r="AV299" s="86">
        <f t="shared" ref="AV299" si="2287">+AV298/AV297</f>
        <v>1.620561114380998E-2</v>
      </c>
      <c r="AW299" s="86">
        <f t="shared" ref="AW299" si="2288">+AW298/AW297</f>
        <v>1.5137461029089586E-2</v>
      </c>
      <c r="AX299" s="86">
        <f t="shared" ref="AX299" si="2289">+AX298/AX297</f>
        <v>0.10715974652416536</v>
      </c>
      <c r="AY299" s="86">
        <f t="shared" ref="AY299" si="2290">+AY298/AY297</f>
        <v>5.8133233488684589E-3</v>
      </c>
      <c r="AZ299" s="86">
        <f t="shared" ref="AZ299" si="2291">+AZ298/AZ297</f>
        <v>-1.0890021357130928E-3</v>
      </c>
      <c r="BA299" s="86">
        <f t="shared" ref="BA299" si="2292">+BA298/BA297</f>
        <v>4.9882174318746128E-2</v>
      </c>
      <c r="BB299" s="86">
        <f t="shared" ref="BB299" si="2293">+BB298/BB297</f>
        <v>0.14823230797123335</v>
      </c>
      <c r="BC299" s="86">
        <f t="shared" ref="BC299" si="2294">+BC298/BC297</f>
        <v>6.4767618926041076E-2</v>
      </c>
      <c r="BD299" s="86">
        <f t="shared" ref="BD299" si="2295">+BD298/BD297</f>
        <v>-1.3720171403860386E-2</v>
      </c>
      <c r="BE299" s="86">
        <f t="shared" ref="BE299" si="2296">+BE298/BE297</f>
        <v>1.8292631948566743E-2</v>
      </c>
      <c r="BF299" s="86">
        <f t="shared" ref="BF299" si="2297">+BF298/BF297</f>
        <v>7.516867116456423E-2</v>
      </c>
      <c r="BG299" s="86">
        <f t="shared" ref="BG299" si="2298">+BG298/BG297</f>
        <v>5.5644813376772177E-2</v>
      </c>
      <c r="BH299" s="86">
        <f t="shared" ref="BH299" si="2299">+BH298/BH297</f>
        <v>4.722378679631218E-2</v>
      </c>
      <c r="BI299" s="86">
        <f t="shared" ref="BI299" si="2300">+BI298/BI297</f>
        <v>6.9425075040406403E-2</v>
      </c>
      <c r="BJ299" s="86">
        <f t="shared" ref="BJ299" si="2301">+BJ298/BJ297</f>
        <v>-3.0825147799682432E-2</v>
      </c>
      <c r="BK299" s="86">
        <f t="shared" ref="BK299" si="2302">+BK298/BK297</f>
        <v>6.4258997129459039E-2</v>
      </c>
      <c r="BL299" s="86">
        <f t="shared" ref="BL299" si="2303">+BL298/BL297</f>
        <v>4.7735574706529005E-2</v>
      </c>
      <c r="BM299" s="86">
        <f t="shared" ref="BM299" si="2304">+BM298/BM297</f>
        <v>7.8350078326521411E-2</v>
      </c>
      <c r="BN299" s="86">
        <f t="shared" ref="BN299" si="2305">+BN298/BN297</f>
        <v>3.517747410734022E-2</v>
      </c>
      <c r="BO299" s="86">
        <f t="shared" ref="BO299" si="2306">+BO298/BO297</f>
        <v>-0.72431668237511793</v>
      </c>
      <c r="BP299" s="86">
        <f t="shared" ref="BP299" si="2307">+BP298/BP297</f>
        <v>4.9294436906377213E-2</v>
      </c>
      <c r="BQ299" s="86">
        <f t="shared" ref="BQ299" si="2308">+BQ298/BQ297</f>
        <v>0.10228565238585285</v>
      </c>
      <c r="BR299" s="86">
        <f t="shared" ref="BR299" si="2309">+BR298/BR297</f>
        <v>7.738988923303064E-2</v>
      </c>
      <c r="BS299" s="86">
        <f t="shared" ref="BS299" si="2310">+BS298/BS297</f>
        <v>1.9958202716823446E-2</v>
      </c>
      <c r="BT299" s="86">
        <f t="shared" ref="BT299" si="2311">+BT298/BT297</f>
        <v>-5.9808612440191535E-3</v>
      </c>
      <c r="BU299" s="86">
        <f t="shared" ref="BU299" si="2312">+BU298/BU297</f>
        <v>0.19070541391810786</v>
      </c>
      <c r="BV299" s="86">
        <f t="shared" ref="BV299" si="2313">+BV298/BV297</f>
        <v>0.33654452147294489</v>
      </c>
      <c r="BW299" s="86">
        <f t="shared" ref="BW299" si="2314">+BW298/BW297</f>
        <v>0.31074666540086382</v>
      </c>
      <c r="BX299" s="86">
        <f t="shared" ref="BX299" si="2315">+BX298/BX297</f>
        <v>0.23290192353360251</v>
      </c>
      <c r="BY299" s="86">
        <f t="shared" ref="BY299" si="2316">+BY298/BY297</f>
        <v>0.2270462775854824</v>
      </c>
      <c r="BZ299" s="86">
        <f t="shared" ref="BZ299" si="2317">+BZ298/BZ297</f>
        <v>0.18778887303851649</v>
      </c>
      <c r="CA299" s="86">
        <f t="shared" ref="CA299" si="2318">+CA298/CA297</f>
        <v>0.27263523138914886</v>
      </c>
      <c r="CB299" s="86">
        <f t="shared" ref="CB299:CC299" si="2319">+CB298/CB297</f>
        <v>0.26236358138384147</v>
      </c>
      <c r="CC299" s="86">
        <f t="shared" si="2319"/>
        <v>0.23503665666147225</v>
      </c>
      <c r="CD299" s="86">
        <f t="shared" ref="CD299" si="2320">+CD298/CD297</f>
        <v>0.29493209117989572</v>
      </c>
      <c r="CE299" s="86">
        <f t="shared" ref="CE299:CF299" si="2321">+CE298/CE297</f>
        <v>0.29731015538382594</v>
      </c>
      <c r="CF299" s="86">
        <f t="shared" si="2321"/>
        <v>0.28607150568716083</v>
      </c>
      <c r="CG299" s="86">
        <f t="shared" ref="CG299:CH299" si="2322">+CG298/CG297</f>
        <v>0.32022421604971424</v>
      </c>
      <c r="CH299" s="86">
        <f t="shared" si="2322"/>
        <v>0.21880499455292066</v>
      </c>
      <c r="CI299" s="86">
        <f t="shared" ref="CI299:CJ299" si="2323">+CI298/CI297</f>
        <v>0.33320047660602808</v>
      </c>
      <c r="CJ299" s="86">
        <f t="shared" si="2323"/>
        <v>0.28567242252865377</v>
      </c>
      <c r="CK299" s="86">
        <f t="shared" ref="CK299:DB299" si="2324">+CK298/CK297</f>
        <v>0.34780193274918547</v>
      </c>
      <c r="CL299" s="86">
        <f t="shared" si="2324"/>
        <v>0.42282697534104585</v>
      </c>
      <c r="CM299" s="47">
        <f t="shared" si="2324"/>
        <v>0.41312775484514597</v>
      </c>
      <c r="CN299" s="47">
        <f t="shared" si="2324"/>
        <v>0.42368190120665944</v>
      </c>
      <c r="CO299" s="47">
        <f t="shared" si="2324"/>
        <v>0.41305874441923701</v>
      </c>
      <c r="CP299" s="47">
        <f t="shared" si="2324"/>
        <v>0.39718314624257556</v>
      </c>
      <c r="CQ299" s="47">
        <f t="shared" si="2324"/>
        <v>0.34266325216987203</v>
      </c>
      <c r="CR299" s="47">
        <f t="shared" si="2324"/>
        <v>0.36094420101504826</v>
      </c>
      <c r="CS299" s="47">
        <f t="shared" si="2324"/>
        <v>0.3606126006259589</v>
      </c>
      <c r="CT299" s="47">
        <f t="shared" si="2324"/>
        <v>0.36382767929255833</v>
      </c>
      <c r="CU299" s="47">
        <f t="shared" si="2324"/>
        <v>0.36172082591175198</v>
      </c>
      <c r="CV299" s="47">
        <f t="shared" si="2324"/>
        <v>0.36660705294236207</v>
      </c>
      <c r="CW299" s="47">
        <f t="shared" si="2324"/>
        <v>0.36229161429571527</v>
      </c>
      <c r="CX299" s="47">
        <f t="shared" si="2324"/>
        <v>0.3598661922508018</v>
      </c>
      <c r="CY299" s="47">
        <f t="shared" si="2324"/>
        <v>0.35497482403734498</v>
      </c>
      <c r="CZ299" s="47">
        <f t="shared" si="2324"/>
        <v>0.35759602454194833</v>
      </c>
      <c r="DA299" s="47">
        <f t="shared" si="2324"/>
        <v>0.35415879883115808</v>
      </c>
      <c r="DB299" s="47">
        <f t="shared" si="2324"/>
        <v>0.35277728682799808</v>
      </c>
      <c r="DE299" s="130"/>
      <c r="DF299" s="89">
        <v>0.3595090655052659</v>
      </c>
    </row>
    <row r="300" spans="1:110" s="64" customFormat="1" hidden="1" outlineLevel="1" x14ac:dyDescent="0.2">
      <c r="A300" s="64" t="s">
        <v>477</v>
      </c>
      <c r="B300" s="64">
        <f t="shared" ref="B300:Z300" si="2325">B108-B306</f>
        <v>-72.318499999999972</v>
      </c>
      <c r="C300" s="64">
        <f t="shared" si="2325"/>
        <v>-86.305499999999995</v>
      </c>
      <c r="D300" s="64">
        <f t="shared" si="2325"/>
        <v>-32.414100000000005</v>
      </c>
      <c r="E300" s="64">
        <f t="shared" si="2325"/>
        <v>-14.881299999999975</v>
      </c>
      <c r="F300" s="64">
        <f t="shared" si="2325"/>
        <v>5.5703000000000218</v>
      </c>
      <c r="G300" s="64">
        <f t="shared" si="2325"/>
        <v>-20.018499999999975</v>
      </c>
      <c r="H300" s="64">
        <f t="shared" si="2325"/>
        <v>-30.656100000000038</v>
      </c>
      <c r="I300" s="64">
        <f t="shared" si="2325"/>
        <v>-6.1159000000000265</v>
      </c>
      <c r="J300" s="64">
        <f t="shared" si="2325"/>
        <v>28.414900000000028</v>
      </c>
      <c r="K300" s="64">
        <f t="shared" si="2325"/>
        <v>17.888700000000078</v>
      </c>
      <c r="L300" s="64">
        <f t="shared" si="2325"/>
        <v>18.604800000000022</v>
      </c>
      <c r="M300" s="64">
        <f t="shared" si="2325"/>
        <v>3.7322999999999471</v>
      </c>
      <c r="N300" s="64">
        <f t="shared" si="2325"/>
        <v>1.9155000000000566</v>
      </c>
      <c r="O300" s="64">
        <f t="shared" si="2325"/>
        <v>-42.445699999999952</v>
      </c>
      <c r="P300" s="64">
        <f t="shared" si="2325"/>
        <v>-20.818399999999944</v>
      </c>
      <c r="Q300" s="64">
        <f t="shared" si="2325"/>
        <v>6.9504999999999946</v>
      </c>
      <c r="R300" s="64">
        <f t="shared" si="2325"/>
        <v>5.5720000000000223</v>
      </c>
      <c r="S300" s="64">
        <f t="shared" si="2325"/>
        <v>17.034100000000002</v>
      </c>
      <c r="T300" s="64">
        <f t="shared" si="2325"/>
        <v>20.633299999999977</v>
      </c>
      <c r="U300" s="64">
        <f t="shared" si="2325"/>
        <v>31.826400000000028</v>
      </c>
      <c r="V300" s="64">
        <f t="shared" si="2325"/>
        <v>0.12680000000002067</v>
      </c>
      <c r="W300" s="64">
        <f t="shared" si="2325"/>
        <v>148.66000000000003</v>
      </c>
      <c r="X300" s="64">
        <f t="shared" si="2325"/>
        <v>905.86</v>
      </c>
      <c r="Y300" s="64">
        <f t="shared" si="2325"/>
        <v>1242.9299999999989</v>
      </c>
      <c r="Z300" s="64">
        <f t="shared" si="2325"/>
        <v>1455.2399999999998</v>
      </c>
      <c r="AA300" s="64">
        <f t="shared" ref="AA300" si="2326">AA108-AA306</f>
        <v>3808.0299999999979</v>
      </c>
      <c r="AB300" s="30"/>
      <c r="AC300" s="30"/>
      <c r="AD300" s="30"/>
      <c r="AE300" s="30"/>
      <c r="AI300" s="64">
        <f t="shared" ref="AI300:BN300" si="2327">AI108-AI306</f>
        <v>1.5350000000000081</v>
      </c>
      <c r="AJ300" s="64">
        <f t="shared" si="2327"/>
        <v>-1.345999999999991</v>
      </c>
      <c r="AK300" s="64">
        <f t="shared" si="2327"/>
        <v>-6.2589999999999995</v>
      </c>
      <c r="AL300" s="64">
        <f t="shared" si="2327"/>
        <v>7.9869999999999859</v>
      </c>
      <c r="AM300" s="64">
        <f t="shared" si="2327"/>
        <v>-12.709000000000024</v>
      </c>
      <c r="AN300" s="64">
        <f t="shared" si="2327"/>
        <v>-10.804999999999996</v>
      </c>
      <c r="AO300" s="64">
        <f t="shared" si="2327"/>
        <v>-5.9130000000000003</v>
      </c>
      <c r="AP300" s="64">
        <f t="shared" si="2327"/>
        <v>-13.019999999999987</v>
      </c>
      <c r="AQ300" s="64">
        <f t="shared" si="2327"/>
        <v>-8.5669999999999717</v>
      </c>
      <c r="AR300" s="64">
        <f t="shared" si="2327"/>
        <v>-3.0439999999999752</v>
      </c>
      <c r="AS300" s="64">
        <f t="shared" si="2327"/>
        <v>-6.6430000000000158</v>
      </c>
      <c r="AT300" s="64">
        <f t="shared" si="2327"/>
        <v>-2.5620000000000029</v>
      </c>
      <c r="AU300" s="64">
        <f t="shared" si="2327"/>
        <v>2.7400000000000175</v>
      </c>
      <c r="AV300" s="64">
        <f t="shared" si="2327"/>
        <v>0.35799999999999188</v>
      </c>
      <c r="AW300" s="64">
        <f t="shared" si="2327"/>
        <v>0.25499999999999212</v>
      </c>
      <c r="AX300" s="64">
        <f t="shared" si="2327"/>
        <v>3.5980000000000025</v>
      </c>
      <c r="AY300" s="64">
        <f t="shared" si="2327"/>
        <v>0.13900000000000867</v>
      </c>
      <c r="AZ300" s="64">
        <f t="shared" si="2327"/>
        <v>0.30899999999998451</v>
      </c>
      <c r="BA300" s="64">
        <f t="shared" si="2327"/>
        <v>0.42899999999999805</v>
      </c>
      <c r="BB300" s="64">
        <f t="shared" si="2327"/>
        <v>4.6959999999999935</v>
      </c>
      <c r="BC300" s="64">
        <f t="shared" si="2327"/>
        <v>5.2819999999999965</v>
      </c>
      <c r="BD300" s="64">
        <f t="shared" si="2327"/>
        <v>0.18100000000001004</v>
      </c>
      <c r="BE300" s="64">
        <f t="shared" si="2327"/>
        <v>1.5730000000000164</v>
      </c>
      <c r="BF300" s="64">
        <f t="shared" si="2327"/>
        <v>9.9979999999999816</v>
      </c>
      <c r="BG300" s="64">
        <f t="shared" si="2327"/>
        <v>10.261000000000005</v>
      </c>
      <c r="BH300" s="64">
        <f t="shared" si="2327"/>
        <v>0.6999999999999964</v>
      </c>
      <c r="BI300" s="64">
        <f t="shared" si="2327"/>
        <v>1.8480000000000034</v>
      </c>
      <c r="BJ300" s="64">
        <f t="shared" si="2327"/>
        <v>7.8240000000000149</v>
      </c>
      <c r="BK300" s="64">
        <f t="shared" si="2327"/>
        <v>7.4890000000000008</v>
      </c>
      <c r="BL300" s="64">
        <f t="shared" si="2327"/>
        <v>1.2999999999996792E-2</v>
      </c>
      <c r="BM300" s="64">
        <f t="shared" si="2327"/>
        <v>3.082999999999994</v>
      </c>
      <c r="BN300" s="64">
        <f t="shared" si="2327"/>
        <v>21.239999999999988</v>
      </c>
      <c r="BO300" s="64">
        <f t="shared" ref="BO300:CT300" si="2328">BO108-BO306</f>
        <v>-9.4359999999999999</v>
      </c>
      <c r="BP300" s="64">
        <f t="shared" si="2328"/>
        <v>1.6180000000000012</v>
      </c>
      <c r="BQ300" s="64">
        <f t="shared" si="2328"/>
        <v>2.5960000000000063</v>
      </c>
      <c r="BR300" s="64">
        <f t="shared" si="2328"/>
        <v>5.3490000000000029</v>
      </c>
      <c r="BS300" s="64">
        <f t="shared" si="2328"/>
        <v>-0.17999999999999616</v>
      </c>
      <c r="BT300" s="64">
        <f t="shared" si="2328"/>
        <v>0.30999999999999783</v>
      </c>
      <c r="BU300" s="64">
        <f t="shared" si="2328"/>
        <v>25.170000000000009</v>
      </c>
      <c r="BV300" s="64">
        <f t="shared" si="2328"/>
        <v>123.36999999999996</v>
      </c>
      <c r="BW300" s="64">
        <f t="shared" si="2328"/>
        <v>264.06999999999994</v>
      </c>
      <c r="BX300" s="64">
        <f t="shared" si="2328"/>
        <v>142.71</v>
      </c>
      <c r="BY300" s="64">
        <f t="shared" si="2328"/>
        <v>230.02999999999992</v>
      </c>
      <c r="BZ300" s="64">
        <f t="shared" si="2328"/>
        <v>269.04000000000008</v>
      </c>
      <c r="CA300" s="64">
        <f t="shared" si="2328"/>
        <v>403.25999999999988</v>
      </c>
      <c r="CB300" s="64">
        <f t="shared" si="2328"/>
        <v>231.26000000000008</v>
      </c>
      <c r="CC300" s="64">
        <f t="shared" si="2328"/>
        <v>331.49999999999977</v>
      </c>
      <c r="CD300" s="64">
        <f t="shared" si="2328"/>
        <v>276.91000000000008</v>
      </c>
      <c r="CE300" s="64">
        <f t="shared" si="2328"/>
        <v>557.39999999999941</v>
      </c>
      <c r="CF300" s="64">
        <f t="shared" si="2328"/>
        <v>301.31999999999994</v>
      </c>
      <c r="CG300" s="64">
        <f t="shared" si="2328"/>
        <v>389.28999999999985</v>
      </c>
      <c r="CH300" s="64">
        <f t="shared" si="2328"/>
        <v>201.88000000000025</v>
      </c>
      <c r="CI300" s="64">
        <f t="shared" si="2328"/>
        <v>641.59000000000015</v>
      </c>
      <c r="CJ300" s="64">
        <f t="shared" si="2328"/>
        <v>567.39</v>
      </c>
      <c r="CK300" s="64">
        <f t="shared" si="2328"/>
        <v>1091.51</v>
      </c>
      <c r="CL300" s="64">
        <f t="shared" ref="CL300" si="2329">CL108-CL306</f>
        <v>1507.5400000000009</v>
      </c>
      <c r="CM300" s="30">
        <f t="shared" si="2328"/>
        <v>1664.2092784000001</v>
      </c>
      <c r="CN300" s="30">
        <f t="shared" si="2328"/>
        <v>1579.4021957777152</v>
      </c>
      <c r="CO300" s="30">
        <f t="shared" si="2328"/>
        <v>1606.3858723903118</v>
      </c>
      <c r="CP300" s="30">
        <f t="shared" si="2328"/>
        <v>1678.4858383497926</v>
      </c>
      <c r="CQ300" s="30">
        <f t="shared" si="2328"/>
        <v>1767.9417028855264</v>
      </c>
      <c r="CR300" s="30">
        <f t="shared" si="2328"/>
        <v>1825.36720199095</v>
      </c>
      <c r="CS300" s="30">
        <f t="shared" si="2328"/>
        <v>2065.9710855379553</v>
      </c>
      <c r="CT300" s="30">
        <f t="shared" si="2328"/>
        <v>2203.3609533150184</v>
      </c>
      <c r="CU300" s="30">
        <f t="shared" ref="CU300:DB300" si="2330">CU108-CU306</f>
        <v>2060.2725181428864</v>
      </c>
      <c r="CV300" s="30">
        <f t="shared" si="2330"/>
        <v>1953.2643234055604</v>
      </c>
      <c r="CW300" s="30">
        <f t="shared" si="2330"/>
        <v>2215.574174661609</v>
      </c>
      <c r="CX300" s="30">
        <f t="shared" si="2330"/>
        <v>2343.1028243330225</v>
      </c>
      <c r="CY300" s="30">
        <f t="shared" si="2330"/>
        <v>2469.3931175604876</v>
      </c>
      <c r="CZ300" s="30">
        <f t="shared" si="2330"/>
        <v>2357.5760498279592</v>
      </c>
      <c r="DA300" s="30">
        <f t="shared" si="2330"/>
        <v>2640.2518267264991</v>
      </c>
      <c r="DB300" s="30">
        <f t="shared" si="2330"/>
        <v>2791.4860022016323</v>
      </c>
      <c r="DE300" s="139"/>
      <c r="DF300" s="64">
        <v>3808.0299999999979</v>
      </c>
    </row>
    <row r="301" spans="1:110" s="64" customFormat="1" hidden="1" outlineLevel="1" x14ac:dyDescent="0.2">
      <c r="AB301" s="30"/>
      <c r="AC301" s="30"/>
      <c r="AD301" s="30"/>
      <c r="AE301" s="30"/>
      <c r="CM301" s="30"/>
      <c r="CN301" s="30"/>
      <c r="CO301" s="30"/>
      <c r="CP301" s="30"/>
      <c r="CQ301" s="30"/>
      <c r="CR301" s="30"/>
      <c r="CS301" s="30"/>
      <c r="CT301" s="30"/>
      <c r="CU301" s="30"/>
      <c r="CV301" s="30"/>
      <c r="CW301" s="30"/>
      <c r="CX301" s="30"/>
      <c r="CY301" s="30"/>
      <c r="CZ301" s="30"/>
      <c r="DA301" s="30"/>
      <c r="DB301" s="30"/>
      <c r="DE301" s="139"/>
    </row>
    <row r="302" spans="1:110" s="64" customFormat="1" hidden="1" outlineLevel="1" x14ac:dyDescent="0.2">
      <c r="A302" s="65" t="s">
        <v>352</v>
      </c>
      <c r="AB302" s="30"/>
      <c r="AC302" s="30"/>
      <c r="AD302" s="30"/>
      <c r="AE302" s="30"/>
      <c r="CM302" s="30"/>
      <c r="CN302" s="30"/>
      <c r="CO302" s="30"/>
      <c r="CP302" s="30"/>
      <c r="CQ302" s="30"/>
      <c r="CR302" s="30"/>
      <c r="CS302" s="30"/>
      <c r="CT302" s="30"/>
      <c r="CU302" s="30"/>
      <c r="CV302" s="30"/>
      <c r="CW302" s="30"/>
      <c r="CX302" s="30"/>
      <c r="CY302" s="30"/>
      <c r="CZ302" s="30"/>
      <c r="DA302" s="30"/>
      <c r="DB302" s="30"/>
      <c r="DE302" s="139"/>
    </row>
    <row r="303" spans="1:110" s="64" customFormat="1" hidden="1" outlineLevel="1" x14ac:dyDescent="0.2">
      <c r="A303" s="64" t="s">
        <v>478</v>
      </c>
      <c r="AB303" s="30"/>
      <c r="AC303" s="30"/>
      <c r="AD303" s="30"/>
      <c r="AE303" s="30"/>
      <c r="CM303" s="30"/>
      <c r="CN303" s="30"/>
      <c r="CO303" s="30"/>
      <c r="CP303" s="30"/>
      <c r="CQ303" s="30"/>
      <c r="CR303" s="30"/>
      <c r="CS303" s="30"/>
      <c r="CT303" s="30"/>
      <c r="CU303" s="30"/>
      <c r="CV303" s="30"/>
      <c r="CW303" s="30"/>
      <c r="CX303" s="30"/>
      <c r="CY303" s="30"/>
      <c r="CZ303" s="30"/>
      <c r="DA303" s="30"/>
      <c r="DB303" s="30"/>
      <c r="DE303" s="139"/>
    </row>
    <row r="304" spans="1:110" s="64" customFormat="1" hidden="1" outlineLevel="1" x14ac:dyDescent="0.2">
      <c r="A304" s="64" t="s">
        <v>479</v>
      </c>
      <c r="AB304" s="30"/>
      <c r="AC304" s="30"/>
      <c r="AD304" s="30"/>
      <c r="AE304" s="30"/>
      <c r="CM304" s="30"/>
      <c r="CN304" s="30"/>
      <c r="CO304" s="30"/>
      <c r="CP304" s="30"/>
      <c r="CQ304" s="30"/>
      <c r="CR304" s="30"/>
      <c r="CS304" s="30"/>
      <c r="CT304" s="30"/>
      <c r="CU304" s="30"/>
      <c r="CV304" s="30"/>
      <c r="CW304" s="30"/>
      <c r="CX304" s="30"/>
      <c r="CY304" s="30"/>
      <c r="CZ304" s="30"/>
      <c r="DA304" s="30"/>
      <c r="DB304" s="30"/>
      <c r="DE304" s="139"/>
    </row>
    <row r="305" spans="1:110" s="89" customFormat="1" hidden="1" outlineLevel="1" x14ac:dyDescent="0.2">
      <c r="A305" s="86" t="s">
        <v>480</v>
      </c>
      <c r="B305" s="86" t="e">
        <f>+B304/B303</f>
        <v>#DIV/0!</v>
      </c>
      <c r="C305" s="86" t="e">
        <f t="shared" ref="C305:X305" si="2331">+C304/C303</f>
        <v>#DIV/0!</v>
      </c>
      <c r="D305" s="86" t="e">
        <f t="shared" si="2331"/>
        <v>#DIV/0!</v>
      </c>
      <c r="E305" s="86" t="e">
        <f t="shared" si="2331"/>
        <v>#DIV/0!</v>
      </c>
      <c r="F305" s="86" t="e">
        <f t="shared" si="2331"/>
        <v>#DIV/0!</v>
      </c>
      <c r="G305" s="86" t="e">
        <f t="shared" si="2331"/>
        <v>#DIV/0!</v>
      </c>
      <c r="H305" s="86" t="e">
        <f t="shared" si="2331"/>
        <v>#DIV/0!</v>
      </c>
      <c r="I305" s="86" t="e">
        <f t="shared" si="2331"/>
        <v>#DIV/0!</v>
      </c>
      <c r="J305" s="86" t="e">
        <f t="shared" si="2331"/>
        <v>#DIV/0!</v>
      </c>
      <c r="K305" s="86" t="e">
        <f t="shared" si="2331"/>
        <v>#DIV/0!</v>
      </c>
      <c r="L305" s="86" t="e">
        <f t="shared" si="2331"/>
        <v>#DIV/0!</v>
      </c>
      <c r="M305" s="86" t="e">
        <f t="shared" si="2331"/>
        <v>#DIV/0!</v>
      </c>
      <c r="N305" s="86" t="e">
        <f t="shared" si="2331"/>
        <v>#DIV/0!</v>
      </c>
      <c r="O305" s="86" t="e">
        <f t="shared" si="2331"/>
        <v>#DIV/0!</v>
      </c>
      <c r="P305" s="86" t="e">
        <f t="shared" si="2331"/>
        <v>#DIV/0!</v>
      </c>
      <c r="Q305" s="86" t="e">
        <f t="shared" si="2331"/>
        <v>#DIV/0!</v>
      </c>
      <c r="R305" s="86" t="e">
        <f t="shared" si="2331"/>
        <v>#DIV/0!</v>
      </c>
      <c r="S305" s="86" t="e">
        <f t="shared" si="2331"/>
        <v>#DIV/0!</v>
      </c>
      <c r="T305" s="86" t="e">
        <f t="shared" si="2331"/>
        <v>#DIV/0!</v>
      </c>
      <c r="U305" s="86" t="e">
        <f t="shared" si="2331"/>
        <v>#DIV/0!</v>
      </c>
      <c r="V305" s="86" t="e">
        <f t="shared" si="2331"/>
        <v>#DIV/0!</v>
      </c>
      <c r="W305" s="86" t="e">
        <f t="shared" si="2331"/>
        <v>#DIV/0!</v>
      </c>
      <c r="X305" s="86" t="e">
        <f t="shared" si="2331"/>
        <v>#DIV/0!</v>
      </c>
      <c r="Y305" s="86" t="e">
        <f t="shared" ref="Y305:Z305" si="2332">+Y304/Y303</f>
        <v>#DIV/0!</v>
      </c>
      <c r="Z305" s="86" t="e">
        <f t="shared" si="2332"/>
        <v>#DIV/0!</v>
      </c>
      <c r="AA305" s="86" t="e">
        <f t="shared" ref="AA305" si="2333">+AA304/AA303</f>
        <v>#DIV/0!</v>
      </c>
      <c r="AB305" s="87"/>
      <c r="AC305" s="87"/>
      <c r="AD305" s="87"/>
      <c r="AE305" s="87"/>
      <c r="AF305" s="86"/>
      <c r="AG305" s="86"/>
      <c r="AH305" s="86"/>
      <c r="AI305" s="86" t="e">
        <f t="shared" ref="AI305" si="2334">+AI304/AI303</f>
        <v>#DIV/0!</v>
      </c>
      <c r="AJ305" s="86" t="e">
        <f t="shared" ref="AJ305" si="2335">+AJ304/AJ303</f>
        <v>#DIV/0!</v>
      </c>
      <c r="AK305" s="86" t="e">
        <f t="shared" ref="AK305" si="2336">+AK304/AK303</f>
        <v>#DIV/0!</v>
      </c>
      <c r="AL305" s="86" t="e">
        <f t="shared" ref="AL305" si="2337">+AL304/AL303</f>
        <v>#DIV/0!</v>
      </c>
      <c r="AM305" s="86" t="e">
        <f t="shared" ref="AM305" si="2338">+AM304/AM303</f>
        <v>#DIV/0!</v>
      </c>
      <c r="AN305" s="86" t="e">
        <f t="shared" ref="AN305" si="2339">+AN304/AN303</f>
        <v>#DIV/0!</v>
      </c>
      <c r="AO305" s="86" t="e">
        <f t="shared" ref="AO305" si="2340">+AO304/AO303</f>
        <v>#DIV/0!</v>
      </c>
      <c r="AP305" s="86" t="e">
        <f t="shared" ref="AP305" si="2341">+AP304/AP303</f>
        <v>#DIV/0!</v>
      </c>
      <c r="AQ305" s="86" t="e">
        <f t="shared" ref="AQ305" si="2342">+AQ304/AQ303</f>
        <v>#DIV/0!</v>
      </c>
      <c r="AR305" s="86" t="e">
        <f t="shared" ref="AR305" si="2343">+AR304/AR303</f>
        <v>#DIV/0!</v>
      </c>
      <c r="AS305" s="86" t="e">
        <f t="shared" ref="AS305" si="2344">+AS304/AS303</f>
        <v>#DIV/0!</v>
      </c>
      <c r="AT305" s="86" t="e">
        <f t="shared" ref="AT305" si="2345">+AT304/AT303</f>
        <v>#DIV/0!</v>
      </c>
      <c r="AU305" s="86" t="e">
        <f t="shared" ref="AU305" si="2346">+AU304/AU303</f>
        <v>#DIV/0!</v>
      </c>
      <c r="AV305" s="86" t="e">
        <f t="shared" ref="AV305" si="2347">+AV304/AV303</f>
        <v>#DIV/0!</v>
      </c>
      <c r="AW305" s="86" t="e">
        <f t="shared" ref="AW305" si="2348">+AW304/AW303</f>
        <v>#DIV/0!</v>
      </c>
      <c r="AX305" s="86" t="e">
        <f t="shared" ref="AX305" si="2349">+AX304/AX303</f>
        <v>#DIV/0!</v>
      </c>
      <c r="AY305" s="86" t="e">
        <f t="shared" ref="AY305" si="2350">+AY304/AY303</f>
        <v>#DIV/0!</v>
      </c>
      <c r="AZ305" s="86" t="e">
        <f t="shared" ref="AZ305" si="2351">+AZ304/AZ303</f>
        <v>#DIV/0!</v>
      </c>
      <c r="BA305" s="86" t="e">
        <f t="shared" ref="BA305" si="2352">+BA304/BA303</f>
        <v>#DIV/0!</v>
      </c>
      <c r="BB305" s="86" t="e">
        <f t="shared" ref="BB305" si="2353">+BB304/BB303</f>
        <v>#DIV/0!</v>
      </c>
      <c r="BC305" s="86" t="e">
        <f t="shared" ref="BC305" si="2354">+BC304/BC303</f>
        <v>#DIV/0!</v>
      </c>
      <c r="BD305" s="86" t="e">
        <f t="shared" ref="BD305" si="2355">+BD304/BD303</f>
        <v>#DIV/0!</v>
      </c>
      <c r="BE305" s="86" t="e">
        <f t="shared" ref="BE305" si="2356">+BE304/BE303</f>
        <v>#DIV/0!</v>
      </c>
      <c r="BF305" s="86" t="e">
        <f t="shared" ref="BF305" si="2357">+BF304/BF303</f>
        <v>#DIV/0!</v>
      </c>
      <c r="BG305" s="86" t="e">
        <f t="shared" ref="BG305" si="2358">+BG304/BG303</f>
        <v>#DIV/0!</v>
      </c>
      <c r="BH305" s="86" t="e">
        <f t="shared" ref="BH305" si="2359">+BH304/BH303</f>
        <v>#DIV/0!</v>
      </c>
      <c r="BI305" s="86" t="e">
        <f t="shared" ref="BI305" si="2360">+BI304/BI303</f>
        <v>#DIV/0!</v>
      </c>
      <c r="BJ305" s="86" t="e">
        <f t="shared" ref="BJ305" si="2361">+BJ304/BJ303</f>
        <v>#DIV/0!</v>
      </c>
      <c r="BK305" s="86" t="e">
        <f t="shared" ref="BK305" si="2362">+BK304/BK303</f>
        <v>#DIV/0!</v>
      </c>
      <c r="BL305" s="86" t="e">
        <f t="shared" ref="BL305" si="2363">+BL304/BL303</f>
        <v>#DIV/0!</v>
      </c>
      <c r="BM305" s="86" t="e">
        <f t="shared" ref="BM305" si="2364">+BM304/BM303</f>
        <v>#DIV/0!</v>
      </c>
      <c r="BN305" s="86" t="e">
        <f t="shared" ref="BN305" si="2365">+BN304/BN303</f>
        <v>#DIV/0!</v>
      </c>
      <c r="BO305" s="86" t="e">
        <f t="shared" ref="BO305" si="2366">+BO304/BO303</f>
        <v>#DIV/0!</v>
      </c>
      <c r="BP305" s="86" t="e">
        <f t="shared" ref="BP305" si="2367">+BP304/BP303</f>
        <v>#DIV/0!</v>
      </c>
      <c r="BQ305" s="86" t="e">
        <f t="shared" ref="BQ305" si="2368">+BQ304/BQ303</f>
        <v>#DIV/0!</v>
      </c>
      <c r="BR305" s="86" t="e">
        <f t="shared" ref="BR305" si="2369">+BR304/BR303</f>
        <v>#DIV/0!</v>
      </c>
      <c r="BS305" s="86" t="e">
        <f t="shared" ref="BS305" si="2370">+BS304/BS303</f>
        <v>#DIV/0!</v>
      </c>
      <c r="BT305" s="86" t="e">
        <f t="shared" ref="BT305" si="2371">+BT304/BT303</f>
        <v>#DIV/0!</v>
      </c>
      <c r="BU305" s="86" t="e">
        <f t="shared" ref="BU305" si="2372">+BU304/BU303</f>
        <v>#DIV/0!</v>
      </c>
      <c r="BV305" s="86" t="e">
        <f t="shared" ref="BV305" si="2373">+BV304/BV303</f>
        <v>#DIV/0!</v>
      </c>
      <c r="BW305" s="86" t="e">
        <f t="shared" ref="BW305" si="2374">+BW304/BW303</f>
        <v>#DIV/0!</v>
      </c>
      <c r="BX305" s="86" t="e">
        <f t="shared" ref="BX305" si="2375">+BX304/BX303</f>
        <v>#DIV/0!</v>
      </c>
      <c r="BY305" s="86" t="e">
        <f t="shared" ref="BY305" si="2376">+BY304/BY303</f>
        <v>#DIV/0!</v>
      </c>
      <c r="BZ305" s="86" t="e">
        <f t="shared" ref="BZ305" si="2377">+BZ304/BZ303</f>
        <v>#DIV/0!</v>
      </c>
      <c r="CA305" s="86" t="e">
        <f t="shared" ref="CA305" si="2378">+CA304/CA303</f>
        <v>#DIV/0!</v>
      </c>
      <c r="CB305" s="86" t="e">
        <f t="shared" ref="CB305:CC305" si="2379">+CB304/CB303</f>
        <v>#DIV/0!</v>
      </c>
      <c r="CC305" s="86" t="e">
        <f t="shared" si="2379"/>
        <v>#DIV/0!</v>
      </c>
      <c r="CD305" s="86" t="e">
        <f t="shared" ref="CD305" si="2380">+CD304/CD303</f>
        <v>#DIV/0!</v>
      </c>
      <c r="CE305" s="86" t="e">
        <f t="shared" ref="CE305:CF305" si="2381">+CE304/CE303</f>
        <v>#DIV/0!</v>
      </c>
      <c r="CF305" s="86" t="e">
        <f t="shared" si="2381"/>
        <v>#DIV/0!</v>
      </c>
      <c r="CG305" s="86" t="e">
        <f t="shared" ref="CG305:CH305" si="2382">+CG304/CG303</f>
        <v>#DIV/0!</v>
      </c>
      <c r="CH305" s="86" t="e">
        <f t="shared" si="2382"/>
        <v>#DIV/0!</v>
      </c>
      <c r="CI305" s="86" t="e">
        <f t="shared" ref="CI305:CJ305" si="2383">+CI304/CI303</f>
        <v>#DIV/0!</v>
      </c>
      <c r="CJ305" s="86" t="e">
        <f t="shared" si="2383"/>
        <v>#DIV/0!</v>
      </c>
      <c r="CK305" s="86" t="e">
        <f t="shared" ref="CK305:DB305" si="2384">+CK304/CK303</f>
        <v>#DIV/0!</v>
      </c>
      <c r="CL305" s="86" t="e">
        <f t="shared" si="2384"/>
        <v>#DIV/0!</v>
      </c>
      <c r="CM305" s="47" t="e">
        <f t="shared" si="2384"/>
        <v>#DIV/0!</v>
      </c>
      <c r="CN305" s="47" t="e">
        <f t="shared" si="2384"/>
        <v>#DIV/0!</v>
      </c>
      <c r="CO305" s="47" t="e">
        <f t="shared" si="2384"/>
        <v>#DIV/0!</v>
      </c>
      <c r="CP305" s="47" t="e">
        <f t="shared" si="2384"/>
        <v>#DIV/0!</v>
      </c>
      <c r="CQ305" s="47" t="e">
        <f t="shared" si="2384"/>
        <v>#DIV/0!</v>
      </c>
      <c r="CR305" s="47" t="e">
        <f t="shared" si="2384"/>
        <v>#DIV/0!</v>
      </c>
      <c r="CS305" s="47" t="e">
        <f t="shared" si="2384"/>
        <v>#DIV/0!</v>
      </c>
      <c r="CT305" s="47" t="e">
        <f t="shared" si="2384"/>
        <v>#DIV/0!</v>
      </c>
      <c r="CU305" s="47" t="e">
        <f t="shared" si="2384"/>
        <v>#DIV/0!</v>
      </c>
      <c r="CV305" s="47" t="e">
        <f t="shared" si="2384"/>
        <v>#DIV/0!</v>
      </c>
      <c r="CW305" s="47" t="e">
        <f t="shared" si="2384"/>
        <v>#DIV/0!</v>
      </c>
      <c r="CX305" s="47" t="e">
        <f t="shared" si="2384"/>
        <v>#DIV/0!</v>
      </c>
      <c r="CY305" s="47" t="e">
        <f t="shared" si="2384"/>
        <v>#DIV/0!</v>
      </c>
      <c r="CZ305" s="47" t="e">
        <f t="shared" si="2384"/>
        <v>#DIV/0!</v>
      </c>
      <c r="DA305" s="47" t="e">
        <f t="shared" si="2384"/>
        <v>#DIV/0!</v>
      </c>
      <c r="DB305" s="47" t="e">
        <f t="shared" si="2384"/>
        <v>#DIV/0!</v>
      </c>
      <c r="DE305" s="130"/>
    </row>
    <row r="306" spans="1:110" s="64" customFormat="1" hidden="1" outlineLevel="1" x14ac:dyDescent="0.2">
      <c r="A306" s="64" t="s">
        <v>481</v>
      </c>
      <c r="AB306" s="30"/>
      <c r="AC306" s="30"/>
      <c r="AD306" s="30"/>
      <c r="AE306" s="30"/>
      <c r="CM306" s="30"/>
      <c r="CN306" s="30"/>
      <c r="CO306" s="30"/>
      <c r="CP306" s="30"/>
      <c r="CQ306" s="30"/>
      <c r="CR306" s="30"/>
      <c r="CS306" s="30"/>
      <c r="CT306" s="30"/>
      <c r="CU306" s="30"/>
      <c r="CV306" s="30"/>
      <c r="CW306" s="30"/>
      <c r="CX306" s="30"/>
      <c r="CY306" s="30"/>
      <c r="CZ306" s="30"/>
      <c r="DA306" s="30"/>
      <c r="DB306" s="30"/>
      <c r="DE306" s="139"/>
    </row>
    <row r="307" spans="1:110" s="62" customFormat="1" hidden="1" outlineLevel="1" x14ac:dyDescent="0.2">
      <c r="AB307" s="63"/>
      <c r="AC307" s="63"/>
      <c r="AD307" s="63"/>
      <c r="AE307" s="63"/>
      <c r="CM307" s="30"/>
      <c r="CN307" s="30"/>
      <c r="CO307" s="30"/>
      <c r="CP307" s="30"/>
      <c r="CQ307" s="30"/>
      <c r="CR307" s="30"/>
      <c r="CS307" s="30"/>
      <c r="CT307" s="30"/>
      <c r="CU307" s="30"/>
      <c r="CV307" s="30"/>
      <c r="CW307" s="30"/>
      <c r="CX307" s="30"/>
      <c r="CY307" s="30"/>
      <c r="CZ307" s="30"/>
      <c r="DA307" s="30"/>
      <c r="DB307" s="30"/>
      <c r="DE307" s="139"/>
      <c r="DF307" s="114"/>
    </row>
    <row r="308" spans="1:110" s="11" customFormat="1" collapsed="1" x14ac:dyDescent="0.2">
      <c r="AB308" s="63"/>
      <c r="AC308" s="63"/>
      <c r="AD308" s="63"/>
      <c r="AE308" s="63"/>
      <c r="CM308" s="30"/>
      <c r="CN308" s="30"/>
      <c r="CO308" s="30"/>
      <c r="CP308" s="30"/>
      <c r="CQ308" s="30"/>
      <c r="CR308" s="30"/>
      <c r="CS308" s="30"/>
      <c r="CT308" s="30"/>
      <c r="CU308" s="30"/>
      <c r="CV308" s="30"/>
      <c r="CW308" s="30"/>
      <c r="CX308" s="30"/>
      <c r="CY308" s="30"/>
      <c r="CZ308" s="30"/>
      <c r="DA308" s="30"/>
      <c r="DB308" s="30"/>
      <c r="DE308" s="139"/>
      <c r="DF308" s="212"/>
    </row>
    <row r="309" spans="1:110" s="62" customFormat="1" x14ac:dyDescent="0.2">
      <c r="A309" s="154" t="s">
        <v>497</v>
      </c>
      <c r="G309" s="179"/>
      <c r="H309" s="179"/>
      <c r="I309" s="179"/>
      <c r="J309" s="179"/>
      <c r="K309" s="179"/>
      <c r="L309" s="179"/>
      <c r="M309" s="179"/>
      <c r="N309" s="179"/>
      <c r="O309" s="179"/>
      <c r="P309" s="179"/>
      <c r="Q309" s="179"/>
      <c r="R309" s="179"/>
      <c r="S309" s="179"/>
      <c r="T309" s="179"/>
      <c r="U309" s="179"/>
      <c r="V309" s="179"/>
      <c r="W309" s="179"/>
      <c r="X309" s="179"/>
      <c r="Y309" s="179"/>
      <c r="Z309" s="179"/>
      <c r="AA309" s="179"/>
      <c r="AB309" s="63"/>
      <c r="AC309" s="63"/>
      <c r="AD309" s="63"/>
      <c r="AE309" s="63"/>
      <c r="AL309" s="179"/>
      <c r="CF309" s="179"/>
      <c r="CG309" s="179"/>
      <c r="CH309" s="179"/>
      <c r="CI309" s="179"/>
      <c r="CJ309" s="179"/>
      <c r="CK309" s="179"/>
      <c r="CL309" s="179"/>
      <c r="CM309" s="30"/>
      <c r="CN309" s="30"/>
      <c r="CO309" s="30"/>
      <c r="CP309" s="30"/>
      <c r="CQ309" s="30"/>
      <c r="CR309" s="30"/>
      <c r="CS309" s="30"/>
      <c r="CT309" s="30"/>
      <c r="CU309" s="30"/>
      <c r="CV309" s="30"/>
      <c r="CW309" s="30"/>
      <c r="CX309" s="30"/>
      <c r="CY309" s="30"/>
      <c r="CZ309" s="30"/>
      <c r="DA309" s="30"/>
      <c r="DB309" s="30"/>
      <c r="DE309" s="139"/>
      <c r="DF309" s="114"/>
    </row>
    <row r="310" spans="1:110" s="84" customFormat="1" x14ac:dyDescent="0.2">
      <c r="A310" s="84" t="s">
        <v>512</v>
      </c>
      <c r="B310" s="84">
        <f>B72/B231</f>
        <v>0.27581635189045989</v>
      </c>
      <c r="C310" s="84">
        <f>C72/C231</f>
        <v>0.29031830524573049</v>
      </c>
      <c r="D310" s="84">
        <f>D72/D231</f>
        <v>0.42540747847567251</v>
      </c>
      <c r="E310" s="84">
        <f t="shared" ref="E310:AE310" si="2385">E74/(E227+E214+E204)</f>
        <v>0.42546140015922462</v>
      </c>
      <c r="F310" s="84">
        <f t="shared" si="2385"/>
        <v>1.0139256010340101</v>
      </c>
      <c r="G310" s="84">
        <f t="shared" si="2385"/>
        <v>0.8103087633356737</v>
      </c>
      <c r="H310" s="84">
        <f t="shared" si="2385"/>
        <v>1.0965406448095014</v>
      </c>
      <c r="I310" s="84">
        <f t="shared" si="2385"/>
        <v>1.244756192694481</v>
      </c>
      <c r="J310" s="84">
        <f t="shared" si="2385"/>
        <v>1.4856074517689442</v>
      </c>
      <c r="K310" s="84">
        <f t="shared" si="2385"/>
        <v>1.3062594364924631</v>
      </c>
      <c r="L310" s="84">
        <f t="shared" si="2385"/>
        <v>1.3531298309620459</v>
      </c>
      <c r="M310" s="84">
        <f t="shared" si="2385"/>
        <v>1.8310459291030781</v>
      </c>
      <c r="N310" s="84">
        <f t="shared" si="2385"/>
        <v>1.662101010437141</v>
      </c>
      <c r="O310" s="84">
        <f t="shared" si="2385"/>
        <v>1.2821579968252399</v>
      </c>
      <c r="P310" s="84">
        <f t="shared" si="2385"/>
        <v>1.4877664564812876</v>
      </c>
      <c r="Q310" s="84">
        <f t="shared" si="2385"/>
        <v>0.81374762862841987</v>
      </c>
      <c r="R310" s="84">
        <f t="shared" si="2385"/>
        <v>0.73413770556521951</v>
      </c>
      <c r="S310" s="84">
        <f t="shared" si="2385"/>
        <v>0.72414800319431361</v>
      </c>
      <c r="T310" s="84">
        <f t="shared" si="2385"/>
        <v>0.80791278055894944</v>
      </c>
      <c r="U310" s="84">
        <f t="shared" si="2385"/>
        <v>0.5964597035884639</v>
      </c>
      <c r="V310" s="84">
        <f t="shared" si="2385"/>
        <v>0.36129482703360555</v>
      </c>
      <c r="W310" s="84">
        <f t="shared" si="2385"/>
        <v>0.87697240208713134</v>
      </c>
      <c r="X310" s="84">
        <f t="shared" si="2385"/>
        <v>1.7961940262944707</v>
      </c>
      <c r="Y310" s="84">
        <f t="shared" si="2385"/>
        <v>1.6570708019890992</v>
      </c>
      <c r="Z310" s="84">
        <f t="shared" si="2385"/>
        <v>0.70019471123043109</v>
      </c>
      <c r="AA310" s="84">
        <f t="shared" ref="AA310" si="2386">AA74/(AA227+AA214+AA204)</f>
        <v>0.40101341439523674</v>
      </c>
      <c r="AB310" s="50">
        <f t="shared" si="2385"/>
        <v>0.46590133268781542</v>
      </c>
      <c r="AC310" s="50">
        <f t="shared" si="2385"/>
        <v>0.5291431992709148</v>
      </c>
      <c r="AD310" s="50">
        <f t="shared" si="2385"/>
        <v>0.51277994594063847</v>
      </c>
      <c r="AE310" s="50">
        <f t="shared" si="2385"/>
        <v>0.52242744246072792</v>
      </c>
      <c r="AL310" s="84">
        <f t="shared" ref="AL310:BQ310" si="2387">SUM(AI74:AL74)/(AL227+AL214+AL204)</f>
        <v>1.6402447427772662</v>
      </c>
      <c r="AM310" s="84">
        <f t="shared" si="2387"/>
        <v>1.871212735311832</v>
      </c>
      <c r="AN310" s="84">
        <f t="shared" si="2387"/>
        <v>1.2920199676000543</v>
      </c>
      <c r="AO310" s="84">
        <f t="shared" si="2387"/>
        <v>1.2107038191589075</v>
      </c>
      <c r="AP310" s="84">
        <f t="shared" si="2387"/>
        <v>1.2592072339003262</v>
      </c>
      <c r="AQ310" s="84">
        <f t="shared" si="2387"/>
        <v>1.4146149306191513</v>
      </c>
      <c r="AR310" s="84">
        <f t="shared" si="2387"/>
        <v>1.3513620190382305</v>
      </c>
      <c r="AS310" s="84">
        <f t="shared" si="2387"/>
        <v>1.9960137741656794</v>
      </c>
      <c r="AT310" s="84">
        <f t="shared" si="2387"/>
        <v>1.4697587123875877</v>
      </c>
      <c r="AU310" s="84">
        <f t="shared" si="2387"/>
        <v>1.3474994445938049</v>
      </c>
      <c r="AV310" s="84">
        <f t="shared" si="2387"/>
        <v>0.95531789714227233</v>
      </c>
      <c r="AW310" s="84">
        <f t="shared" si="2387"/>
        <v>0.86581916490769451</v>
      </c>
      <c r="AX310" s="84">
        <f t="shared" si="2387"/>
        <v>0.79723100309201789</v>
      </c>
      <c r="AY310" s="84">
        <f t="shared" si="2387"/>
        <v>0.7081577960675044</v>
      </c>
      <c r="AZ310" s="84">
        <f t="shared" si="2387"/>
        <v>0.69543247795501839</v>
      </c>
      <c r="BA310" s="84">
        <f t="shared" si="2387"/>
        <v>0.74842186139144595</v>
      </c>
      <c r="BB310" s="84">
        <f t="shared" si="2387"/>
        <v>0.74264059185679554</v>
      </c>
      <c r="BC310" s="84">
        <f t="shared" si="2387"/>
        <v>0.72472214731617268</v>
      </c>
      <c r="BD310" s="84">
        <f t="shared" si="2387"/>
        <v>0.73132222440149075</v>
      </c>
      <c r="BE310" s="84">
        <f t="shared" si="2387"/>
        <v>0.68166665653802427</v>
      </c>
      <c r="BF310" s="84">
        <f t="shared" si="2387"/>
        <v>0.72414872263430152</v>
      </c>
      <c r="BG310" s="84">
        <f t="shared" si="2387"/>
        <v>0.7551225779539017</v>
      </c>
      <c r="BH310" s="84">
        <f t="shared" si="2387"/>
        <v>0.8075183341130151</v>
      </c>
      <c r="BI310" s="84">
        <f t="shared" si="2387"/>
        <v>0.77924443865459547</v>
      </c>
      <c r="BJ310" s="84">
        <f t="shared" si="2387"/>
        <v>0.80291455568175862</v>
      </c>
      <c r="BK310" s="84">
        <f t="shared" si="2387"/>
        <v>0.78205514031843915</v>
      </c>
      <c r="BL310" s="84">
        <f t="shared" si="2387"/>
        <v>0.70644929369985965</v>
      </c>
      <c r="BM310" s="84">
        <f t="shared" si="2387"/>
        <v>0.62786923809802664</v>
      </c>
      <c r="BN310" s="84">
        <f t="shared" si="2387"/>
        <v>0.59646108006373144</v>
      </c>
      <c r="BO310" s="84">
        <f t="shared" si="2387"/>
        <v>0.45783492702608192</v>
      </c>
      <c r="BP310" s="84">
        <f t="shared" si="2387"/>
        <v>0.43215838752489433</v>
      </c>
      <c r="BQ310" s="84">
        <f t="shared" si="2387"/>
        <v>0.41290733233742988</v>
      </c>
      <c r="BR310" s="84">
        <f t="shared" ref="BR310:CW310" si="2388">SUM(BO74:BR74)/(BR227+BR214+BR204)</f>
        <v>0.36129515173549481</v>
      </c>
      <c r="BS310" s="84">
        <f t="shared" si="2388"/>
        <v>0.48262023903816093</v>
      </c>
      <c r="BT310" s="84">
        <f t="shared" si="2388"/>
        <v>0.50166044486457451</v>
      </c>
      <c r="BU310" s="84">
        <f t="shared" si="2388"/>
        <v>0.62883339260569626</v>
      </c>
      <c r="BV310" s="84">
        <f t="shared" si="2388"/>
        <v>0.87697240208713145</v>
      </c>
      <c r="BW310" s="84">
        <f t="shared" si="2388"/>
        <v>-12.923665385392621</v>
      </c>
      <c r="BX310" s="84">
        <f t="shared" si="2388"/>
        <v>1.5684494430928746</v>
      </c>
      <c r="BY310" s="84">
        <f t="shared" si="2388"/>
        <v>1.8258072367344673</v>
      </c>
      <c r="BZ310" s="84">
        <f t="shared" si="2388"/>
        <v>1.7961940262944704</v>
      </c>
      <c r="CA310" s="84">
        <f t="shared" si="2388"/>
        <v>1.8935268914087089</v>
      </c>
      <c r="CB310" s="84">
        <f t="shared" si="2388"/>
        <v>1.6837567159797651</v>
      </c>
      <c r="CC310" s="84">
        <f t="shared" si="2388"/>
        <v>1.7562575635488522</v>
      </c>
      <c r="CD310" s="84">
        <f t="shared" si="2388"/>
        <v>1.6567685766966522</v>
      </c>
      <c r="CE310" s="84">
        <f t="shared" si="2388"/>
        <v>1.4796072433587573</v>
      </c>
      <c r="CF310" s="84">
        <f t="shared" si="2388"/>
        <v>1.0164996701732458</v>
      </c>
      <c r="CG310" s="84">
        <f t="shared" si="2388"/>
        <v>0.9316607321579301</v>
      </c>
      <c r="CH310" s="84">
        <f t="shared" si="2388"/>
        <v>0.70023117400766532</v>
      </c>
      <c r="CI310" s="84">
        <f t="shared" si="2388"/>
        <v>0.54528353127183193</v>
      </c>
      <c r="CJ310" s="84">
        <f t="shared" si="2388"/>
        <v>0.44328922683512639</v>
      </c>
      <c r="CK310" s="84">
        <f t="shared" si="2388"/>
        <v>0.54249244554112019</v>
      </c>
      <c r="CL310" s="84">
        <f t="shared" si="2388"/>
        <v>0.41647570020764568</v>
      </c>
      <c r="CM310" s="50">
        <f t="shared" si="2388"/>
        <v>0.48105360870459529</v>
      </c>
      <c r="CN310" s="50">
        <f t="shared" si="2388"/>
        <v>0.50432524442814708</v>
      </c>
      <c r="CO310" s="50">
        <f t="shared" si="2388"/>
        <v>0.49177220747752221</v>
      </c>
      <c r="CP310" s="50">
        <f t="shared" si="2388"/>
        <v>0.46590133268781542</v>
      </c>
      <c r="CQ310" s="50">
        <f t="shared" si="2388"/>
        <v>0.46838476447427463</v>
      </c>
      <c r="CR310" s="50">
        <f t="shared" si="2388"/>
        <v>0.49021552944341246</v>
      </c>
      <c r="CS310" s="50">
        <f t="shared" si="2388"/>
        <v>0.50952007479439598</v>
      </c>
      <c r="CT310" s="50">
        <f t="shared" si="2388"/>
        <v>0.5291431992709148</v>
      </c>
      <c r="CU310" s="50">
        <f t="shared" si="2388"/>
        <v>0.52966261773303824</v>
      </c>
      <c r="CV310" s="50">
        <f t="shared" si="2388"/>
        <v>0.53027642354442672</v>
      </c>
      <c r="CW310" s="50">
        <f t="shared" si="2388"/>
        <v>0.51797736102716607</v>
      </c>
      <c r="CX310" s="50">
        <f t="shared" ref="CX310:DB310" si="2389">SUM(CU74:CX74)/(CX227+CX214+CX204)</f>
        <v>0.51277994594063847</v>
      </c>
      <c r="CY310" s="50">
        <f t="shared" si="2389"/>
        <v>0.51486049555476354</v>
      </c>
      <c r="CZ310" s="50">
        <f t="shared" si="2389"/>
        <v>0.52589737703525974</v>
      </c>
      <c r="DA310" s="50">
        <f t="shared" si="2389"/>
        <v>0.52234023214236491</v>
      </c>
      <c r="DB310" s="50">
        <f t="shared" si="2389"/>
        <v>0.52242744246072792</v>
      </c>
      <c r="DE310" s="138"/>
      <c r="DF310" s="84">
        <v>0.40101341439523674</v>
      </c>
    </row>
    <row r="311" spans="1:110" s="84" customFormat="1" x14ac:dyDescent="0.2">
      <c r="A311" s="84" t="s">
        <v>513</v>
      </c>
      <c r="E311" s="180">
        <f t="shared" ref="E311:AE311" si="2390">+E109</f>
        <v>-8.4637863490142226E-2</v>
      </c>
      <c r="F311" s="180">
        <f t="shared" si="2390"/>
        <v>2.1622408459069167E-2</v>
      </c>
      <c r="G311" s="180">
        <f t="shared" si="2390"/>
        <v>-7.8809889374433978E-2</v>
      </c>
      <c r="H311" s="180">
        <f t="shared" si="2390"/>
        <v>-9.1064800581035374E-2</v>
      </c>
      <c r="I311" s="180">
        <f t="shared" si="2390"/>
        <v>-1.6010293247608696E-2</v>
      </c>
      <c r="J311" s="180">
        <f t="shared" si="2390"/>
        <v>4.1714004606980513E-2</v>
      </c>
      <c r="K311" s="180">
        <f t="shared" si="2390"/>
        <v>3.1500057581148169E-2</v>
      </c>
      <c r="L311" s="180">
        <f t="shared" si="2390"/>
        <v>2.6963583770545221E-2</v>
      </c>
      <c r="M311" s="180">
        <f t="shared" si="2390"/>
        <v>3.707077415969433E-3</v>
      </c>
      <c r="N311" s="180">
        <f t="shared" si="2390"/>
        <v>2.5230432683151557E-3</v>
      </c>
      <c r="O311" s="180">
        <f t="shared" si="2390"/>
        <v>-7.4761764105468878E-2</v>
      </c>
      <c r="P311" s="180">
        <f t="shared" si="2390"/>
        <v>-3.2583949246520347E-2</v>
      </c>
      <c r="Q311" s="180">
        <f t="shared" si="2390"/>
        <v>1.8442708861256579E-2</v>
      </c>
      <c r="R311" s="180">
        <f t="shared" si="2390"/>
        <v>1.5102587551369728E-2</v>
      </c>
      <c r="S311" s="180">
        <f t="shared" si="2390"/>
        <v>4.2308383935525926E-2</v>
      </c>
      <c r="T311" s="180">
        <f t="shared" si="2390"/>
        <v>4.3230917796661085E-2</v>
      </c>
      <c r="U311" s="180">
        <f t="shared" si="2390"/>
        <v>8.5615022388049744E-2</v>
      </c>
      <c r="V311" s="180">
        <f t="shared" si="2390"/>
        <v>5.0038140270174656E-4</v>
      </c>
      <c r="W311" s="180">
        <f t="shared" si="2390"/>
        <v>0.21313261648745524</v>
      </c>
      <c r="X311" s="180">
        <f t="shared" si="2390"/>
        <v>0.26703337843534347</v>
      </c>
      <c r="Y311" s="180">
        <f t="shared" si="2390"/>
        <v>0.19049757458254452</v>
      </c>
      <c r="Z311" s="180">
        <f t="shared" si="2390"/>
        <v>0.21651974021916215</v>
      </c>
      <c r="AA311" s="180">
        <f t="shared" ref="AA311" si="2391">+AA109</f>
        <v>0.22252693472146651</v>
      </c>
      <c r="AB311" s="181">
        <f t="shared" si="2390"/>
        <v>0.29658308060487659</v>
      </c>
      <c r="AC311" s="181">
        <f t="shared" si="2390"/>
        <v>0.25746492195801129</v>
      </c>
      <c r="AD311" s="181">
        <f t="shared" si="2390"/>
        <v>0.24787654471124035</v>
      </c>
      <c r="AE311" s="181">
        <f t="shared" si="2390"/>
        <v>0.24681207808745745</v>
      </c>
      <c r="AL311" s="180">
        <f t="shared" ref="AL311:BQ311" si="2392">+AL109</f>
        <v>3.289132314788118E-2</v>
      </c>
      <c r="AM311" s="180">
        <f t="shared" si="2392"/>
        <v>-9.2353864488562226E-2</v>
      </c>
      <c r="AN311" s="180">
        <f t="shared" si="2392"/>
        <v>-9.9909383437511531E-2</v>
      </c>
      <c r="AO311" s="180">
        <f t="shared" si="2392"/>
        <v>-4.6090169301281451E-2</v>
      </c>
      <c r="AP311" s="180">
        <f t="shared" si="2392"/>
        <v>-7.094208031384508E-2</v>
      </c>
      <c r="AQ311" s="180">
        <f t="shared" si="2392"/>
        <v>-4.9197461739454849E-2</v>
      </c>
      <c r="AR311" s="180">
        <f t="shared" si="2392"/>
        <v>-1.4098597550808561E-2</v>
      </c>
      <c r="AS311" s="180">
        <f t="shared" si="2392"/>
        <v>-5.6301381473006326E-2</v>
      </c>
      <c r="AT311" s="180">
        <f t="shared" si="2392"/>
        <v>-2.0804066618486574E-2</v>
      </c>
      <c r="AU311" s="180">
        <f t="shared" si="2392"/>
        <v>2.098668035141214E-2</v>
      </c>
      <c r="AV311" s="180">
        <f t="shared" si="2392"/>
        <v>4.6824929697206448E-3</v>
      </c>
      <c r="AW311" s="180">
        <f t="shared" si="2392"/>
        <v>3.2851511169512781E-3</v>
      </c>
      <c r="AX311" s="180">
        <f t="shared" si="2392"/>
        <v>4.2537595762792042E-2</v>
      </c>
      <c r="AY311" s="180">
        <f t="shared" si="2392"/>
        <v>1.463419769853644E-3</v>
      </c>
      <c r="AZ311" s="180">
        <f t="shared" si="2392"/>
        <v>3.5622881649026369E-3</v>
      </c>
      <c r="BA311" s="180">
        <f t="shared" si="2392"/>
        <v>3.6030134294136752E-3</v>
      </c>
      <c r="BB311" s="180">
        <f t="shared" si="2392"/>
        <v>6.4839489126682692E-2</v>
      </c>
      <c r="BC311" s="180">
        <f t="shared" si="2392"/>
        <v>5.4114416851077742E-2</v>
      </c>
      <c r="BD311" s="180">
        <f t="shared" si="2392"/>
        <v>2.3718729934086831E-3</v>
      </c>
      <c r="BE311" s="180">
        <f t="shared" si="2392"/>
        <v>1.3150964376186272E-2</v>
      </c>
      <c r="BF311" s="180">
        <f t="shared" si="2392"/>
        <v>9.1650777354062615E-2</v>
      </c>
      <c r="BG311" s="180">
        <f t="shared" si="2392"/>
        <v>7.6322875291947492E-2</v>
      </c>
      <c r="BH311" s="180">
        <f t="shared" si="2392"/>
        <v>6.9170643978695087E-3</v>
      </c>
      <c r="BI311" s="180">
        <f t="shared" si="2392"/>
        <v>1.7067651812514462E-2</v>
      </c>
      <c r="BJ311" s="180">
        <f t="shared" si="2392"/>
        <v>5.9994019001173307E-2</v>
      </c>
      <c r="BK311" s="180">
        <f t="shared" si="2392"/>
        <v>5.9221711728097308E-2</v>
      </c>
      <c r="BL311" s="180">
        <f t="shared" si="2392"/>
        <v>2.3052097740888734E-4</v>
      </c>
      <c r="BM311" s="180">
        <f t="shared" si="2392"/>
        <v>3.6312882062637594E-2</v>
      </c>
      <c r="BN311" s="180">
        <f t="shared" si="2392"/>
        <v>0.20425630126842767</v>
      </c>
      <c r="BO311" s="180">
        <f t="shared" si="2392"/>
        <v>-0.88934967012252597</v>
      </c>
      <c r="BP311" s="180">
        <f t="shared" si="2392"/>
        <v>2.1953867028493911E-2</v>
      </c>
      <c r="BQ311" s="180">
        <f t="shared" si="2392"/>
        <v>3.5151383848778722E-2</v>
      </c>
      <c r="BR311" s="180">
        <f t="shared" ref="BR311:DB311" si="2393">+BR109</f>
        <v>5.6160428368943277E-2</v>
      </c>
      <c r="BS311" s="180">
        <f t="shared" si="2393"/>
        <v>-1.8808777429466684E-3</v>
      </c>
      <c r="BT311" s="180">
        <f t="shared" si="2393"/>
        <v>3.0901116427432002E-3</v>
      </c>
      <c r="BU311" s="180">
        <f t="shared" si="2393"/>
        <v>0.14958103048671781</v>
      </c>
      <c r="BV311" s="180">
        <f t="shared" si="2393"/>
        <v>0.37024699138681305</v>
      </c>
      <c r="BW311" s="180">
        <f t="shared" si="2393"/>
        <v>0.31336925048654291</v>
      </c>
      <c r="BX311" s="180">
        <f t="shared" si="2393"/>
        <v>0.21181132747565901</v>
      </c>
      <c r="BY311" s="180">
        <f t="shared" si="2393"/>
        <v>0.23011744462895892</v>
      </c>
      <c r="BZ311" s="180">
        <f t="shared" si="2393"/>
        <v>0.30703566333808852</v>
      </c>
      <c r="CA311" s="180">
        <f t="shared" si="2393"/>
        <v>0.20516708046725543</v>
      </c>
      <c r="CB311" s="180">
        <f t="shared" si="2393"/>
        <v>0.21191045624066496</v>
      </c>
      <c r="CC311" s="180">
        <f t="shared" si="2393"/>
        <v>0.17334783563592238</v>
      </c>
      <c r="CD311" s="180">
        <f t="shared" si="2393"/>
        <v>0.17815851610703284</v>
      </c>
      <c r="CE311" s="180">
        <f t="shared" si="2393"/>
        <v>0.23059356952557439</v>
      </c>
      <c r="CF311" s="180">
        <f t="shared" si="2393"/>
        <v>0.20987817704379078</v>
      </c>
      <c r="CG311" s="180">
        <f t="shared" si="2393"/>
        <v>0.23238835461475546</v>
      </c>
      <c r="CH311" s="180">
        <f t="shared" si="2393"/>
        <v>0.16917790999748614</v>
      </c>
      <c r="CI311" s="180">
        <f t="shared" si="2393"/>
        <v>0.26917751896354974</v>
      </c>
      <c r="CJ311" s="180">
        <f t="shared" si="2393"/>
        <v>0.15539184137373849</v>
      </c>
      <c r="CK311" s="180">
        <f t="shared" si="2393"/>
        <v>0.21579532154493405</v>
      </c>
      <c r="CL311" s="180">
        <f t="shared" ref="CL311" si="2394">+CL109</f>
        <v>0.25043357498355417</v>
      </c>
      <c r="CM311" s="181">
        <f t="shared" si="2393"/>
        <v>0.29860940676180153</v>
      </c>
      <c r="CN311" s="181">
        <f t="shared" si="2393"/>
        <v>0.30445553934356007</v>
      </c>
      <c r="CO311" s="181">
        <f t="shared" si="2393"/>
        <v>0.29743519694225407</v>
      </c>
      <c r="CP311" s="181">
        <f t="shared" si="2393"/>
        <v>0.28688602707741934</v>
      </c>
      <c r="CQ311" s="181">
        <f t="shared" si="2393"/>
        <v>0.24470842859934039</v>
      </c>
      <c r="CR311" s="181">
        <f t="shared" si="2393"/>
        <v>0.25756026693173018</v>
      </c>
      <c r="CS311" s="181">
        <f t="shared" si="2393"/>
        <v>0.26111302628448824</v>
      </c>
      <c r="CT311" s="181">
        <f t="shared" si="2393"/>
        <v>0.26499635862773668</v>
      </c>
      <c r="CU311" s="181">
        <f t="shared" si="2393"/>
        <v>0.24723962071270444</v>
      </c>
      <c r="CV311" s="181">
        <f t="shared" si="2393"/>
        <v>0.24911865633437058</v>
      </c>
      <c r="CW311" s="181">
        <f t="shared" si="2393"/>
        <v>0.24860656268672782</v>
      </c>
      <c r="CX311" s="181">
        <f t="shared" si="2393"/>
        <v>0.24672485774933689</v>
      </c>
      <c r="CY311" s="181">
        <f t="shared" si="2393"/>
        <v>0.24609442287194686</v>
      </c>
      <c r="CZ311" s="181">
        <f t="shared" si="2393"/>
        <v>0.2470654017620241</v>
      </c>
      <c r="DA311" s="181">
        <f t="shared" si="2393"/>
        <v>0.24709598968413579</v>
      </c>
      <c r="DB311" s="181">
        <f t="shared" si="2393"/>
        <v>0.24696692663365855</v>
      </c>
      <c r="DE311" s="138"/>
      <c r="DF311" s="213">
        <v>0.22252693472146651</v>
      </c>
    </row>
    <row r="312" spans="1:110" s="84" customFormat="1" x14ac:dyDescent="0.2">
      <c r="A312" s="84" t="s">
        <v>514</v>
      </c>
      <c r="E312" s="84">
        <f>(E227+E214+E204+E206)/E186</f>
        <v>-3.7988805246403148</v>
      </c>
      <c r="F312" s="84">
        <f t="shared" ref="F312:AE312" si="2395">(F227+F214+F204+F206)/F186</f>
        <v>-3.2080742322295053</v>
      </c>
      <c r="G312" s="84">
        <f t="shared" si="2395"/>
        <v>-21.55794649611444</v>
      </c>
      <c r="H312" s="84">
        <f t="shared" si="2395"/>
        <v>-6.8928941087718414</v>
      </c>
      <c r="I312" s="84">
        <f t="shared" si="2395"/>
        <v>-186.88618232750716</v>
      </c>
      <c r="J312" s="84">
        <f t="shared" si="2395"/>
        <v>5.5331878804261265</v>
      </c>
      <c r="K312" s="84">
        <f t="shared" si="2395"/>
        <v>4.4061084747985193</v>
      </c>
      <c r="L312" s="84">
        <f t="shared" si="2395"/>
        <v>4.2779720338385854</v>
      </c>
      <c r="M312" s="84">
        <f t="shared" si="2395"/>
        <v>4.4728597168387791</v>
      </c>
      <c r="N312" s="84">
        <f t="shared" si="2395"/>
        <v>3.6587005102163417</v>
      </c>
      <c r="O312" s="84">
        <f t="shared" si="2395"/>
        <v>5.3740153610352985</v>
      </c>
      <c r="P312" s="84">
        <f t="shared" si="2395"/>
        <v>7.0127805542267412</v>
      </c>
      <c r="Q312" s="84">
        <f t="shared" si="2395"/>
        <v>7.4754939850412701</v>
      </c>
      <c r="R312" s="84">
        <f t="shared" si="2395"/>
        <v>7.4335610148513025</v>
      </c>
      <c r="S312" s="84">
        <f t="shared" si="2395"/>
        <v>6.5864168945558852</v>
      </c>
      <c r="T312" s="84">
        <f t="shared" si="2395"/>
        <v>5.4583888742627265</v>
      </c>
      <c r="U312" s="84">
        <f t="shared" si="2395"/>
        <v>4.3168238051874761</v>
      </c>
      <c r="V312" s="84">
        <f t="shared" si="2395"/>
        <v>3.8522783246835752</v>
      </c>
      <c r="W312" s="84">
        <f t="shared" si="2395"/>
        <v>1.6518335479048136</v>
      </c>
      <c r="X312" s="84">
        <f t="shared" si="2395"/>
        <v>1.2352594918081035</v>
      </c>
      <c r="Y312" s="84">
        <f t="shared" si="2395"/>
        <v>1.400811848288964</v>
      </c>
      <c r="Z312" s="84">
        <f t="shared" si="2395"/>
        <v>1.4858732399598771</v>
      </c>
      <c r="AA312" s="84">
        <f t="shared" ref="AA312" si="2396">(AA227+AA214+AA204+AA206)/AA186</f>
        <v>3.1169009342587239</v>
      </c>
      <c r="AB312" s="50">
        <f t="shared" si="2395"/>
        <v>2.3644344630015661</v>
      </c>
      <c r="AC312" s="50">
        <f t="shared" si="2395"/>
        <v>2.0885265060146505</v>
      </c>
      <c r="AD312" s="50">
        <f t="shared" si="2395"/>
        <v>1.873631884592686</v>
      </c>
      <c r="AE312" s="50">
        <f t="shared" si="2395"/>
        <v>1.7277670796575721</v>
      </c>
      <c r="AL312" s="84">
        <f t="shared" ref="AL312:CW312" si="2397">(AL227+AL214+AL204+AL206)/AL186</f>
        <v>3.6623921697410471</v>
      </c>
      <c r="AM312" s="84">
        <f t="shared" si="2397"/>
        <v>3.0519356323125106</v>
      </c>
      <c r="AN312" s="84">
        <f t="shared" si="2397"/>
        <v>4.788162270444162</v>
      </c>
      <c r="AO312" s="84">
        <f t="shared" si="2397"/>
        <v>5.3399088368567309</v>
      </c>
      <c r="AP312" s="84">
        <f t="shared" si="2397"/>
        <v>5.3739624290083006</v>
      </c>
      <c r="AQ312" s="84">
        <f t="shared" si="2397"/>
        <v>5.688319956448475</v>
      </c>
      <c r="AR312" s="84">
        <f t="shared" si="2397"/>
        <v>7.3718811206676325</v>
      </c>
      <c r="AS312" s="84">
        <f t="shared" si="2397"/>
        <v>5.4298214829445071</v>
      </c>
      <c r="AT312" s="84">
        <f t="shared" si="2397"/>
        <v>7.0127020408163272</v>
      </c>
      <c r="AU312" s="84">
        <f t="shared" si="2397"/>
        <v>6.8159622250435064</v>
      </c>
      <c r="AV312" s="84">
        <f t="shared" si="2397"/>
        <v>7.2924301055216265</v>
      </c>
      <c r="AW312" s="84">
        <f t="shared" si="2397"/>
        <v>7.2925562765972245</v>
      </c>
      <c r="AX312" s="84">
        <f t="shared" si="2397"/>
        <v>7.4754320569298525</v>
      </c>
      <c r="AY312" s="84">
        <f t="shared" si="2397"/>
        <v>7.5877569001342975</v>
      </c>
      <c r="AZ312" s="84">
        <f t="shared" si="2397"/>
        <v>7.925295182556594</v>
      </c>
      <c r="BA312" s="84">
        <f t="shared" si="2397"/>
        <v>8.1951716779564343</v>
      </c>
      <c r="BB312" s="84">
        <f t="shared" si="2397"/>
        <v>7.4335443037974684</v>
      </c>
      <c r="BC312" s="84">
        <f t="shared" si="2397"/>
        <v>7.1151004046101454</v>
      </c>
      <c r="BD312" s="84">
        <f t="shared" si="2397"/>
        <v>6.7957957141303167</v>
      </c>
      <c r="BE312" s="84">
        <f t="shared" si="2397"/>
        <v>7.1486522186776424</v>
      </c>
      <c r="BF312" s="84">
        <f t="shared" si="2397"/>
        <v>6.5863682122342633</v>
      </c>
      <c r="BG312" s="84">
        <f t="shared" si="2397"/>
        <v>6.1469665549991248</v>
      </c>
      <c r="BH312" s="84">
        <f t="shared" si="2397"/>
        <v>6.0361337041507053</v>
      </c>
      <c r="BI312" s="84">
        <f t="shared" si="2397"/>
        <v>5.9863226938136753</v>
      </c>
      <c r="BJ312" s="84">
        <f t="shared" si="2397"/>
        <v>5.4583664344966474</v>
      </c>
      <c r="BK312" s="84">
        <f t="shared" si="2397"/>
        <v>5.153113185452515</v>
      </c>
      <c r="BL312" s="84">
        <f t="shared" si="2397"/>
        <v>4.9923713289111582</v>
      </c>
      <c r="BM312" s="84">
        <f t="shared" si="2397"/>
        <v>5.1722612667221695</v>
      </c>
      <c r="BN312" s="84">
        <f t="shared" si="2397"/>
        <v>4.3168380596239739</v>
      </c>
      <c r="BO312" s="84">
        <f t="shared" si="2397"/>
        <v>4.1420593101891399</v>
      </c>
      <c r="BP312" s="84">
        <f t="shared" si="2397"/>
        <v>4.0071675729115173</v>
      </c>
      <c r="BQ312" s="84">
        <f t="shared" si="2397"/>
        <v>3.9592355827379038</v>
      </c>
      <c r="BR312" s="84">
        <f t="shared" si="2397"/>
        <v>3.8522885148677952</v>
      </c>
      <c r="BS312" s="84">
        <f t="shared" si="2397"/>
        <v>3.8560363018864585</v>
      </c>
      <c r="BT312" s="84">
        <f t="shared" si="2397"/>
        <v>1.8963331718220042</v>
      </c>
      <c r="BU312" s="84">
        <f t="shared" si="2397"/>
        <v>2.0431657350896337</v>
      </c>
      <c r="BV312" s="84">
        <f t="shared" si="2397"/>
        <v>1.6518335479048132</v>
      </c>
      <c r="BW312" s="84">
        <f t="shared" si="2397"/>
        <v>0.24875799120883693</v>
      </c>
      <c r="BX312" s="84">
        <f t="shared" si="2397"/>
        <v>7.2946145124716573</v>
      </c>
      <c r="BY312" s="84">
        <f t="shared" si="2397"/>
        <v>3.840153456249447</v>
      </c>
      <c r="BZ312" s="84">
        <f t="shared" si="2397"/>
        <v>1.2352594918081037</v>
      </c>
      <c r="CA312" s="84">
        <f t="shared" si="2397"/>
        <v>1.2341094142596698</v>
      </c>
      <c r="CB312" s="84">
        <f t="shared" si="2397"/>
        <v>1.3432585351539215</v>
      </c>
      <c r="CC312" s="84">
        <f t="shared" si="2397"/>
        <v>1.3247383823676537</v>
      </c>
      <c r="CD312" s="84">
        <f t="shared" si="2397"/>
        <v>1.4008118482889638</v>
      </c>
      <c r="CE312" s="84">
        <f t="shared" si="2397"/>
        <v>1.3996058802584883</v>
      </c>
      <c r="CF312" s="84">
        <f t="shared" si="2397"/>
        <v>1.2446055724557523</v>
      </c>
      <c r="CG312" s="84">
        <f t="shared" si="2397"/>
        <v>1.2311050324877575</v>
      </c>
      <c r="CH312" s="84">
        <f t="shared" si="2397"/>
        <v>1.4858732399598771</v>
      </c>
      <c r="CI312" s="84">
        <f t="shared" si="2397"/>
        <v>1.7270053290476544</v>
      </c>
      <c r="CJ312" s="84">
        <f t="shared" si="2397"/>
        <v>2.6129127710493121</v>
      </c>
      <c r="CK312" s="84">
        <f t="shared" si="2397"/>
        <v>2.593069833209765</v>
      </c>
      <c r="CL312" s="84">
        <f t="shared" ref="CL312" si="2398">(CL227+CL214+CL204+CL206)/CL186</f>
        <v>3.0026818754960924</v>
      </c>
      <c r="CM312" s="50">
        <f t="shared" si="2397"/>
        <v>2.760766648860252</v>
      </c>
      <c r="CN312" s="50">
        <f t="shared" si="2397"/>
        <v>2.5764803244626551</v>
      </c>
      <c r="CO312" s="50">
        <f t="shared" si="2397"/>
        <v>2.4570005541738653</v>
      </c>
      <c r="CP312" s="50">
        <f t="shared" si="2397"/>
        <v>2.3644344630015661</v>
      </c>
      <c r="CQ312" s="50">
        <f t="shared" si="2397"/>
        <v>2.3280496422029824</v>
      </c>
      <c r="CR312" s="50">
        <f t="shared" si="2397"/>
        <v>2.2218295898769753</v>
      </c>
      <c r="CS312" s="50">
        <f t="shared" si="2397"/>
        <v>2.162122534548276</v>
      </c>
      <c r="CT312" s="50">
        <f t="shared" si="2397"/>
        <v>2.0885265060146505</v>
      </c>
      <c r="CU312" s="50">
        <f t="shared" si="2397"/>
        <v>2.0158972975108531</v>
      </c>
      <c r="CV312" s="50">
        <f t="shared" si="2397"/>
        <v>1.9375021193538664</v>
      </c>
      <c r="CW312" s="50">
        <f t="shared" si="2397"/>
        <v>1.9132499937485159</v>
      </c>
      <c r="CX312" s="50">
        <f t="shared" ref="CX312:DB312" si="2399">(CX227+CX214+CX204+CX206)/CX186</f>
        <v>1.873631884592686</v>
      </c>
      <c r="CY312" s="50">
        <f t="shared" si="2399"/>
        <v>1.8346146636011633</v>
      </c>
      <c r="CZ312" s="50">
        <f t="shared" si="2399"/>
        <v>1.7740255512703487</v>
      </c>
      <c r="DA312" s="50">
        <f t="shared" si="2399"/>
        <v>1.7575786812872523</v>
      </c>
      <c r="DB312" s="50">
        <f t="shared" si="2399"/>
        <v>1.7277670796575721</v>
      </c>
      <c r="DE312" s="138"/>
      <c r="DF312" s="84">
        <v>3.1169009342587239</v>
      </c>
    </row>
    <row r="313" spans="1:110" s="84" customFormat="1" x14ac:dyDescent="0.2">
      <c r="A313" s="154" t="s">
        <v>498</v>
      </c>
      <c r="AB313" s="50"/>
      <c r="AC313" s="50"/>
      <c r="AD313" s="50"/>
      <c r="AE313" s="50"/>
      <c r="CM313" s="50"/>
      <c r="CN313" s="50"/>
      <c r="CO313" s="50"/>
      <c r="CP313" s="50"/>
      <c r="CQ313" s="50"/>
      <c r="CR313" s="50"/>
      <c r="CS313" s="50"/>
      <c r="CT313" s="50"/>
      <c r="CU313" s="50"/>
      <c r="CV313" s="50"/>
      <c r="CW313" s="50"/>
      <c r="CX313" s="50"/>
      <c r="CY313" s="50"/>
      <c r="CZ313" s="50"/>
      <c r="DA313" s="50"/>
      <c r="DB313" s="50"/>
      <c r="DE313" s="138"/>
    </row>
    <row r="314" spans="1:110" s="88" customFormat="1" x14ac:dyDescent="0.2">
      <c r="A314" s="88" t="s">
        <v>102</v>
      </c>
      <c r="B314" s="88">
        <f t="shared" ref="B314:AE314" si="2400">B227/B186</f>
        <v>0.10077610218228035</v>
      </c>
      <c r="C314" s="88">
        <f t="shared" si="2400"/>
        <v>-4.0736338568963274E-3</v>
      </c>
      <c r="D314" s="88">
        <f t="shared" si="2400"/>
        <v>-5.2815189437332554E-3</v>
      </c>
      <c r="F314" s="88">
        <f t="shared" si="2400"/>
        <v>-1.3405286104436739E-2</v>
      </c>
      <c r="G314" s="88">
        <f t="shared" si="2400"/>
        <v>-9.197441716525688E-2</v>
      </c>
      <c r="H314" s="88">
        <f t="shared" si="2400"/>
        <v>-1.3143507614657683E-2</v>
      </c>
      <c r="I314" s="88">
        <f t="shared" si="2400"/>
        <v>-0.53133183119176575</v>
      </c>
      <c r="J314" s="88">
        <f t="shared" si="2400"/>
        <v>9.5169885455835573E-2</v>
      </c>
      <c r="K314" s="88">
        <f t="shared" si="2400"/>
        <v>4.8748990480466735E-2</v>
      </c>
      <c r="L314" s="88">
        <f t="shared" si="2400"/>
        <v>6.5766955366221153E-2</v>
      </c>
      <c r="M314" s="88">
        <f t="shared" si="2400"/>
        <v>9.8005832421593789E-2</v>
      </c>
      <c r="N314" s="88">
        <f t="shared" si="2400"/>
        <v>6.2926415109452224E-2</v>
      </c>
      <c r="O314" s="88">
        <f t="shared" si="2400"/>
        <v>0.11962385001571539</v>
      </c>
      <c r="P314" s="88">
        <f t="shared" si="2400"/>
        <v>0.16591863090680217</v>
      </c>
      <c r="Q314" s="88">
        <f t="shared" si="2400"/>
        <v>0.12059770374613726</v>
      </c>
      <c r="R314" s="88">
        <f t="shared" si="2400"/>
        <v>0.12067662668561467</v>
      </c>
      <c r="S314" s="88">
        <f t="shared" si="2400"/>
        <v>8.4494097777798843E-2</v>
      </c>
      <c r="T314" s="88">
        <f t="shared" si="2400"/>
        <v>7.8073226269820384E-2</v>
      </c>
      <c r="U314" s="88">
        <f t="shared" si="2400"/>
        <v>0.12878803092679988</v>
      </c>
      <c r="V314" s="88">
        <f t="shared" si="2400"/>
        <v>4.4137100897118316E-2</v>
      </c>
      <c r="W314" s="88">
        <f t="shared" si="2400"/>
        <v>4.5413015490676528E-2</v>
      </c>
      <c r="X314" s="88">
        <f t="shared" si="2400"/>
        <v>0.19708296543379444</v>
      </c>
      <c r="Y314" s="88">
        <f t="shared" si="2400"/>
        <v>0.11247763148064475</v>
      </c>
      <c r="Z314" s="88">
        <f t="shared" si="2400"/>
        <v>0.12630338943170982</v>
      </c>
      <c r="AA314" s="88">
        <f t="shared" ref="AA314" si="2401">AA227/AA186</f>
        <v>0.20243762296435192</v>
      </c>
      <c r="AB314" s="42">
        <f t="shared" si="2400"/>
        <v>0.27177839185236286</v>
      </c>
      <c r="AC314" s="42">
        <f t="shared" si="2400"/>
        <v>0.27953817146757515</v>
      </c>
      <c r="AD314" s="42">
        <f t="shared" si="2400"/>
        <v>0.37764575192120309</v>
      </c>
      <c r="AE314" s="42">
        <f t="shared" si="2400"/>
        <v>0.44074127901866345</v>
      </c>
      <c r="AL314" s="88">
        <f t="shared" ref="AL314:CW314" si="2402">AL227/AL186</f>
        <v>6.2916002531057516E-2</v>
      </c>
      <c r="AM314" s="88">
        <f t="shared" si="2402"/>
        <v>-0.67949918986391844</v>
      </c>
      <c r="AN314" s="88">
        <f t="shared" si="2402"/>
        <v>7.5293328201940055E-2</v>
      </c>
      <c r="AO314" s="88">
        <f t="shared" si="2402"/>
        <v>0.23890292377257313</v>
      </c>
      <c r="AP314" s="88">
        <f t="shared" si="2402"/>
        <v>0.11961797970972282</v>
      </c>
      <c r="AQ314" s="88">
        <f t="shared" si="2402"/>
        <v>-6.5458856303707458E-2</v>
      </c>
      <c r="AR314" s="88">
        <f t="shared" si="2402"/>
        <v>0.11923415368020665</v>
      </c>
      <c r="AS314" s="88">
        <f t="shared" si="2402"/>
        <v>-1.6144682426346342</v>
      </c>
      <c r="AT314" s="88">
        <f t="shared" si="2402"/>
        <v>0.16591020408163268</v>
      </c>
      <c r="AU314" s="88">
        <f t="shared" si="2402"/>
        <v>0.21237780162888659</v>
      </c>
      <c r="AV314" s="88">
        <f t="shared" si="2402"/>
        <v>0.11677312073600947</v>
      </c>
      <c r="AW314" s="88">
        <f t="shared" si="2402"/>
        <v>0.12232684678878084</v>
      </c>
      <c r="AX314" s="88">
        <f t="shared" si="2402"/>
        <v>0.12060479901889593</v>
      </c>
      <c r="AY314" s="88">
        <f t="shared" si="2402"/>
        <v>9.4474736961876485E-2</v>
      </c>
      <c r="AZ314" s="88">
        <f t="shared" si="2402"/>
        <v>0.11667921626427852</v>
      </c>
      <c r="BA314" s="88">
        <f t="shared" si="2402"/>
        <v>7.42819469553301E-4</v>
      </c>
      <c r="BB314" s="88">
        <f t="shared" si="2402"/>
        <v>0.12068200638826453</v>
      </c>
      <c r="BC314" s="88">
        <f t="shared" si="2402"/>
        <v>0.13705344112311449</v>
      </c>
      <c r="BD314" s="88">
        <f t="shared" si="2402"/>
        <v>0.11385021211791579</v>
      </c>
      <c r="BE314" s="88">
        <f t="shared" si="2402"/>
        <v>1.422838463229268E-2</v>
      </c>
      <c r="BF314" s="88">
        <f t="shared" si="2402"/>
        <v>8.4491028601883109E-2</v>
      </c>
      <c r="BG314" s="88">
        <f t="shared" si="2402"/>
        <v>0.14492895421622803</v>
      </c>
      <c r="BH314" s="88">
        <f t="shared" si="2402"/>
        <v>7.3841632995749598E-2</v>
      </c>
      <c r="BI314" s="88">
        <f t="shared" si="2402"/>
        <v>7.2176596574111115E-2</v>
      </c>
      <c r="BJ314" s="88">
        <f t="shared" si="2402"/>
        <v>7.8075636927965722E-2</v>
      </c>
      <c r="BK314" s="88">
        <f t="shared" si="2402"/>
        <v>0.14630137057713172</v>
      </c>
      <c r="BL314" s="88">
        <f t="shared" si="2402"/>
        <v>6.0393646120001004E-2</v>
      </c>
      <c r="BM314" s="88">
        <f t="shared" si="2402"/>
        <v>-7.5272215675620674E-3</v>
      </c>
      <c r="BN314" s="88">
        <f t="shared" si="2402"/>
        <v>0.12878362937571414</v>
      </c>
      <c r="BO314" s="88">
        <f t="shared" si="2402"/>
        <v>0.27333054463173156</v>
      </c>
      <c r="BP314" s="88">
        <f t="shared" si="2402"/>
        <v>0.12218462045451664</v>
      </c>
      <c r="BQ314" s="88">
        <f t="shared" si="2402"/>
        <v>0.13598906126290058</v>
      </c>
      <c r="BR314" s="88">
        <f t="shared" si="2402"/>
        <v>4.4139370143598471E-2</v>
      </c>
      <c r="BS314" s="88">
        <f t="shared" si="2402"/>
        <v>4.0899408339686659E-2</v>
      </c>
      <c r="BT314" s="88">
        <f t="shared" si="2402"/>
        <v>5.1727910720705234E-2</v>
      </c>
      <c r="BU314" s="88">
        <f t="shared" si="2402"/>
        <v>-0.17370800530387945</v>
      </c>
      <c r="BV314" s="88">
        <f t="shared" si="2402"/>
        <v>4.5413015490676521E-2</v>
      </c>
      <c r="BW314" s="88">
        <f t="shared" si="2402"/>
        <v>2.6220442149667798</v>
      </c>
      <c r="BX314" s="88">
        <f t="shared" si="2402"/>
        <v>0.12596371882086169</v>
      </c>
      <c r="BY314" s="88">
        <f t="shared" si="2402"/>
        <v>0.49367709632838508</v>
      </c>
      <c r="BZ314" s="88">
        <f t="shared" si="2402"/>
        <v>0.19707642499754735</v>
      </c>
      <c r="CA314" s="88">
        <f t="shared" si="2402"/>
        <v>0.22329102894093159</v>
      </c>
      <c r="CB314" s="88">
        <f t="shared" si="2402"/>
        <v>0.20904822602683198</v>
      </c>
      <c r="CC314" s="88">
        <f t="shared" si="2402"/>
        <v>0.22227322821978251</v>
      </c>
      <c r="CD314" s="88">
        <f t="shared" si="2402"/>
        <v>0.11247763148064475</v>
      </c>
      <c r="CE314" s="88">
        <f t="shared" si="2402"/>
        <v>0.27320899427594492</v>
      </c>
      <c r="CF314" s="88">
        <f t="shared" si="2402"/>
        <v>0.18972448838495579</v>
      </c>
      <c r="CG314" s="88">
        <f t="shared" si="2402"/>
        <v>0.22835704965151554</v>
      </c>
      <c r="CH314" s="88">
        <f t="shared" si="2402"/>
        <v>0.12630338943170982</v>
      </c>
      <c r="CI314" s="88">
        <f t="shared" si="2402"/>
        <v>9.7807105839010505E-2</v>
      </c>
      <c r="CJ314" s="88">
        <f t="shared" si="2402"/>
        <v>0.13339363861476083</v>
      </c>
      <c r="CK314" s="88">
        <f t="shared" si="2402"/>
        <v>8.3438799510775818E-2</v>
      </c>
      <c r="CL314" s="88">
        <f t="shared" ref="CL314" si="2403">CL227/CL186</f>
        <v>0.20243762296435192</v>
      </c>
      <c r="CM314" s="42">
        <f t="shared" si="2402"/>
        <v>0.23422945011039173</v>
      </c>
      <c r="CN314" s="42">
        <f t="shared" si="2402"/>
        <v>0.31203527011674026</v>
      </c>
      <c r="CO314" s="42">
        <f t="shared" si="2402"/>
        <v>0.29883505176477593</v>
      </c>
      <c r="CP314" s="42">
        <f t="shared" si="2402"/>
        <v>0.27177839185236286</v>
      </c>
      <c r="CQ314" s="42">
        <f t="shared" si="2402"/>
        <v>0.1838246253542983</v>
      </c>
      <c r="CR314" s="42">
        <f t="shared" si="2402"/>
        <v>0.24486308206443583</v>
      </c>
      <c r="CS314" s="42">
        <f t="shared" si="2402"/>
        <v>0.24962677189160942</v>
      </c>
      <c r="CT314" s="42">
        <f t="shared" si="2402"/>
        <v>0.27953817146757515</v>
      </c>
      <c r="CU314" s="42">
        <f t="shared" si="2402"/>
        <v>0.32063253035078526</v>
      </c>
      <c r="CV314" s="42">
        <f t="shared" si="2402"/>
        <v>0.37784719991170063</v>
      </c>
      <c r="CW314" s="42">
        <f t="shared" si="2402"/>
        <v>0.36611069009533442</v>
      </c>
      <c r="CX314" s="42">
        <f t="shared" ref="CX314:DB314" si="2404">CX227/CX186</f>
        <v>0.37764575192120309</v>
      </c>
      <c r="CY314" s="42">
        <f t="shared" si="2404"/>
        <v>0.39166162883125616</v>
      </c>
      <c r="CZ314" s="42">
        <f t="shared" si="2404"/>
        <v>0.43901033048933014</v>
      </c>
      <c r="DA314" s="42">
        <f t="shared" si="2404"/>
        <v>0.43016589708872677</v>
      </c>
      <c r="DB314" s="42">
        <f t="shared" si="2404"/>
        <v>0.44074127901866345</v>
      </c>
      <c r="DE314" s="125"/>
      <c r="DF314" s="88">
        <v>0.20243762296435192</v>
      </c>
    </row>
    <row r="315" spans="1:110" s="89" customFormat="1" x14ac:dyDescent="0.2">
      <c r="A315" s="89" t="s">
        <v>103</v>
      </c>
      <c r="C315" s="89">
        <f t="shared" ref="C315:AE315" si="2405">C194/B194-1</f>
        <v>0.18252941105294052</v>
      </c>
      <c r="D315" s="89">
        <f t="shared" si="2405"/>
        <v>5.8669995579223144E-2</v>
      </c>
      <c r="F315" s="89">
        <f t="shared" si="2405"/>
        <v>-0.36097865565061793</v>
      </c>
      <c r="G315" s="89">
        <f t="shared" si="2405"/>
        <v>-0.32223844153685222</v>
      </c>
      <c r="H315" s="89">
        <f t="shared" si="2405"/>
        <v>-8.2209986980447791E-2</v>
      </c>
      <c r="I315" s="89">
        <f t="shared" si="2405"/>
        <v>-0.30009804180527444</v>
      </c>
      <c r="J315" s="89">
        <f t="shared" si="2405"/>
        <v>-0.51455663371509219</v>
      </c>
      <c r="K315" s="89">
        <f>K194/J194-1</f>
        <v>-0.30773592757504753</v>
      </c>
      <c r="L315" s="89">
        <f t="shared" si="2405"/>
        <v>-0.16385804283729366</v>
      </c>
      <c r="M315" s="89">
        <f t="shared" si="2405"/>
        <v>-0.14836867927410236</v>
      </c>
      <c r="N315" s="89">
        <f t="shared" si="2405"/>
        <v>-0.18898894193899507</v>
      </c>
      <c r="O315" s="89">
        <f t="shared" si="2405"/>
        <v>-0.18365183705217569</v>
      </c>
      <c r="P315" s="89">
        <f t="shared" si="2405"/>
        <v>7.8724159512755687E-2</v>
      </c>
      <c r="Q315" s="89">
        <f t="shared" si="2405"/>
        <v>-0.47221344232909157</v>
      </c>
      <c r="R315" s="89">
        <f t="shared" si="2405"/>
        <v>1.1358124958981426</v>
      </c>
      <c r="S315" s="89">
        <f t="shared" si="2405"/>
        <v>0.13328365604366477</v>
      </c>
      <c r="T315" s="89">
        <f t="shared" si="2405"/>
        <v>2.1353682633614306</v>
      </c>
      <c r="U315" s="89">
        <f t="shared" si="2405"/>
        <v>0.30336370544849589</v>
      </c>
      <c r="V315" s="89">
        <f t="shared" si="2405"/>
        <v>0.44189225166436241</v>
      </c>
      <c r="W315" s="89">
        <f t="shared" si="2405"/>
        <v>-0.45114045673488967</v>
      </c>
      <c r="X315" s="89">
        <f t="shared" si="2405"/>
        <v>-0.98354642632571787</v>
      </c>
      <c r="Y315" s="89">
        <f t="shared" si="2405"/>
        <v>-1</v>
      </c>
      <c r="Z315" s="89" t="e">
        <f t="shared" si="2405"/>
        <v>#DIV/0!</v>
      </c>
      <c r="AA315" s="89">
        <f t="shared" si="2405"/>
        <v>18.713149876674571</v>
      </c>
      <c r="AB315" s="47">
        <f t="shared" si="2405"/>
        <v>-4.9066654117524422E-7</v>
      </c>
      <c r="AC315" s="47">
        <f t="shared" si="2405"/>
        <v>0</v>
      </c>
      <c r="AD315" s="47">
        <f t="shared" si="2405"/>
        <v>0</v>
      </c>
      <c r="AE315" s="47">
        <f t="shared" si="2405"/>
        <v>0</v>
      </c>
      <c r="AL315" s="89">
        <f t="shared" ref="AL315:CW315" si="2406">AL194/AK194-1</f>
        <v>-0.22893958122635494</v>
      </c>
      <c r="AM315" s="89">
        <f t="shared" si="2406"/>
        <v>0</v>
      </c>
      <c r="AN315" s="89">
        <f t="shared" si="2406"/>
        <v>-0.11955307262569836</v>
      </c>
      <c r="AO315" s="89">
        <f t="shared" si="2406"/>
        <v>0</v>
      </c>
      <c r="AP315" s="89">
        <f t="shared" si="2406"/>
        <v>-0.13578680203045679</v>
      </c>
      <c r="AQ315" s="89">
        <f t="shared" si="2406"/>
        <v>0</v>
      </c>
      <c r="AR315" s="89">
        <f t="shared" si="2406"/>
        <v>-0.18617123156483439</v>
      </c>
      <c r="AS315" s="89">
        <f t="shared" si="2406"/>
        <v>0</v>
      </c>
      <c r="AT315" s="89">
        <f t="shared" si="2406"/>
        <v>0.39115085902565316</v>
      </c>
      <c r="AU315" s="89">
        <f t="shared" si="2406"/>
        <v>0</v>
      </c>
      <c r="AV315" s="89">
        <f t="shared" si="2406"/>
        <v>-0.42818474031466758</v>
      </c>
      <c r="AW315" s="89">
        <f t="shared" si="2406"/>
        <v>0</v>
      </c>
      <c r="AX315" s="89">
        <f t="shared" si="2406"/>
        <v>0.18136094674556213</v>
      </c>
      <c r="AY315" s="89">
        <f t="shared" si="2406"/>
        <v>0</v>
      </c>
      <c r="AZ315" s="89">
        <f t="shared" si="2406"/>
        <v>0.94014525419484074</v>
      </c>
      <c r="BA315" s="89">
        <f t="shared" si="2406"/>
        <v>0</v>
      </c>
      <c r="BB315" s="89">
        <f t="shared" si="2406"/>
        <v>0.12021857923497281</v>
      </c>
      <c r="BC315" s="89">
        <f t="shared" si="2406"/>
        <v>0</v>
      </c>
      <c r="BD315" s="89">
        <f t="shared" si="2406"/>
        <v>-0.39174188592279624</v>
      </c>
      <c r="BE315" s="89">
        <f t="shared" si="2406"/>
        <v>0</v>
      </c>
      <c r="BF315" s="89">
        <f t="shared" si="2406"/>
        <v>0.84276332407173538</v>
      </c>
      <c r="BG315" s="89">
        <f t="shared" si="2406"/>
        <v>0</v>
      </c>
      <c r="BH315" s="89">
        <f t="shared" si="2406"/>
        <v>-6.6650675073675503E-2</v>
      </c>
      <c r="BI315" s="89">
        <f t="shared" si="2406"/>
        <v>0</v>
      </c>
      <c r="BJ315" s="89">
        <f t="shared" si="2406"/>
        <v>2.1313654220362004</v>
      </c>
      <c r="BK315" s="89">
        <f t="shared" si="2406"/>
        <v>0</v>
      </c>
      <c r="BL315" s="89">
        <f t="shared" si="2406"/>
        <v>0.21091817233171928</v>
      </c>
      <c r="BM315" s="89">
        <f t="shared" si="2406"/>
        <v>0</v>
      </c>
      <c r="BN315" s="89">
        <f t="shared" si="2406"/>
        <v>-4.2545363000832781E-2</v>
      </c>
      <c r="BO315" s="89">
        <f t="shared" si="2406"/>
        <v>0</v>
      </c>
      <c r="BP315" s="89">
        <f t="shared" si="2406"/>
        <v>0.13229642813802034</v>
      </c>
      <c r="BQ315" s="89">
        <f t="shared" si="2406"/>
        <v>0</v>
      </c>
      <c r="BR315" s="89">
        <f t="shared" si="2406"/>
        <v>-8.1328260364753491E-2</v>
      </c>
      <c r="BS315" s="89">
        <f t="shared" si="2406"/>
        <v>0</v>
      </c>
      <c r="BT315" s="89">
        <f t="shared" si="2406"/>
        <v>-0.25693175189578066</v>
      </c>
      <c r="BU315" s="89">
        <f t="shared" si="2406"/>
        <v>0</v>
      </c>
      <c r="BV315" s="89">
        <f t="shared" si="2406"/>
        <v>-0.2579024492359222</v>
      </c>
      <c r="BW315" s="89">
        <f t="shared" si="2406"/>
        <v>0</v>
      </c>
      <c r="BX315" s="89">
        <f t="shared" si="2406"/>
        <v>-0.11495063469675593</v>
      </c>
      <c r="BY315" s="89">
        <f t="shared" si="2406"/>
        <v>0</v>
      </c>
      <c r="BZ315" s="89">
        <f t="shared" si="2406"/>
        <v>-1</v>
      </c>
      <c r="CA315" s="89" t="e">
        <f t="shared" si="2406"/>
        <v>#DIV/0!</v>
      </c>
      <c r="CB315" s="89" t="e">
        <f t="shared" si="2406"/>
        <v>#DIV/0!</v>
      </c>
      <c r="CC315" s="89" t="e">
        <f t="shared" si="2406"/>
        <v>#DIV/0!</v>
      </c>
      <c r="CD315" s="89" t="e">
        <f t="shared" si="2406"/>
        <v>#DIV/0!</v>
      </c>
      <c r="CE315" s="89" t="e">
        <f t="shared" si="2406"/>
        <v>#DIV/0!</v>
      </c>
      <c r="CF315" s="89" t="e">
        <f t="shared" si="2406"/>
        <v>#DIV/0!</v>
      </c>
      <c r="CG315" s="89" t="e">
        <f t="shared" si="2406"/>
        <v>#DIV/0!</v>
      </c>
      <c r="CH315" s="89" t="e">
        <f t="shared" si="2406"/>
        <v>#DIV/0!</v>
      </c>
      <c r="CI315" s="89">
        <f t="shared" si="2406"/>
        <v>0</v>
      </c>
      <c r="CJ315" s="89">
        <f t="shared" si="2406"/>
        <v>6.7208589253760227</v>
      </c>
      <c r="CK315" s="89">
        <f t="shared" si="2406"/>
        <v>0</v>
      </c>
      <c r="CL315" s="89">
        <f t="shared" si="2406"/>
        <v>1.5532314985448892</v>
      </c>
      <c r="CM315" s="47">
        <f t="shared" si="2406"/>
        <v>0</v>
      </c>
      <c r="CN315" s="47">
        <f t="shared" si="2406"/>
        <v>0</v>
      </c>
      <c r="CO315" s="47">
        <f t="shared" si="2406"/>
        <v>0</v>
      </c>
      <c r="CP315" s="47">
        <f t="shared" si="2406"/>
        <v>0</v>
      </c>
      <c r="CQ315" s="47">
        <f t="shared" si="2406"/>
        <v>0</v>
      </c>
      <c r="CR315" s="47">
        <f t="shared" si="2406"/>
        <v>0</v>
      </c>
      <c r="CS315" s="47">
        <f t="shared" si="2406"/>
        <v>0</v>
      </c>
      <c r="CT315" s="47">
        <f t="shared" si="2406"/>
        <v>0</v>
      </c>
      <c r="CU315" s="47">
        <f t="shared" si="2406"/>
        <v>0</v>
      </c>
      <c r="CV315" s="47">
        <f t="shared" si="2406"/>
        <v>0</v>
      </c>
      <c r="CW315" s="47">
        <f t="shared" si="2406"/>
        <v>0</v>
      </c>
      <c r="CX315" s="47">
        <f t="shared" ref="CX315:DB315" si="2407">CX194/CW194-1</f>
        <v>0</v>
      </c>
      <c r="CY315" s="47">
        <f t="shared" si="2407"/>
        <v>0</v>
      </c>
      <c r="CZ315" s="47">
        <f t="shared" si="2407"/>
        <v>0</v>
      </c>
      <c r="DA315" s="47">
        <f t="shared" si="2407"/>
        <v>0</v>
      </c>
      <c r="DB315" s="47">
        <f t="shared" si="2407"/>
        <v>0</v>
      </c>
      <c r="DE315" s="130"/>
      <c r="DF315" s="89">
        <v>18.713149876674571</v>
      </c>
    </row>
    <row r="316" spans="1:110" s="89" customFormat="1" x14ac:dyDescent="0.2">
      <c r="A316" s="89" t="s">
        <v>104</v>
      </c>
      <c r="C316" s="89">
        <f>C95/B95-1</f>
        <v>-0.53260802564260668</v>
      </c>
      <c r="D316" s="89">
        <f>D95/C95-1</f>
        <v>1.336036927134844</v>
      </c>
      <c r="F316" s="89">
        <f t="shared" ref="F316:AE316" si="2408">F95/E95-1</f>
        <v>2.8597265779618071</v>
      </c>
      <c r="G316" s="89">
        <f t="shared" si="2408"/>
        <v>-1.0277403068670365</v>
      </c>
      <c r="H316" s="89">
        <f t="shared" si="2408"/>
        <v>-3.0927058154414993</v>
      </c>
      <c r="I316" s="89">
        <f t="shared" si="2408"/>
        <v>22.570322054627624</v>
      </c>
      <c r="J316" s="89">
        <f t="shared" si="2408"/>
        <v>0.46397315714829479</v>
      </c>
      <c r="K316" s="89">
        <f t="shared" si="2408"/>
        <v>-0.32381897515870273</v>
      </c>
      <c r="L316" s="89">
        <f t="shared" si="2408"/>
        <v>-0.35466849927782784</v>
      </c>
      <c r="M316" s="89">
        <f t="shared" si="2408"/>
        <v>0.24050141689077864</v>
      </c>
      <c r="N316" s="89">
        <f t="shared" si="2408"/>
        <v>-0.24810301553235259</v>
      </c>
      <c r="O316" s="89">
        <f t="shared" si="2408"/>
        <v>-2.2208859044817655</v>
      </c>
      <c r="P316" s="89">
        <f t="shared" si="2408"/>
        <v>4.5117727708608779E-2</v>
      </c>
      <c r="Q316" s="89">
        <f t="shared" si="2408"/>
        <v>-1.4999317530369907</v>
      </c>
      <c r="R316" s="89">
        <f t="shared" si="2408"/>
        <v>0.12153409780366675</v>
      </c>
      <c r="S316" s="89">
        <f t="shared" si="2408"/>
        <v>0.11201574238745859</v>
      </c>
      <c r="T316" s="89">
        <f t="shared" si="2408"/>
        <v>-4.1831361054693983E-2</v>
      </c>
      <c r="U316" s="89">
        <f t="shared" si="2408"/>
        <v>0.34088356064404679</v>
      </c>
      <c r="V316" s="89">
        <f t="shared" si="2408"/>
        <v>-0.48542921918411164</v>
      </c>
      <c r="W316" s="89">
        <f t="shared" si="2408"/>
        <v>12.38600783678873</v>
      </c>
      <c r="X316" s="89">
        <f t="shared" si="2408"/>
        <v>4.5678554249982817</v>
      </c>
      <c r="Y316" s="89">
        <f t="shared" si="2408"/>
        <v>1.1365807303557975</v>
      </c>
      <c r="Z316" s="89">
        <f t="shared" si="2408"/>
        <v>0.12966931407942295</v>
      </c>
      <c r="AA316" s="89">
        <f t="shared" si="2408"/>
        <v>2.1456942129321885</v>
      </c>
      <c r="AB316" s="47">
        <f t="shared" si="2408"/>
        <v>0.47183972783542738</v>
      </c>
      <c r="AC316" s="47">
        <f t="shared" si="2408"/>
        <v>0.20508532391295775</v>
      </c>
      <c r="AD316" s="47">
        <f t="shared" si="2408"/>
        <v>0.14873385501690195</v>
      </c>
      <c r="AE316" s="47">
        <f t="shared" si="2408"/>
        <v>0.17637771366195043</v>
      </c>
      <c r="AL316" s="89">
        <f t="shared" ref="AL316:BQ316" si="2409">AL95/AK95-1</f>
        <v>-32.77414330218069</v>
      </c>
      <c r="AM316" s="89">
        <f t="shared" si="2409"/>
        <v>-1.467277807735675</v>
      </c>
      <c r="AN316" s="89">
        <f t="shared" si="2409"/>
        <v>-0.36319765002098403</v>
      </c>
      <c r="AO316" s="89">
        <f t="shared" si="2409"/>
        <v>-0.72042833607907708</v>
      </c>
      <c r="AP316" s="89">
        <f t="shared" si="2409"/>
        <v>3.6776664702415935</v>
      </c>
      <c r="AQ316" s="89">
        <f t="shared" si="2409"/>
        <v>0.12181909800957236</v>
      </c>
      <c r="AR316" s="89">
        <f t="shared" si="2409"/>
        <v>-0.13857383492420006</v>
      </c>
      <c r="AS316" s="89">
        <f t="shared" si="2409"/>
        <v>-0.15382609829226479</v>
      </c>
      <c r="AT316" s="89">
        <f t="shared" si="2409"/>
        <v>-0.49067940224926898</v>
      </c>
      <c r="AU316" s="89">
        <f t="shared" si="2409"/>
        <v>-1.5169388989715715</v>
      </c>
      <c r="AV316" s="89">
        <f t="shared" si="2409"/>
        <v>-0.27501462843769497</v>
      </c>
      <c r="AW316" s="89">
        <f t="shared" si="2409"/>
        <v>-5.1654560129136828E-2</v>
      </c>
      <c r="AX316" s="89">
        <f t="shared" si="2409"/>
        <v>6.714042553191546</v>
      </c>
      <c r="AY316" s="89">
        <f t="shared" si="2409"/>
        <v>-0.93490732568402379</v>
      </c>
      <c r="AZ316" s="89">
        <f t="shared" si="2409"/>
        <v>-1.1745762711864649</v>
      </c>
      <c r="BA316" s="89">
        <f t="shared" si="2409"/>
        <v>-62.242718446592562</v>
      </c>
      <c r="BB316" s="89">
        <f t="shared" si="2409"/>
        <v>0.94419784400760864</v>
      </c>
      <c r="BC316" s="89">
        <f t="shared" si="2409"/>
        <v>-0.42082517938682307</v>
      </c>
      <c r="BD316" s="89">
        <f t="shared" si="2409"/>
        <v>-1.1474025059833859</v>
      </c>
      <c r="BE316" s="89">
        <f t="shared" si="2409"/>
        <v>-3.0897803247373807</v>
      </c>
      <c r="BF316" s="89">
        <f t="shared" si="2409"/>
        <v>2.7477148080438387</v>
      </c>
      <c r="BG316" s="89">
        <f t="shared" si="2409"/>
        <v>-8.7682926829265595E-2</v>
      </c>
      <c r="BH316" s="89">
        <f t="shared" si="2409"/>
        <v>-0.36118166020585574</v>
      </c>
      <c r="BI316" s="89">
        <f t="shared" si="2409"/>
        <v>0.57292320569156918</v>
      </c>
      <c r="BJ316" s="89">
        <f t="shared" si="2409"/>
        <v>-1.5347878142876126</v>
      </c>
      <c r="BK316" s="89">
        <f t="shared" si="2409"/>
        <v>-3.0213930348258784</v>
      </c>
      <c r="BL316" s="89">
        <f t="shared" si="2409"/>
        <v>-0.66871769628353483</v>
      </c>
      <c r="BM316" s="89">
        <f t="shared" si="2409"/>
        <v>1.4710252600297187</v>
      </c>
      <c r="BN316" s="89">
        <f t="shared" si="2409"/>
        <v>-0.45009019843656184</v>
      </c>
      <c r="BO316" s="89">
        <f t="shared" si="2409"/>
        <v>-3.1008747949699367</v>
      </c>
      <c r="BP316" s="89">
        <f t="shared" si="2409"/>
        <v>-1.4727391021470397</v>
      </c>
      <c r="BQ316" s="89">
        <f t="shared" si="2409"/>
        <v>1.079273327828242</v>
      </c>
      <c r="BR316" s="89">
        <f t="shared" ref="BR316:DB316" si="2410">BR95/BQ95-1</f>
        <v>-2.4225575853852432E-2</v>
      </c>
      <c r="BS316" s="89">
        <f t="shared" si="2410"/>
        <v>-0.74087640754307382</v>
      </c>
      <c r="BT316" s="89">
        <f t="shared" si="2410"/>
        <v>-1.3141361256544504</v>
      </c>
      <c r="BU316" s="89">
        <f t="shared" si="2410"/>
        <v>-54.483333333333228</v>
      </c>
      <c r="BV316" s="89">
        <f t="shared" si="2410"/>
        <v>2.4945465877220294</v>
      </c>
      <c r="BW316" s="89">
        <f t="shared" si="2410"/>
        <v>1.3351168182628856</v>
      </c>
      <c r="BX316" s="89">
        <f t="shared" si="2410"/>
        <v>-0.40074849156037551</v>
      </c>
      <c r="BY316" s="89">
        <f t="shared" si="2410"/>
        <v>0.44634208513892371</v>
      </c>
      <c r="BZ316" s="89">
        <f t="shared" si="2410"/>
        <v>-0.27498237574903017</v>
      </c>
      <c r="CA316" s="89">
        <f t="shared" si="2410"/>
        <v>2.2565785475539331</v>
      </c>
      <c r="CB316" s="89">
        <f t="shared" si="2410"/>
        <v>-0.46569130572713513</v>
      </c>
      <c r="CC316" s="89">
        <f t="shared" si="2410"/>
        <v>0.56981698798546976</v>
      </c>
      <c r="CD316" s="89">
        <f t="shared" si="2410"/>
        <v>1.9890092775936674E-2</v>
      </c>
      <c r="CE316" s="89">
        <f t="shared" si="2410"/>
        <v>0.56774503174014357</v>
      </c>
      <c r="CF316" s="89">
        <f t="shared" si="2410"/>
        <v>-0.42851378240360627</v>
      </c>
      <c r="CG316" s="89">
        <f t="shared" si="2410"/>
        <v>0.30610406369457732</v>
      </c>
      <c r="CH316" s="89">
        <f t="shared" si="2410"/>
        <v>-0.51326361314616931</v>
      </c>
      <c r="CI316" s="89">
        <f t="shared" si="2410"/>
        <v>2.0417081577939458</v>
      </c>
      <c r="CJ316" s="89">
        <f t="shared" si="2410"/>
        <v>0.31340107530943451</v>
      </c>
      <c r="CK316" s="89">
        <f t="shared" si="2410"/>
        <v>0.6865371156851281</v>
      </c>
      <c r="CL316" s="89">
        <f t="shared" si="2410"/>
        <v>0.44684261685643012</v>
      </c>
      <c r="CM316" s="47">
        <f t="shared" si="2410"/>
        <v>-9.5414025851569773E-2</v>
      </c>
      <c r="CN316" s="47">
        <f t="shared" si="2410"/>
        <v>-4.5403269713537697E-2</v>
      </c>
      <c r="CO316" s="47">
        <f t="shared" si="2410"/>
        <v>1.4987205170585494E-2</v>
      </c>
      <c r="CP316" s="47">
        <f t="shared" si="2410"/>
        <v>4.1669047678072779E-2</v>
      </c>
      <c r="CQ316" s="47">
        <f t="shared" si="2410"/>
        <v>6.5338071739746262E-2</v>
      </c>
      <c r="CR316" s="47">
        <f t="shared" si="2410"/>
        <v>3.3296362901453325E-2</v>
      </c>
      <c r="CS316" s="47">
        <f t="shared" si="2410"/>
        <v>0.11538590873813792</v>
      </c>
      <c r="CT316" s="47">
        <f t="shared" si="2410"/>
        <v>6.0241697254650228E-2</v>
      </c>
      <c r="CU316" s="47">
        <f t="shared" si="2410"/>
        <v>-3.5887190349706E-3</v>
      </c>
      <c r="CV316" s="47">
        <f t="shared" si="2410"/>
        <v>-4.6379746867625804E-2</v>
      </c>
      <c r="CW316" s="47">
        <f t="shared" si="2410"/>
        <v>0.12324994609162054</v>
      </c>
      <c r="CX316" s="47">
        <f t="shared" si="2410"/>
        <v>5.8491809190634569E-2</v>
      </c>
      <c r="CY316" s="47">
        <f t="shared" si="2410"/>
        <v>4.2237092804709997E-2</v>
      </c>
      <c r="CZ316" s="47">
        <f t="shared" si="2410"/>
        <v>-4.201116818105699E-2</v>
      </c>
      <c r="DA316" s="47">
        <f t="shared" si="2410"/>
        <v>0.10899919354527499</v>
      </c>
      <c r="DB316" s="47">
        <f t="shared" si="2410"/>
        <v>5.3706313389831228E-2</v>
      </c>
      <c r="DE316" s="130"/>
      <c r="DF316" s="89">
        <v>2.1456942129321885</v>
      </c>
    </row>
    <row r="317" spans="1:110" s="103" customFormat="1" x14ac:dyDescent="0.2">
      <c r="A317" s="147" t="s">
        <v>105</v>
      </c>
      <c r="C317" s="103" t="str">
        <f>IF(C315&gt;C316,"RF",0)</f>
        <v>RF</v>
      </c>
      <c r="D317" s="103">
        <f t="shared" ref="D317:U317" si="2411">IF(D315&gt;D316,"RF",0)</f>
        <v>0</v>
      </c>
      <c r="F317" s="103">
        <f t="shared" si="2411"/>
        <v>0</v>
      </c>
      <c r="G317" s="103" t="str">
        <f t="shared" si="2411"/>
        <v>RF</v>
      </c>
      <c r="H317" s="103" t="str">
        <f t="shared" si="2411"/>
        <v>RF</v>
      </c>
      <c r="I317" s="103">
        <f t="shared" si="2411"/>
        <v>0</v>
      </c>
      <c r="J317" s="103">
        <f t="shared" si="2411"/>
        <v>0</v>
      </c>
      <c r="K317" s="103" t="str">
        <f t="shared" si="2411"/>
        <v>RF</v>
      </c>
      <c r="L317" s="103" t="str">
        <f t="shared" si="2411"/>
        <v>RF</v>
      </c>
      <c r="M317" s="103">
        <f t="shared" si="2411"/>
        <v>0</v>
      </c>
      <c r="N317" s="103" t="str">
        <f t="shared" si="2411"/>
        <v>RF</v>
      </c>
      <c r="O317" s="103" t="str">
        <f t="shared" si="2411"/>
        <v>RF</v>
      </c>
      <c r="P317" s="103" t="str">
        <f t="shared" si="2411"/>
        <v>RF</v>
      </c>
      <c r="Q317" s="103" t="str">
        <f t="shared" si="2411"/>
        <v>RF</v>
      </c>
      <c r="R317" s="103" t="str">
        <f t="shared" si="2411"/>
        <v>RF</v>
      </c>
      <c r="S317" s="103" t="str">
        <f t="shared" si="2411"/>
        <v>RF</v>
      </c>
      <c r="T317" s="103" t="str">
        <f t="shared" si="2411"/>
        <v>RF</v>
      </c>
      <c r="U317" s="103">
        <f t="shared" si="2411"/>
        <v>0</v>
      </c>
      <c r="V317" s="103" t="str">
        <f>IF(V315&gt;V316,"RF",0)</f>
        <v>RF</v>
      </c>
      <c r="W317" s="103">
        <f t="shared" ref="W317:AE317" si="2412">IF(W315&gt;W316,"RF",0)</f>
        <v>0</v>
      </c>
      <c r="X317" s="103">
        <f t="shared" si="2412"/>
        <v>0</v>
      </c>
      <c r="Y317" s="103">
        <f t="shared" si="2412"/>
        <v>0</v>
      </c>
      <c r="Z317" s="103" t="e">
        <f t="shared" si="2412"/>
        <v>#DIV/0!</v>
      </c>
      <c r="AA317" s="103" t="str">
        <f t="shared" ref="AA317" si="2413">IF(AA315&gt;AA316,"RF",0)</f>
        <v>RF</v>
      </c>
      <c r="AB317" s="73">
        <f t="shared" si="2412"/>
        <v>0</v>
      </c>
      <c r="AC317" s="73">
        <f t="shared" si="2412"/>
        <v>0</v>
      </c>
      <c r="AD317" s="73">
        <f t="shared" si="2412"/>
        <v>0</v>
      </c>
      <c r="AE317" s="73">
        <f t="shared" si="2412"/>
        <v>0</v>
      </c>
      <c r="AL317" s="103" t="str">
        <f t="shared" ref="AL317:CW317" si="2414">IF(AL315&gt;AL316,"RF",0)</f>
        <v>RF</v>
      </c>
      <c r="AM317" s="103" t="str">
        <f t="shared" si="2414"/>
        <v>RF</v>
      </c>
      <c r="AN317" s="103" t="str">
        <f t="shared" si="2414"/>
        <v>RF</v>
      </c>
      <c r="AO317" s="103" t="str">
        <f t="shared" si="2414"/>
        <v>RF</v>
      </c>
      <c r="AP317" s="103">
        <f t="shared" si="2414"/>
        <v>0</v>
      </c>
      <c r="AQ317" s="103">
        <f t="shared" si="2414"/>
        <v>0</v>
      </c>
      <c r="AR317" s="103">
        <f t="shared" si="2414"/>
        <v>0</v>
      </c>
      <c r="AS317" s="103" t="str">
        <f t="shared" si="2414"/>
        <v>RF</v>
      </c>
      <c r="AT317" s="103" t="str">
        <f t="shared" si="2414"/>
        <v>RF</v>
      </c>
      <c r="AU317" s="103" t="str">
        <f t="shared" si="2414"/>
        <v>RF</v>
      </c>
      <c r="AV317" s="103">
        <f t="shared" si="2414"/>
        <v>0</v>
      </c>
      <c r="AW317" s="103" t="str">
        <f t="shared" si="2414"/>
        <v>RF</v>
      </c>
      <c r="AX317" s="103">
        <f t="shared" si="2414"/>
        <v>0</v>
      </c>
      <c r="AY317" s="103" t="str">
        <f t="shared" si="2414"/>
        <v>RF</v>
      </c>
      <c r="AZ317" s="103" t="str">
        <f t="shared" si="2414"/>
        <v>RF</v>
      </c>
      <c r="BA317" s="103" t="str">
        <f t="shared" si="2414"/>
        <v>RF</v>
      </c>
      <c r="BB317" s="103">
        <f t="shared" si="2414"/>
        <v>0</v>
      </c>
      <c r="BC317" s="103" t="str">
        <f t="shared" si="2414"/>
        <v>RF</v>
      </c>
      <c r="BD317" s="103" t="str">
        <f t="shared" si="2414"/>
        <v>RF</v>
      </c>
      <c r="BE317" s="103" t="str">
        <f t="shared" si="2414"/>
        <v>RF</v>
      </c>
      <c r="BF317" s="103">
        <f t="shared" si="2414"/>
        <v>0</v>
      </c>
      <c r="BG317" s="103" t="str">
        <f t="shared" si="2414"/>
        <v>RF</v>
      </c>
      <c r="BH317" s="103" t="str">
        <f t="shared" si="2414"/>
        <v>RF</v>
      </c>
      <c r="BI317" s="103">
        <f t="shared" si="2414"/>
        <v>0</v>
      </c>
      <c r="BJ317" s="103" t="str">
        <f t="shared" si="2414"/>
        <v>RF</v>
      </c>
      <c r="BK317" s="103" t="str">
        <f t="shared" si="2414"/>
        <v>RF</v>
      </c>
      <c r="BL317" s="103" t="str">
        <f t="shared" si="2414"/>
        <v>RF</v>
      </c>
      <c r="BM317" s="103">
        <f t="shared" si="2414"/>
        <v>0</v>
      </c>
      <c r="BN317" s="103" t="str">
        <f t="shared" si="2414"/>
        <v>RF</v>
      </c>
      <c r="BO317" s="103" t="str">
        <f t="shared" si="2414"/>
        <v>RF</v>
      </c>
      <c r="BP317" s="103" t="str">
        <f t="shared" si="2414"/>
        <v>RF</v>
      </c>
      <c r="BQ317" s="103">
        <f t="shared" si="2414"/>
        <v>0</v>
      </c>
      <c r="BR317" s="103">
        <f t="shared" si="2414"/>
        <v>0</v>
      </c>
      <c r="BS317" s="103" t="str">
        <f t="shared" si="2414"/>
        <v>RF</v>
      </c>
      <c r="BT317" s="103" t="str">
        <f t="shared" si="2414"/>
        <v>RF</v>
      </c>
      <c r="BU317" s="103" t="str">
        <f t="shared" si="2414"/>
        <v>RF</v>
      </c>
      <c r="BV317" s="103">
        <f t="shared" si="2414"/>
        <v>0</v>
      </c>
      <c r="BW317" s="103">
        <f t="shared" si="2414"/>
        <v>0</v>
      </c>
      <c r="BX317" s="103" t="str">
        <f t="shared" si="2414"/>
        <v>RF</v>
      </c>
      <c r="BY317" s="103">
        <f t="shared" si="2414"/>
        <v>0</v>
      </c>
      <c r="BZ317" s="103">
        <f t="shared" si="2414"/>
        <v>0</v>
      </c>
      <c r="CA317" s="103" t="e">
        <f t="shared" si="2414"/>
        <v>#DIV/0!</v>
      </c>
      <c r="CB317" s="103" t="e">
        <f t="shared" si="2414"/>
        <v>#DIV/0!</v>
      </c>
      <c r="CC317" s="103" t="e">
        <f t="shared" si="2414"/>
        <v>#DIV/0!</v>
      </c>
      <c r="CD317" s="103" t="e">
        <f t="shared" si="2414"/>
        <v>#DIV/0!</v>
      </c>
      <c r="CE317" s="103" t="e">
        <f t="shared" si="2414"/>
        <v>#DIV/0!</v>
      </c>
      <c r="CF317" s="103" t="e">
        <f t="shared" si="2414"/>
        <v>#DIV/0!</v>
      </c>
      <c r="CG317" s="103" t="e">
        <f t="shared" si="2414"/>
        <v>#DIV/0!</v>
      </c>
      <c r="CH317" s="103" t="e">
        <f t="shared" si="2414"/>
        <v>#DIV/0!</v>
      </c>
      <c r="CI317" s="103">
        <f t="shared" si="2414"/>
        <v>0</v>
      </c>
      <c r="CJ317" s="103" t="str">
        <f t="shared" si="2414"/>
        <v>RF</v>
      </c>
      <c r="CK317" s="103">
        <f t="shared" si="2414"/>
        <v>0</v>
      </c>
      <c r="CL317" s="103" t="str">
        <f t="shared" ref="CL317" si="2415">IF(CL315&gt;CL316,"RF",0)</f>
        <v>RF</v>
      </c>
      <c r="CM317" s="73" t="str">
        <f t="shared" si="2414"/>
        <v>RF</v>
      </c>
      <c r="CN317" s="73" t="str">
        <f t="shared" si="2414"/>
        <v>RF</v>
      </c>
      <c r="CO317" s="73">
        <f t="shared" si="2414"/>
        <v>0</v>
      </c>
      <c r="CP317" s="73">
        <f t="shared" si="2414"/>
        <v>0</v>
      </c>
      <c r="CQ317" s="73">
        <f t="shared" si="2414"/>
        <v>0</v>
      </c>
      <c r="CR317" s="73">
        <f t="shared" si="2414"/>
        <v>0</v>
      </c>
      <c r="CS317" s="73">
        <f t="shared" si="2414"/>
        <v>0</v>
      </c>
      <c r="CT317" s="73">
        <f t="shared" si="2414"/>
        <v>0</v>
      </c>
      <c r="CU317" s="73" t="str">
        <f t="shared" si="2414"/>
        <v>RF</v>
      </c>
      <c r="CV317" s="73" t="str">
        <f t="shared" si="2414"/>
        <v>RF</v>
      </c>
      <c r="CW317" s="73">
        <f t="shared" si="2414"/>
        <v>0</v>
      </c>
      <c r="CX317" s="73">
        <f t="shared" ref="CX317:DB317" si="2416">IF(CX315&gt;CX316,"RF",0)</f>
        <v>0</v>
      </c>
      <c r="CY317" s="73">
        <f t="shared" si="2416"/>
        <v>0</v>
      </c>
      <c r="CZ317" s="73" t="str">
        <f t="shared" si="2416"/>
        <v>RF</v>
      </c>
      <c r="DA317" s="73">
        <f t="shared" si="2416"/>
        <v>0</v>
      </c>
      <c r="DB317" s="73">
        <f t="shared" si="2416"/>
        <v>0</v>
      </c>
      <c r="DE317" s="142"/>
      <c r="DF317" s="103" t="s">
        <v>585</v>
      </c>
    </row>
    <row r="318" spans="1:110" s="86" customFormat="1" x14ac:dyDescent="0.2">
      <c r="A318" s="86" t="s">
        <v>432</v>
      </c>
      <c r="B318" s="86">
        <f>B103/B72</f>
        <v>0.56956533105599794</v>
      </c>
      <c r="C318" s="86">
        <f>C103/C72</f>
        <v>0.63831152540579472</v>
      </c>
      <c r="D318" s="86">
        <f>D103/D72</f>
        <v>0.14634117602005497</v>
      </c>
      <c r="F318" s="86">
        <f t="shared" ref="F318:AE318" si="2417">F103/F72</f>
        <v>1.4858890686963172E-2</v>
      </c>
      <c r="G318" s="86">
        <f t="shared" si="2417"/>
        <v>1.739249502112885E-2</v>
      </c>
      <c r="H318" s="86">
        <f t="shared" si="2417"/>
        <v>3.6746321372502715E-2</v>
      </c>
      <c r="I318" s="86">
        <f t="shared" si="2417"/>
        <v>5.5580657490353354E-2</v>
      </c>
      <c r="J318" s="86">
        <f t="shared" si="2417"/>
        <v>1.0608286600289745E-2</v>
      </c>
      <c r="K318" s="86">
        <f t="shared" si="2417"/>
        <v>1.5679961621880935E-2</v>
      </c>
      <c r="L318" s="86">
        <f t="shared" si="2417"/>
        <v>1.0058604717318663E-2</v>
      </c>
      <c r="M318" s="86">
        <f t="shared" si="2417"/>
        <v>1.4303223280589566E-2</v>
      </c>
      <c r="N318" s="86">
        <f t="shared" si="2417"/>
        <v>1.0576084458358464E-2</v>
      </c>
      <c r="O318" s="86">
        <f t="shared" si="2417"/>
        <v>1.1665225338500278E-2</v>
      </c>
      <c r="P318" s="86">
        <f t="shared" si="2417"/>
        <v>9.1512318488802466E-3</v>
      </c>
      <c r="Q318" s="86">
        <f t="shared" si="2417"/>
        <v>2.3514729372611662E-2</v>
      </c>
      <c r="R318" s="86">
        <f t="shared" si="2417"/>
        <v>2.5346845466264097E-2</v>
      </c>
      <c r="S318" s="86">
        <f t="shared" si="2417"/>
        <v>2.5112918667210059E-2</v>
      </c>
      <c r="T318" s="86">
        <f t="shared" si="2417"/>
        <v>2.2810876022536824E-2</v>
      </c>
      <c r="U318" s="86">
        <f t="shared" si="2417"/>
        <v>4.3320237209759013E-2</v>
      </c>
      <c r="V318" s="86">
        <f t="shared" si="2417"/>
        <v>6.6384195840125768E-2</v>
      </c>
      <c r="W318" s="86">
        <f t="shared" si="2417"/>
        <v>2.6007168458781364E-2</v>
      </c>
      <c r="X318" s="86">
        <f t="shared" si="2417"/>
        <v>1.9172776072941451E-2</v>
      </c>
      <c r="Y318" s="86">
        <f t="shared" si="2417"/>
        <v>8.7054478017977973E-4</v>
      </c>
      <c r="Z318" s="86">
        <f t="shared" si="2417"/>
        <v>4.0499624314653216E-3</v>
      </c>
      <c r="AA318" s="86">
        <f t="shared" ref="AA318" si="2418">AA103/AA72</f>
        <v>3.0524751543739233E-2</v>
      </c>
      <c r="AB318" s="87">
        <f t="shared" si="2417"/>
        <v>7.4394135386661106E-3</v>
      </c>
      <c r="AC318" s="87">
        <f t="shared" si="2417"/>
        <v>9.7839630843424459E-3</v>
      </c>
      <c r="AD318" s="87">
        <f t="shared" si="2417"/>
        <v>5.7338160963032866E-3</v>
      </c>
      <c r="AE318" s="87">
        <f t="shared" si="2417"/>
        <v>1.9091889936523815E-3</v>
      </c>
      <c r="AL318" s="86">
        <f t="shared" ref="AL318:CW318" si="2419">AL103/AL72</f>
        <v>1.2448280078413121E-2</v>
      </c>
      <c r="AM318" s="86">
        <f t="shared" si="2419"/>
        <v>1.1633822880982261E-2</v>
      </c>
      <c r="AN318" s="86">
        <f t="shared" si="2419"/>
        <v>1.4721900447794742E-2</v>
      </c>
      <c r="AO318" s="86">
        <f t="shared" si="2419"/>
        <v>1.1983429611685276E-2</v>
      </c>
      <c r="AP318" s="86">
        <f t="shared" si="2419"/>
        <v>1.0496129932749652E-2</v>
      </c>
      <c r="AQ318" s="86">
        <f t="shared" si="2419"/>
        <v>7.5408349437001369E-3</v>
      </c>
      <c r="AR318" s="86">
        <f t="shared" si="2419"/>
        <v>7.2562844606489547E-3</v>
      </c>
      <c r="AS318" s="86">
        <f t="shared" si="2419"/>
        <v>1.2772268836342063E-2</v>
      </c>
      <c r="AT318" s="86">
        <f t="shared" si="2419"/>
        <v>1.3544567962387026E-2</v>
      </c>
      <c r="AU318" s="86">
        <f t="shared" si="2419"/>
        <v>7.7895817216737254E-3</v>
      </c>
      <c r="AV318" s="86">
        <f t="shared" si="2419"/>
        <v>1.8389902557059707E-2</v>
      </c>
      <c r="AW318" s="86">
        <f t="shared" si="2419"/>
        <v>1.847414392826776E-2</v>
      </c>
      <c r="AX318" s="86">
        <f t="shared" si="2419"/>
        <v>6.9079258488603038E-2</v>
      </c>
      <c r="AY318" s="86">
        <f t="shared" si="2419"/>
        <v>1.1360613256347853E-2</v>
      </c>
      <c r="AZ318" s="86">
        <f t="shared" si="2419"/>
        <v>9.4732612970755536E-3</v>
      </c>
      <c r="BA318" s="86">
        <f t="shared" si="2419"/>
        <v>2.1295608027961852E-2</v>
      </c>
      <c r="BB318" s="86">
        <f t="shared" si="2419"/>
        <v>6.5534537982715899E-2</v>
      </c>
      <c r="BC318" s="86">
        <f t="shared" si="2419"/>
        <v>2.1090736671256237E-2</v>
      </c>
      <c r="BD318" s="86">
        <f t="shared" si="2419"/>
        <v>1.3392564636815136E-2</v>
      </c>
      <c r="BE318" s="86">
        <f t="shared" si="2419"/>
        <v>3.1242945882903748E-2</v>
      </c>
      <c r="BF318" s="86">
        <f t="shared" si="2419"/>
        <v>3.0635816955118807E-2</v>
      </c>
      <c r="BG318" s="86">
        <f t="shared" si="2419"/>
        <v>1.3269662754198837E-2</v>
      </c>
      <c r="BH318" s="86">
        <f t="shared" si="2419"/>
        <v>1.8784770600500007E-2</v>
      </c>
      <c r="BI318" s="86">
        <f t="shared" si="2419"/>
        <v>2.0798891710921263E-2</v>
      </c>
      <c r="BJ318" s="86">
        <f t="shared" si="2419"/>
        <v>3.7956338708564331E-2</v>
      </c>
      <c r="BK318" s="86">
        <f t="shared" si="2419"/>
        <v>3.0824707212728439E-2</v>
      </c>
      <c r="BL318" s="86">
        <f t="shared" si="2419"/>
        <v>6.1531368585310497E-2</v>
      </c>
      <c r="BM318" s="86">
        <f t="shared" si="2419"/>
        <v>5.2366874359548177E-2</v>
      </c>
      <c r="BN318" s="86">
        <f t="shared" si="2419"/>
        <v>4.125515689461183E-2</v>
      </c>
      <c r="BO318" s="86">
        <f t="shared" si="2419"/>
        <v>0.20923656927426959</v>
      </c>
      <c r="BP318" s="86">
        <f t="shared" si="2419"/>
        <v>4.1601085481682495E-2</v>
      </c>
      <c r="BQ318" s="86">
        <f t="shared" si="2419"/>
        <v>9.016682012673996E-2</v>
      </c>
      <c r="BR318" s="86">
        <f t="shared" si="2419"/>
        <v>5.1204787652895163E-2</v>
      </c>
      <c r="BS318" s="86">
        <f t="shared" si="2419"/>
        <v>5.9352142110762798E-2</v>
      </c>
      <c r="BT318" s="86">
        <f t="shared" si="2419"/>
        <v>2.7013556618819778E-2</v>
      </c>
      <c r="BU318" s="86">
        <f t="shared" si="2419"/>
        <v>3.221013846793843E-2</v>
      </c>
      <c r="BV318" s="86">
        <f t="shared" si="2419"/>
        <v>1.3024819183097747E-2</v>
      </c>
      <c r="BW318" s="86">
        <f t="shared" si="2419"/>
        <v>6.3962595528551762E-3</v>
      </c>
      <c r="BX318" s="86">
        <f t="shared" si="2419"/>
        <v>3.1687841367846123E-2</v>
      </c>
      <c r="BY318" s="86">
        <f t="shared" si="2419"/>
        <v>2.1027990636441847E-2</v>
      </c>
      <c r="BZ318" s="86">
        <f t="shared" si="2419"/>
        <v>1.9720399429386592E-2</v>
      </c>
      <c r="CA318" s="86">
        <f t="shared" si="2419"/>
        <v>2.5947332003744557E-4</v>
      </c>
      <c r="CB318" s="86">
        <f t="shared" si="2419"/>
        <v>9.071666162685214E-4</v>
      </c>
      <c r="CC318" s="86">
        <f t="shared" si="2419"/>
        <v>9.7263038999341131E-4</v>
      </c>
      <c r="CD318" s="86">
        <f t="shared" si="2419"/>
        <v>1.49264294308012E-3</v>
      </c>
      <c r="CE318" s="86">
        <f t="shared" si="2419"/>
        <v>7.8188347040426278E-4</v>
      </c>
      <c r="CF318" s="86">
        <f t="shared" si="2419"/>
        <v>2.5214356859767782E-3</v>
      </c>
      <c r="CG318" s="86">
        <f t="shared" si="2419"/>
        <v>4.960690556779313E-3</v>
      </c>
      <c r="CH318" s="86">
        <f t="shared" si="2419"/>
        <v>1.122936394871365E-2</v>
      </c>
      <c r="CI318" s="86">
        <f t="shared" si="2419"/>
        <v>6.1379808015036589E-3</v>
      </c>
      <c r="CJ318" s="86">
        <f t="shared" si="2419"/>
        <v>4.8146575923973332E-2</v>
      </c>
      <c r="CK318" s="86">
        <f t="shared" si="2419"/>
        <v>3.0124078701799895E-2</v>
      </c>
      <c r="CL318" s="86">
        <f t="shared" ref="CL318" si="2420">CL103/CL72</f>
        <v>2.7835181702803451E-2</v>
      </c>
      <c r="CM318" s="87">
        <f t="shared" si="2419"/>
        <v>8.0402174637829189E-3</v>
      </c>
      <c r="CN318" s="87">
        <f t="shared" si="2419"/>
        <v>8.2346089434512191E-3</v>
      </c>
      <c r="CO318" s="87">
        <f t="shared" si="2419"/>
        <v>7.1144873229466938E-3</v>
      </c>
      <c r="CP318" s="87">
        <f t="shared" si="2419"/>
        <v>6.4619728603971405E-3</v>
      </c>
      <c r="CQ318" s="87">
        <f t="shared" si="2419"/>
        <v>1.0301651901008738E-2</v>
      </c>
      <c r="CR318" s="87">
        <f t="shared" si="2419"/>
        <v>1.1532775187443415E-2</v>
      </c>
      <c r="CS318" s="87">
        <f t="shared" si="2419"/>
        <v>9.2083574412268349E-3</v>
      </c>
      <c r="CT318" s="87">
        <f t="shared" si="2419"/>
        <v>8.3912540452718426E-3</v>
      </c>
      <c r="CU318" s="87">
        <f t="shared" si="2419"/>
        <v>7.5486624292431595E-3</v>
      </c>
      <c r="CV318" s="87">
        <f t="shared" si="2419"/>
        <v>6.8794728008612048E-3</v>
      </c>
      <c r="CW318" s="87">
        <f t="shared" si="2419"/>
        <v>4.6876475589419965E-3</v>
      </c>
      <c r="CX318" s="87">
        <f t="shared" ref="CX318:DB318" si="2421">CX103/CX72</f>
        <v>4.1772303221112497E-3</v>
      </c>
      <c r="CY318" s="87">
        <f t="shared" si="2421"/>
        <v>3.3256170193654644E-3</v>
      </c>
      <c r="CZ318" s="87">
        <f t="shared" si="2421"/>
        <v>2.7330010818795536E-3</v>
      </c>
      <c r="DA318" s="87">
        <f t="shared" si="2421"/>
        <v>1.1077597710458847E-3</v>
      </c>
      <c r="DB318" s="87">
        <f t="shared" si="2421"/>
        <v>7.138850564453673E-4</v>
      </c>
      <c r="DE318" s="141"/>
      <c r="DF318" s="86">
        <v>3.0524751543739233E-2</v>
      </c>
    </row>
    <row r="319" spans="1:110" s="86" customFormat="1" x14ac:dyDescent="0.2">
      <c r="A319" s="86" t="s">
        <v>433</v>
      </c>
      <c r="B319" s="86">
        <f>B99/B72</f>
        <v>0.13883611900238771</v>
      </c>
      <c r="C319" s="86">
        <f>C99/C72</f>
        <v>0.1360169571071885</v>
      </c>
      <c r="D319" s="86">
        <f>D99/D72</f>
        <v>9.3684511307431953E-2</v>
      </c>
      <c r="F319" s="86">
        <f t="shared" ref="F319:AE319" si="2422">F99/F72</f>
        <v>5.7139046467376803E-2</v>
      </c>
      <c r="G319" s="86">
        <f t="shared" si="2422"/>
        <v>5.355692724001751E-2</v>
      </c>
      <c r="H319" s="86">
        <f t="shared" si="2422"/>
        <v>6.1301002107589549E-2</v>
      </c>
      <c r="I319" s="86">
        <f t="shared" si="2422"/>
        <v>5.5599767538049939E-2</v>
      </c>
      <c r="J319" s="86">
        <f t="shared" si="2422"/>
        <v>2.6312767567012268E-2</v>
      </c>
      <c r="K319" s="86">
        <f t="shared" si="2422"/>
        <v>2.8379031222762006E-2</v>
      </c>
      <c r="L319" s="86">
        <f t="shared" si="2422"/>
        <v>2.7345939173339315E-2</v>
      </c>
      <c r="M319" s="86">
        <f t="shared" si="2422"/>
        <v>2.489300024508765E-2</v>
      </c>
      <c r="N319" s="86">
        <f t="shared" si="2422"/>
        <v>3.2998234643909372E-2</v>
      </c>
      <c r="O319" s="86">
        <f t="shared" si="2422"/>
        <v>4.355353144955245E-2</v>
      </c>
      <c r="P319" s="86">
        <f t="shared" si="2422"/>
        <v>1.5761185089176625E-2</v>
      </c>
      <c r="Q319" s="86">
        <f t="shared" si="2422"/>
        <v>2.5811947619739106E-2</v>
      </c>
      <c r="R319" s="86">
        <f t="shared" si="2422"/>
        <v>3.2353207427466883E-2</v>
      </c>
      <c r="S319" s="86">
        <f t="shared" si="2422"/>
        <v>3.298961365297013E-2</v>
      </c>
      <c r="T319" s="86">
        <f t="shared" si="2422"/>
        <v>3.1591864836047354E-2</v>
      </c>
      <c r="U319" s="86">
        <f t="shared" si="2422"/>
        <v>4.7221366632727038E-2</v>
      </c>
      <c r="V319" s="86">
        <f t="shared" si="2422"/>
        <v>5.4557752419332244E-2</v>
      </c>
      <c r="W319" s="86">
        <f t="shared" si="2422"/>
        <v>2.5777777777777778E-2</v>
      </c>
      <c r="X319" s="86">
        <f t="shared" si="2422"/>
        <v>6.7770928954016584E-3</v>
      </c>
      <c r="Y319" s="86">
        <f t="shared" si="2422"/>
        <v>7.5084487290506012E-3</v>
      </c>
      <c r="Z319" s="86">
        <f t="shared" si="2422"/>
        <v>1.2021931097075606E-2</v>
      </c>
      <c r="AA319" s="86">
        <f t="shared" ref="AA319" si="2423">AA99/AA72</f>
        <v>3.5480144244001671E-2</v>
      </c>
      <c r="AB319" s="87">
        <f t="shared" si="2422"/>
        <v>3.3191892577716833E-2</v>
      </c>
      <c r="AC319" s="87">
        <f t="shared" si="2422"/>
        <v>2.5703435470756826E-2</v>
      </c>
      <c r="AD319" s="87">
        <f t="shared" si="2422"/>
        <v>2.4170362659483288E-2</v>
      </c>
      <c r="AE319" s="87">
        <f t="shared" si="2422"/>
        <v>2.1258748175174254E-2</v>
      </c>
      <c r="AL319" s="86">
        <f t="shared" ref="AL319:CW319" si="2424">AL99/AL72</f>
        <v>2.6099578351983403E-2</v>
      </c>
      <c r="AM319" s="86">
        <f t="shared" si="2424"/>
        <v>4.5259980327646443E-2</v>
      </c>
      <c r="AN319" s="86">
        <f t="shared" si="2424"/>
        <v>5.8325697193934892E-2</v>
      </c>
      <c r="AO319" s="86">
        <f t="shared" si="2424"/>
        <v>4.8127230767025499E-2</v>
      </c>
      <c r="AP319" s="86">
        <f t="shared" si="2424"/>
        <v>3.3472909529247558E-2</v>
      </c>
      <c r="AQ319" s="86">
        <f t="shared" si="2424"/>
        <v>1.4347558539982078E-2</v>
      </c>
      <c r="AR319" s="86">
        <f t="shared" si="2424"/>
        <v>1.1822739336747002E-2</v>
      </c>
      <c r="AS319" s="86">
        <f t="shared" si="2424"/>
        <v>2.2510382235782694E-2</v>
      </c>
      <c r="AT319" s="86">
        <f t="shared" si="2424"/>
        <v>2.2013983061169803E-2</v>
      </c>
      <c r="AU319" s="86">
        <f t="shared" si="2424"/>
        <v>2.0925405372283799E-2</v>
      </c>
      <c r="AV319" s="86">
        <f t="shared" si="2424"/>
        <v>3.5877313452357597E-2</v>
      </c>
      <c r="AW319" s="86">
        <f t="shared" si="2424"/>
        <v>3.5067377805261396E-2</v>
      </c>
      <c r="AX319" s="86">
        <f t="shared" si="2424"/>
        <v>2.897711151045115E-2</v>
      </c>
      <c r="AY319" s="86">
        <f t="shared" si="2424"/>
        <v>2.9243972371934455E-2</v>
      </c>
      <c r="AZ319" s="86">
        <f t="shared" si="2424"/>
        <v>3.1729081643441667E-2</v>
      </c>
      <c r="BA319" s="86">
        <f t="shared" si="2424"/>
        <v>2.5194135602334373E-2</v>
      </c>
      <c r="BB319" s="86">
        <f t="shared" si="2424"/>
        <v>4.6147337886021635E-2</v>
      </c>
      <c r="BC319" s="86">
        <f t="shared" si="2424"/>
        <v>3.3847304160701752E-2</v>
      </c>
      <c r="BD319" s="86">
        <f t="shared" si="2424"/>
        <v>4.9193432139534268E-2</v>
      </c>
      <c r="BE319" s="86">
        <f t="shared" si="2424"/>
        <v>3.1727851117372148E-2</v>
      </c>
      <c r="BF319" s="86">
        <f t="shared" si="2424"/>
        <v>2.2174757993546495E-2</v>
      </c>
      <c r="BG319" s="86">
        <f t="shared" si="2424"/>
        <v>2.8391425298641793E-2</v>
      </c>
      <c r="BH319" s="86">
        <f t="shared" si="2424"/>
        <v>3.7648593365547094E-2</v>
      </c>
      <c r="BI319" s="86">
        <f t="shared" si="2424"/>
        <v>3.4116832140383281E-2</v>
      </c>
      <c r="BJ319" s="86">
        <f t="shared" si="2424"/>
        <v>2.8816145629653483E-2</v>
      </c>
      <c r="BK319" s="86">
        <f t="shared" si="2424"/>
        <v>3.1441517670038041E-2</v>
      </c>
      <c r="BL319" s="86">
        <f t="shared" si="2424"/>
        <v>7.6391105436748583E-2</v>
      </c>
      <c r="BM319" s="86">
        <f t="shared" si="2424"/>
        <v>5.5040576671652866E-2</v>
      </c>
      <c r="BN319" s="86">
        <f t="shared" si="2424"/>
        <v>4.4207449008049092E-2</v>
      </c>
      <c r="BO319" s="86">
        <f t="shared" si="2424"/>
        <v>2.1960414703110276E-2</v>
      </c>
      <c r="BP319" s="86">
        <f t="shared" si="2424"/>
        <v>6.3120759837177742E-2</v>
      </c>
      <c r="BQ319" s="86">
        <f t="shared" si="2424"/>
        <v>6.1135785083680866E-2</v>
      </c>
      <c r="BR319" s="86">
        <f t="shared" si="2424"/>
        <v>4.6469630951755998E-2</v>
      </c>
      <c r="BS319" s="86">
        <f t="shared" si="2424"/>
        <v>4.7021943573667707E-2</v>
      </c>
      <c r="BT319" s="86">
        <f t="shared" si="2424"/>
        <v>4.5554226475279111E-2</v>
      </c>
      <c r="BU319" s="86">
        <f t="shared" si="2424"/>
        <v>2.7158732988649195E-2</v>
      </c>
      <c r="BV319" s="86">
        <f t="shared" si="2424"/>
        <v>1.3024819183097747E-2</v>
      </c>
      <c r="BW319" s="86">
        <f t="shared" si="2424"/>
        <v>5.9571842217686424E-3</v>
      </c>
      <c r="BX319" s="86">
        <f t="shared" si="2424"/>
        <v>8.1037758252196623E-3</v>
      </c>
      <c r="BY319" s="86">
        <f t="shared" si="2424"/>
        <v>5.6921630219483408E-3</v>
      </c>
      <c r="BZ319" s="86">
        <f t="shared" si="2424"/>
        <v>7.7945791726105563E-3</v>
      </c>
      <c r="CA319" s="86">
        <f t="shared" si="2424"/>
        <v>3.851398103300908E-3</v>
      </c>
      <c r="CB319" s="86">
        <f t="shared" si="2424"/>
        <v>9.3465651373120379E-3</v>
      </c>
      <c r="CC319" s="86">
        <f t="shared" si="2424"/>
        <v>7.6869175983350245E-3</v>
      </c>
      <c r="CD319" s="86">
        <f t="shared" si="2424"/>
        <v>1.0628647163656718E-2</v>
      </c>
      <c r="CE319" s="86">
        <f t="shared" si="2424"/>
        <v>7.7485065612020333E-3</v>
      </c>
      <c r="CF319" s="86">
        <f t="shared" si="2424"/>
        <v>1.2314636167974981E-2</v>
      </c>
      <c r="CG319" s="86">
        <f t="shared" si="2424"/>
        <v>1.3168812717515238E-2</v>
      </c>
      <c r="CH319" s="86">
        <f t="shared" si="2424"/>
        <v>1.8721193329422608E-2</v>
      </c>
      <c r="CI319" s="86">
        <f t="shared" si="2424"/>
        <v>1.2892696516077063E-2</v>
      </c>
      <c r="CJ319" s="86">
        <f t="shared" si="2424"/>
        <v>4.5607788899995894E-2</v>
      </c>
      <c r="CK319" s="86">
        <f t="shared" si="2424"/>
        <v>3.6683880049346793E-2</v>
      </c>
      <c r="CL319" s="86">
        <f t="shared" ref="CL319" si="2425">CL99/CL72</f>
        <v>3.7269175310479553E-2</v>
      </c>
      <c r="CM319" s="87">
        <f t="shared" si="2424"/>
        <v>3.1825778929111113E-2</v>
      </c>
      <c r="CN319" s="87">
        <f t="shared" si="2424"/>
        <v>3.487786808375816E-2</v>
      </c>
      <c r="CO319" s="87">
        <f t="shared" si="2424"/>
        <v>3.4150260918472765E-2</v>
      </c>
      <c r="CP319" s="87">
        <f t="shared" si="2424"/>
        <v>3.2113639535404234E-2</v>
      </c>
      <c r="CQ319" s="87">
        <f t="shared" si="2424"/>
        <v>2.6476064519687779E-2</v>
      </c>
      <c r="CR319" s="87">
        <f t="shared" si="2424"/>
        <v>2.7461092162942187E-2</v>
      </c>
      <c r="CS319" s="87">
        <f t="shared" si="2424"/>
        <v>2.5012960329121838E-2</v>
      </c>
      <c r="CT319" s="87">
        <f t="shared" si="2424"/>
        <v>2.4190976962615632E-2</v>
      </c>
      <c r="CU319" s="87">
        <f t="shared" si="2424"/>
        <v>2.4519335865569536E-2</v>
      </c>
      <c r="CV319" s="87">
        <f t="shared" si="2424"/>
        <v>2.6458474677459869E-2</v>
      </c>
      <c r="CW319" s="87">
        <f t="shared" si="2424"/>
        <v>2.3623697804141464E-2</v>
      </c>
      <c r="CX319" s="87">
        <f t="shared" ref="CX319:DB319" si="2426">CX99/CX72</f>
        <v>2.2488056759719061E-2</v>
      </c>
      <c r="CY319" s="87">
        <f t="shared" si="2426"/>
        <v>2.1580719276488549E-2</v>
      </c>
      <c r="CZ319" s="87">
        <f t="shared" si="2426"/>
        <v>2.3001055329534701E-2</v>
      </c>
      <c r="DA319" s="87">
        <f t="shared" si="2426"/>
        <v>2.0811321583486322E-2</v>
      </c>
      <c r="DB319" s="87">
        <f t="shared" si="2426"/>
        <v>1.9924987364939566E-2</v>
      </c>
      <c r="DE319" s="141"/>
      <c r="DF319" s="86">
        <v>3.5480144244001671E-2</v>
      </c>
    </row>
    <row r="320" spans="1:110" s="85" customFormat="1" x14ac:dyDescent="0.2">
      <c r="AB320" s="58"/>
      <c r="AC320" s="58"/>
      <c r="AD320" s="58"/>
      <c r="AE320" s="58"/>
      <c r="CM320" s="72"/>
      <c r="CN320" s="72"/>
      <c r="CO320" s="72"/>
      <c r="CP320" s="72"/>
      <c r="CQ320" s="72"/>
      <c r="CR320" s="72"/>
      <c r="CS320" s="72"/>
      <c r="CT320" s="72"/>
      <c r="CU320" s="72"/>
      <c r="CV320" s="72"/>
      <c r="CW320" s="72"/>
      <c r="CX320" s="72"/>
      <c r="CY320" s="72"/>
      <c r="CZ320" s="72"/>
      <c r="DA320" s="72"/>
      <c r="DB320" s="72"/>
      <c r="DE320" s="143"/>
      <c r="DF320" s="214"/>
    </row>
  </sheetData>
  <sortState xmlns:xlrd2="http://schemas.microsoft.com/office/spreadsheetml/2017/richdata2" ref="A84:DE92">
    <sortCondition descending="1" ref="Z84:Z92"/>
  </sortState>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97"/>
  <sheetViews>
    <sheetView workbookViewId="0">
      <pane xSplit="2" ySplit="5" topLeftCell="AP15" activePane="bottomRight" state="frozen"/>
      <selection activeCell="A2" sqref="A2"/>
      <selection pane="topRight" activeCell="A2" sqref="A2"/>
      <selection pane="bottomLeft" activeCell="A2" sqref="A2"/>
      <selection pane="bottomRight" activeCell="AW41" sqref="AW41"/>
    </sheetView>
  </sheetViews>
  <sheetFormatPr defaultRowHeight="15" x14ac:dyDescent="0.25"/>
  <cols>
    <col min="1" max="1" width="40.42578125" bestFit="1" customWidth="1"/>
    <col min="2" max="2" width="33" bestFit="1" customWidth="1"/>
    <col min="3" max="3" width="16.7109375" bestFit="1" customWidth="1"/>
    <col min="4" max="4" width="9.5703125" bestFit="1" customWidth="1"/>
    <col min="5" max="5" width="8" bestFit="1" customWidth="1"/>
    <col min="6" max="6" width="9.5703125" bestFit="1" customWidth="1"/>
    <col min="7" max="7" width="8" bestFit="1" customWidth="1"/>
  </cols>
  <sheetData>
    <row r="1" spans="1:74" x14ac:dyDescent="0.25">
      <c r="A1">
        <f>'Annual Raw'!A1</f>
        <v>112455</v>
      </c>
      <c r="B1" t="s">
        <v>222</v>
      </c>
      <c r="C1">
        <v>201206</v>
      </c>
      <c r="D1">
        <v>201209</v>
      </c>
      <c r="E1">
        <v>201212</v>
      </c>
      <c r="F1">
        <v>201303</v>
      </c>
      <c r="G1">
        <v>201306</v>
      </c>
      <c r="H1">
        <v>201309</v>
      </c>
      <c r="I1">
        <v>201312</v>
      </c>
      <c r="J1">
        <v>201403</v>
      </c>
      <c r="K1">
        <v>201406</v>
      </c>
      <c r="L1">
        <v>201409</v>
      </c>
      <c r="M1">
        <v>201412</v>
      </c>
      <c r="N1">
        <v>201503</v>
      </c>
      <c r="O1">
        <v>201506</v>
      </c>
      <c r="P1">
        <v>201509</v>
      </c>
      <c r="Q1">
        <v>201512</v>
      </c>
      <c r="R1">
        <v>201603</v>
      </c>
      <c r="S1">
        <v>201606</v>
      </c>
      <c r="T1">
        <v>201609</v>
      </c>
      <c r="U1">
        <v>201612</v>
      </c>
      <c r="V1">
        <v>201703</v>
      </c>
      <c r="W1">
        <v>201706</v>
      </c>
      <c r="X1">
        <v>201709</v>
      </c>
      <c r="Y1">
        <v>201712</v>
      </c>
      <c r="Z1">
        <v>201803</v>
      </c>
      <c r="AA1">
        <v>201806</v>
      </c>
      <c r="AB1">
        <v>201809</v>
      </c>
      <c r="AC1">
        <v>201812</v>
      </c>
      <c r="AD1">
        <v>201903</v>
      </c>
      <c r="AE1">
        <v>201906</v>
      </c>
      <c r="AF1">
        <v>201909</v>
      </c>
      <c r="AG1">
        <v>201912</v>
      </c>
      <c r="AH1">
        <v>202003</v>
      </c>
      <c r="AI1">
        <v>202006</v>
      </c>
      <c r="AJ1">
        <v>202009</v>
      </c>
      <c r="AK1">
        <v>202012</v>
      </c>
      <c r="AL1">
        <v>202103</v>
      </c>
      <c r="AM1">
        <v>202106</v>
      </c>
      <c r="AN1">
        <v>202109</v>
      </c>
      <c r="AO1">
        <v>202112</v>
      </c>
      <c r="AP1">
        <v>202203</v>
      </c>
      <c r="AQ1">
        <v>202206</v>
      </c>
      <c r="AR1">
        <v>202209</v>
      </c>
      <c r="AS1">
        <v>202212</v>
      </c>
      <c r="AT1">
        <v>202303</v>
      </c>
      <c r="AU1">
        <v>202306</v>
      </c>
      <c r="AV1">
        <v>202309</v>
      </c>
      <c r="AW1">
        <v>202312</v>
      </c>
      <c r="AX1">
        <v>202403</v>
      </c>
      <c r="AY1">
        <v>202406</v>
      </c>
      <c r="AZ1">
        <v>202409</v>
      </c>
      <c r="BA1">
        <v>202412</v>
      </c>
      <c r="BB1">
        <v>202503</v>
      </c>
      <c r="BC1">
        <v>202506</v>
      </c>
      <c r="BD1">
        <v>202509</v>
      </c>
      <c r="BE1">
        <v>202512</v>
      </c>
      <c r="BF1">
        <v>202603</v>
      </c>
      <c r="BG1">
        <v>202606</v>
      </c>
      <c r="BH1">
        <v>202609</v>
      </c>
      <c r="BI1">
        <v>202612</v>
      </c>
      <c r="BJ1">
        <v>202703</v>
      </c>
      <c r="BK1">
        <v>202706</v>
      </c>
      <c r="BL1">
        <v>202709</v>
      </c>
      <c r="BM1">
        <v>202712</v>
      </c>
      <c r="BN1">
        <v>202803</v>
      </c>
      <c r="BO1">
        <v>202806</v>
      </c>
      <c r="BP1">
        <v>202809</v>
      </c>
      <c r="BQ1">
        <v>202812</v>
      </c>
      <c r="BR1">
        <v>202903</v>
      </c>
      <c r="BS1">
        <v>202906</v>
      </c>
      <c r="BT1">
        <v>202909</v>
      </c>
      <c r="BU1">
        <v>202912</v>
      </c>
      <c r="BV1">
        <v>203003</v>
      </c>
    </row>
    <row r="2" spans="1:74" x14ac:dyDescent="0.25">
      <c r="BF2" s="183"/>
      <c r="BG2" s="183"/>
      <c r="BH2" s="183"/>
      <c r="BI2" s="183"/>
      <c r="BJ2" s="183"/>
      <c r="BK2" s="183"/>
      <c r="BL2" s="183"/>
      <c r="BM2" s="183"/>
      <c r="BN2" s="183"/>
      <c r="BO2" s="183"/>
      <c r="BP2" s="183"/>
      <c r="BQ2" s="183"/>
      <c r="BR2" s="183"/>
      <c r="BS2" s="183"/>
      <c r="BT2" s="183"/>
      <c r="BU2" s="183"/>
      <c r="BV2" s="183"/>
    </row>
    <row r="3" spans="1:74" x14ac:dyDescent="0.25">
      <c r="A3" t="s">
        <v>110</v>
      </c>
      <c r="B3" t="s">
        <v>111</v>
      </c>
    </row>
    <row r="4" spans="1:74" x14ac:dyDescent="0.25">
      <c r="A4" t="s">
        <v>112</v>
      </c>
      <c r="B4" t="s">
        <v>129</v>
      </c>
      <c r="C4" t="str">
        <f>_xll.EQNXTDZ(A1,B4,C1)</f>
        <v>Lloyds Metals &amp; Energy Ltd.</v>
      </c>
    </row>
    <row r="5" spans="1:74" x14ac:dyDescent="0.25">
      <c r="A5" t="s">
        <v>252</v>
      </c>
      <c r="B5" t="s">
        <v>275</v>
      </c>
      <c r="C5">
        <f>_xll.EQNXTDZ($A$1,$B5,C$1,$B$1)</f>
        <v>201206</v>
      </c>
      <c r="D5">
        <f>_xll.EQNXTDZ($A$1,$B5,D$1,$B$1)</f>
        <v>201209</v>
      </c>
      <c r="E5">
        <f>_xll.EQNXTDZ($A$1,$B5,E$1,$B$1)</f>
        <v>201212</v>
      </c>
      <c r="F5">
        <f>_xll.EQNXTDZ($A$1,$B5,F$1,$B$1)</f>
        <v>201303</v>
      </c>
      <c r="G5">
        <f>_xll.EQNXTDZ($A$1,$B5,G$1,$B$1)</f>
        <v>201306</v>
      </c>
      <c r="H5">
        <f>_xll.EQNXTDZ($A$1,$B5,H$1,$B$1)</f>
        <v>201309</v>
      </c>
      <c r="I5">
        <f>_xll.EQNXTDZ($A$1,$B5,I$1,$B$1)</f>
        <v>201312</v>
      </c>
      <c r="J5">
        <f>_xll.EQNXTDZ($A$1,$B5,J$1,$B$1)</f>
        <v>201403</v>
      </c>
      <c r="K5">
        <f>_xll.EQNXTDZ($A$1,$B5,K$1,$B$1)</f>
        <v>201406</v>
      </c>
      <c r="L5">
        <f>_xll.EQNXTDZ($A$1,$B5,L$1,$B$1)</f>
        <v>201409</v>
      </c>
      <c r="M5">
        <f>_xll.EQNXTDZ($A$1,$B5,M$1,$B$1)</f>
        <v>201412</v>
      </c>
      <c r="N5">
        <f>_xll.EQNXTDZ($A$1,$B5,N$1,$B$1)</f>
        <v>201503</v>
      </c>
      <c r="O5">
        <f>_xll.EQNXTDZ($A$1,$B5,O$1,$B$1)</f>
        <v>201506</v>
      </c>
      <c r="P5">
        <f>_xll.EQNXTDZ($A$1,$B5,P$1,$B$1)</f>
        <v>201509</v>
      </c>
      <c r="Q5">
        <f>_xll.EQNXTDZ($A$1,$B5,Q$1,$B$1)</f>
        <v>201512</v>
      </c>
      <c r="R5">
        <f>_xll.EQNXTDZ($A$1,$B5,R$1,$B$1)</f>
        <v>201603</v>
      </c>
      <c r="S5">
        <f>_xll.EQNXTDZ($A$1,$B5,S$1,$B$1)</f>
        <v>201606</v>
      </c>
      <c r="T5">
        <f>_xll.EQNXTDZ($A$1,$B5,T$1,$B$1)</f>
        <v>201609</v>
      </c>
      <c r="U5">
        <f>_xll.EQNXTDZ($A$1,$B5,U$1,$B$1)</f>
        <v>201612</v>
      </c>
      <c r="V5">
        <f>_xll.EQNXTDZ($A$1,$B5,V$1,$B$1)</f>
        <v>201703</v>
      </c>
      <c r="W5">
        <f>_xll.EQNXTDZ($A$1,$B5,W$1,$B$1)</f>
        <v>201706</v>
      </c>
      <c r="X5">
        <f>_xll.EQNXTDZ($A$1,$B5,X$1,$B$1)</f>
        <v>201709</v>
      </c>
      <c r="Y5">
        <f>_xll.EQNXTDZ($A$1,$B5,Y$1,$B$1)</f>
        <v>201712</v>
      </c>
      <c r="Z5">
        <f>_xll.EQNXTDZ($A$1,$B5,Z$1,$B$1)</f>
        <v>201803</v>
      </c>
      <c r="AA5">
        <f>_xll.EQNXTDZ($A$1,$B5,AA$1,$B$1)</f>
        <v>201806</v>
      </c>
      <c r="AB5">
        <f>_xll.EQNXTDZ($A$1,$B5,AB$1,$B$1)</f>
        <v>201809</v>
      </c>
      <c r="AC5">
        <f>_xll.EQNXTDZ($A$1,$B5,AC$1,$B$1)</f>
        <v>201812</v>
      </c>
      <c r="AD5">
        <f>_xll.EQNXTDZ($A$1,$B5,AD$1,$B$1)</f>
        <v>201903</v>
      </c>
      <c r="AE5">
        <f>_xll.EQNXTDZ($A$1,$B5,AE$1,$B$1)</f>
        <v>201906</v>
      </c>
      <c r="AF5">
        <f>_xll.EQNXTDZ($A$1,$B5,AF$1,$B$1)</f>
        <v>201909</v>
      </c>
      <c r="AG5">
        <f>_xll.EQNXTDZ($A$1,$B5,AG$1,$B$1)</f>
        <v>201912</v>
      </c>
      <c r="AH5">
        <f>_xll.EQNXTDZ($A$1,$B5,AH$1,$B$1)</f>
        <v>202003</v>
      </c>
      <c r="AI5">
        <f>_xll.EQNXTDZ($A$1,$B5,AI$1,$B$1)</f>
        <v>202006</v>
      </c>
      <c r="AJ5">
        <f>_xll.EQNXTDZ($A$1,$B5,AJ$1,$B$1)</f>
        <v>202009</v>
      </c>
      <c r="AK5">
        <f>_xll.EQNXTDZ($A$1,$B5,AK$1,$B$1)</f>
        <v>202012</v>
      </c>
      <c r="AL5">
        <f>_xll.EQNXTDZ($A$1,$B5,AL$1,$B$1)</f>
        <v>202103</v>
      </c>
      <c r="AM5">
        <f>_xll.EQNXTDZ($A$1,$B5,AM$1,$B$1)</f>
        <v>202106</v>
      </c>
      <c r="AN5">
        <f>_xll.EQNXTDZ($A$1,$B5,AN$1,$B$1)</f>
        <v>202109</v>
      </c>
      <c r="AO5">
        <f>_xll.EQNXTDZ($A$1,$B5,AO$1,$B$1)</f>
        <v>202112</v>
      </c>
      <c r="AP5">
        <f>_xll.EQNXTDZ($A$1,$B5,AP$1,$B$1)</f>
        <v>202203</v>
      </c>
      <c r="AQ5">
        <f>_xll.EQNXTDZ($A$1,$B5,AQ$1,$B$1)</f>
        <v>202206</v>
      </c>
      <c r="AR5">
        <f>_xll.EQNXTDZ($A$1,$B5,AR$1,$B$1)</f>
        <v>202209</v>
      </c>
      <c r="AS5">
        <f>_xll.EQNXTDZ($A$1,$B5,AS$1,$B$1)</f>
        <v>202212</v>
      </c>
      <c r="AT5">
        <f>_xll.EQNXTDZ($A$1,$B5,AT$1,$B$1)</f>
        <v>202303</v>
      </c>
      <c r="AU5">
        <f>_xll.EQNXTDZ($A$1,$B5,AU$1,$B$1)</f>
        <v>202306</v>
      </c>
      <c r="AV5">
        <f>_xll.EQNXTDZ($A$1,$B5,AV$1,$B$1)</f>
        <v>202309</v>
      </c>
      <c r="AW5">
        <f>_xll.EQNXTDZ($A$1,$B5,AW$1,$B$1)</f>
        <v>202312</v>
      </c>
      <c r="AX5">
        <f>_xll.EQNXTDZ($A$1,$B5,AX$1,$B$1)</f>
        <v>202403</v>
      </c>
      <c r="AY5">
        <f>_xll.EQNXTDZ($A$1,$B5,AY$1,$B$1)</f>
        <v>202406</v>
      </c>
      <c r="AZ5">
        <f>_xll.EQNXTDZ($A$1,$B5,AZ$1,$B$1)</f>
        <v>202409</v>
      </c>
      <c r="BA5">
        <f>_xll.EQNXTDZ($A$1,$B5,BA$1,$B$1)</f>
        <v>202412</v>
      </c>
      <c r="BB5">
        <f>_xll.EQNXTDZ($A$1,$B5,BB$1,$B$1)</f>
        <v>202503</v>
      </c>
      <c r="BC5">
        <f>_xll.EQNXTDZ($A$1,$B5,BC$1,$B$1)</f>
        <v>202506</v>
      </c>
      <c r="BD5">
        <f>_xll.EQNXTDZ($A$1,$B5,BD$1,$B$1)</f>
        <v>202509</v>
      </c>
      <c r="BE5">
        <f>_xll.EQNXTDZ($A$1,$B5,BE$1,$B$1)</f>
        <v>202512</v>
      </c>
      <c r="BF5">
        <f>_xll.EQNXTDZ($A$1,$B5,BF$1,$B$1)</f>
        <v>202603</v>
      </c>
      <c r="BG5">
        <f>_xll.EQNXTDZ($A$1,$B5,BG$1,$B$1)</f>
        <v>0</v>
      </c>
      <c r="BH5">
        <f>_xll.EQNXTDZ($A$1,$B5,BH$1,$B$1)</f>
        <v>0</v>
      </c>
      <c r="BI5">
        <f>_xll.EQNXTDZ($A$1,$B5,BI$1,$B$1)</f>
        <v>0</v>
      </c>
      <c r="BJ5">
        <f>_xll.EQNXTDZ($A$1,$B5,BJ$1,$B$1)</f>
        <v>0</v>
      </c>
      <c r="BK5">
        <f>_xll.EQNXTDZ($A$1,$B5,BK$1,$B$1)</f>
        <v>0</v>
      </c>
      <c r="BL5">
        <f>_xll.EQNXTDZ($A$1,$B5,BL$1,$B$1)</f>
        <v>0</v>
      </c>
      <c r="BM5">
        <f>_xll.EQNXTDZ($A$1,$B5,BM$1,$B$1)</f>
        <v>0</v>
      </c>
      <c r="BN5">
        <f>_xll.EQNXTDZ($A$1,$B5,BN$1,$B$1)</f>
        <v>0</v>
      </c>
      <c r="BO5">
        <f>_xll.EQNXTDZ($A$1,$B5,BO$1,$B$1)</f>
        <v>0</v>
      </c>
      <c r="BP5">
        <f>_xll.EQNXTDZ($A$1,$B5,BP$1,$B$1)</f>
        <v>0</v>
      </c>
      <c r="BQ5">
        <f>_xll.EQNXTDZ($A$1,$B5,BQ$1,$B$1)</f>
        <v>0</v>
      </c>
      <c r="BR5">
        <f>_xll.EQNXTDZ($A$1,$B5,BR$1,$B$1)</f>
        <v>0</v>
      </c>
      <c r="BS5">
        <f>_xll.EQNXTDZ($A$1,$B5,BS$1,$B$1)</f>
        <v>0</v>
      </c>
      <c r="BT5">
        <f>_xll.EQNXTDZ($A$1,$B5,BT$1,$B$1)</f>
        <v>0</v>
      </c>
      <c r="BU5">
        <f>_xll.EQNXTDZ($A$1,$B5,BU$1,$B$1)</f>
        <v>0</v>
      </c>
      <c r="BV5">
        <f>_xll.EQNXTDZ($A$1,$B5,BV$1,$B$1)</f>
        <v>0</v>
      </c>
    </row>
    <row r="6" spans="1:74" x14ac:dyDescent="0.25">
      <c r="A6" t="s">
        <v>108</v>
      </c>
      <c r="B6" t="s">
        <v>276</v>
      </c>
      <c r="C6">
        <f>_xll.EQNXTDZ($A$1,$B6,C$1,$B$1)</f>
        <v>260.709</v>
      </c>
      <c r="D6">
        <f>_xll.EQNXTDZ($A$1,$B6,D$1,$B$1)</f>
        <v>130.55600000000001</v>
      </c>
      <c r="E6">
        <f>_xll.EQNXTDZ($A$1,$B6,E$1,$B$1)</f>
        <v>147.374</v>
      </c>
      <c r="F6">
        <f>_xll.EQNXTDZ($A$1,$B6,F$1,$B$1)</f>
        <v>253.529</v>
      </c>
      <c r="G6">
        <f>_xll.EQNXTDZ($A$1,$B6,G$1,$B$1)</f>
        <v>147.41499999999999</v>
      </c>
      <c r="H6">
        <f>_xll.EQNXTDZ($A$1,$B6,H$1,$B$1)</f>
        <v>115.678</v>
      </c>
      <c r="I6">
        <f>_xll.EQNXTDZ($A$1,$B6,I$1,$B$1)</f>
        <v>139.52600000000001</v>
      </c>
      <c r="J6">
        <f>_xll.EQNXTDZ($A$1,$B6,J$1,$B$1)</f>
        <v>197.02500000000001</v>
      </c>
      <c r="K6">
        <f>_xll.EQNXTDZ($A$1,$B6,K$1,$B$1)</f>
        <v>185.25800000000001</v>
      </c>
      <c r="L6">
        <f>_xll.EQNXTDZ($A$1,$B6,L$1,$B$1)</f>
        <v>223.80600000000001</v>
      </c>
      <c r="M6">
        <f>_xll.EQNXTDZ($A$1,$B6,M$1,$B$1)</f>
        <v>109.57299999999999</v>
      </c>
      <c r="N6">
        <f>_xll.EQNXTDZ($A$1,$B6,N$1,$B$1)</f>
        <v>120.886</v>
      </c>
      <c r="O6">
        <f>_xll.EQNXTDZ($A$1,$B6,O$1,$B$1)</f>
        <v>119.247</v>
      </c>
      <c r="P6">
        <f>_xll.EQNXTDZ($A$1,$B6,P$1,$B$1)</f>
        <v>73.391999999999996</v>
      </c>
      <c r="Q6">
        <f>_xll.EQNXTDZ($A$1,$B6,Q$1,$B$1)</f>
        <v>73.882000000000005</v>
      </c>
      <c r="R6">
        <f>_xll.EQNXTDZ($A$1,$B6,R$1,$B$1)</f>
        <v>81.819000000000003</v>
      </c>
      <c r="S6">
        <f>_xll.EQNXTDZ($A$1,$B6,S$1,$B$1)</f>
        <v>101.491</v>
      </c>
      <c r="T6">
        <f>_xll.EQNXTDZ($A$1,$B6,T$1,$B$1)</f>
        <v>94.581999999999994</v>
      </c>
      <c r="U6">
        <f>_xll.EQNXTDZ($A$1,$B6,U$1,$B$1)</f>
        <v>119.71599999999999</v>
      </c>
      <c r="V6">
        <f>_xll.EQNXTDZ($A$1,$B6,V$1,$B$1)</f>
        <v>82.734999999999999</v>
      </c>
      <c r="W6">
        <f>_xll.EQNXTDZ($A$1,$B6,W$1,$B$1)</f>
        <v>109.669</v>
      </c>
      <c r="X6">
        <f>_xll.EQNXTDZ($A$1,$B6,X$1,$B$1)</f>
        <v>76.311000000000007</v>
      </c>
      <c r="Y6">
        <f>_xll.EQNXTDZ($A$1,$B6,Y$1,$B$1)</f>
        <v>119.611</v>
      </c>
      <c r="Z6">
        <f>_xll.EQNXTDZ($A$1,$B6,Z$1,$B$1)</f>
        <v>109.08799999999999</v>
      </c>
      <c r="AA6">
        <f>_xll.EQNXTDZ($A$1,$B6,AA$1,$B$1)</f>
        <v>134.44200000000001</v>
      </c>
      <c r="AB6">
        <f>_xll.EQNXTDZ($A$1,$B6,AB$1,$B$1)</f>
        <v>101.199</v>
      </c>
      <c r="AC6">
        <f>_xll.EQNXTDZ($A$1,$B6,AC$1,$B$1)</f>
        <v>108.27500000000001</v>
      </c>
      <c r="AD6">
        <f>_xll.EQNXTDZ($A$1,$B6,AD$1,$B$1)</f>
        <v>130.41300000000001</v>
      </c>
      <c r="AE6">
        <f>_xll.EQNXTDZ($A$1,$B6,AE$1,$B$1)</f>
        <v>126.45699999999999</v>
      </c>
      <c r="AF6">
        <f>_xll.EQNXTDZ($A$1,$B6,AF$1,$B$1)</f>
        <v>56.393999999999998</v>
      </c>
      <c r="AG6">
        <f>_xll.EQNXTDZ($A$1,$B6,AG$1,$B$1)</f>
        <v>84.900999999999996</v>
      </c>
      <c r="AH6">
        <f>_xll.EQNXTDZ($A$1,$B6,AH$1,$B$1)</f>
        <v>103.98699999999999</v>
      </c>
      <c r="AI6">
        <f>_xll.EQNXTDZ($A$1,$B6,AI$1,$B$1)</f>
        <v>10.61</v>
      </c>
      <c r="AJ6">
        <f>_xll.EQNXTDZ($A$1,$B6,AJ$1,$B$1)</f>
        <v>73.7</v>
      </c>
      <c r="AK6">
        <f>_xll.EQNXTDZ($A$1,$B6,AK$1,$B$1)</f>
        <v>73.852000000000004</v>
      </c>
      <c r="AL6">
        <f>_xll.EQNXTDZ($A$1,$B6,AL$1,$B$1)</f>
        <v>95.245000000000005</v>
      </c>
      <c r="AM6">
        <f>_xll.EQNXTDZ($A$1,$B6,AM$1,$B$1)</f>
        <v>95.7</v>
      </c>
      <c r="AN6">
        <f>_xll.EQNXTDZ($A$1,$B6,AN$1,$B$1)</f>
        <v>100.32</v>
      </c>
      <c r="AO6">
        <f>_xll.EQNXTDZ($A$1,$B6,AO$1,$B$1)</f>
        <v>168.27</v>
      </c>
      <c r="AP6">
        <f>_xll.EQNXTDZ($A$1,$B6,AP$1,$B$1)</f>
        <v>333.21</v>
      </c>
      <c r="AQ6">
        <f>_xll.EQNXTDZ($A$1,$B6,AQ$1,$B$1)</f>
        <v>842.68</v>
      </c>
      <c r="AR6">
        <f>_xll.EQNXTDZ($A$1,$B6,AR$1,$B$1)</f>
        <v>673.76</v>
      </c>
      <c r="AS6">
        <f>_xll.EQNXTDZ($A$1,$B6,AS$1,$B$1)</f>
        <v>999.62</v>
      </c>
      <c r="AT6">
        <f>_xll.EQNXTDZ($A$1,$B6,AT$1,$B$1)</f>
        <v>876.25</v>
      </c>
      <c r="AU6">
        <f>_xll.EQNXTDZ($A$1,$B6,AU$1,$B$1)</f>
        <v>1965.52</v>
      </c>
      <c r="AV6">
        <f>_xll.EQNXTDZ($A$1,$B6,AV$1,$B$1)</f>
        <v>1091.31</v>
      </c>
      <c r="AW6">
        <f>_xll.EQNXTDZ($A$1,$B6,AW$1,$B$1)</f>
        <v>1902.24</v>
      </c>
      <c r="AX6">
        <f>_xll.EQNXTDZ($A$1,$B6,AX$1,$B$1)</f>
        <v>1545.72</v>
      </c>
      <c r="AY6">
        <f>_xll.EQNXTDZ($A$1,$B6,AY$1,$B$1)</f>
        <v>2412.2199999999998</v>
      </c>
      <c r="AZ6">
        <f>_xll.EQNXTDZ($A$1,$B6,AZ$1,$B$1)</f>
        <v>1360.61</v>
      </c>
      <c r="BA6">
        <f>_xll.EQNXTDZ($A$1,$B6,BA$1,$B$1)</f>
        <v>1670.82</v>
      </c>
      <c r="BB6">
        <f>_xll.EQNXTDZ($A$1,$B6,BB$1,$B$1)</f>
        <v>1182.6600000000001</v>
      </c>
      <c r="BC6">
        <f>_xll.EQNXTDZ($A$1,$B6,BC$1,$B$1)</f>
        <v>2377.0300000000002</v>
      </c>
      <c r="BD6">
        <f>_xll.EQNXTDZ($A$1,$B6,BD$1,$B$1)</f>
        <v>3540.65</v>
      </c>
      <c r="BE6">
        <f>_xll.EQNXTDZ($A$1,$B6,BE$1,$B$1)</f>
        <v>4909.38</v>
      </c>
      <c r="BF6">
        <f>_xll.EQNXTDZ($A$1,$B6,BF$1,$B$1)</f>
        <v>5995.37</v>
      </c>
      <c r="BG6">
        <f>_xll.EQNXTDZ($A$1,$B6,BG$1,$B$1)</f>
        <v>0</v>
      </c>
      <c r="BH6">
        <f>_xll.EQNXTDZ($A$1,$B6,BH$1,$B$1)</f>
        <v>0</v>
      </c>
      <c r="BI6">
        <f>_xll.EQNXTDZ($A$1,$B6,BI$1,$B$1)</f>
        <v>0</v>
      </c>
      <c r="BJ6">
        <f>_xll.EQNXTDZ($A$1,$B6,BJ$1,$B$1)</f>
        <v>0</v>
      </c>
      <c r="BK6">
        <f>_xll.EQNXTDZ($A$1,$B6,BK$1,$B$1)</f>
        <v>0</v>
      </c>
      <c r="BL6">
        <f>_xll.EQNXTDZ($A$1,$B6,BL$1,$B$1)</f>
        <v>0</v>
      </c>
      <c r="BM6">
        <f>_xll.EQNXTDZ($A$1,$B6,BM$1,$B$1)</f>
        <v>0</v>
      </c>
      <c r="BN6">
        <f>_xll.EQNXTDZ($A$1,$B6,BN$1,$B$1)</f>
        <v>0</v>
      </c>
      <c r="BO6">
        <f>_xll.EQNXTDZ($A$1,$B6,BO$1,$B$1)</f>
        <v>0</v>
      </c>
      <c r="BP6">
        <f>_xll.EQNXTDZ($A$1,$B6,BP$1,$B$1)</f>
        <v>0</v>
      </c>
      <c r="BQ6">
        <f>_xll.EQNXTDZ($A$1,$B6,BQ$1,$B$1)</f>
        <v>0</v>
      </c>
      <c r="BR6">
        <f>_xll.EQNXTDZ($A$1,$B6,BR$1,$B$1)</f>
        <v>0</v>
      </c>
      <c r="BS6">
        <f>_xll.EQNXTDZ($A$1,$B6,BS$1,$B$1)</f>
        <v>0</v>
      </c>
      <c r="BT6">
        <f>_xll.EQNXTDZ($A$1,$B6,BT$1,$B$1)</f>
        <v>0</v>
      </c>
      <c r="BU6">
        <f>_xll.EQNXTDZ($A$1,$B6,BU$1,$B$1)</f>
        <v>0</v>
      </c>
      <c r="BV6">
        <f>_xll.EQNXTDZ($A$1,$B6,BV$1,$B$1)</f>
        <v>0</v>
      </c>
    </row>
    <row r="7" spans="1:74" x14ac:dyDescent="0.25">
      <c r="A7" t="s">
        <v>253</v>
      </c>
      <c r="B7" t="s">
        <v>277</v>
      </c>
      <c r="C7">
        <f>_xll.EQNXTDZ($A$1,$B7,C$1,$B$1)</f>
        <v>13.487</v>
      </c>
      <c r="D7">
        <f>_xll.EQNXTDZ($A$1,$B7,D$1,$B$1)</f>
        <v>9.0779999999999994</v>
      </c>
      <c r="E7">
        <f>_xll.EQNXTDZ($A$1,$B7,E$1,$B$1)</f>
        <v>9.0939999999999994</v>
      </c>
      <c r="F7">
        <f>_xll.EQNXTDZ($A$1,$B7,F$1,$B$1)</f>
        <v>10.699</v>
      </c>
      <c r="G7">
        <f>_xll.EQNXTDZ($A$1,$B7,G$1,$B$1)</f>
        <v>9.8030000000000008</v>
      </c>
      <c r="H7">
        <f>_xll.EQNXTDZ($A$1,$B7,H$1,$B$1)</f>
        <v>7.53</v>
      </c>
      <c r="I7">
        <f>_xll.EQNXTDZ($A$1,$B7,I$1,$B$1)</f>
        <v>11.234</v>
      </c>
      <c r="J7">
        <f>_xll.EQNXTDZ($A$1,$B7,J$1,$B$1)</f>
        <v>13.494999999999999</v>
      </c>
      <c r="K7">
        <f>_xll.EQNXTDZ($A$1,$B7,K$1,$B$1)</f>
        <v>11.122999999999999</v>
      </c>
      <c r="L7">
        <f>_xll.EQNXTDZ($A$1,$B7,L$1,$B$1)</f>
        <v>7.8979999999999997</v>
      </c>
      <c r="M7">
        <f>_xll.EQNXTDZ($A$1,$B7,M$1,$B$1)</f>
        <v>0</v>
      </c>
      <c r="N7">
        <f>_xll.EQNXTDZ($A$1,$B7,N$1,$B$1)</f>
        <v>0</v>
      </c>
      <c r="O7">
        <f>_xll.EQNXTDZ($A$1,$B7,O$1,$B$1)</f>
        <v>0</v>
      </c>
      <c r="P7">
        <f>_xll.EQNXTDZ($A$1,$B7,P$1,$B$1)</f>
        <v>0</v>
      </c>
      <c r="Q7">
        <f>_xll.EQNXTDZ($A$1,$B7,Q$1,$B$1)</f>
        <v>0</v>
      </c>
      <c r="R7">
        <f>_xll.EQNXTDZ($A$1,$B7,R$1,$B$1)</f>
        <v>0</v>
      </c>
      <c r="S7">
        <f>_xll.EQNXTDZ($A$1,$B7,S$1,$B$1)</f>
        <v>0</v>
      </c>
      <c r="T7">
        <f>_xll.EQNXTDZ($A$1,$B7,T$1,$B$1)</f>
        <v>0</v>
      </c>
      <c r="U7">
        <f>_xll.EQNXTDZ($A$1,$B7,U$1,$B$1)</f>
        <v>0</v>
      </c>
      <c r="V7">
        <f>_xll.EQNXTDZ($A$1,$B7,V$1,$B$1)</f>
        <v>0</v>
      </c>
      <c r="W7">
        <f>_xll.EQNXTDZ($A$1,$B7,W$1,$B$1)</f>
        <v>0</v>
      </c>
      <c r="X7">
        <f>_xll.EQNXTDZ($A$1,$B7,X$1,$B$1)</f>
        <v>0</v>
      </c>
      <c r="Y7">
        <f>_xll.EQNXTDZ($A$1,$B7,Y$1,$B$1)</f>
        <v>0</v>
      </c>
      <c r="Z7">
        <f>_xll.EQNXTDZ($A$1,$B7,Z$1,$B$1)</f>
        <v>0</v>
      </c>
      <c r="AA7">
        <f>_xll.EQNXTDZ($A$1,$B7,AA$1,$B$1)</f>
        <v>0</v>
      </c>
      <c r="AB7">
        <f>_xll.EQNXTDZ($A$1,$B7,AB$1,$B$1)</f>
        <v>0</v>
      </c>
      <c r="AC7">
        <f>_xll.EQNXTDZ($A$1,$B7,AC$1,$B$1)</f>
        <v>0</v>
      </c>
      <c r="AD7">
        <f>_xll.EQNXTDZ($A$1,$B7,AD$1,$B$1)</f>
        <v>0</v>
      </c>
      <c r="AE7">
        <f>_xll.EQNXTDZ($A$1,$B7,AE$1,$B$1)</f>
        <v>0</v>
      </c>
      <c r="AF7">
        <f>_xll.EQNXTDZ($A$1,$B7,AF$1,$B$1)</f>
        <v>0</v>
      </c>
      <c r="AG7">
        <f>_xll.EQNXTDZ($A$1,$B7,AG$1,$B$1)</f>
        <v>0</v>
      </c>
      <c r="AH7">
        <f>_xll.EQNXTDZ($A$1,$B7,AH$1,$B$1)</f>
        <v>0</v>
      </c>
      <c r="AI7">
        <f>_xll.EQNXTDZ($A$1,$B7,AI$1,$B$1)</f>
        <v>0</v>
      </c>
      <c r="AJ7">
        <f>_xll.EQNXTDZ($A$1,$B7,AJ$1,$B$1)</f>
        <v>0</v>
      </c>
      <c r="AK7">
        <f>_xll.EQNXTDZ($A$1,$B7,AK$1,$B$1)</f>
        <v>0</v>
      </c>
      <c r="AL7">
        <f>_xll.EQNXTDZ($A$1,$B7,AL$1,$B$1)</f>
        <v>0</v>
      </c>
      <c r="AM7">
        <f>_xll.EQNXTDZ($A$1,$B7,AM$1,$B$1)</f>
        <v>0</v>
      </c>
      <c r="AN7">
        <f>_xll.EQNXTDZ($A$1,$B7,AN$1,$B$1)</f>
        <v>0</v>
      </c>
      <c r="AO7">
        <f>_xll.EQNXTDZ($A$1,$B7,AO$1,$B$1)</f>
        <v>0</v>
      </c>
      <c r="AP7">
        <f>_xll.EQNXTDZ($A$1,$B7,AP$1,$B$1)</f>
        <v>0</v>
      </c>
      <c r="AQ7">
        <f>_xll.EQNXTDZ($A$1,$B7,AQ$1,$B$1)</f>
        <v>0</v>
      </c>
      <c r="AR7">
        <f>_xll.EQNXTDZ($A$1,$B7,AR$1,$B$1)</f>
        <v>0</v>
      </c>
      <c r="AS7">
        <f>_xll.EQNXTDZ($A$1,$B7,AS$1,$B$1)</f>
        <v>0</v>
      </c>
      <c r="AT7">
        <f>_xll.EQNXTDZ($A$1,$B7,AT$1,$B$1)</f>
        <v>0</v>
      </c>
      <c r="AU7">
        <f>_xll.EQNXTDZ($A$1,$B7,AU$1,$B$1)</f>
        <v>0</v>
      </c>
      <c r="AV7">
        <f>_xll.EQNXTDZ($A$1,$B7,AV$1,$B$1)</f>
        <v>0</v>
      </c>
      <c r="AW7">
        <f>_xll.EQNXTDZ($A$1,$B7,AW$1,$B$1)</f>
        <v>0</v>
      </c>
      <c r="AX7">
        <f>_xll.EQNXTDZ($A$1,$B7,AX$1,$B$1)</f>
        <v>0</v>
      </c>
      <c r="AY7">
        <f>_xll.EQNXTDZ($A$1,$B7,AY$1,$B$1)</f>
        <v>0</v>
      </c>
      <c r="AZ7">
        <f>_xll.EQNXTDZ($A$1,$B7,AZ$1,$B$1)</f>
        <v>0</v>
      </c>
      <c r="BA7">
        <f>_xll.EQNXTDZ($A$1,$B7,BA$1,$B$1)</f>
        <v>0</v>
      </c>
      <c r="BB7">
        <f>_xll.EQNXTDZ($A$1,$B7,BB$1,$B$1)</f>
        <v>0</v>
      </c>
      <c r="BC7">
        <f>_xll.EQNXTDZ($A$1,$B7,BC$1,$B$1)</f>
        <v>0</v>
      </c>
      <c r="BD7">
        <f>_xll.EQNXTDZ($A$1,$B7,BD$1,$B$1)</f>
        <v>0</v>
      </c>
      <c r="BE7">
        <f>_xll.EQNXTDZ($A$1,$B7,BE$1,$B$1)</f>
        <v>0</v>
      </c>
      <c r="BF7">
        <f>_xll.EQNXTDZ($A$1,$B7,BF$1,$B$1)</f>
        <v>0</v>
      </c>
      <c r="BG7">
        <f>_xll.EQNXTDZ($A$1,$B7,BG$1,$B$1)</f>
        <v>0</v>
      </c>
      <c r="BH7">
        <f>_xll.EQNXTDZ($A$1,$B7,BH$1,$B$1)</f>
        <v>0</v>
      </c>
      <c r="BI7">
        <f>_xll.EQNXTDZ($A$1,$B7,BI$1,$B$1)</f>
        <v>0</v>
      </c>
      <c r="BJ7">
        <f>_xll.EQNXTDZ($A$1,$B7,BJ$1,$B$1)</f>
        <v>0</v>
      </c>
      <c r="BK7">
        <f>_xll.EQNXTDZ($A$1,$B7,BK$1,$B$1)</f>
        <v>0</v>
      </c>
      <c r="BL7">
        <f>_xll.EQNXTDZ($A$1,$B7,BL$1,$B$1)</f>
        <v>0</v>
      </c>
      <c r="BM7">
        <f>_xll.EQNXTDZ($A$1,$B7,BM$1,$B$1)</f>
        <v>0</v>
      </c>
      <c r="BN7">
        <f>_xll.EQNXTDZ($A$1,$B7,BN$1,$B$1)</f>
        <v>0</v>
      </c>
      <c r="BO7">
        <f>_xll.EQNXTDZ($A$1,$B7,BO$1,$B$1)</f>
        <v>0</v>
      </c>
      <c r="BP7">
        <f>_xll.EQNXTDZ($A$1,$B7,BP$1,$B$1)</f>
        <v>0</v>
      </c>
      <c r="BQ7">
        <f>_xll.EQNXTDZ($A$1,$B7,BQ$1,$B$1)</f>
        <v>0</v>
      </c>
      <c r="BR7">
        <f>_xll.EQNXTDZ($A$1,$B7,BR$1,$B$1)</f>
        <v>0</v>
      </c>
      <c r="BS7">
        <f>_xll.EQNXTDZ($A$1,$B7,BS$1,$B$1)</f>
        <v>0</v>
      </c>
      <c r="BT7">
        <f>_xll.EQNXTDZ($A$1,$B7,BT$1,$B$1)</f>
        <v>0</v>
      </c>
      <c r="BU7">
        <f>_xll.EQNXTDZ($A$1,$B7,BU$1,$B$1)</f>
        <v>0</v>
      </c>
      <c r="BV7">
        <f>_xll.EQNXTDZ($A$1,$B7,BV$1,$B$1)</f>
        <v>0</v>
      </c>
    </row>
    <row r="8" spans="1:74" x14ac:dyDescent="0.25">
      <c r="A8" t="s">
        <v>254</v>
      </c>
      <c r="B8" t="s">
        <v>278</v>
      </c>
      <c r="C8">
        <f>_xll.EQNXTDZ($A$1,$B8,C$1,$B$1)</f>
        <v>0</v>
      </c>
      <c r="D8">
        <f>_xll.EQNXTDZ($A$1,$B8,D$1,$B$1)</f>
        <v>0</v>
      </c>
      <c r="E8">
        <f>_xll.EQNXTDZ($A$1,$B8,E$1,$B$1)</f>
        <v>0</v>
      </c>
      <c r="F8">
        <f>_xll.EQNXTDZ($A$1,$B8,F$1,$B$1)</f>
        <v>0</v>
      </c>
      <c r="G8">
        <f>_xll.EQNXTDZ($A$1,$B8,G$1,$B$1)</f>
        <v>0</v>
      </c>
      <c r="H8">
        <f>_xll.EQNXTDZ($A$1,$B8,H$1,$B$1)</f>
        <v>0</v>
      </c>
      <c r="I8">
        <f>_xll.EQNXTDZ($A$1,$B8,I$1,$B$1)</f>
        <v>0</v>
      </c>
      <c r="J8">
        <f>_xll.EQNXTDZ($A$1,$B8,J$1,$B$1)</f>
        <v>0</v>
      </c>
      <c r="K8">
        <f>_xll.EQNXTDZ($A$1,$B8,K$1,$B$1)</f>
        <v>0</v>
      </c>
      <c r="L8">
        <f>_xll.EQNXTDZ($A$1,$B8,L$1,$B$1)</f>
        <v>0</v>
      </c>
      <c r="M8">
        <f>_xll.EQNXTDZ($A$1,$B8,M$1,$B$1)</f>
        <v>8.4169999999999998</v>
      </c>
      <c r="N8">
        <f>_xll.EQNXTDZ($A$1,$B8,N$1,$B$1)</f>
        <v>2.2629999999999999</v>
      </c>
      <c r="O8">
        <f>_xll.EQNXTDZ($A$1,$B8,O$1,$B$1)</f>
        <v>11.311999999999999</v>
      </c>
      <c r="P8">
        <f>_xll.EQNXTDZ($A$1,$B8,P$1,$B$1)</f>
        <v>3.0630000000000002</v>
      </c>
      <c r="Q8">
        <f>_xll.EQNXTDZ($A$1,$B8,Q$1,$B$1)</f>
        <v>3.74</v>
      </c>
      <c r="R8">
        <f>_xll.EQNXTDZ($A$1,$B8,R$1,$B$1)</f>
        <v>2.7650000000000001</v>
      </c>
      <c r="S8">
        <f>_xll.EQNXTDZ($A$1,$B8,S$1,$B$1)</f>
        <v>0</v>
      </c>
      <c r="T8">
        <f>_xll.EQNXTDZ($A$1,$B8,T$1,$B$1)</f>
        <v>0</v>
      </c>
      <c r="U8">
        <f>_xll.EQNXTDZ($A$1,$B8,U$1,$B$1)</f>
        <v>6.742</v>
      </c>
      <c r="V8">
        <f>_xll.EQNXTDZ($A$1,$B8,V$1,$B$1)</f>
        <v>0</v>
      </c>
      <c r="W8">
        <f>_xll.EQNXTDZ($A$1,$B8,W$1,$B$1)</f>
        <v>0</v>
      </c>
      <c r="X8">
        <f>_xll.EQNXTDZ($A$1,$B8,X$1,$B$1)</f>
        <v>0</v>
      </c>
      <c r="Y8">
        <f>_xll.EQNXTDZ($A$1,$B8,Y$1,$B$1)</f>
        <v>0</v>
      </c>
      <c r="Z8">
        <f>_xll.EQNXTDZ($A$1,$B8,Z$1,$B$1)</f>
        <v>0</v>
      </c>
      <c r="AA8">
        <f>_xll.EQNXTDZ($A$1,$B8,AA$1,$B$1)</f>
        <v>0</v>
      </c>
      <c r="AB8">
        <f>_xll.EQNXTDZ($A$1,$B8,AB$1,$B$1)</f>
        <v>0</v>
      </c>
      <c r="AC8">
        <f>_xll.EQNXTDZ($A$1,$B8,AC$1,$B$1)</f>
        <v>0</v>
      </c>
      <c r="AD8">
        <f>_xll.EQNXTDZ($A$1,$B8,AD$1,$B$1)</f>
        <v>0</v>
      </c>
      <c r="AE8">
        <f>_xll.EQNXTDZ($A$1,$B8,AE$1,$B$1)</f>
        <v>0</v>
      </c>
      <c r="AF8">
        <f>_xll.EQNXTDZ($A$1,$B8,AF$1,$B$1)</f>
        <v>0</v>
      </c>
      <c r="AG8">
        <f>_xll.EQNXTDZ($A$1,$B8,AG$1,$B$1)</f>
        <v>0</v>
      </c>
      <c r="AH8">
        <f>_xll.EQNXTDZ($A$1,$B8,AH$1,$B$1)</f>
        <v>0</v>
      </c>
      <c r="AI8">
        <f>_xll.EQNXTDZ($A$1,$B8,AI$1,$B$1)</f>
        <v>0</v>
      </c>
      <c r="AJ8">
        <f>_xll.EQNXTDZ($A$1,$B8,AJ$1,$B$1)</f>
        <v>0</v>
      </c>
      <c r="AK8">
        <f>_xll.EQNXTDZ($A$1,$B8,AK$1,$B$1)</f>
        <v>0</v>
      </c>
      <c r="AL8">
        <f>_xll.EQNXTDZ($A$1,$B8,AL$1,$B$1)</f>
        <v>0</v>
      </c>
      <c r="AM8">
        <f>_xll.EQNXTDZ($A$1,$B8,AM$1,$B$1)</f>
        <v>0</v>
      </c>
      <c r="AN8">
        <f>_xll.EQNXTDZ($A$1,$B8,AN$1,$B$1)</f>
        <v>0</v>
      </c>
      <c r="AO8">
        <f>_xll.EQNXTDZ($A$1,$B8,AO$1,$B$1)</f>
        <v>0</v>
      </c>
      <c r="AP8">
        <f>_xll.EQNXTDZ($A$1,$B8,AP$1,$B$1)</f>
        <v>0</v>
      </c>
      <c r="AQ8">
        <f>_xll.EQNXTDZ($A$1,$B8,AQ$1,$B$1)</f>
        <v>0</v>
      </c>
      <c r="AR8">
        <f>_xll.EQNXTDZ($A$1,$B8,AR$1,$B$1)</f>
        <v>0</v>
      </c>
      <c r="AS8">
        <f>_xll.EQNXTDZ($A$1,$B8,AS$1,$B$1)</f>
        <v>0</v>
      </c>
      <c r="AT8">
        <f>_xll.EQNXTDZ($A$1,$B8,AT$1,$B$1)</f>
        <v>0</v>
      </c>
      <c r="AU8">
        <f>_xll.EQNXTDZ($A$1,$B8,AU$1,$B$1)</f>
        <v>0</v>
      </c>
      <c r="AV8">
        <f>_xll.EQNXTDZ($A$1,$B8,AV$1,$B$1)</f>
        <v>0</v>
      </c>
      <c r="AW8">
        <f>_xll.EQNXTDZ($A$1,$B8,AW$1,$B$1)</f>
        <v>10.1</v>
      </c>
      <c r="AX8">
        <f>_xll.EQNXTDZ($A$1,$B8,AX$1,$B$1)</f>
        <v>8.57</v>
      </c>
      <c r="AY8">
        <f>_xll.EQNXTDZ($A$1,$B8,AY$1,$B$1)</f>
        <v>5.0199999999999996</v>
      </c>
      <c r="AZ8">
        <f>_xll.EQNXTDZ($A$1,$B8,AZ$1,$B$1)</f>
        <v>75.08</v>
      </c>
      <c r="BA8">
        <f>_xll.EQNXTDZ($A$1,$B8,BA$1,$B$1)</f>
        <v>4.3499999999999996</v>
      </c>
      <c r="BB8">
        <f>_xll.EQNXTDZ($A$1,$B8,BB$1,$B$1)</f>
        <v>10.64</v>
      </c>
      <c r="BC8">
        <f>_xll.EQNXTDZ($A$1,$B8,BC$1,$B$1)</f>
        <v>6.49</v>
      </c>
      <c r="BD8">
        <f>_xll.EQNXTDZ($A$1,$B8,BD$1,$B$1)</f>
        <v>110.7</v>
      </c>
      <c r="BE8">
        <f>_xll.EQNXTDZ($A$1,$B8,BE$1,$B$1)</f>
        <v>148.69999999999999</v>
      </c>
      <c r="BF8">
        <f>_xll.EQNXTDZ($A$1,$B8,BF$1,$B$1)</f>
        <v>24.35</v>
      </c>
      <c r="BG8">
        <f>_xll.EQNXTDZ($A$1,$B8,BG$1,$B$1)</f>
        <v>0</v>
      </c>
      <c r="BH8">
        <f>_xll.EQNXTDZ($A$1,$B8,BH$1,$B$1)</f>
        <v>0</v>
      </c>
      <c r="BI8">
        <f>_xll.EQNXTDZ($A$1,$B8,BI$1,$B$1)</f>
        <v>0</v>
      </c>
      <c r="BJ8">
        <f>_xll.EQNXTDZ($A$1,$B8,BJ$1,$B$1)</f>
        <v>0</v>
      </c>
      <c r="BK8">
        <f>_xll.EQNXTDZ($A$1,$B8,BK$1,$B$1)</f>
        <v>0</v>
      </c>
      <c r="BL8">
        <f>_xll.EQNXTDZ($A$1,$B8,BL$1,$B$1)</f>
        <v>0</v>
      </c>
      <c r="BM8">
        <f>_xll.EQNXTDZ($A$1,$B8,BM$1,$B$1)</f>
        <v>0</v>
      </c>
      <c r="BN8">
        <f>_xll.EQNXTDZ($A$1,$B8,BN$1,$B$1)</f>
        <v>0</v>
      </c>
      <c r="BO8">
        <f>_xll.EQNXTDZ($A$1,$B8,BO$1,$B$1)</f>
        <v>0</v>
      </c>
      <c r="BP8">
        <f>_xll.EQNXTDZ($A$1,$B8,BP$1,$B$1)</f>
        <v>0</v>
      </c>
      <c r="BQ8">
        <f>_xll.EQNXTDZ($A$1,$B8,BQ$1,$B$1)</f>
        <v>0</v>
      </c>
      <c r="BR8">
        <f>_xll.EQNXTDZ($A$1,$B8,BR$1,$B$1)</f>
        <v>0</v>
      </c>
      <c r="BS8">
        <f>_xll.EQNXTDZ($A$1,$B8,BS$1,$B$1)</f>
        <v>0</v>
      </c>
      <c r="BT8">
        <f>_xll.EQNXTDZ($A$1,$B8,BT$1,$B$1)</f>
        <v>0</v>
      </c>
      <c r="BU8">
        <f>_xll.EQNXTDZ($A$1,$B8,BU$1,$B$1)</f>
        <v>0</v>
      </c>
      <c r="BV8">
        <f>_xll.EQNXTDZ($A$1,$B8,BV$1,$B$1)</f>
        <v>0</v>
      </c>
    </row>
    <row r="9" spans="1:74" x14ac:dyDescent="0.25">
      <c r="A9" t="s">
        <v>255</v>
      </c>
      <c r="B9" t="s">
        <v>279</v>
      </c>
      <c r="C9">
        <f>_xll.EQNXTDZ($A$1,$B9,C$1,$B$1)</f>
        <v>247.22200000000001</v>
      </c>
      <c r="D9">
        <f>_xll.EQNXTDZ($A$1,$B9,D$1,$B$1)</f>
        <v>121.477</v>
      </c>
      <c r="E9">
        <f>_xll.EQNXTDZ($A$1,$B9,E$1,$B$1)</f>
        <v>138.28</v>
      </c>
      <c r="F9">
        <f>_xll.EQNXTDZ($A$1,$B9,F$1,$B$1)</f>
        <v>242.83</v>
      </c>
      <c r="G9">
        <f>_xll.EQNXTDZ($A$1,$B9,G$1,$B$1)</f>
        <v>137.61199999999999</v>
      </c>
      <c r="H9">
        <f>_xll.EQNXTDZ($A$1,$B9,H$1,$B$1)</f>
        <v>108.149</v>
      </c>
      <c r="I9">
        <f>_xll.EQNXTDZ($A$1,$B9,I$1,$B$1)</f>
        <v>128.292</v>
      </c>
      <c r="J9">
        <f>_xll.EQNXTDZ($A$1,$B9,J$1,$B$1)</f>
        <v>183.53</v>
      </c>
      <c r="K9">
        <f>_xll.EQNXTDZ($A$1,$B9,K$1,$B$1)</f>
        <v>174.13499999999999</v>
      </c>
      <c r="L9">
        <f>_xll.EQNXTDZ($A$1,$B9,L$1,$B$1)</f>
        <v>215.90799999999999</v>
      </c>
      <c r="M9">
        <f>_xll.EQNXTDZ($A$1,$B9,M$1,$B$1)</f>
        <v>117.99</v>
      </c>
      <c r="N9">
        <f>_xll.EQNXTDZ($A$1,$B9,N$1,$B$1)</f>
        <v>123.148</v>
      </c>
      <c r="O9">
        <f>_xll.EQNXTDZ($A$1,$B9,O$1,$B$1)</f>
        <v>130.559</v>
      </c>
      <c r="P9">
        <f>_xll.EQNXTDZ($A$1,$B9,P$1,$B$1)</f>
        <v>76.454999999999998</v>
      </c>
      <c r="Q9">
        <f>_xll.EQNXTDZ($A$1,$B9,Q$1,$B$1)</f>
        <v>77.622</v>
      </c>
      <c r="R9">
        <f>_xll.EQNXTDZ($A$1,$B9,R$1,$B$1)</f>
        <v>84.584000000000003</v>
      </c>
      <c r="S9">
        <f>_xll.EQNXTDZ($A$1,$B9,S$1,$B$1)</f>
        <v>101.491</v>
      </c>
      <c r="T9">
        <f>_xll.EQNXTDZ($A$1,$B9,T$1,$B$1)</f>
        <v>94.581999999999994</v>
      </c>
      <c r="U9">
        <f>_xll.EQNXTDZ($A$1,$B9,U$1,$B$1)</f>
        <v>126.458</v>
      </c>
      <c r="V9">
        <f>_xll.EQNXTDZ($A$1,$B9,V$1,$B$1)</f>
        <v>82.734999999999999</v>
      </c>
      <c r="W9">
        <f>_xll.EQNXTDZ($A$1,$B9,W$1,$B$1)</f>
        <v>109.669</v>
      </c>
      <c r="X9">
        <f>_xll.EQNXTDZ($A$1,$B9,X$1,$B$1)</f>
        <v>76.311000000000007</v>
      </c>
      <c r="Y9">
        <f>_xll.EQNXTDZ($A$1,$B9,Y$1,$B$1)</f>
        <v>119.611</v>
      </c>
      <c r="Z9">
        <f>_xll.EQNXTDZ($A$1,$B9,Z$1,$B$1)</f>
        <v>109.08799999999999</v>
      </c>
      <c r="AA9">
        <f>_xll.EQNXTDZ($A$1,$B9,AA$1,$B$1)</f>
        <v>134.44200000000001</v>
      </c>
      <c r="AB9">
        <f>_xll.EQNXTDZ($A$1,$B9,AB$1,$B$1)</f>
        <v>101.199</v>
      </c>
      <c r="AC9">
        <f>_xll.EQNXTDZ($A$1,$B9,AC$1,$B$1)</f>
        <v>108.27500000000001</v>
      </c>
      <c r="AD9">
        <f>_xll.EQNXTDZ($A$1,$B9,AD$1,$B$1)</f>
        <v>130.41300000000001</v>
      </c>
      <c r="AE9">
        <f>_xll.EQNXTDZ($A$1,$B9,AE$1,$B$1)</f>
        <v>126.45699999999999</v>
      </c>
      <c r="AF9">
        <f>_xll.EQNXTDZ($A$1,$B9,AF$1,$B$1)</f>
        <v>56.393999999999998</v>
      </c>
      <c r="AG9">
        <f>_xll.EQNXTDZ($A$1,$B9,AG$1,$B$1)</f>
        <v>84.900999999999996</v>
      </c>
      <c r="AH9">
        <f>_xll.EQNXTDZ($A$1,$B9,AH$1,$B$1)</f>
        <v>103.98699999999999</v>
      </c>
      <c r="AI9">
        <f>_xll.EQNXTDZ($A$1,$B9,AI$1,$B$1)</f>
        <v>10.61</v>
      </c>
      <c r="AJ9">
        <f>_xll.EQNXTDZ($A$1,$B9,AJ$1,$B$1)</f>
        <v>73.7</v>
      </c>
      <c r="AK9">
        <f>_xll.EQNXTDZ($A$1,$B9,AK$1,$B$1)</f>
        <v>73.852000000000004</v>
      </c>
      <c r="AL9">
        <f>_xll.EQNXTDZ($A$1,$B9,AL$1,$B$1)</f>
        <v>95.245000000000005</v>
      </c>
      <c r="AM9">
        <f>_xll.EQNXTDZ($A$1,$B9,AM$1,$B$1)</f>
        <v>95.7</v>
      </c>
      <c r="AN9">
        <f>_xll.EQNXTDZ($A$1,$B9,AN$1,$B$1)</f>
        <v>100.32</v>
      </c>
      <c r="AO9">
        <f>_xll.EQNXTDZ($A$1,$B9,AO$1,$B$1)</f>
        <v>168.27</v>
      </c>
      <c r="AP9">
        <f>_xll.EQNXTDZ($A$1,$B9,AP$1,$B$1)</f>
        <v>333.21</v>
      </c>
      <c r="AQ9">
        <f>_xll.EQNXTDZ($A$1,$B9,AQ$1,$B$1)</f>
        <v>842.68</v>
      </c>
      <c r="AR9">
        <f>_xll.EQNXTDZ($A$1,$B9,AR$1,$B$1)</f>
        <v>673.76</v>
      </c>
      <c r="AS9">
        <f>_xll.EQNXTDZ($A$1,$B9,AS$1,$B$1)</f>
        <v>999.62</v>
      </c>
      <c r="AT9">
        <f>_xll.EQNXTDZ($A$1,$B9,AT$1,$B$1)</f>
        <v>876.25</v>
      </c>
      <c r="AU9">
        <f>_xll.EQNXTDZ($A$1,$B9,AU$1,$B$1)</f>
        <v>1965.52</v>
      </c>
      <c r="AV9">
        <f>_xll.EQNXTDZ($A$1,$B9,AV$1,$B$1)</f>
        <v>1091.31</v>
      </c>
      <c r="AW9">
        <f>_xll.EQNXTDZ($A$1,$B9,AW$1,$B$1)</f>
        <v>1912.34</v>
      </c>
      <c r="AX9">
        <f>_xll.EQNXTDZ($A$1,$B9,AX$1,$B$1)</f>
        <v>1554.29</v>
      </c>
      <c r="AY9">
        <f>_xll.EQNXTDZ($A$1,$B9,AY$1,$B$1)</f>
        <v>2417.2399999999998</v>
      </c>
      <c r="AZ9">
        <f>_xll.EQNXTDZ($A$1,$B9,AZ$1,$B$1)</f>
        <v>1435.69</v>
      </c>
      <c r="BA9">
        <f>_xll.EQNXTDZ($A$1,$B9,BA$1,$B$1)</f>
        <v>1675.17</v>
      </c>
      <c r="BB9">
        <f>_xll.EQNXTDZ($A$1,$B9,BB$1,$B$1)</f>
        <v>1193.3</v>
      </c>
      <c r="BC9">
        <f>_xll.EQNXTDZ($A$1,$B9,BC$1,$B$1)</f>
        <v>2383.52</v>
      </c>
      <c r="BD9">
        <f>_xll.EQNXTDZ($A$1,$B9,BD$1,$B$1)</f>
        <v>3651.35</v>
      </c>
      <c r="BE9">
        <f>_xll.EQNXTDZ($A$1,$B9,BE$1,$B$1)</f>
        <v>5058.08</v>
      </c>
      <c r="BF9">
        <f>_xll.EQNXTDZ($A$1,$B9,BF$1,$B$1)</f>
        <v>6019.72</v>
      </c>
      <c r="BG9">
        <f>_xll.EQNXTDZ($A$1,$B9,BG$1,$B$1)</f>
        <v>0</v>
      </c>
      <c r="BH9">
        <f>_xll.EQNXTDZ($A$1,$B9,BH$1,$B$1)</f>
        <v>0</v>
      </c>
      <c r="BI9">
        <f>_xll.EQNXTDZ($A$1,$B9,BI$1,$B$1)</f>
        <v>0</v>
      </c>
      <c r="BJ9">
        <f>_xll.EQNXTDZ($A$1,$B9,BJ$1,$B$1)</f>
        <v>0</v>
      </c>
      <c r="BK9">
        <f>_xll.EQNXTDZ($A$1,$B9,BK$1,$B$1)</f>
        <v>0</v>
      </c>
      <c r="BL9">
        <f>_xll.EQNXTDZ($A$1,$B9,BL$1,$B$1)</f>
        <v>0</v>
      </c>
      <c r="BM9">
        <f>_xll.EQNXTDZ($A$1,$B9,BM$1,$B$1)</f>
        <v>0</v>
      </c>
      <c r="BN9">
        <f>_xll.EQNXTDZ($A$1,$B9,BN$1,$B$1)</f>
        <v>0</v>
      </c>
      <c r="BO9">
        <f>_xll.EQNXTDZ($A$1,$B9,BO$1,$B$1)</f>
        <v>0</v>
      </c>
      <c r="BP9">
        <f>_xll.EQNXTDZ($A$1,$B9,BP$1,$B$1)</f>
        <v>0</v>
      </c>
      <c r="BQ9">
        <f>_xll.EQNXTDZ($A$1,$B9,BQ$1,$B$1)</f>
        <v>0</v>
      </c>
      <c r="BR9">
        <f>_xll.EQNXTDZ($A$1,$B9,BR$1,$B$1)</f>
        <v>0</v>
      </c>
      <c r="BS9">
        <f>_xll.EQNXTDZ($A$1,$B9,BS$1,$B$1)</f>
        <v>0</v>
      </c>
      <c r="BT9">
        <f>_xll.EQNXTDZ($A$1,$B9,BT$1,$B$1)</f>
        <v>0</v>
      </c>
      <c r="BU9">
        <f>_xll.EQNXTDZ($A$1,$B9,BU$1,$B$1)</f>
        <v>0</v>
      </c>
      <c r="BV9">
        <f>_xll.EQNXTDZ($A$1,$B9,BV$1,$B$1)</f>
        <v>0</v>
      </c>
    </row>
    <row r="10" spans="1:74" x14ac:dyDescent="0.25">
      <c r="A10" t="s">
        <v>256</v>
      </c>
      <c r="B10" t="s">
        <v>280</v>
      </c>
      <c r="C10">
        <f>_xll.EQNXTDZ($A$1,$B10,C$1,$B$1)</f>
        <v>1.27</v>
      </c>
      <c r="D10">
        <f>_xll.EQNXTDZ($A$1,$B10,D$1,$B$1)</f>
        <v>-0.90600000000000003</v>
      </c>
      <c r="E10">
        <f>_xll.EQNXTDZ($A$1,$B10,E$1,$B$1)</f>
        <v>-3.7250000000000001</v>
      </c>
      <c r="F10">
        <f>_xll.EQNXTDZ($A$1,$B10,F$1,$B$1)</f>
        <v>3.8580000000000001</v>
      </c>
      <c r="G10">
        <f>_xll.EQNXTDZ($A$1,$B10,G$1,$B$1)</f>
        <v>2.4729999999999999</v>
      </c>
      <c r="H10">
        <f>_xll.EQNXTDZ($A$1,$B10,H$1,$B$1)</f>
        <v>-1.462</v>
      </c>
      <c r="I10">
        <f>_xll.EQNXTDZ($A$1,$B10,I$1,$B$1)</f>
        <v>0.66400000000000003</v>
      </c>
      <c r="J10">
        <f>_xll.EQNXTDZ($A$1,$B10,J$1,$B$1)</f>
        <v>-8.4480000000000004</v>
      </c>
      <c r="K10">
        <f>_xll.EQNXTDZ($A$1,$B10,K$1,$B$1)</f>
        <v>10.462</v>
      </c>
      <c r="L10">
        <f>_xll.EQNXTDZ($A$1,$B10,L$1,$B$1)</f>
        <v>0.52900000000000003</v>
      </c>
      <c r="M10">
        <f>_xll.EQNXTDZ($A$1,$B10,M$1,$B$1)</f>
        <v>-4.1920000000000002</v>
      </c>
      <c r="N10">
        <f>_xll.EQNXTDZ($A$1,$B10,N$1,$B$1)</f>
        <v>2.3370000000000002</v>
      </c>
      <c r="O10">
        <f>_xll.EQNXTDZ($A$1,$B10,O$1,$B$1)</f>
        <v>0.182</v>
      </c>
      <c r="P10">
        <f>_xll.EQNXTDZ($A$1,$B10,P$1,$B$1)</f>
        <v>-1.8169999999999999</v>
      </c>
      <c r="Q10">
        <f>_xll.EQNXTDZ($A$1,$B10,Q$1,$B$1)</f>
        <v>-1.0820000000000001</v>
      </c>
      <c r="R10">
        <f>_xll.EQNXTDZ($A$1,$B10,R$1,$B$1)</f>
        <v>-21.725000000000001</v>
      </c>
      <c r="S10">
        <f>_xll.EQNXTDZ($A$1,$B10,S$1,$B$1)</f>
        <v>16.02</v>
      </c>
      <c r="T10">
        <f>_xll.EQNXTDZ($A$1,$B10,T$1,$B$1)</f>
        <v>-11.058</v>
      </c>
      <c r="U10">
        <f>_xll.EQNXTDZ($A$1,$B10,U$1,$B$1)</f>
        <v>-4.8079999999999998</v>
      </c>
      <c r="V10">
        <f>_xll.EQNXTDZ($A$1,$B10,V$1,$B$1)</f>
        <v>-7.8979999999999997</v>
      </c>
      <c r="W10">
        <f>_xll.EQNXTDZ($A$1,$B10,W$1,$B$1)</f>
        <v>2.6459999999999999</v>
      </c>
      <c r="X10">
        <f>_xll.EQNXTDZ($A$1,$B10,X$1,$B$1)</f>
        <v>1.3859999999999999</v>
      </c>
      <c r="Y10">
        <f>_xll.EQNXTDZ($A$1,$B10,Y$1,$B$1)</f>
        <v>-2.9119999999999999</v>
      </c>
      <c r="Z10">
        <f>_xll.EQNXTDZ($A$1,$B10,Z$1,$B$1)</f>
        <v>-8.1150000000000002</v>
      </c>
      <c r="AA10">
        <f>_xll.EQNXTDZ($A$1,$B10,AA$1,$B$1)</f>
        <v>0.19900000000000001</v>
      </c>
      <c r="AB10">
        <f>_xll.EQNXTDZ($A$1,$B10,AB$1,$B$1)</f>
        <v>-3.306</v>
      </c>
      <c r="AC10">
        <f>_xll.EQNXTDZ($A$1,$B10,AC$1,$B$1)</f>
        <v>-7.1790000000000003</v>
      </c>
      <c r="AD10">
        <f>_xll.EQNXTDZ($A$1,$B10,AD$1,$B$1)</f>
        <v>7.1280000000000001</v>
      </c>
      <c r="AE10">
        <f>_xll.EQNXTDZ($A$1,$B10,AE$1,$B$1)</f>
        <v>8.3740000000000006</v>
      </c>
      <c r="AF10">
        <f>_xll.EQNXTDZ($A$1,$B10,AF$1,$B$1)</f>
        <v>-11.173999999999999</v>
      </c>
      <c r="AG10">
        <f>_xll.EQNXTDZ($A$1,$B10,AG$1,$B$1)</f>
        <v>-1.3089999999999999</v>
      </c>
      <c r="AH10">
        <f>_xll.EQNXTDZ($A$1,$B10,AH$1,$B$1)</f>
        <v>-5.6660000000000004</v>
      </c>
      <c r="AI10">
        <f>_xll.EQNXTDZ($A$1,$B10,AI$1,$B$1)</f>
        <v>6.2050000000000001</v>
      </c>
      <c r="AJ10">
        <f>_xll.EQNXTDZ($A$1,$B10,AJ$1,$B$1)</f>
        <v>-3.9870000000000001</v>
      </c>
      <c r="AK10">
        <f>_xll.EQNXTDZ($A$1,$B10,AK$1,$B$1)</f>
        <v>-2.0659999999999998</v>
      </c>
      <c r="AL10">
        <f>_xll.EQNXTDZ($A$1,$B10,AL$1,$B$1)</f>
        <v>-14.602</v>
      </c>
      <c r="AM10">
        <f>_xll.EQNXTDZ($A$1,$B10,AM$1,$B$1)</f>
        <v>5.27</v>
      </c>
      <c r="AN10">
        <f>_xll.EQNXTDZ($A$1,$B10,AN$1,$B$1)</f>
        <v>-4.72</v>
      </c>
      <c r="AO10">
        <f>_xll.EQNXTDZ($A$1,$B10,AO$1,$B$1)</f>
        <v>-3.25</v>
      </c>
      <c r="AP10">
        <f>_xll.EQNXTDZ($A$1,$B10,AP$1,$B$1)</f>
        <v>-57.7</v>
      </c>
      <c r="AQ10">
        <f>_xll.EQNXTDZ($A$1,$B10,AQ$1,$B$1)</f>
        <v>-12.37</v>
      </c>
      <c r="AR10">
        <f>_xll.EQNXTDZ($A$1,$B10,AR$1,$B$1)</f>
        <v>18.89</v>
      </c>
      <c r="AS10">
        <f>_xll.EQNXTDZ($A$1,$B10,AS$1,$B$1)</f>
        <v>27.59</v>
      </c>
      <c r="AT10">
        <f>_xll.EQNXTDZ($A$1,$B10,AT$1,$B$1)</f>
        <v>1.67</v>
      </c>
      <c r="AU10">
        <f>_xll.EQNXTDZ($A$1,$B10,AU$1,$B$1)</f>
        <v>-51.51</v>
      </c>
      <c r="AV10">
        <f>_xll.EQNXTDZ($A$1,$B10,AV$1,$B$1)</f>
        <v>-31.02</v>
      </c>
      <c r="AW10">
        <f>_xll.EQNXTDZ($A$1,$B10,AW$1,$B$1)</f>
        <v>-24.69</v>
      </c>
      <c r="AX10">
        <f>_xll.EQNXTDZ($A$1,$B10,AX$1,$B$1)</f>
        <v>92.33</v>
      </c>
      <c r="AY10">
        <f>_xll.EQNXTDZ($A$1,$B10,AY$1,$B$1)</f>
        <v>-13.81</v>
      </c>
      <c r="AZ10">
        <f>_xll.EQNXTDZ($A$1,$B10,AZ$1,$B$1)</f>
        <v>35.74</v>
      </c>
      <c r="BA10">
        <f>_xll.EQNXTDZ($A$1,$B10,BA$1,$B$1)</f>
        <v>-2.99</v>
      </c>
      <c r="BB10">
        <f>_xll.EQNXTDZ($A$1,$B10,BB$1,$B$1)</f>
        <v>71.47</v>
      </c>
      <c r="BC10">
        <f>_xll.EQNXTDZ($A$1,$B10,BC$1,$B$1)</f>
        <v>-67.28</v>
      </c>
      <c r="BD10">
        <f>_xll.EQNXTDZ($A$1,$B10,BD$1,$B$1)</f>
        <v>-39.119999999999997</v>
      </c>
      <c r="BE10">
        <f>_xll.EQNXTDZ($A$1,$B10,BE$1,$B$1)</f>
        <v>-120.53</v>
      </c>
      <c r="BF10">
        <f>_xll.EQNXTDZ($A$1,$B10,BF$1,$B$1)</f>
        <v>-492.72</v>
      </c>
      <c r="BG10">
        <f>_xll.EQNXTDZ($A$1,$B10,BG$1,$B$1)</f>
        <v>0</v>
      </c>
      <c r="BH10">
        <f>_xll.EQNXTDZ($A$1,$B10,BH$1,$B$1)</f>
        <v>0</v>
      </c>
      <c r="BI10">
        <f>_xll.EQNXTDZ($A$1,$B10,BI$1,$B$1)</f>
        <v>0</v>
      </c>
      <c r="BJ10">
        <f>_xll.EQNXTDZ($A$1,$B10,BJ$1,$B$1)</f>
        <v>0</v>
      </c>
      <c r="BK10">
        <f>_xll.EQNXTDZ($A$1,$B10,BK$1,$B$1)</f>
        <v>0</v>
      </c>
      <c r="BL10">
        <f>_xll.EQNXTDZ($A$1,$B10,BL$1,$B$1)</f>
        <v>0</v>
      </c>
      <c r="BM10">
        <f>_xll.EQNXTDZ($A$1,$B10,BM$1,$B$1)</f>
        <v>0</v>
      </c>
      <c r="BN10">
        <f>_xll.EQNXTDZ($A$1,$B10,BN$1,$B$1)</f>
        <v>0</v>
      </c>
      <c r="BO10">
        <f>_xll.EQNXTDZ($A$1,$B10,BO$1,$B$1)</f>
        <v>0</v>
      </c>
      <c r="BP10">
        <f>_xll.EQNXTDZ($A$1,$B10,BP$1,$B$1)</f>
        <v>0</v>
      </c>
      <c r="BQ10">
        <f>_xll.EQNXTDZ($A$1,$B10,BQ$1,$B$1)</f>
        <v>0</v>
      </c>
      <c r="BR10">
        <f>_xll.EQNXTDZ($A$1,$B10,BR$1,$B$1)</f>
        <v>0</v>
      </c>
      <c r="BS10">
        <f>_xll.EQNXTDZ($A$1,$B10,BS$1,$B$1)</f>
        <v>0</v>
      </c>
      <c r="BT10">
        <f>_xll.EQNXTDZ($A$1,$B10,BT$1,$B$1)</f>
        <v>0</v>
      </c>
      <c r="BU10">
        <f>_xll.EQNXTDZ($A$1,$B10,BU$1,$B$1)</f>
        <v>0</v>
      </c>
      <c r="BV10">
        <f>_xll.EQNXTDZ($A$1,$B10,BV$1,$B$1)</f>
        <v>0</v>
      </c>
    </row>
    <row r="11" spans="1:74" x14ac:dyDescent="0.25">
      <c r="A11" t="s">
        <v>257</v>
      </c>
      <c r="B11" t="s">
        <v>281</v>
      </c>
      <c r="C11">
        <f>_xll.EQNXTDZ($A$1,$B11,C$1,$B$1)</f>
        <v>100.85599999999999</v>
      </c>
      <c r="D11">
        <f>_xll.EQNXTDZ($A$1,$B11,D$1,$B$1)</f>
        <v>76.447000000000003</v>
      </c>
      <c r="E11">
        <f>_xll.EQNXTDZ($A$1,$B11,E$1,$B$1)</f>
        <v>83.287999999999997</v>
      </c>
      <c r="F11">
        <f>_xll.EQNXTDZ($A$1,$B11,F$1,$B$1)</f>
        <v>93.1</v>
      </c>
      <c r="G11">
        <f>_xll.EQNXTDZ($A$1,$B11,G$1,$B$1)</f>
        <v>87.046000000000006</v>
      </c>
      <c r="H11">
        <f>_xll.EQNXTDZ($A$1,$B11,H$1,$B$1)</f>
        <v>62.195999999999998</v>
      </c>
      <c r="I11">
        <f>_xll.EQNXTDZ($A$1,$B11,I$1,$B$1)</f>
        <v>86.789000000000001</v>
      </c>
      <c r="J11">
        <f>_xll.EQNXTDZ($A$1,$B11,J$1,$B$1)</f>
        <v>108.294</v>
      </c>
      <c r="K11">
        <f>_xll.EQNXTDZ($A$1,$B11,K$1,$B$1)</f>
        <v>93.010999999999996</v>
      </c>
      <c r="L11">
        <f>_xll.EQNXTDZ($A$1,$B11,L$1,$B$1)</f>
        <v>68.094999999999999</v>
      </c>
      <c r="M11">
        <f>_xll.EQNXTDZ($A$1,$B11,M$1,$B$1)</f>
        <v>80.834000000000003</v>
      </c>
      <c r="N11">
        <f>_xll.EQNXTDZ($A$1,$B11,N$1,$B$1)</f>
        <v>68.402000000000001</v>
      </c>
      <c r="O11">
        <f>_xll.EQNXTDZ($A$1,$B11,O$1,$B$1)</f>
        <v>94.248999999999995</v>
      </c>
      <c r="P11">
        <f>_xll.EQNXTDZ($A$1,$B11,P$1,$B$1)</f>
        <v>40.805</v>
      </c>
      <c r="Q11">
        <f>_xll.EQNXTDZ($A$1,$B11,Q$1,$B$1)</f>
        <v>55.539000000000001</v>
      </c>
      <c r="R11">
        <f>_xll.EQNXTDZ($A$1,$B11,R$1,$B$1)</f>
        <v>70.385999999999996</v>
      </c>
      <c r="S11">
        <f>_xll.EQNXTDZ($A$1,$B11,S$1,$B$1)</f>
        <v>54.061</v>
      </c>
      <c r="T11">
        <f>_xll.EQNXTDZ($A$1,$B11,T$1,$B$1)</f>
        <v>70.83</v>
      </c>
      <c r="U11">
        <f>_xll.EQNXTDZ($A$1,$B11,U$1,$B$1)</f>
        <v>82.271000000000001</v>
      </c>
      <c r="V11">
        <f>_xll.EQNXTDZ($A$1,$B11,V$1,$B$1)</f>
        <v>38.603000000000002</v>
      </c>
      <c r="W11">
        <f>_xll.EQNXTDZ($A$1,$B11,W$1,$B$1)</f>
        <v>72.555000000000007</v>
      </c>
      <c r="X11">
        <f>_xll.EQNXTDZ($A$1,$B11,X$1,$B$1)</f>
        <v>60.576000000000001</v>
      </c>
      <c r="Y11">
        <f>_xll.EQNXTDZ($A$1,$B11,Y$1,$B$1)</f>
        <v>83.71</v>
      </c>
      <c r="Z11">
        <f>_xll.EQNXTDZ($A$1,$B11,Z$1,$B$1)</f>
        <v>80.058000000000007</v>
      </c>
      <c r="AA11">
        <f>_xll.EQNXTDZ($A$1,$B11,AA$1,$B$1)</f>
        <v>106.58799999999999</v>
      </c>
      <c r="AB11">
        <f>_xll.EQNXTDZ($A$1,$B11,AB$1,$B$1)</f>
        <v>77.97</v>
      </c>
      <c r="AC11">
        <f>_xll.EQNXTDZ($A$1,$B11,AC$1,$B$1)</f>
        <v>92.727000000000004</v>
      </c>
      <c r="AD11">
        <f>_xll.EQNXTDZ($A$1,$B11,AD$1,$B$1)</f>
        <v>101.151</v>
      </c>
      <c r="AE11">
        <f>_xll.EQNXTDZ($A$1,$B11,AE$1,$B$1)</f>
        <v>93.448999999999998</v>
      </c>
      <c r="AF11">
        <f>_xll.EQNXTDZ($A$1,$B11,AF$1,$B$1)</f>
        <v>49.024000000000001</v>
      </c>
      <c r="AG11">
        <f>_xll.EQNXTDZ($A$1,$B11,AG$1,$B$1)</f>
        <v>66.472999999999999</v>
      </c>
      <c r="AH11">
        <f>_xll.EQNXTDZ($A$1,$B11,AH$1,$B$1)</f>
        <v>88.703000000000003</v>
      </c>
      <c r="AI11">
        <f>_xll.EQNXTDZ($A$1,$B11,AI$1,$B$1)</f>
        <v>6.4740000000000002</v>
      </c>
      <c r="AJ11">
        <f>_xll.EQNXTDZ($A$1,$B11,AJ$1,$B$1)</f>
        <v>62.052999999999997</v>
      </c>
      <c r="AK11">
        <f>_xll.EQNXTDZ($A$1,$B11,AK$1,$B$1)</f>
        <v>57.518000000000001</v>
      </c>
      <c r="AL11">
        <f>_xll.EQNXTDZ($A$1,$B11,AL$1,$B$1)</f>
        <v>91.382000000000005</v>
      </c>
      <c r="AM11">
        <f>_xll.EQNXTDZ($A$1,$B11,AM$1,$B$1)</f>
        <v>77.06</v>
      </c>
      <c r="AN11">
        <f>_xll.EQNXTDZ($A$1,$B11,AN$1,$B$1)</f>
        <v>93.32</v>
      </c>
      <c r="AO11">
        <f>_xll.EQNXTDZ($A$1,$B11,AO$1,$B$1)</f>
        <v>112.53</v>
      </c>
      <c r="AP11">
        <f>_xll.EQNXTDZ($A$1,$B11,AP$1,$B$1)</f>
        <v>90.36</v>
      </c>
      <c r="AQ11">
        <f>_xll.EQNXTDZ($A$1,$B11,AQ$1,$B$1)</f>
        <v>119.46</v>
      </c>
      <c r="AR11">
        <f>_xll.EQNXTDZ($A$1,$B11,AR$1,$B$1)</f>
        <v>129.93</v>
      </c>
      <c r="AS11">
        <f>_xll.EQNXTDZ($A$1,$B11,AS$1,$B$1)</f>
        <v>151.71</v>
      </c>
      <c r="AT11">
        <f>_xll.EQNXTDZ($A$1,$B11,AT$1,$B$1)</f>
        <v>103.25</v>
      </c>
      <c r="AU11">
        <f>_xll.EQNXTDZ($A$1,$B11,AU$1,$B$1)</f>
        <v>154.66999999999999</v>
      </c>
      <c r="AV11">
        <f>_xll.EQNXTDZ($A$1,$B11,AV$1,$B$1)</f>
        <v>94.61</v>
      </c>
      <c r="AW11">
        <f>_xll.EQNXTDZ($A$1,$B11,AW$1,$B$1)</f>
        <v>154.87</v>
      </c>
      <c r="AX11">
        <f>_xll.EQNXTDZ($A$1,$B11,AX$1,$B$1)</f>
        <v>132.47</v>
      </c>
      <c r="AY11">
        <f>_xll.EQNXTDZ($A$1,$B11,AY$1,$B$1)</f>
        <v>122.55</v>
      </c>
      <c r="AZ11">
        <f>_xll.EQNXTDZ($A$1,$B11,AZ$1,$B$1)</f>
        <v>240.52</v>
      </c>
      <c r="BA11">
        <f>_xll.EQNXTDZ($A$1,$B11,BA$1,$B$1)</f>
        <v>88.27</v>
      </c>
      <c r="BB11">
        <f>_xll.EQNXTDZ($A$1,$B11,BB$1,$B$1)</f>
        <v>82.07</v>
      </c>
      <c r="BC11">
        <f>_xll.EQNXTDZ($A$1,$B11,BC$1,$B$1)</f>
        <v>199.55</v>
      </c>
      <c r="BD11">
        <f>_xll.EQNXTDZ($A$1,$B11,BD$1,$B$1)</f>
        <v>483.72</v>
      </c>
      <c r="BE11">
        <f>_xll.EQNXTDZ($A$1,$B11,BE$1,$B$1)</f>
        <v>550.72</v>
      </c>
      <c r="BF11">
        <f>_xll.EQNXTDZ($A$1,$B11,BF$1,$B$1)</f>
        <v>855.07</v>
      </c>
      <c r="BG11">
        <f>_xll.EQNXTDZ($A$1,$B11,BG$1,$B$1)</f>
        <v>0</v>
      </c>
      <c r="BH11">
        <f>_xll.EQNXTDZ($A$1,$B11,BH$1,$B$1)</f>
        <v>0</v>
      </c>
      <c r="BI11">
        <f>_xll.EQNXTDZ($A$1,$B11,BI$1,$B$1)</f>
        <v>0</v>
      </c>
      <c r="BJ11">
        <f>_xll.EQNXTDZ($A$1,$B11,BJ$1,$B$1)</f>
        <v>0</v>
      </c>
      <c r="BK11">
        <f>_xll.EQNXTDZ($A$1,$B11,BK$1,$B$1)</f>
        <v>0</v>
      </c>
      <c r="BL11">
        <f>_xll.EQNXTDZ($A$1,$B11,BL$1,$B$1)</f>
        <v>0</v>
      </c>
      <c r="BM11">
        <f>_xll.EQNXTDZ($A$1,$B11,BM$1,$B$1)</f>
        <v>0</v>
      </c>
      <c r="BN11">
        <f>_xll.EQNXTDZ($A$1,$B11,BN$1,$B$1)</f>
        <v>0</v>
      </c>
      <c r="BO11">
        <f>_xll.EQNXTDZ($A$1,$B11,BO$1,$B$1)</f>
        <v>0</v>
      </c>
      <c r="BP11">
        <f>_xll.EQNXTDZ($A$1,$B11,BP$1,$B$1)</f>
        <v>0</v>
      </c>
      <c r="BQ11">
        <f>_xll.EQNXTDZ($A$1,$B11,BQ$1,$B$1)</f>
        <v>0</v>
      </c>
      <c r="BR11">
        <f>_xll.EQNXTDZ($A$1,$B11,BR$1,$B$1)</f>
        <v>0</v>
      </c>
      <c r="BS11">
        <f>_xll.EQNXTDZ($A$1,$B11,BS$1,$B$1)</f>
        <v>0</v>
      </c>
      <c r="BT11">
        <f>_xll.EQNXTDZ($A$1,$B11,BT$1,$B$1)</f>
        <v>0</v>
      </c>
      <c r="BU11">
        <f>_xll.EQNXTDZ($A$1,$B11,BU$1,$B$1)</f>
        <v>0</v>
      </c>
      <c r="BV11">
        <f>_xll.EQNXTDZ($A$1,$B11,BV$1,$B$1)</f>
        <v>0</v>
      </c>
    </row>
    <row r="12" spans="1:74" x14ac:dyDescent="0.25">
      <c r="A12" t="s">
        <v>3</v>
      </c>
      <c r="B12" t="s">
        <v>282</v>
      </c>
      <c r="C12">
        <f>_xll.EQNXTDZ($A$1,$B12,C$1,$B$1)</f>
        <v>126.523</v>
      </c>
      <c r="D12">
        <f>_xll.EQNXTDZ($A$1,$B12,D$1,$B$1)</f>
        <v>36.508000000000003</v>
      </c>
      <c r="E12">
        <f>_xll.EQNXTDZ($A$1,$B12,E$1,$B$1)</f>
        <v>46.561999999999998</v>
      </c>
      <c r="F12">
        <f>_xll.EQNXTDZ($A$1,$B12,F$1,$B$1)</f>
        <v>111.535</v>
      </c>
      <c r="G12">
        <f>_xll.EQNXTDZ($A$1,$B12,G$1,$B$1)</f>
        <v>45.612000000000002</v>
      </c>
      <c r="H12">
        <f>_xll.EQNXTDZ($A$1,$B12,H$1,$B$1)</f>
        <v>41.832999999999998</v>
      </c>
      <c r="I12">
        <f>_xll.EQNXTDZ($A$1,$B12,I$1,$B$1)</f>
        <v>30.952999999999999</v>
      </c>
      <c r="J12">
        <f>_xll.EQNXTDZ($A$1,$B12,J$1,$B$1)</f>
        <v>78.350999999999999</v>
      </c>
      <c r="K12">
        <f>_xll.EQNXTDZ($A$1,$B12,K$1,$B$1)</f>
        <v>66.677000000000007</v>
      </c>
      <c r="L12">
        <f>_xll.EQNXTDZ($A$1,$B12,L$1,$B$1)</f>
        <v>144.23099999999999</v>
      </c>
      <c r="M12">
        <f>_xll.EQNXTDZ($A$1,$B12,M$1,$B$1)</f>
        <v>35.03</v>
      </c>
      <c r="N12">
        <f>_xll.EQNXTDZ($A$1,$B12,N$1,$B$1)</f>
        <v>41.161999999999999</v>
      </c>
      <c r="O12">
        <f>_xll.EQNXTDZ($A$1,$B12,O$1,$B$1)</f>
        <v>21.181999999999999</v>
      </c>
      <c r="P12">
        <f>_xll.EQNXTDZ($A$1,$B12,P$1,$B$1)</f>
        <v>26.942</v>
      </c>
      <c r="Q12">
        <f>_xll.EQNXTDZ($A$1,$B12,Q$1,$B$1)</f>
        <v>9.3379999999999992</v>
      </c>
      <c r="R12">
        <f>_xll.EQNXTDZ($A$1,$B12,R$1,$B$1)</f>
        <v>14.750999999999999</v>
      </c>
      <c r="S12">
        <f>_xll.EQNXTDZ($A$1,$B12,S$1,$B$1)</f>
        <v>11.074</v>
      </c>
      <c r="T12">
        <f>_xll.EQNXTDZ($A$1,$B12,T$1,$B$1)</f>
        <v>14.763999999999999</v>
      </c>
      <c r="U12">
        <f>_xll.EQNXTDZ($A$1,$B12,U$1,$B$1)</f>
        <v>20.475000000000001</v>
      </c>
      <c r="V12">
        <f>_xll.EQNXTDZ($A$1,$B12,V$1,$B$1)</f>
        <v>11.823</v>
      </c>
      <c r="W12">
        <f>_xll.EQNXTDZ($A$1,$B12,W$1,$B$1)</f>
        <v>0</v>
      </c>
      <c r="X12">
        <f>_xll.EQNXTDZ($A$1,$B12,X$1,$B$1)</f>
        <v>0</v>
      </c>
      <c r="Y12">
        <f>_xll.EQNXTDZ($A$1,$B12,Y$1,$B$1)</f>
        <v>21.125</v>
      </c>
      <c r="Z12">
        <f>_xll.EQNXTDZ($A$1,$B12,Z$1,$B$1)</f>
        <v>9.5820000000000007</v>
      </c>
      <c r="AA12">
        <f>_xll.EQNXTDZ($A$1,$B12,AA$1,$B$1)</f>
        <v>3.8679999999999999</v>
      </c>
      <c r="AB12">
        <f>_xll.EQNXTDZ($A$1,$B12,AB$1,$B$1)</f>
        <v>5.085</v>
      </c>
      <c r="AC12">
        <f>_xll.EQNXTDZ($A$1,$B12,AC$1,$B$1)</f>
        <v>0</v>
      </c>
      <c r="AD12">
        <f>_xll.EQNXTDZ($A$1,$B12,AD$1,$B$1)</f>
        <v>0</v>
      </c>
      <c r="AE12">
        <f>_xll.EQNXTDZ($A$1,$B12,AE$1,$B$1)</f>
        <v>0</v>
      </c>
      <c r="AF12">
        <f>_xll.EQNXTDZ($A$1,$B12,AF$1,$B$1)</f>
        <v>0</v>
      </c>
      <c r="AG12">
        <f>_xll.EQNXTDZ($A$1,$B12,AG$1,$B$1)</f>
        <v>0</v>
      </c>
      <c r="AH12">
        <f>_xll.EQNXTDZ($A$1,$B12,AH$1,$B$1)</f>
        <v>0</v>
      </c>
      <c r="AI12">
        <f>_xll.EQNXTDZ($A$1,$B12,AI$1,$B$1)</f>
        <v>0</v>
      </c>
      <c r="AJ12">
        <f>_xll.EQNXTDZ($A$1,$B12,AJ$1,$B$1)</f>
        <v>0</v>
      </c>
      <c r="AK12">
        <f>_xll.EQNXTDZ($A$1,$B12,AK$1,$B$1)</f>
        <v>0</v>
      </c>
      <c r="AL12">
        <f>_xll.EQNXTDZ($A$1,$B12,AL$1,$B$1)</f>
        <v>0</v>
      </c>
      <c r="AM12">
        <f>_xll.EQNXTDZ($A$1,$B12,AM$1,$B$1)</f>
        <v>0</v>
      </c>
      <c r="AN12">
        <f>_xll.EQNXTDZ($A$1,$B12,AN$1,$B$1)</f>
        <v>0</v>
      </c>
      <c r="AO12">
        <f>_xll.EQNXTDZ($A$1,$B12,AO$1,$B$1)</f>
        <v>0</v>
      </c>
      <c r="AP12">
        <f>_xll.EQNXTDZ($A$1,$B12,AP$1,$B$1)</f>
        <v>0</v>
      </c>
      <c r="AQ12">
        <f>_xll.EQNXTDZ($A$1,$B12,AQ$1,$B$1)</f>
        <v>0</v>
      </c>
      <c r="AR12">
        <f>_xll.EQNXTDZ($A$1,$B12,AR$1,$B$1)</f>
        <v>0</v>
      </c>
      <c r="AS12">
        <f>_xll.EQNXTDZ($A$1,$B12,AS$1,$B$1)</f>
        <v>0</v>
      </c>
      <c r="AT12">
        <f>_xll.EQNXTDZ($A$1,$B12,AT$1,$B$1)</f>
        <v>0</v>
      </c>
      <c r="AU12">
        <f>_xll.EQNXTDZ($A$1,$B12,AU$1,$B$1)</f>
        <v>0</v>
      </c>
      <c r="AV12">
        <f>_xll.EQNXTDZ($A$1,$B12,AV$1,$B$1)</f>
        <v>0</v>
      </c>
      <c r="AW12">
        <f>_xll.EQNXTDZ($A$1,$B12,AW$1,$B$1)</f>
        <v>273.88</v>
      </c>
      <c r="AX12">
        <f>_xll.EQNXTDZ($A$1,$B12,AX$1,$B$1)</f>
        <v>96.35</v>
      </c>
      <c r="AY12">
        <f>_xll.EQNXTDZ($A$1,$B12,AY$1,$B$1)</f>
        <v>134.55000000000001</v>
      </c>
      <c r="AZ12">
        <f>_xll.EQNXTDZ($A$1,$B12,AZ$1,$B$1)</f>
        <v>0</v>
      </c>
      <c r="BA12">
        <f>_xll.EQNXTDZ($A$1,$B12,BA$1,$B$1)</f>
        <v>47.69</v>
      </c>
      <c r="BB12">
        <f>_xll.EQNXTDZ($A$1,$B12,BB$1,$B$1)</f>
        <v>0</v>
      </c>
      <c r="BC12">
        <f>_xll.EQNXTDZ($A$1,$B12,BC$1,$B$1)</f>
        <v>61.56</v>
      </c>
      <c r="BD12">
        <f>_xll.EQNXTDZ($A$1,$B12,BD$1,$B$1)</f>
        <v>177.84</v>
      </c>
      <c r="BE12">
        <f>_xll.EQNXTDZ($A$1,$B12,BE$1,$B$1)</f>
        <v>228.86</v>
      </c>
      <c r="BF12">
        <f>_xll.EQNXTDZ($A$1,$B12,BF$1,$B$1)</f>
        <v>10.51</v>
      </c>
      <c r="BG12">
        <f>_xll.EQNXTDZ($A$1,$B12,BG$1,$B$1)</f>
        <v>0</v>
      </c>
      <c r="BH12">
        <f>_xll.EQNXTDZ($A$1,$B12,BH$1,$B$1)</f>
        <v>0</v>
      </c>
      <c r="BI12">
        <f>_xll.EQNXTDZ($A$1,$B12,BI$1,$B$1)</f>
        <v>0</v>
      </c>
      <c r="BJ12">
        <f>_xll.EQNXTDZ($A$1,$B12,BJ$1,$B$1)</f>
        <v>0</v>
      </c>
      <c r="BK12">
        <f>_xll.EQNXTDZ($A$1,$B12,BK$1,$B$1)</f>
        <v>0</v>
      </c>
      <c r="BL12">
        <f>_xll.EQNXTDZ($A$1,$B12,BL$1,$B$1)</f>
        <v>0</v>
      </c>
      <c r="BM12">
        <f>_xll.EQNXTDZ($A$1,$B12,BM$1,$B$1)</f>
        <v>0</v>
      </c>
      <c r="BN12">
        <f>_xll.EQNXTDZ($A$1,$B12,BN$1,$B$1)</f>
        <v>0</v>
      </c>
      <c r="BO12">
        <f>_xll.EQNXTDZ($A$1,$B12,BO$1,$B$1)</f>
        <v>0</v>
      </c>
      <c r="BP12">
        <f>_xll.EQNXTDZ($A$1,$B12,BP$1,$B$1)</f>
        <v>0</v>
      </c>
      <c r="BQ12">
        <f>_xll.EQNXTDZ($A$1,$B12,BQ$1,$B$1)</f>
        <v>0</v>
      </c>
      <c r="BR12">
        <f>_xll.EQNXTDZ($A$1,$B12,BR$1,$B$1)</f>
        <v>0</v>
      </c>
      <c r="BS12">
        <f>_xll.EQNXTDZ($A$1,$B12,BS$1,$B$1)</f>
        <v>0</v>
      </c>
      <c r="BT12">
        <f>_xll.EQNXTDZ($A$1,$B12,BT$1,$B$1)</f>
        <v>0</v>
      </c>
      <c r="BU12">
        <f>_xll.EQNXTDZ($A$1,$B12,BU$1,$B$1)</f>
        <v>0</v>
      </c>
      <c r="BV12">
        <f>_xll.EQNXTDZ($A$1,$B12,BV$1,$B$1)</f>
        <v>0</v>
      </c>
    </row>
    <row r="13" spans="1:74" x14ac:dyDescent="0.25">
      <c r="A13" t="s">
        <v>258</v>
      </c>
      <c r="B13" t="s">
        <v>283</v>
      </c>
      <c r="C13">
        <f>_xll.EQNXTDZ($A$1,$B13,C$1,$B$1)</f>
        <v>0</v>
      </c>
      <c r="D13">
        <f>_xll.EQNXTDZ($A$1,$B13,D$1,$B$1)</f>
        <v>0</v>
      </c>
      <c r="E13">
        <f>_xll.EQNXTDZ($A$1,$B13,E$1,$B$1)</f>
        <v>0</v>
      </c>
      <c r="F13">
        <f>_xll.EQNXTDZ($A$1,$B13,F$1,$B$1)</f>
        <v>0</v>
      </c>
      <c r="G13">
        <f>_xll.EQNXTDZ($A$1,$B13,G$1,$B$1)</f>
        <v>0</v>
      </c>
      <c r="H13">
        <f>_xll.EQNXTDZ($A$1,$B13,H$1,$B$1)</f>
        <v>0</v>
      </c>
      <c r="I13">
        <f>_xll.EQNXTDZ($A$1,$B13,I$1,$B$1)</f>
        <v>0</v>
      </c>
      <c r="J13">
        <f>_xll.EQNXTDZ($A$1,$B13,J$1,$B$1)</f>
        <v>0</v>
      </c>
      <c r="K13">
        <f>_xll.EQNXTDZ($A$1,$B13,K$1,$B$1)</f>
        <v>0</v>
      </c>
      <c r="L13">
        <f>_xll.EQNXTDZ($A$1,$B13,L$1,$B$1)</f>
        <v>0</v>
      </c>
      <c r="M13">
        <f>_xll.EQNXTDZ($A$1,$B13,M$1,$B$1)</f>
        <v>0</v>
      </c>
      <c r="N13">
        <f>_xll.EQNXTDZ($A$1,$B13,N$1,$B$1)</f>
        <v>0</v>
      </c>
      <c r="O13">
        <f>_xll.EQNXTDZ($A$1,$B13,O$1,$B$1)</f>
        <v>0</v>
      </c>
      <c r="P13">
        <f>_xll.EQNXTDZ($A$1,$B13,P$1,$B$1)</f>
        <v>0</v>
      </c>
      <c r="Q13">
        <f>_xll.EQNXTDZ($A$1,$B13,Q$1,$B$1)</f>
        <v>0</v>
      </c>
      <c r="R13">
        <f>_xll.EQNXTDZ($A$1,$B13,R$1,$B$1)</f>
        <v>0</v>
      </c>
      <c r="S13">
        <f>_xll.EQNXTDZ($A$1,$B13,S$1,$B$1)</f>
        <v>6.508</v>
      </c>
      <c r="T13">
        <f>_xll.EQNXTDZ($A$1,$B13,T$1,$B$1)</f>
        <v>7.84</v>
      </c>
      <c r="U13">
        <f>_xll.EQNXTDZ($A$1,$B13,U$1,$B$1)</f>
        <v>7.391</v>
      </c>
      <c r="V13">
        <f>_xll.EQNXTDZ($A$1,$B13,V$1,$B$1)</f>
        <v>10.31</v>
      </c>
      <c r="W13">
        <f>_xll.EQNXTDZ($A$1,$B13,W$1,$B$1)</f>
        <v>12.061</v>
      </c>
      <c r="X13">
        <f>_xll.EQNXTDZ($A$1,$B13,X$1,$B$1)</f>
        <v>0</v>
      </c>
      <c r="Y13">
        <f>_xll.EQNXTDZ($A$1,$B13,Y$1,$B$1)</f>
        <v>0</v>
      </c>
      <c r="Z13">
        <f>_xll.EQNXTDZ($A$1,$B13,Z$1,$B$1)</f>
        <v>0</v>
      </c>
      <c r="AA13">
        <f>_xll.EQNXTDZ($A$1,$B13,AA$1,$B$1)</f>
        <v>0</v>
      </c>
      <c r="AB13">
        <f>_xll.EQNXTDZ($A$1,$B13,AB$1,$B$1)</f>
        <v>0</v>
      </c>
      <c r="AC13">
        <f>_xll.EQNXTDZ($A$1,$B13,AC$1,$B$1)</f>
        <v>0</v>
      </c>
      <c r="AD13">
        <f>_xll.EQNXTDZ($A$1,$B13,AD$1,$B$1)</f>
        <v>0</v>
      </c>
      <c r="AE13">
        <f>_xll.EQNXTDZ($A$1,$B13,AE$1,$B$1)</f>
        <v>0</v>
      </c>
      <c r="AF13">
        <f>_xll.EQNXTDZ($A$1,$B13,AF$1,$B$1)</f>
        <v>0</v>
      </c>
      <c r="AG13">
        <f>_xll.EQNXTDZ($A$1,$B13,AG$1,$B$1)</f>
        <v>0</v>
      </c>
      <c r="AH13">
        <f>_xll.EQNXTDZ($A$1,$B13,AH$1,$B$1)</f>
        <v>0</v>
      </c>
      <c r="AI13">
        <f>_xll.EQNXTDZ($A$1,$B13,AI$1,$B$1)</f>
        <v>0</v>
      </c>
      <c r="AJ13">
        <f>_xll.EQNXTDZ($A$1,$B13,AJ$1,$B$1)</f>
        <v>0</v>
      </c>
      <c r="AK13">
        <f>_xll.EQNXTDZ($A$1,$B13,AK$1,$B$1)</f>
        <v>0</v>
      </c>
      <c r="AL13">
        <f>_xll.EQNXTDZ($A$1,$B13,AL$1,$B$1)</f>
        <v>0</v>
      </c>
      <c r="AM13">
        <f>_xll.EQNXTDZ($A$1,$B13,AM$1,$B$1)</f>
        <v>0</v>
      </c>
      <c r="AN13">
        <f>_xll.EQNXTDZ($A$1,$B13,AN$1,$B$1)</f>
        <v>0</v>
      </c>
      <c r="AO13">
        <f>_xll.EQNXTDZ($A$1,$B13,AO$1,$B$1)</f>
        <v>0</v>
      </c>
      <c r="AP13">
        <f>_xll.EQNXTDZ($A$1,$B13,AP$1,$B$1)</f>
        <v>0</v>
      </c>
      <c r="AQ13">
        <f>_xll.EQNXTDZ($A$1,$B13,AQ$1,$B$1)</f>
        <v>0</v>
      </c>
      <c r="AR13">
        <f>_xll.EQNXTDZ($A$1,$B13,AR$1,$B$1)</f>
        <v>0</v>
      </c>
      <c r="AS13">
        <f>_xll.EQNXTDZ($A$1,$B13,AS$1,$B$1)</f>
        <v>0</v>
      </c>
      <c r="AT13">
        <f>_xll.EQNXTDZ($A$1,$B13,AT$1,$B$1)</f>
        <v>0</v>
      </c>
      <c r="AU13">
        <f>_xll.EQNXTDZ($A$1,$B13,AU$1,$B$1)</f>
        <v>0</v>
      </c>
      <c r="AV13">
        <f>_xll.EQNXTDZ($A$1,$B13,AV$1,$B$1)</f>
        <v>0</v>
      </c>
      <c r="AW13">
        <f>_xll.EQNXTDZ($A$1,$B13,AW$1,$B$1)</f>
        <v>0</v>
      </c>
      <c r="AX13">
        <f>_xll.EQNXTDZ($A$1,$B13,AX$1,$B$1)</f>
        <v>0</v>
      </c>
      <c r="AY13">
        <f>_xll.EQNXTDZ($A$1,$B13,AY$1,$B$1)</f>
        <v>0</v>
      </c>
      <c r="AZ13">
        <f>_xll.EQNXTDZ($A$1,$B13,AZ$1,$B$1)</f>
        <v>0</v>
      </c>
      <c r="BA13">
        <f>_xll.EQNXTDZ($A$1,$B13,BA$1,$B$1)</f>
        <v>0</v>
      </c>
      <c r="BB13">
        <f>_xll.EQNXTDZ($A$1,$B13,BB$1,$B$1)</f>
        <v>0</v>
      </c>
      <c r="BC13">
        <f>_xll.EQNXTDZ($A$1,$B13,BC$1,$B$1)</f>
        <v>0</v>
      </c>
      <c r="BD13">
        <f>_xll.EQNXTDZ($A$1,$B13,BD$1,$B$1)</f>
        <v>0</v>
      </c>
      <c r="BE13">
        <f>_xll.EQNXTDZ($A$1,$B13,BE$1,$B$1)</f>
        <v>0</v>
      </c>
      <c r="BF13">
        <f>_xll.EQNXTDZ($A$1,$B13,BF$1,$B$1)</f>
        <v>0</v>
      </c>
      <c r="BG13">
        <f>_xll.EQNXTDZ($A$1,$B13,BG$1,$B$1)</f>
        <v>0</v>
      </c>
      <c r="BH13">
        <f>_xll.EQNXTDZ($A$1,$B13,BH$1,$B$1)</f>
        <v>0</v>
      </c>
      <c r="BI13">
        <f>_xll.EQNXTDZ($A$1,$B13,BI$1,$B$1)</f>
        <v>0</v>
      </c>
      <c r="BJ13">
        <f>_xll.EQNXTDZ($A$1,$B13,BJ$1,$B$1)</f>
        <v>0</v>
      </c>
      <c r="BK13">
        <f>_xll.EQNXTDZ($A$1,$B13,BK$1,$B$1)</f>
        <v>0</v>
      </c>
      <c r="BL13">
        <f>_xll.EQNXTDZ($A$1,$B13,BL$1,$B$1)</f>
        <v>0</v>
      </c>
      <c r="BM13">
        <f>_xll.EQNXTDZ($A$1,$B13,BM$1,$B$1)</f>
        <v>0</v>
      </c>
      <c r="BN13">
        <f>_xll.EQNXTDZ($A$1,$B13,BN$1,$B$1)</f>
        <v>0</v>
      </c>
      <c r="BO13">
        <f>_xll.EQNXTDZ($A$1,$B13,BO$1,$B$1)</f>
        <v>0</v>
      </c>
      <c r="BP13">
        <f>_xll.EQNXTDZ($A$1,$B13,BP$1,$B$1)</f>
        <v>0</v>
      </c>
      <c r="BQ13">
        <f>_xll.EQNXTDZ($A$1,$B13,BQ$1,$B$1)</f>
        <v>0</v>
      </c>
      <c r="BR13">
        <f>_xll.EQNXTDZ($A$1,$B13,BR$1,$B$1)</f>
        <v>0</v>
      </c>
      <c r="BS13">
        <f>_xll.EQNXTDZ($A$1,$B13,BS$1,$B$1)</f>
        <v>0</v>
      </c>
      <c r="BT13">
        <f>_xll.EQNXTDZ($A$1,$B13,BT$1,$B$1)</f>
        <v>0</v>
      </c>
      <c r="BU13">
        <f>_xll.EQNXTDZ($A$1,$B13,BU$1,$B$1)</f>
        <v>0</v>
      </c>
      <c r="BV13">
        <f>_xll.EQNXTDZ($A$1,$B13,BV$1,$B$1)</f>
        <v>0</v>
      </c>
    </row>
    <row r="14" spans="1:74" x14ac:dyDescent="0.25">
      <c r="A14" t="s">
        <v>118</v>
      </c>
      <c r="B14" t="s">
        <v>284</v>
      </c>
      <c r="C14">
        <f>_xll.EQNXTDZ($A$1,$B14,C$1,$B$1)</f>
        <v>8.6709999999999994</v>
      </c>
      <c r="D14">
        <f>_xll.EQNXTDZ($A$1,$B14,D$1,$B$1)</f>
        <v>11.904</v>
      </c>
      <c r="E14">
        <f>_xll.EQNXTDZ($A$1,$B14,E$1,$B$1)</f>
        <v>8.3940000000000001</v>
      </c>
      <c r="F14">
        <f>_xll.EQNXTDZ($A$1,$B14,F$1,$B$1)</f>
        <v>9.7040000000000006</v>
      </c>
      <c r="G14">
        <f>_xll.EQNXTDZ($A$1,$B14,G$1,$B$1)</f>
        <v>8.2940000000000005</v>
      </c>
      <c r="H14">
        <f>_xll.EQNXTDZ($A$1,$B14,H$1,$B$1)</f>
        <v>7.8140000000000001</v>
      </c>
      <c r="I14">
        <f>_xll.EQNXTDZ($A$1,$B14,I$1,$B$1)</f>
        <v>7.9189999999999996</v>
      </c>
      <c r="J14">
        <f>_xll.EQNXTDZ($A$1,$B14,J$1,$B$1)</f>
        <v>9.3170000000000002</v>
      </c>
      <c r="K14">
        <f>_xll.EQNXTDZ($A$1,$B14,K$1,$B$1)</f>
        <v>9.1020000000000003</v>
      </c>
      <c r="L14">
        <f>_xll.EQNXTDZ($A$1,$B14,L$1,$B$1)</f>
        <v>7.0460000000000003</v>
      </c>
      <c r="M14">
        <f>_xll.EQNXTDZ($A$1,$B14,M$1,$B$1)</f>
        <v>9.0909999999999993</v>
      </c>
      <c r="N14">
        <f>_xll.EQNXTDZ($A$1,$B14,N$1,$B$1)</f>
        <v>9.9700000000000006</v>
      </c>
      <c r="O14">
        <f>_xll.EQNXTDZ($A$1,$B14,O$1,$B$1)</f>
        <v>9.5749999999999993</v>
      </c>
      <c r="P14">
        <f>_xll.EQNXTDZ($A$1,$B14,P$1,$B$1)</f>
        <v>5.9020000000000001</v>
      </c>
      <c r="Q14">
        <f>_xll.EQNXTDZ($A$1,$B14,Q$1,$B$1)</f>
        <v>9.3480000000000008</v>
      </c>
      <c r="R14">
        <f>_xll.EQNXTDZ($A$1,$B14,R$1,$B$1)</f>
        <v>9.0370000000000008</v>
      </c>
      <c r="S14">
        <f>_xll.EQNXTDZ($A$1,$B14,S$1,$B$1)</f>
        <v>9.4749999999999996</v>
      </c>
      <c r="T14">
        <f>_xll.EQNXTDZ($A$1,$B14,T$1,$B$1)</f>
        <v>8.73</v>
      </c>
      <c r="U14">
        <f>_xll.EQNXTDZ($A$1,$B14,U$1,$B$1)</f>
        <v>11.186999999999999</v>
      </c>
      <c r="V14">
        <f>_xll.EQNXTDZ($A$1,$B14,V$1,$B$1)</f>
        <v>13.260999999999999</v>
      </c>
      <c r="W14">
        <f>_xll.EQNXTDZ($A$1,$B14,W$1,$B$1)</f>
        <v>11.404999999999999</v>
      </c>
      <c r="X14">
        <f>_xll.EQNXTDZ($A$1,$B14,X$1,$B$1)</f>
        <v>11.412000000000001</v>
      </c>
      <c r="Y14">
        <f>_xll.EQNXTDZ($A$1,$B14,Y$1,$B$1)</f>
        <v>11.641999999999999</v>
      </c>
      <c r="Z14">
        <f>_xll.EQNXTDZ($A$1,$B14,Z$1,$B$1)</f>
        <v>15.01</v>
      </c>
      <c r="AA14">
        <f>_xll.EQNXTDZ($A$1,$B14,AA$1,$B$1)</f>
        <v>11.994999999999999</v>
      </c>
      <c r="AB14">
        <f>_xll.EQNXTDZ($A$1,$B14,AB$1,$B$1)</f>
        <v>12.151999999999999</v>
      </c>
      <c r="AC14">
        <f>_xll.EQNXTDZ($A$1,$B14,AC$1,$B$1)</f>
        <v>10.672000000000001</v>
      </c>
      <c r="AD14">
        <f>_xll.EQNXTDZ($A$1,$B14,AD$1,$B$1)</f>
        <v>17.786999999999999</v>
      </c>
      <c r="AE14">
        <f>_xll.EQNXTDZ($A$1,$B14,AE$1,$B$1)</f>
        <v>10.522</v>
      </c>
      <c r="AF14">
        <f>_xll.EQNXTDZ($A$1,$B14,AF$1,$B$1)</f>
        <v>9.7910000000000004</v>
      </c>
      <c r="AG14">
        <f>_xll.EQNXTDZ($A$1,$B14,AG$1,$B$1)</f>
        <v>7.9139999999999997</v>
      </c>
      <c r="AH14">
        <f>_xll.EQNXTDZ($A$1,$B14,AH$1,$B$1)</f>
        <v>11.798999999999999</v>
      </c>
      <c r="AI14">
        <f>_xll.EQNXTDZ($A$1,$B14,AI$1,$B$1)</f>
        <v>3.2919999999999998</v>
      </c>
      <c r="AJ14">
        <f>_xll.EQNXTDZ($A$1,$B14,AJ$1,$B$1)</f>
        <v>7.5469999999999997</v>
      </c>
      <c r="AK14">
        <f>_xll.EQNXTDZ($A$1,$B14,AK$1,$B$1)</f>
        <v>7.25</v>
      </c>
      <c r="AL14">
        <f>_xll.EQNXTDZ($A$1,$B14,AL$1,$B$1)</f>
        <v>6.7759999999999998</v>
      </c>
      <c r="AM14">
        <f>_xll.EQNXTDZ($A$1,$B14,AM$1,$B$1)</f>
        <v>7.44</v>
      </c>
      <c r="AN14">
        <f>_xll.EQNXTDZ($A$1,$B14,AN$1,$B$1)</f>
        <v>7.98</v>
      </c>
      <c r="AO14">
        <f>_xll.EQNXTDZ($A$1,$B14,AO$1,$B$1)</f>
        <v>21.97</v>
      </c>
      <c r="AP14">
        <f>_xll.EQNXTDZ($A$1,$B14,AP$1,$B$1)</f>
        <v>183.35</v>
      </c>
      <c r="AQ14">
        <f>_xll.EQNXTDZ($A$1,$B14,AQ$1,$B$1)</f>
        <v>466.55</v>
      </c>
      <c r="AR14">
        <f>_xll.EQNXTDZ($A$1,$B14,AR$1,$B$1)</f>
        <v>357.36</v>
      </c>
      <c r="AS14">
        <f>_xll.EQNXTDZ($A$1,$B14,AS$1,$B$1)</f>
        <v>580.6</v>
      </c>
      <c r="AT14">
        <f>_xll.EQNXTDZ($A$1,$B14,AT$1,$B$1)</f>
        <v>583.12</v>
      </c>
      <c r="AU14">
        <f>_xll.EQNXTDZ($A$1,$B14,AU$1,$B$1)</f>
        <v>1303.9100000000001</v>
      </c>
      <c r="AV14">
        <f>_xll.EQNXTDZ($A$1,$B14,AV$1,$B$1)</f>
        <v>712.34</v>
      </c>
      <c r="AW14">
        <f>_xll.EQNXTDZ($A$1,$B14,AW$1,$B$1)</f>
        <v>1022.19</v>
      </c>
      <c r="AX14">
        <f>_xll.EQNXTDZ($A$1,$B14,AX$1,$B$1)</f>
        <v>745.23</v>
      </c>
      <c r="AY14">
        <f>_xll.EQNXTDZ($A$1,$B14,AY$1,$B$1)</f>
        <v>1421.51</v>
      </c>
      <c r="AZ14">
        <f>_xll.EQNXTDZ($A$1,$B14,AZ$1,$B$1)</f>
        <v>714.05</v>
      </c>
      <c r="BA14">
        <f>_xll.EQNXTDZ($A$1,$B14,BA$1,$B$1)</f>
        <v>964.94</v>
      </c>
      <c r="BB14">
        <f>_xll.EQNXTDZ($A$1,$B14,BB$1,$B$1)</f>
        <v>724.66</v>
      </c>
      <c r="BC14">
        <f>_xll.EQNXTDZ($A$1,$B14,BC$1,$B$1)</f>
        <v>1331.7</v>
      </c>
      <c r="BD14">
        <f>_xll.EQNXTDZ($A$1,$B14,BD$1,$B$1)</f>
        <v>1617.98</v>
      </c>
      <c r="BE14">
        <f>_xll.EQNXTDZ($A$1,$B14,BE$1,$B$1)</f>
        <v>2228.31</v>
      </c>
      <c r="BF14">
        <f>_xll.EQNXTDZ($A$1,$B14,BF$1,$B$1)</f>
        <v>2651.79</v>
      </c>
      <c r="BG14">
        <f>_xll.EQNXTDZ($A$1,$B14,BG$1,$B$1)</f>
        <v>0</v>
      </c>
      <c r="BH14">
        <f>_xll.EQNXTDZ($A$1,$B14,BH$1,$B$1)</f>
        <v>0</v>
      </c>
      <c r="BI14">
        <f>_xll.EQNXTDZ($A$1,$B14,BI$1,$B$1)</f>
        <v>0</v>
      </c>
      <c r="BJ14">
        <f>_xll.EQNXTDZ($A$1,$B14,BJ$1,$B$1)</f>
        <v>0</v>
      </c>
      <c r="BK14">
        <f>_xll.EQNXTDZ($A$1,$B14,BK$1,$B$1)</f>
        <v>0</v>
      </c>
      <c r="BL14">
        <f>_xll.EQNXTDZ($A$1,$B14,BL$1,$B$1)</f>
        <v>0</v>
      </c>
      <c r="BM14">
        <f>_xll.EQNXTDZ($A$1,$B14,BM$1,$B$1)</f>
        <v>0</v>
      </c>
      <c r="BN14">
        <f>_xll.EQNXTDZ($A$1,$B14,BN$1,$B$1)</f>
        <v>0</v>
      </c>
      <c r="BO14">
        <f>_xll.EQNXTDZ($A$1,$B14,BO$1,$B$1)</f>
        <v>0</v>
      </c>
      <c r="BP14">
        <f>_xll.EQNXTDZ($A$1,$B14,BP$1,$B$1)</f>
        <v>0</v>
      </c>
      <c r="BQ14">
        <f>_xll.EQNXTDZ($A$1,$B14,BQ$1,$B$1)</f>
        <v>0</v>
      </c>
      <c r="BR14">
        <f>_xll.EQNXTDZ($A$1,$B14,BR$1,$B$1)</f>
        <v>0</v>
      </c>
      <c r="BS14">
        <f>_xll.EQNXTDZ($A$1,$B14,BS$1,$B$1)</f>
        <v>0</v>
      </c>
      <c r="BT14">
        <f>_xll.EQNXTDZ($A$1,$B14,BT$1,$B$1)</f>
        <v>0</v>
      </c>
      <c r="BU14">
        <f>_xll.EQNXTDZ($A$1,$B14,BU$1,$B$1)</f>
        <v>0</v>
      </c>
      <c r="BV14">
        <f>_xll.EQNXTDZ($A$1,$B14,BV$1,$B$1)</f>
        <v>0</v>
      </c>
    </row>
    <row r="15" spans="1:74" x14ac:dyDescent="0.25">
      <c r="A15" t="s">
        <v>259</v>
      </c>
      <c r="B15" t="s">
        <v>285</v>
      </c>
      <c r="C15">
        <f>_xll.EQNXTDZ($A$1,$B15,C$1,$B$1)</f>
        <v>0</v>
      </c>
      <c r="D15">
        <f>_xll.EQNXTDZ($A$1,$B15,D$1,$B$1)</f>
        <v>0</v>
      </c>
      <c r="E15">
        <f>_xll.EQNXTDZ($A$1,$B15,E$1,$B$1)</f>
        <v>0</v>
      </c>
      <c r="F15">
        <f>_xll.EQNXTDZ($A$1,$B15,F$1,$B$1)</f>
        <v>0</v>
      </c>
      <c r="G15">
        <f>_xll.EQNXTDZ($A$1,$B15,G$1,$B$1)</f>
        <v>0</v>
      </c>
      <c r="H15">
        <f>_xll.EQNXTDZ($A$1,$B15,H$1,$B$1)</f>
        <v>0</v>
      </c>
      <c r="I15">
        <f>_xll.EQNXTDZ($A$1,$B15,I$1,$B$1)</f>
        <v>0</v>
      </c>
      <c r="J15">
        <f>_xll.EQNXTDZ($A$1,$B15,J$1,$B$1)</f>
        <v>0</v>
      </c>
      <c r="K15">
        <f>_xll.EQNXTDZ($A$1,$B15,K$1,$B$1)</f>
        <v>0</v>
      </c>
      <c r="L15">
        <f>_xll.EQNXTDZ($A$1,$B15,L$1,$B$1)</f>
        <v>0</v>
      </c>
      <c r="M15">
        <f>_xll.EQNXTDZ($A$1,$B15,M$1,$B$1)</f>
        <v>0</v>
      </c>
      <c r="N15">
        <f>_xll.EQNXTDZ($A$1,$B15,N$1,$B$1)</f>
        <v>0</v>
      </c>
      <c r="O15">
        <f>_xll.EQNXTDZ($A$1,$B15,O$1,$B$1)</f>
        <v>0</v>
      </c>
      <c r="P15">
        <f>_xll.EQNXTDZ($A$1,$B15,P$1,$B$1)</f>
        <v>0</v>
      </c>
      <c r="Q15">
        <f>_xll.EQNXTDZ($A$1,$B15,Q$1,$B$1)</f>
        <v>0</v>
      </c>
      <c r="R15">
        <f>_xll.EQNXTDZ($A$1,$B15,R$1,$B$1)</f>
        <v>0</v>
      </c>
      <c r="S15">
        <f>_xll.EQNXTDZ($A$1,$B15,S$1,$B$1)</f>
        <v>0</v>
      </c>
      <c r="T15">
        <f>_xll.EQNXTDZ($A$1,$B15,T$1,$B$1)</f>
        <v>0</v>
      </c>
      <c r="U15">
        <f>_xll.EQNXTDZ($A$1,$B15,U$1,$B$1)</f>
        <v>0</v>
      </c>
      <c r="V15">
        <f>_xll.EQNXTDZ($A$1,$B15,V$1,$B$1)</f>
        <v>0</v>
      </c>
      <c r="W15">
        <f>_xll.EQNXTDZ($A$1,$B15,W$1,$B$1)</f>
        <v>0</v>
      </c>
      <c r="X15">
        <f>_xll.EQNXTDZ($A$1,$B15,X$1,$B$1)</f>
        <v>0</v>
      </c>
      <c r="Y15">
        <f>_xll.EQNXTDZ($A$1,$B15,Y$1,$B$1)</f>
        <v>0</v>
      </c>
      <c r="Z15">
        <f>_xll.EQNXTDZ($A$1,$B15,Z$1,$B$1)</f>
        <v>0</v>
      </c>
      <c r="AA15">
        <f>_xll.EQNXTDZ($A$1,$B15,AA$1,$B$1)</f>
        <v>0</v>
      </c>
      <c r="AB15">
        <f>_xll.EQNXTDZ($A$1,$B15,AB$1,$B$1)</f>
        <v>0</v>
      </c>
      <c r="AC15">
        <f>_xll.EQNXTDZ($A$1,$B15,AC$1,$B$1)</f>
        <v>0</v>
      </c>
      <c r="AD15">
        <f>_xll.EQNXTDZ($A$1,$B15,AD$1,$B$1)</f>
        <v>0</v>
      </c>
      <c r="AE15">
        <f>_xll.EQNXTDZ($A$1,$B15,AE$1,$B$1)</f>
        <v>0</v>
      </c>
      <c r="AF15">
        <f>_xll.EQNXTDZ($A$1,$B15,AF$1,$B$1)</f>
        <v>0</v>
      </c>
      <c r="AG15">
        <f>_xll.EQNXTDZ($A$1,$B15,AG$1,$B$1)</f>
        <v>0</v>
      </c>
      <c r="AH15">
        <f>_xll.EQNXTDZ($A$1,$B15,AH$1,$B$1)</f>
        <v>0</v>
      </c>
      <c r="AI15">
        <f>_xll.EQNXTDZ($A$1,$B15,AI$1,$B$1)</f>
        <v>0</v>
      </c>
      <c r="AJ15">
        <f>_xll.EQNXTDZ($A$1,$B15,AJ$1,$B$1)</f>
        <v>0</v>
      </c>
      <c r="AK15">
        <f>_xll.EQNXTDZ($A$1,$B15,AK$1,$B$1)</f>
        <v>0</v>
      </c>
      <c r="AL15">
        <f>_xll.EQNXTDZ($A$1,$B15,AL$1,$B$1)</f>
        <v>0</v>
      </c>
      <c r="AM15">
        <f>_xll.EQNXTDZ($A$1,$B15,AM$1,$B$1)</f>
        <v>0</v>
      </c>
      <c r="AN15">
        <f>_xll.EQNXTDZ($A$1,$B15,AN$1,$B$1)</f>
        <v>0</v>
      </c>
      <c r="AO15">
        <f>_xll.EQNXTDZ($A$1,$B15,AO$1,$B$1)</f>
        <v>0</v>
      </c>
      <c r="AP15">
        <f>_xll.EQNXTDZ($A$1,$B15,AP$1,$B$1)</f>
        <v>0</v>
      </c>
      <c r="AQ15">
        <f>_xll.EQNXTDZ($A$1,$B15,AQ$1,$B$1)</f>
        <v>0</v>
      </c>
      <c r="AR15">
        <f>_xll.EQNXTDZ($A$1,$B15,AR$1,$B$1)</f>
        <v>0</v>
      </c>
      <c r="AS15">
        <f>_xll.EQNXTDZ($A$1,$B15,AS$1,$B$1)</f>
        <v>0</v>
      </c>
      <c r="AT15">
        <f>_xll.EQNXTDZ($A$1,$B15,AT$1,$B$1)</f>
        <v>0</v>
      </c>
      <c r="AU15">
        <f>_xll.EQNXTDZ($A$1,$B15,AU$1,$B$1)</f>
        <v>0</v>
      </c>
      <c r="AV15">
        <f>_xll.EQNXTDZ($A$1,$B15,AV$1,$B$1)</f>
        <v>0</v>
      </c>
      <c r="AW15">
        <f>_xll.EQNXTDZ($A$1,$B15,AW$1,$B$1)</f>
        <v>0</v>
      </c>
      <c r="AX15">
        <f>_xll.EQNXTDZ($A$1,$B15,AX$1,$B$1)</f>
        <v>0</v>
      </c>
      <c r="AY15">
        <f>_xll.EQNXTDZ($A$1,$B15,AY$1,$B$1)</f>
        <v>0</v>
      </c>
      <c r="AZ15">
        <f>_xll.EQNXTDZ($A$1,$B15,AZ$1,$B$1)</f>
        <v>0</v>
      </c>
      <c r="BA15">
        <f>_xll.EQNXTDZ($A$1,$B15,BA$1,$B$1)</f>
        <v>0</v>
      </c>
      <c r="BB15">
        <f>_xll.EQNXTDZ($A$1,$B15,BB$1,$B$1)</f>
        <v>0</v>
      </c>
      <c r="BC15">
        <f>_xll.EQNXTDZ($A$1,$B15,BC$1,$B$1)</f>
        <v>0</v>
      </c>
      <c r="BD15">
        <f>_xll.EQNXTDZ($A$1,$B15,BD$1,$B$1)</f>
        <v>0</v>
      </c>
      <c r="BE15">
        <f>_xll.EQNXTDZ($A$1,$B15,BE$1,$B$1)</f>
        <v>0</v>
      </c>
      <c r="BF15">
        <f>_xll.EQNXTDZ($A$1,$B15,BF$1,$B$1)</f>
        <v>0</v>
      </c>
      <c r="BG15">
        <f>_xll.EQNXTDZ($A$1,$B15,BG$1,$B$1)</f>
        <v>0</v>
      </c>
      <c r="BH15">
        <f>_xll.EQNXTDZ($A$1,$B15,BH$1,$B$1)</f>
        <v>0</v>
      </c>
      <c r="BI15">
        <f>_xll.EQNXTDZ($A$1,$B15,BI$1,$B$1)</f>
        <v>0</v>
      </c>
      <c r="BJ15">
        <f>_xll.EQNXTDZ($A$1,$B15,BJ$1,$B$1)</f>
        <v>0</v>
      </c>
      <c r="BK15">
        <f>_xll.EQNXTDZ($A$1,$B15,BK$1,$B$1)</f>
        <v>0</v>
      </c>
      <c r="BL15">
        <f>_xll.EQNXTDZ($A$1,$B15,BL$1,$B$1)</f>
        <v>0</v>
      </c>
      <c r="BM15">
        <f>_xll.EQNXTDZ($A$1,$B15,BM$1,$B$1)</f>
        <v>0</v>
      </c>
      <c r="BN15">
        <f>_xll.EQNXTDZ($A$1,$B15,BN$1,$B$1)</f>
        <v>0</v>
      </c>
      <c r="BO15">
        <f>_xll.EQNXTDZ($A$1,$B15,BO$1,$B$1)</f>
        <v>0</v>
      </c>
      <c r="BP15">
        <f>_xll.EQNXTDZ($A$1,$B15,BP$1,$B$1)</f>
        <v>0</v>
      </c>
      <c r="BQ15">
        <f>_xll.EQNXTDZ($A$1,$B15,BQ$1,$B$1)</f>
        <v>0</v>
      </c>
      <c r="BR15">
        <f>_xll.EQNXTDZ($A$1,$B15,BR$1,$B$1)</f>
        <v>0</v>
      </c>
      <c r="BS15">
        <f>_xll.EQNXTDZ($A$1,$B15,BS$1,$B$1)</f>
        <v>0</v>
      </c>
      <c r="BT15">
        <f>_xll.EQNXTDZ($A$1,$B15,BT$1,$B$1)</f>
        <v>0</v>
      </c>
      <c r="BU15">
        <f>_xll.EQNXTDZ($A$1,$B15,BU$1,$B$1)</f>
        <v>0</v>
      </c>
      <c r="BV15">
        <f>_xll.EQNXTDZ($A$1,$B15,BV$1,$B$1)</f>
        <v>0</v>
      </c>
    </row>
    <row r="16" spans="1:74" x14ac:dyDescent="0.25">
      <c r="A16" t="s">
        <v>8</v>
      </c>
      <c r="B16" t="s">
        <v>286</v>
      </c>
      <c r="C16">
        <f>_xll.EQNXTDZ($A$1,$B16,C$1,$B$1)</f>
        <v>3.2810000000000001</v>
      </c>
      <c r="D16">
        <f>_xll.EQNXTDZ($A$1,$B16,D$1,$B$1)</f>
        <v>3.2309999999999999</v>
      </c>
      <c r="E16">
        <f>_xll.EQNXTDZ($A$1,$B16,E$1,$B$1)</f>
        <v>4.4029999999999996</v>
      </c>
      <c r="F16">
        <f>_xll.EQNXTDZ($A$1,$B16,F$1,$B$1)</f>
        <v>4.234</v>
      </c>
      <c r="G16">
        <f>_xll.EQNXTDZ($A$1,$B16,G$1,$B$1)</f>
        <v>3.7189999999999999</v>
      </c>
      <c r="H16">
        <f>_xll.EQNXTDZ($A$1,$B16,H$1,$B$1)</f>
        <v>3.8370000000000002</v>
      </c>
      <c r="I16">
        <f>_xll.EQNXTDZ($A$1,$B16,I$1,$B$1)</f>
        <v>3.6640000000000001</v>
      </c>
      <c r="J16">
        <f>_xll.EQNXTDZ($A$1,$B16,J$1,$B$1)</f>
        <v>3.9540000000000002</v>
      </c>
      <c r="K16">
        <f>_xll.EQNXTDZ($A$1,$B16,K$1,$B$1)</f>
        <v>3.7879999999999998</v>
      </c>
      <c r="L16">
        <f>_xll.EQNXTDZ($A$1,$B16,L$1,$B$1)</f>
        <v>3.6779999999999999</v>
      </c>
      <c r="M16">
        <f>_xll.EQNXTDZ($A$1,$B16,M$1,$B$1)</f>
        <v>3.718</v>
      </c>
      <c r="N16">
        <f>_xll.EQNXTDZ($A$1,$B16,N$1,$B$1)</f>
        <v>4.5839999999999996</v>
      </c>
      <c r="O16">
        <f>_xll.EQNXTDZ($A$1,$B16,O$1,$B$1)</f>
        <v>3.6619999999999999</v>
      </c>
      <c r="P16">
        <f>_xll.EQNXTDZ($A$1,$B16,P$1,$B$1)</f>
        <v>3.3839999999999999</v>
      </c>
      <c r="Q16">
        <f>_xll.EQNXTDZ($A$1,$B16,Q$1,$B$1)</f>
        <v>3.3039999999999998</v>
      </c>
      <c r="R16">
        <f>_xll.EQNXTDZ($A$1,$B16,R$1,$B$1)</f>
        <v>3.0710000000000002</v>
      </c>
      <c r="S16">
        <f>_xll.EQNXTDZ($A$1,$B16,S$1,$B$1)</f>
        <v>3.7629999999999999</v>
      </c>
      <c r="T16">
        <f>_xll.EQNXTDZ($A$1,$B16,T$1,$B$1)</f>
        <v>3.5790000000000002</v>
      </c>
      <c r="U16">
        <f>_xll.EQNXTDZ($A$1,$B16,U$1,$B$1)</f>
        <v>3.6339999999999999</v>
      </c>
      <c r="V16">
        <f>_xll.EQNXTDZ($A$1,$B16,V$1,$B$1)</f>
        <v>4.3719999999999999</v>
      </c>
      <c r="W16">
        <f>_xll.EQNXTDZ($A$1,$B16,W$1,$B$1)</f>
        <v>3.899</v>
      </c>
      <c r="X16">
        <f>_xll.EQNXTDZ($A$1,$B16,X$1,$B$1)</f>
        <v>3.984</v>
      </c>
      <c r="Y16">
        <f>_xll.EQNXTDZ($A$1,$B16,Y$1,$B$1)</f>
        <v>3.8580000000000001</v>
      </c>
      <c r="Z16">
        <f>_xll.EQNXTDZ($A$1,$B16,Z$1,$B$1)</f>
        <v>4.3529999999999998</v>
      </c>
      <c r="AA16">
        <f>_xll.EQNXTDZ($A$1,$B16,AA$1,$B$1)</f>
        <v>4.3109999999999999</v>
      </c>
      <c r="AB16">
        <f>_xll.EQNXTDZ($A$1,$B16,AB$1,$B$1)</f>
        <v>4.5190000000000001</v>
      </c>
      <c r="AC16">
        <f>_xll.EQNXTDZ($A$1,$B16,AC$1,$B$1)</f>
        <v>4.5380000000000003</v>
      </c>
      <c r="AD16">
        <f>_xll.EQNXTDZ($A$1,$B16,AD$1,$B$1)</f>
        <v>8.3670000000000009</v>
      </c>
      <c r="AE16">
        <f>_xll.EQNXTDZ($A$1,$B16,AE$1,$B$1)</f>
        <v>5.9859999999999998</v>
      </c>
      <c r="AF16">
        <f>_xll.EQNXTDZ($A$1,$B16,AF$1,$B$1)</f>
        <v>6.0609999999999999</v>
      </c>
      <c r="AG16">
        <f>_xll.EQNXTDZ($A$1,$B16,AG$1,$B$1)</f>
        <v>5.1710000000000003</v>
      </c>
      <c r="AH16">
        <f>_xll.EQNXTDZ($A$1,$B16,AH$1,$B$1)</f>
        <v>5.4930000000000003</v>
      </c>
      <c r="AI16">
        <f>_xll.EQNXTDZ($A$1,$B16,AI$1,$B$1)</f>
        <v>2.3239999999999998</v>
      </c>
      <c r="AJ16">
        <f>_xll.EQNXTDZ($A$1,$B16,AJ$1,$B$1)</f>
        <v>4.4539999999999997</v>
      </c>
      <c r="AK16">
        <f>_xll.EQNXTDZ($A$1,$B16,AK$1,$B$1)</f>
        <v>3.5960000000000001</v>
      </c>
      <c r="AL16">
        <f>_xll.EQNXTDZ($A$1,$B16,AL$1,$B$1)</f>
        <v>4.3179999999999996</v>
      </c>
      <c r="AM16">
        <f>_xll.EQNXTDZ($A$1,$B16,AM$1,$B$1)</f>
        <v>4.0199999999999996</v>
      </c>
      <c r="AN16">
        <f>_xll.EQNXTDZ($A$1,$B16,AN$1,$B$1)</f>
        <v>4.34</v>
      </c>
      <c r="AO16">
        <f>_xll.EQNXTDZ($A$1,$B16,AO$1,$B$1)</f>
        <v>4.93</v>
      </c>
      <c r="AP16">
        <f>_xll.EQNXTDZ($A$1,$B16,AP$1,$B$1)</f>
        <v>5.0599999999999996</v>
      </c>
      <c r="AQ16">
        <f>_xll.EQNXTDZ($A$1,$B16,AQ$1,$B$1)</f>
        <v>7.18</v>
      </c>
      <c r="AR16">
        <f>_xll.EQNXTDZ($A$1,$B16,AR$1,$B$1)</f>
        <v>10.66</v>
      </c>
      <c r="AS16">
        <f>_xll.EQNXTDZ($A$1,$B16,AS$1,$B$1)</f>
        <v>12.76</v>
      </c>
      <c r="AT16">
        <f>_xll.EQNXTDZ($A$1,$B16,AT$1,$B$1)</f>
        <v>23.66</v>
      </c>
      <c r="AU16">
        <f>_xll.EQNXTDZ($A$1,$B16,AU$1,$B$1)</f>
        <v>22.58</v>
      </c>
      <c r="AV16">
        <f>_xll.EQNXTDZ($A$1,$B16,AV$1,$B$1)</f>
        <v>29.06</v>
      </c>
      <c r="AW16">
        <f>_xll.EQNXTDZ($A$1,$B16,AW$1,$B$1)</f>
        <v>36.619999999999997</v>
      </c>
      <c r="AX16">
        <f>_xll.EQNXTDZ($A$1,$B16,AX$1,$B$1)</f>
        <v>29.5</v>
      </c>
      <c r="AY16">
        <f>_xll.EQNXTDZ($A$1,$B16,AY$1,$B$1)</f>
        <v>33.770000000000003</v>
      </c>
      <c r="AZ16">
        <f>_xll.EQNXTDZ($A$1,$B16,AZ$1,$B$1)</f>
        <v>34.67</v>
      </c>
      <c r="BA16">
        <f>_xll.EQNXTDZ($A$1,$B16,BA$1,$B$1)</f>
        <v>40.83</v>
      </c>
      <c r="BB16">
        <f>_xll.EQNXTDZ($A$1,$B16,BB$1,$B$1)</f>
        <v>54</v>
      </c>
      <c r="BC16">
        <f>_xll.EQNXTDZ($A$1,$B16,BC$1,$B$1)</f>
        <v>63.8</v>
      </c>
      <c r="BD16">
        <f>_xll.EQNXTDZ($A$1,$B16,BD$1,$B$1)</f>
        <v>367.84</v>
      </c>
      <c r="BE16">
        <f>_xll.EQNXTDZ($A$1,$B16,BE$1,$B$1)</f>
        <v>411.51</v>
      </c>
      <c r="BF16">
        <f>_xll.EQNXTDZ($A$1,$B16,BF$1,$B$1)</f>
        <v>449.77</v>
      </c>
      <c r="BG16">
        <f>_xll.EQNXTDZ($A$1,$B16,BG$1,$B$1)</f>
        <v>0</v>
      </c>
      <c r="BH16">
        <f>_xll.EQNXTDZ($A$1,$B16,BH$1,$B$1)</f>
        <v>0</v>
      </c>
      <c r="BI16">
        <f>_xll.EQNXTDZ($A$1,$B16,BI$1,$B$1)</f>
        <v>0</v>
      </c>
      <c r="BJ16">
        <f>_xll.EQNXTDZ($A$1,$B16,BJ$1,$B$1)</f>
        <v>0</v>
      </c>
      <c r="BK16">
        <f>_xll.EQNXTDZ($A$1,$B16,BK$1,$B$1)</f>
        <v>0</v>
      </c>
      <c r="BL16">
        <f>_xll.EQNXTDZ($A$1,$B16,BL$1,$B$1)</f>
        <v>0</v>
      </c>
      <c r="BM16">
        <f>_xll.EQNXTDZ($A$1,$B16,BM$1,$B$1)</f>
        <v>0</v>
      </c>
      <c r="BN16">
        <f>_xll.EQNXTDZ($A$1,$B16,BN$1,$B$1)</f>
        <v>0</v>
      </c>
      <c r="BO16">
        <f>_xll.EQNXTDZ($A$1,$B16,BO$1,$B$1)</f>
        <v>0</v>
      </c>
      <c r="BP16">
        <f>_xll.EQNXTDZ($A$1,$B16,BP$1,$B$1)</f>
        <v>0</v>
      </c>
      <c r="BQ16">
        <f>_xll.EQNXTDZ($A$1,$B16,BQ$1,$B$1)</f>
        <v>0</v>
      </c>
      <c r="BR16">
        <f>_xll.EQNXTDZ($A$1,$B16,BR$1,$B$1)</f>
        <v>0</v>
      </c>
      <c r="BS16">
        <f>_xll.EQNXTDZ($A$1,$B16,BS$1,$B$1)</f>
        <v>0</v>
      </c>
      <c r="BT16">
        <f>_xll.EQNXTDZ($A$1,$B16,BT$1,$B$1)</f>
        <v>0</v>
      </c>
      <c r="BU16">
        <f>_xll.EQNXTDZ($A$1,$B16,BU$1,$B$1)</f>
        <v>0</v>
      </c>
      <c r="BV16">
        <f>_xll.EQNXTDZ($A$1,$B16,BV$1,$B$1)</f>
        <v>0</v>
      </c>
    </row>
    <row r="17" spans="1:74" x14ac:dyDescent="0.25">
      <c r="A17" t="s">
        <v>260</v>
      </c>
      <c r="B17" t="s">
        <v>287</v>
      </c>
      <c r="C17">
        <f>_xll.EQNXTDZ($A$1,$B17,C$1,$B$1)</f>
        <v>0</v>
      </c>
      <c r="D17">
        <f>_xll.EQNXTDZ($A$1,$B17,D$1,$B$1)</f>
        <v>0</v>
      </c>
      <c r="E17">
        <f>_xll.EQNXTDZ($A$1,$B17,E$1,$B$1)</f>
        <v>0</v>
      </c>
      <c r="F17">
        <f>_xll.EQNXTDZ($A$1,$B17,F$1,$B$1)</f>
        <v>0</v>
      </c>
      <c r="G17">
        <f>_xll.EQNXTDZ($A$1,$B17,G$1,$B$1)</f>
        <v>0</v>
      </c>
      <c r="H17">
        <f>_xll.EQNXTDZ($A$1,$B17,H$1,$B$1)</f>
        <v>0</v>
      </c>
      <c r="I17">
        <f>_xll.EQNXTDZ($A$1,$B17,I$1,$B$1)</f>
        <v>0</v>
      </c>
      <c r="J17">
        <f>_xll.EQNXTDZ($A$1,$B17,J$1,$B$1)</f>
        <v>0</v>
      </c>
      <c r="K17">
        <f>_xll.EQNXTDZ($A$1,$B17,K$1,$B$1)</f>
        <v>0</v>
      </c>
      <c r="L17">
        <f>_xll.EQNXTDZ($A$1,$B17,L$1,$B$1)</f>
        <v>0</v>
      </c>
      <c r="M17">
        <f>_xll.EQNXTDZ($A$1,$B17,M$1,$B$1)</f>
        <v>0</v>
      </c>
      <c r="N17">
        <f>_xll.EQNXTDZ($A$1,$B17,N$1,$B$1)</f>
        <v>0</v>
      </c>
      <c r="O17">
        <f>_xll.EQNXTDZ($A$1,$B17,O$1,$B$1)</f>
        <v>0</v>
      </c>
      <c r="P17">
        <f>_xll.EQNXTDZ($A$1,$B17,P$1,$B$1)</f>
        <v>0</v>
      </c>
      <c r="Q17">
        <f>_xll.EQNXTDZ($A$1,$B17,Q$1,$B$1)</f>
        <v>0</v>
      </c>
      <c r="R17">
        <f>_xll.EQNXTDZ($A$1,$B17,R$1,$B$1)</f>
        <v>0</v>
      </c>
      <c r="S17">
        <f>_xll.EQNXTDZ($A$1,$B17,S$1,$B$1)</f>
        <v>0</v>
      </c>
      <c r="T17">
        <f>_xll.EQNXTDZ($A$1,$B17,T$1,$B$1)</f>
        <v>0</v>
      </c>
      <c r="U17">
        <f>_xll.EQNXTDZ($A$1,$B17,U$1,$B$1)</f>
        <v>0</v>
      </c>
      <c r="V17">
        <f>_xll.EQNXTDZ($A$1,$B17,V$1,$B$1)</f>
        <v>0</v>
      </c>
      <c r="W17">
        <f>_xll.EQNXTDZ($A$1,$B17,W$1,$B$1)</f>
        <v>0</v>
      </c>
      <c r="X17">
        <f>_xll.EQNXTDZ($A$1,$B17,X$1,$B$1)</f>
        <v>0</v>
      </c>
      <c r="Y17">
        <f>_xll.EQNXTDZ($A$1,$B17,Y$1,$B$1)</f>
        <v>0</v>
      </c>
      <c r="Z17">
        <f>_xll.EQNXTDZ($A$1,$B17,Z$1,$B$1)</f>
        <v>0</v>
      </c>
      <c r="AA17">
        <f>_xll.EQNXTDZ($A$1,$B17,AA$1,$B$1)</f>
        <v>0</v>
      </c>
      <c r="AB17">
        <f>_xll.EQNXTDZ($A$1,$B17,AB$1,$B$1)</f>
        <v>0</v>
      </c>
      <c r="AC17">
        <f>_xll.EQNXTDZ($A$1,$B17,AC$1,$B$1)</f>
        <v>0</v>
      </c>
      <c r="AD17">
        <f>_xll.EQNXTDZ($A$1,$B17,AD$1,$B$1)</f>
        <v>0</v>
      </c>
      <c r="AE17">
        <f>_xll.EQNXTDZ($A$1,$B17,AE$1,$B$1)</f>
        <v>0</v>
      </c>
      <c r="AF17">
        <f>_xll.EQNXTDZ($A$1,$B17,AF$1,$B$1)</f>
        <v>0</v>
      </c>
      <c r="AG17">
        <f>_xll.EQNXTDZ($A$1,$B17,AG$1,$B$1)</f>
        <v>0</v>
      </c>
      <c r="AH17">
        <f>_xll.EQNXTDZ($A$1,$B17,AH$1,$B$1)</f>
        <v>0</v>
      </c>
      <c r="AI17">
        <f>_xll.EQNXTDZ($A$1,$B17,AI$1,$B$1)</f>
        <v>0</v>
      </c>
      <c r="AJ17">
        <f>_xll.EQNXTDZ($A$1,$B17,AJ$1,$B$1)</f>
        <v>0</v>
      </c>
      <c r="AK17">
        <f>_xll.EQNXTDZ($A$1,$B17,AK$1,$B$1)</f>
        <v>0</v>
      </c>
      <c r="AL17">
        <f>_xll.EQNXTDZ($A$1,$B17,AL$1,$B$1)</f>
        <v>0</v>
      </c>
      <c r="AM17">
        <f>_xll.EQNXTDZ($A$1,$B17,AM$1,$B$1)</f>
        <v>0</v>
      </c>
      <c r="AN17">
        <f>_xll.EQNXTDZ($A$1,$B17,AN$1,$B$1)</f>
        <v>0</v>
      </c>
      <c r="AO17">
        <f>_xll.EQNXTDZ($A$1,$B17,AO$1,$B$1)</f>
        <v>0</v>
      </c>
      <c r="AP17">
        <f>_xll.EQNXTDZ($A$1,$B17,AP$1,$B$1)</f>
        <v>0</v>
      </c>
      <c r="AQ17">
        <f>_xll.EQNXTDZ($A$1,$B17,AQ$1,$B$1)</f>
        <v>0</v>
      </c>
      <c r="AR17">
        <f>_xll.EQNXTDZ($A$1,$B17,AR$1,$B$1)</f>
        <v>0</v>
      </c>
      <c r="AS17">
        <f>_xll.EQNXTDZ($A$1,$B17,AS$1,$B$1)</f>
        <v>0</v>
      </c>
      <c r="AT17">
        <f>_xll.EQNXTDZ($A$1,$B17,AT$1,$B$1)</f>
        <v>0</v>
      </c>
      <c r="AU17">
        <f>_xll.EQNXTDZ($A$1,$B17,AU$1,$B$1)</f>
        <v>0</v>
      </c>
      <c r="AV17">
        <f>_xll.EQNXTDZ($A$1,$B17,AV$1,$B$1)</f>
        <v>0</v>
      </c>
      <c r="AW17">
        <f>_xll.EQNXTDZ($A$1,$B17,AW$1,$B$1)</f>
        <v>0</v>
      </c>
      <c r="AX17">
        <f>_xll.EQNXTDZ($A$1,$B17,AX$1,$B$1)</f>
        <v>0</v>
      </c>
      <c r="AY17">
        <f>_xll.EQNXTDZ($A$1,$B17,AY$1,$B$1)</f>
        <v>0</v>
      </c>
      <c r="AZ17">
        <f>_xll.EQNXTDZ($A$1,$B17,AZ$1,$B$1)</f>
        <v>0</v>
      </c>
      <c r="BA17">
        <f>_xll.EQNXTDZ($A$1,$B17,BA$1,$B$1)</f>
        <v>0</v>
      </c>
      <c r="BB17">
        <f>_xll.EQNXTDZ($A$1,$B17,BB$1,$B$1)</f>
        <v>0</v>
      </c>
      <c r="BC17">
        <f>_xll.EQNXTDZ($A$1,$B17,BC$1,$B$1)</f>
        <v>0</v>
      </c>
      <c r="BD17">
        <f>_xll.EQNXTDZ($A$1,$B17,BD$1,$B$1)</f>
        <v>0</v>
      </c>
      <c r="BE17">
        <f>_xll.EQNXTDZ($A$1,$B17,BE$1,$B$1)</f>
        <v>0</v>
      </c>
      <c r="BF17">
        <f>_xll.EQNXTDZ($A$1,$B17,BF$1,$B$1)</f>
        <v>0</v>
      </c>
      <c r="BG17">
        <f>_xll.EQNXTDZ($A$1,$B17,BG$1,$B$1)</f>
        <v>0</v>
      </c>
      <c r="BH17">
        <f>_xll.EQNXTDZ($A$1,$B17,BH$1,$B$1)</f>
        <v>0</v>
      </c>
      <c r="BI17">
        <f>_xll.EQNXTDZ($A$1,$B17,BI$1,$B$1)</f>
        <v>0</v>
      </c>
      <c r="BJ17">
        <f>_xll.EQNXTDZ($A$1,$B17,BJ$1,$B$1)</f>
        <v>0</v>
      </c>
      <c r="BK17">
        <f>_xll.EQNXTDZ($A$1,$B17,BK$1,$B$1)</f>
        <v>0</v>
      </c>
      <c r="BL17">
        <f>_xll.EQNXTDZ($A$1,$B17,BL$1,$B$1)</f>
        <v>0</v>
      </c>
      <c r="BM17">
        <f>_xll.EQNXTDZ($A$1,$B17,BM$1,$B$1)</f>
        <v>0</v>
      </c>
      <c r="BN17">
        <f>_xll.EQNXTDZ($A$1,$B17,BN$1,$B$1)</f>
        <v>0</v>
      </c>
      <c r="BO17">
        <f>_xll.EQNXTDZ($A$1,$B17,BO$1,$B$1)</f>
        <v>0</v>
      </c>
      <c r="BP17">
        <f>_xll.EQNXTDZ($A$1,$B17,BP$1,$B$1)</f>
        <v>0</v>
      </c>
      <c r="BQ17">
        <f>_xll.EQNXTDZ($A$1,$B17,BQ$1,$B$1)</f>
        <v>0</v>
      </c>
      <c r="BR17">
        <f>_xll.EQNXTDZ($A$1,$B17,BR$1,$B$1)</f>
        <v>0</v>
      </c>
      <c r="BS17">
        <f>_xll.EQNXTDZ($A$1,$B17,BS$1,$B$1)</f>
        <v>0</v>
      </c>
      <c r="BT17">
        <f>_xll.EQNXTDZ($A$1,$B17,BT$1,$B$1)</f>
        <v>0</v>
      </c>
      <c r="BU17">
        <f>_xll.EQNXTDZ($A$1,$B17,BU$1,$B$1)</f>
        <v>0</v>
      </c>
      <c r="BV17">
        <f>_xll.EQNXTDZ($A$1,$B17,BV$1,$B$1)</f>
        <v>0</v>
      </c>
    </row>
    <row r="18" spans="1:74" x14ac:dyDescent="0.25">
      <c r="A18" t="s">
        <v>261</v>
      </c>
      <c r="B18" t="s">
        <v>288</v>
      </c>
      <c r="C18">
        <f>_xll.EQNXTDZ($A$1,$B18,C$1,$B$1)</f>
        <v>0</v>
      </c>
      <c r="D18">
        <f>_xll.EQNXTDZ($A$1,$B18,D$1,$B$1)</f>
        <v>0</v>
      </c>
      <c r="E18">
        <f>_xll.EQNXTDZ($A$1,$B18,E$1,$B$1)</f>
        <v>0</v>
      </c>
      <c r="F18">
        <f>_xll.EQNXTDZ($A$1,$B18,F$1,$B$1)</f>
        <v>0</v>
      </c>
      <c r="G18">
        <f>_xll.EQNXTDZ($A$1,$B18,G$1,$B$1)</f>
        <v>0</v>
      </c>
      <c r="H18">
        <f>_xll.EQNXTDZ($A$1,$B18,H$1,$B$1)</f>
        <v>0</v>
      </c>
      <c r="I18">
        <f>_xll.EQNXTDZ($A$1,$B18,I$1,$B$1)</f>
        <v>0</v>
      </c>
      <c r="J18">
        <f>_xll.EQNXTDZ($A$1,$B18,J$1,$B$1)</f>
        <v>0</v>
      </c>
      <c r="K18">
        <f>_xll.EQNXTDZ($A$1,$B18,K$1,$B$1)</f>
        <v>0</v>
      </c>
      <c r="L18">
        <f>_xll.EQNXTDZ($A$1,$B18,L$1,$B$1)</f>
        <v>0</v>
      </c>
      <c r="M18">
        <f>_xll.EQNXTDZ($A$1,$B18,M$1,$B$1)</f>
        <v>0</v>
      </c>
      <c r="N18">
        <f>_xll.EQNXTDZ($A$1,$B18,N$1,$B$1)</f>
        <v>0</v>
      </c>
      <c r="O18">
        <f>_xll.EQNXTDZ($A$1,$B18,O$1,$B$1)</f>
        <v>0</v>
      </c>
      <c r="P18">
        <f>_xll.EQNXTDZ($A$1,$B18,P$1,$B$1)</f>
        <v>0</v>
      </c>
      <c r="Q18">
        <f>_xll.EQNXTDZ($A$1,$B18,Q$1,$B$1)</f>
        <v>0</v>
      </c>
      <c r="R18">
        <f>_xll.EQNXTDZ($A$1,$B18,R$1,$B$1)</f>
        <v>0</v>
      </c>
      <c r="S18">
        <f>_xll.EQNXTDZ($A$1,$B18,S$1,$B$1)</f>
        <v>0</v>
      </c>
      <c r="T18">
        <f>_xll.EQNXTDZ($A$1,$B18,T$1,$B$1)</f>
        <v>0</v>
      </c>
      <c r="U18">
        <f>_xll.EQNXTDZ($A$1,$B18,U$1,$B$1)</f>
        <v>0</v>
      </c>
      <c r="V18">
        <f>_xll.EQNXTDZ($A$1,$B18,V$1,$B$1)</f>
        <v>0</v>
      </c>
      <c r="W18">
        <f>_xll.EQNXTDZ($A$1,$B18,W$1,$B$1)</f>
        <v>0</v>
      </c>
      <c r="X18">
        <f>_xll.EQNXTDZ($A$1,$B18,X$1,$B$1)</f>
        <v>0</v>
      </c>
      <c r="Y18">
        <f>_xll.EQNXTDZ($A$1,$B18,Y$1,$B$1)</f>
        <v>0</v>
      </c>
      <c r="Z18">
        <f>_xll.EQNXTDZ($A$1,$B18,Z$1,$B$1)</f>
        <v>0</v>
      </c>
      <c r="AA18">
        <f>_xll.EQNXTDZ($A$1,$B18,AA$1,$B$1)</f>
        <v>0</v>
      </c>
      <c r="AB18">
        <f>_xll.EQNXTDZ($A$1,$B18,AB$1,$B$1)</f>
        <v>0</v>
      </c>
      <c r="AC18">
        <f>_xll.EQNXTDZ($A$1,$B18,AC$1,$B$1)</f>
        <v>0</v>
      </c>
      <c r="AD18">
        <f>_xll.EQNXTDZ($A$1,$B18,AD$1,$B$1)</f>
        <v>0</v>
      </c>
      <c r="AE18">
        <f>_xll.EQNXTDZ($A$1,$B18,AE$1,$B$1)</f>
        <v>0</v>
      </c>
      <c r="AF18">
        <f>_xll.EQNXTDZ($A$1,$B18,AF$1,$B$1)</f>
        <v>0</v>
      </c>
      <c r="AG18">
        <f>_xll.EQNXTDZ($A$1,$B18,AG$1,$B$1)</f>
        <v>0</v>
      </c>
      <c r="AH18">
        <f>_xll.EQNXTDZ($A$1,$B18,AH$1,$B$1)</f>
        <v>0</v>
      </c>
      <c r="AI18">
        <f>_xll.EQNXTDZ($A$1,$B18,AI$1,$B$1)</f>
        <v>0</v>
      </c>
      <c r="AJ18">
        <f>_xll.EQNXTDZ($A$1,$B18,AJ$1,$B$1)</f>
        <v>0</v>
      </c>
      <c r="AK18">
        <f>_xll.EQNXTDZ($A$1,$B18,AK$1,$B$1)</f>
        <v>0</v>
      </c>
      <c r="AL18">
        <f>_xll.EQNXTDZ($A$1,$B18,AL$1,$B$1)</f>
        <v>0</v>
      </c>
      <c r="AM18">
        <f>_xll.EQNXTDZ($A$1,$B18,AM$1,$B$1)</f>
        <v>0</v>
      </c>
      <c r="AN18">
        <f>_xll.EQNXTDZ($A$1,$B18,AN$1,$B$1)</f>
        <v>0</v>
      </c>
      <c r="AO18">
        <f>_xll.EQNXTDZ($A$1,$B18,AO$1,$B$1)</f>
        <v>0</v>
      </c>
      <c r="AP18">
        <f>_xll.EQNXTDZ($A$1,$B18,AP$1,$B$1)</f>
        <v>0</v>
      </c>
      <c r="AQ18">
        <f>_xll.EQNXTDZ($A$1,$B18,AQ$1,$B$1)</f>
        <v>0</v>
      </c>
      <c r="AR18">
        <f>_xll.EQNXTDZ($A$1,$B18,AR$1,$B$1)</f>
        <v>0</v>
      </c>
      <c r="AS18">
        <f>_xll.EQNXTDZ($A$1,$B18,AS$1,$B$1)</f>
        <v>0</v>
      </c>
      <c r="AT18">
        <f>_xll.EQNXTDZ($A$1,$B18,AT$1,$B$1)</f>
        <v>0</v>
      </c>
      <c r="AU18">
        <f>_xll.EQNXTDZ($A$1,$B18,AU$1,$B$1)</f>
        <v>0</v>
      </c>
      <c r="AV18">
        <f>_xll.EQNXTDZ($A$1,$B18,AV$1,$B$1)</f>
        <v>0</v>
      </c>
      <c r="AW18">
        <f>_xll.EQNXTDZ($A$1,$B18,AW$1,$B$1)</f>
        <v>0</v>
      </c>
      <c r="AX18">
        <f>_xll.EQNXTDZ($A$1,$B18,AX$1,$B$1)</f>
        <v>0</v>
      </c>
      <c r="AY18">
        <f>_xll.EQNXTDZ($A$1,$B18,AY$1,$B$1)</f>
        <v>0</v>
      </c>
      <c r="AZ18">
        <f>_xll.EQNXTDZ($A$1,$B18,AZ$1,$B$1)</f>
        <v>0</v>
      </c>
      <c r="BA18">
        <f>_xll.EQNXTDZ($A$1,$B18,BA$1,$B$1)</f>
        <v>0</v>
      </c>
      <c r="BB18">
        <f>_xll.EQNXTDZ($A$1,$B18,BB$1,$B$1)</f>
        <v>0</v>
      </c>
      <c r="BC18">
        <f>_xll.EQNXTDZ($A$1,$B18,BC$1,$B$1)</f>
        <v>0</v>
      </c>
      <c r="BD18">
        <f>_xll.EQNXTDZ($A$1,$B18,BD$1,$B$1)</f>
        <v>0</v>
      </c>
      <c r="BE18">
        <f>_xll.EQNXTDZ($A$1,$B18,BE$1,$B$1)</f>
        <v>0</v>
      </c>
      <c r="BF18">
        <f>_xll.EQNXTDZ($A$1,$B18,BF$1,$B$1)</f>
        <v>0</v>
      </c>
      <c r="BG18">
        <f>_xll.EQNXTDZ($A$1,$B18,BG$1,$B$1)</f>
        <v>0</v>
      </c>
      <c r="BH18">
        <f>_xll.EQNXTDZ($A$1,$B18,BH$1,$B$1)</f>
        <v>0</v>
      </c>
      <c r="BI18">
        <f>_xll.EQNXTDZ($A$1,$B18,BI$1,$B$1)</f>
        <v>0</v>
      </c>
      <c r="BJ18">
        <f>_xll.EQNXTDZ($A$1,$B18,BJ$1,$B$1)</f>
        <v>0</v>
      </c>
      <c r="BK18">
        <f>_xll.EQNXTDZ($A$1,$B18,BK$1,$B$1)</f>
        <v>0</v>
      </c>
      <c r="BL18">
        <f>_xll.EQNXTDZ($A$1,$B18,BL$1,$B$1)</f>
        <v>0</v>
      </c>
      <c r="BM18">
        <f>_xll.EQNXTDZ($A$1,$B18,BM$1,$B$1)</f>
        <v>0</v>
      </c>
      <c r="BN18">
        <f>_xll.EQNXTDZ($A$1,$B18,BN$1,$B$1)</f>
        <v>0</v>
      </c>
      <c r="BO18">
        <f>_xll.EQNXTDZ($A$1,$B18,BO$1,$B$1)</f>
        <v>0</v>
      </c>
      <c r="BP18">
        <f>_xll.EQNXTDZ($A$1,$B18,BP$1,$B$1)</f>
        <v>0</v>
      </c>
      <c r="BQ18">
        <f>_xll.EQNXTDZ($A$1,$B18,BQ$1,$B$1)</f>
        <v>0</v>
      </c>
      <c r="BR18">
        <f>_xll.EQNXTDZ($A$1,$B18,BR$1,$B$1)</f>
        <v>0</v>
      </c>
      <c r="BS18">
        <f>_xll.EQNXTDZ($A$1,$B18,BS$1,$B$1)</f>
        <v>0</v>
      </c>
      <c r="BT18">
        <f>_xll.EQNXTDZ($A$1,$B18,BT$1,$B$1)</f>
        <v>0</v>
      </c>
      <c r="BU18">
        <f>_xll.EQNXTDZ($A$1,$B18,BU$1,$B$1)</f>
        <v>0</v>
      </c>
      <c r="BV18">
        <f>_xll.EQNXTDZ($A$1,$B18,BV$1,$B$1)</f>
        <v>0</v>
      </c>
    </row>
    <row r="19" spans="1:74" x14ac:dyDescent="0.25">
      <c r="A19" t="s">
        <v>262</v>
      </c>
      <c r="B19" t="s">
        <v>289</v>
      </c>
      <c r="C19">
        <f>_xll.EQNXTDZ($A$1,$B19,C$1,$B$1)</f>
        <v>0</v>
      </c>
      <c r="D19">
        <f>_xll.EQNXTDZ($A$1,$B19,D$1,$B$1)</f>
        <v>0</v>
      </c>
      <c r="E19">
        <f>_xll.EQNXTDZ($A$1,$B19,E$1,$B$1)</f>
        <v>0</v>
      </c>
      <c r="F19">
        <f>_xll.EQNXTDZ($A$1,$B19,F$1,$B$1)</f>
        <v>0</v>
      </c>
      <c r="G19">
        <f>_xll.EQNXTDZ($A$1,$B19,G$1,$B$1)</f>
        <v>0</v>
      </c>
      <c r="H19">
        <f>_xll.EQNXTDZ($A$1,$B19,H$1,$B$1)</f>
        <v>0</v>
      </c>
      <c r="I19">
        <f>_xll.EQNXTDZ($A$1,$B19,I$1,$B$1)</f>
        <v>0</v>
      </c>
      <c r="J19">
        <f>_xll.EQNXTDZ($A$1,$B19,J$1,$B$1)</f>
        <v>0</v>
      </c>
      <c r="K19">
        <f>_xll.EQNXTDZ($A$1,$B19,K$1,$B$1)</f>
        <v>0</v>
      </c>
      <c r="L19">
        <f>_xll.EQNXTDZ($A$1,$B19,L$1,$B$1)</f>
        <v>0</v>
      </c>
      <c r="M19">
        <f>_xll.EQNXTDZ($A$1,$B19,M$1,$B$1)</f>
        <v>0</v>
      </c>
      <c r="N19">
        <f>_xll.EQNXTDZ($A$1,$B19,N$1,$B$1)</f>
        <v>0</v>
      </c>
      <c r="O19">
        <f>_xll.EQNXTDZ($A$1,$B19,O$1,$B$1)</f>
        <v>0</v>
      </c>
      <c r="P19">
        <f>_xll.EQNXTDZ($A$1,$B19,P$1,$B$1)</f>
        <v>0</v>
      </c>
      <c r="Q19">
        <f>_xll.EQNXTDZ($A$1,$B19,Q$1,$B$1)</f>
        <v>0</v>
      </c>
      <c r="R19">
        <f>_xll.EQNXTDZ($A$1,$B19,R$1,$B$1)</f>
        <v>0</v>
      </c>
      <c r="S19">
        <f>_xll.EQNXTDZ($A$1,$B19,S$1,$B$1)</f>
        <v>0</v>
      </c>
      <c r="T19">
        <f>_xll.EQNXTDZ($A$1,$B19,T$1,$B$1)</f>
        <v>0</v>
      </c>
      <c r="U19">
        <f>_xll.EQNXTDZ($A$1,$B19,U$1,$B$1)</f>
        <v>0</v>
      </c>
      <c r="V19">
        <f>_xll.EQNXTDZ($A$1,$B19,V$1,$B$1)</f>
        <v>0</v>
      </c>
      <c r="W19">
        <f>_xll.EQNXTDZ($A$1,$B19,W$1,$B$1)</f>
        <v>0</v>
      </c>
      <c r="X19">
        <f>_xll.EQNXTDZ($A$1,$B19,X$1,$B$1)</f>
        <v>0</v>
      </c>
      <c r="Y19">
        <f>_xll.EQNXTDZ($A$1,$B19,Y$1,$B$1)</f>
        <v>0</v>
      </c>
      <c r="Z19">
        <f>_xll.EQNXTDZ($A$1,$B19,Z$1,$B$1)</f>
        <v>0</v>
      </c>
      <c r="AA19">
        <f>_xll.EQNXTDZ($A$1,$B19,AA$1,$B$1)</f>
        <v>0</v>
      </c>
      <c r="AB19">
        <f>_xll.EQNXTDZ($A$1,$B19,AB$1,$B$1)</f>
        <v>0</v>
      </c>
      <c r="AC19">
        <f>_xll.EQNXTDZ($A$1,$B19,AC$1,$B$1)</f>
        <v>0</v>
      </c>
      <c r="AD19">
        <f>_xll.EQNXTDZ($A$1,$B19,AD$1,$B$1)</f>
        <v>0</v>
      </c>
      <c r="AE19">
        <f>_xll.EQNXTDZ($A$1,$B19,AE$1,$B$1)</f>
        <v>0</v>
      </c>
      <c r="AF19">
        <f>_xll.EQNXTDZ($A$1,$B19,AF$1,$B$1)</f>
        <v>0</v>
      </c>
      <c r="AG19">
        <f>_xll.EQNXTDZ($A$1,$B19,AG$1,$B$1)</f>
        <v>0</v>
      </c>
      <c r="AH19">
        <f>_xll.EQNXTDZ($A$1,$B19,AH$1,$B$1)</f>
        <v>0</v>
      </c>
      <c r="AI19">
        <f>_xll.EQNXTDZ($A$1,$B19,AI$1,$B$1)</f>
        <v>0</v>
      </c>
      <c r="AJ19">
        <f>_xll.EQNXTDZ($A$1,$B19,AJ$1,$B$1)</f>
        <v>0</v>
      </c>
      <c r="AK19">
        <f>_xll.EQNXTDZ($A$1,$B19,AK$1,$B$1)</f>
        <v>0</v>
      </c>
      <c r="AL19">
        <f>_xll.EQNXTDZ($A$1,$B19,AL$1,$B$1)</f>
        <v>0</v>
      </c>
      <c r="AM19">
        <f>_xll.EQNXTDZ($A$1,$B19,AM$1,$B$1)</f>
        <v>0</v>
      </c>
      <c r="AN19">
        <f>_xll.EQNXTDZ($A$1,$B19,AN$1,$B$1)</f>
        <v>0</v>
      </c>
      <c r="AO19">
        <f>_xll.EQNXTDZ($A$1,$B19,AO$1,$B$1)</f>
        <v>0</v>
      </c>
      <c r="AP19">
        <f>_xll.EQNXTDZ($A$1,$B19,AP$1,$B$1)</f>
        <v>0</v>
      </c>
      <c r="AQ19">
        <f>_xll.EQNXTDZ($A$1,$B19,AQ$1,$B$1)</f>
        <v>0</v>
      </c>
      <c r="AR19">
        <f>_xll.EQNXTDZ($A$1,$B19,AR$1,$B$1)</f>
        <v>0</v>
      </c>
      <c r="AS19">
        <f>_xll.EQNXTDZ($A$1,$B19,AS$1,$B$1)</f>
        <v>0</v>
      </c>
      <c r="AT19">
        <f>_xll.EQNXTDZ($A$1,$B19,AT$1,$B$1)</f>
        <v>0</v>
      </c>
      <c r="AU19">
        <f>_xll.EQNXTDZ($A$1,$B19,AU$1,$B$1)</f>
        <v>0</v>
      </c>
      <c r="AV19">
        <f>_xll.EQNXTDZ($A$1,$B19,AV$1,$B$1)</f>
        <v>0</v>
      </c>
      <c r="AW19">
        <f>_xll.EQNXTDZ($A$1,$B19,AW$1,$B$1)</f>
        <v>0</v>
      </c>
      <c r="AX19">
        <f>_xll.EQNXTDZ($A$1,$B19,AX$1,$B$1)</f>
        <v>0</v>
      </c>
      <c r="AY19">
        <f>_xll.EQNXTDZ($A$1,$B19,AY$1,$B$1)</f>
        <v>0</v>
      </c>
      <c r="AZ19">
        <f>_xll.EQNXTDZ($A$1,$B19,AZ$1,$B$1)</f>
        <v>0</v>
      </c>
      <c r="BA19">
        <f>_xll.EQNXTDZ($A$1,$B19,BA$1,$B$1)</f>
        <v>0</v>
      </c>
      <c r="BB19">
        <f>_xll.EQNXTDZ($A$1,$B19,BB$1,$B$1)</f>
        <v>0</v>
      </c>
      <c r="BC19">
        <f>_xll.EQNXTDZ($A$1,$B19,BC$1,$B$1)</f>
        <v>0</v>
      </c>
      <c r="BD19">
        <f>_xll.EQNXTDZ($A$1,$B19,BD$1,$B$1)</f>
        <v>0</v>
      </c>
      <c r="BE19">
        <f>_xll.EQNXTDZ($A$1,$B19,BE$1,$B$1)</f>
        <v>0</v>
      </c>
      <c r="BF19">
        <f>_xll.EQNXTDZ($A$1,$B19,BF$1,$B$1)</f>
        <v>0</v>
      </c>
      <c r="BG19">
        <f>_xll.EQNXTDZ($A$1,$B19,BG$1,$B$1)</f>
        <v>0</v>
      </c>
      <c r="BH19">
        <f>_xll.EQNXTDZ($A$1,$B19,BH$1,$B$1)</f>
        <v>0</v>
      </c>
      <c r="BI19">
        <f>_xll.EQNXTDZ($A$1,$B19,BI$1,$B$1)</f>
        <v>0</v>
      </c>
      <c r="BJ19">
        <f>_xll.EQNXTDZ($A$1,$B19,BJ$1,$B$1)</f>
        <v>0</v>
      </c>
      <c r="BK19">
        <f>_xll.EQNXTDZ($A$1,$B19,BK$1,$B$1)</f>
        <v>0</v>
      </c>
      <c r="BL19">
        <f>_xll.EQNXTDZ($A$1,$B19,BL$1,$B$1)</f>
        <v>0</v>
      </c>
      <c r="BM19">
        <f>_xll.EQNXTDZ($A$1,$B19,BM$1,$B$1)</f>
        <v>0</v>
      </c>
      <c r="BN19">
        <f>_xll.EQNXTDZ($A$1,$B19,BN$1,$B$1)</f>
        <v>0</v>
      </c>
      <c r="BO19">
        <f>_xll.EQNXTDZ($A$1,$B19,BO$1,$B$1)</f>
        <v>0</v>
      </c>
      <c r="BP19">
        <f>_xll.EQNXTDZ($A$1,$B19,BP$1,$B$1)</f>
        <v>0</v>
      </c>
      <c r="BQ19">
        <f>_xll.EQNXTDZ($A$1,$B19,BQ$1,$B$1)</f>
        <v>0</v>
      </c>
      <c r="BR19">
        <f>_xll.EQNXTDZ($A$1,$B19,BR$1,$B$1)</f>
        <v>0</v>
      </c>
      <c r="BS19">
        <f>_xll.EQNXTDZ($A$1,$B19,BS$1,$B$1)</f>
        <v>0</v>
      </c>
      <c r="BT19">
        <f>_xll.EQNXTDZ($A$1,$B19,BT$1,$B$1)</f>
        <v>0</v>
      </c>
      <c r="BU19">
        <f>_xll.EQNXTDZ($A$1,$B19,BU$1,$B$1)</f>
        <v>0</v>
      </c>
      <c r="BV19">
        <f>_xll.EQNXTDZ($A$1,$B19,BV$1,$B$1)</f>
        <v>0</v>
      </c>
    </row>
    <row r="20" spans="1:74" x14ac:dyDescent="0.25">
      <c r="A20" t="s">
        <v>263</v>
      </c>
      <c r="B20" t="s">
        <v>290</v>
      </c>
      <c r="C20">
        <f>_xll.EQNXTDZ($A$1,$B20,C$1,$B$1)</f>
        <v>0</v>
      </c>
      <c r="D20">
        <f>_xll.EQNXTDZ($A$1,$B20,D$1,$B$1)</f>
        <v>0</v>
      </c>
      <c r="E20">
        <f>_xll.EQNXTDZ($A$1,$B20,E$1,$B$1)</f>
        <v>0</v>
      </c>
      <c r="F20">
        <f>_xll.EQNXTDZ($A$1,$B20,F$1,$B$1)</f>
        <v>0</v>
      </c>
      <c r="G20">
        <f>_xll.EQNXTDZ($A$1,$B20,G$1,$B$1)</f>
        <v>0</v>
      </c>
      <c r="H20">
        <f>_xll.EQNXTDZ($A$1,$B20,H$1,$B$1)</f>
        <v>0</v>
      </c>
      <c r="I20">
        <f>_xll.EQNXTDZ($A$1,$B20,I$1,$B$1)</f>
        <v>0</v>
      </c>
      <c r="J20">
        <f>_xll.EQNXTDZ($A$1,$B20,J$1,$B$1)</f>
        <v>0</v>
      </c>
      <c r="K20">
        <f>_xll.EQNXTDZ($A$1,$B20,K$1,$B$1)</f>
        <v>0</v>
      </c>
      <c r="L20">
        <f>_xll.EQNXTDZ($A$1,$B20,L$1,$B$1)</f>
        <v>0</v>
      </c>
      <c r="M20">
        <f>_xll.EQNXTDZ($A$1,$B20,M$1,$B$1)</f>
        <v>0</v>
      </c>
      <c r="N20">
        <f>_xll.EQNXTDZ($A$1,$B20,N$1,$B$1)</f>
        <v>0</v>
      </c>
      <c r="O20">
        <f>_xll.EQNXTDZ($A$1,$B20,O$1,$B$1)</f>
        <v>0</v>
      </c>
      <c r="P20">
        <f>_xll.EQNXTDZ($A$1,$B20,P$1,$B$1)</f>
        <v>0</v>
      </c>
      <c r="Q20">
        <f>_xll.EQNXTDZ($A$1,$B20,Q$1,$B$1)</f>
        <v>0</v>
      </c>
      <c r="R20">
        <f>_xll.EQNXTDZ($A$1,$B20,R$1,$B$1)</f>
        <v>0</v>
      </c>
      <c r="S20">
        <f>_xll.EQNXTDZ($A$1,$B20,S$1,$B$1)</f>
        <v>0</v>
      </c>
      <c r="T20">
        <f>_xll.EQNXTDZ($A$1,$B20,T$1,$B$1)</f>
        <v>0</v>
      </c>
      <c r="U20">
        <f>_xll.EQNXTDZ($A$1,$B20,U$1,$B$1)</f>
        <v>0</v>
      </c>
      <c r="V20">
        <f>_xll.EQNXTDZ($A$1,$B20,V$1,$B$1)</f>
        <v>0</v>
      </c>
      <c r="W20">
        <f>_xll.EQNXTDZ($A$1,$B20,W$1,$B$1)</f>
        <v>0</v>
      </c>
      <c r="X20">
        <f>_xll.EQNXTDZ($A$1,$B20,X$1,$B$1)</f>
        <v>0</v>
      </c>
      <c r="Y20">
        <f>_xll.EQNXTDZ($A$1,$B20,Y$1,$B$1)</f>
        <v>0</v>
      </c>
      <c r="Z20">
        <f>_xll.EQNXTDZ($A$1,$B20,Z$1,$B$1)</f>
        <v>0</v>
      </c>
      <c r="AA20">
        <f>_xll.EQNXTDZ($A$1,$B20,AA$1,$B$1)</f>
        <v>0</v>
      </c>
      <c r="AB20">
        <f>_xll.EQNXTDZ($A$1,$B20,AB$1,$B$1)</f>
        <v>0</v>
      </c>
      <c r="AC20">
        <f>_xll.EQNXTDZ($A$1,$B20,AC$1,$B$1)</f>
        <v>0</v>
      </c>
      <c r="AD20">
        <f>_xll.EQNXTDZ($A$1,$B20,AD$1,$B$1)</f>
        <v>0</v>
      </c>
      <c r="AE20">
        <f>_xll.EQNXTDZ($A$1,$B20,AE$1,$B$1)</f>
        <v>0</v>
      </c>
      <c r="AF20">
        <f>_xll.EQNXTDZ($A$1,$B20,AF$1,$B$1)</f>
        <v>0</v>
      </c>
      <c r="AG20">
        <f>_xll.EQNXTDZ($A$1,$B20,AG$1,$B$1)</f>
        <v>0</v>
      </c>
      <c r="AH20">
        <f>_xll.EQNXTDZ($A$1,$B20,AH$1,$B$1)</f>
        <v>0</v>
      </c>
      <c r="AI20">
        <f>_xll.EQNXTDZ($A$1,$B20,AI$1,$B$1)</f>
        <v>0</v>
      </c>
      <c r="AJ20">
        <f>_xll.EQNXTDZ($A$1,$B20,AJ$1,$B$1)</f>
        <v>0</v>
      </c>
      <c r="AK20">
        <f>_xll.EQNXTDZ($A$1,$B20,AK$1,$B$1)</f>
        <v>0</v>
      </c>
      <c r="AL20">
        <f>_xll.EQNXTDZ($A$1,$B20,AL$1,$B$1)</f>
        <v>0</v>
      </c>
      <c r="AM20">
        <f>_xll.EQNXTDZ($A$1,$B20,AM$1,$B$1)</f>
        <v>0</v>
      </c>
      <c r="AN20">
        <f>_xll.EQNXTDZ($A$1,$B20,AN$1,$B$1)</f>
        <v>0</v>
      </c>
      <c r="AO20">
        <f>_xll.EQNXTDZ($A$1,$B20,AO$1,$B$1)</f>
        <v>0</v>
      </c>
      <c r="AP20">
        <f>_xll.EQNXTDZ($A$1,$B20,AP$1,$B$1)</f>
        <v>0</v>
      </c>
      <c r="AQ20">
        <f>_xll.EQNXTDZ($A$1,$B20,AQ$1,$B$1)</f>
        <v>0</v>
      </c>
      <c r="AR20">
        <f>_xll.EQNXTDZ($A$1,$B20,AR$1,$B$1)</f>
        <v>0</v>
      </c>
      <c r="AS20">
        <f>_xll.EQNXTDZ($A$1,$B20,AS$1,$B$1)</f>
        <v>0</v>
      </c>
      <c r="AT20">
        <f>_xll.EQNXTDZ($A$1,$B20,AT$1,$B$1)</f>
        <v>0</v>
      </c>
      <c r="AU20">
        <f>_xll.EQNXTDZ($A$1,$B20,AU$1,$B$1)</f>
        <v>0</v>
      </c>
      <c r="AV20">
        <f>_xll.EQNXTDZ($A$1,$B20,AV$1,$B$1)</f>
        <v>0</v>
      </c>
      <c r="AW20">
        <f>_xll.EQNXTDZ($A$1,$B20,AW$1,$B$1)</f>
        <v>0</v>
      </c>
      <c r="AX20">
        <f>_xll.EQNXTDZ($A$1,$B20,AX$1,$B$1)</f>
        <v>0</v>
      </c>
      <c r="AY20">
        <f>_xll.EQNXTDZ($A$1,$B20,AY$1,$B$1)</f>
        <v>0</v>
      </c>
      <c r="AZ20">
        <f>_xll.EQNXTDZ($A$1,$B20,AZ$1,$B$1)</f>
        <v>0</v>
      </c>
      <c r="BA20">
        <f>_xll.EQNXTDZ($A$1,$B20,BA$1,$B$1)</f>
        <v>0</v>
      </c>
      <c r="BB20">
        <f>_xll.EQNXTDZ($A$1,$B20,BB$1,$B$1)</f>
        <v>0</v>
      </c>
      <c r="BC20">
        <f>_xll.EQNXTDZ($A$1,$B20,BC$1,$B$1)</f>
        <v>0</v>
      </c>
      <c r="BD20">
        <f>_xll.EQNXTDZ($A$1,$B20,BD$1,$B$1)</f>
        <v>0</v>
      </c>
      <c r="BE20">
        <f>_xll.EQNXTDZ($A$1,$B20,BE$1,$B$1)</f>
        <v>0</v>
      </c>
      <c r="BF20">
        <f>_xll.EQNXTDZ($A$1,$B20,BF$1,$B$1)</f>
        <v>0</v>
      </c>
      <c r="BG20">
        <f>_xll.EQNXTDZ($A$1,$B20,BG$1,$B$1)</f>
        <v>0</v>
      </c>
      <c r="BH20">
        <f>_xll.EQNXTDZ($A$1,$B20,BH$1,$B$1)</f>
        <v>0</v>
      </c>
      <c r="BI20">
        <f>_xll.EQNXTDZ($A$1,$B20,BI$1,$B$1)</f>
        <v>0</v>
      </c>
      <c r="BJ20">
        <f>_xll.EQNXTDZ($A$1,$B20,BJ$1,$B$1)</f>
        <v>0</v>
      </c>
      <c r="BK20">
        <f>_xll.EQNXTDZ($A$1,$B20,BK$1,$B$1)</f>
        <v>0</v>
      </c>
      <c r="BL20">
        <f>_xll.EQNXTDZ($A$1,$B20,BL$1,$B$1)</f>
        <v>0</v>
      </c>
      <c r="BM20">
        <f>_xll.EQNXTDZ($A$1,$B20,BM$1,$B$1)</f>
        <v>0</v>
      </c>
      <c r="BN20">
        <f>_xll.EQNXTDZ($A$1,$B20,BN$1,$B$1)</f>
        <v>0</v>
      </c>
      <c r="BO20">
        <f>_xll.EQNXTDZ($A$1,$B20,BO$1,$B$1)</f>
        <v>0</v>
      </c>
      <c r="BP20">
        <f>_xll.EQNXTDZ($A$1,$B20,BP$1,$B$1)</f>
        <v>0</v>
      </c>
      <c r="BQ20">
        <f>_xll.EQNXTDZ($A$1,$B20,BQ$1,$B$1)</f>
        <v>0</v>
      </c>
      <c r="BR20">
        <f>_xll.EQNXTDZ($A$1,$B20,BR$1,$B$1)</f>
        <v>0</v>
      </c>
      <c r="BS20">
        <f>_xll.EQNXTDZ($A$1,$B20,BS$1,$B$1)</f>
        <v>0</v>
      </c>
      <c r="BT20">
        <f>_xll.EQNXTDZ($A$1,$B20,BT$1,$B$1)</f>
        <v>0</v>
      </c>
      <c r="BU20">
        <f>_xll.EQNXTDZ($A$1,$B20,BU$1,$B$1)</f>
        <v>0</v>
      </c>
      <c r="BV20">
        <f>_xll.EQNXTDZ($A$1,$B20,BV$1,$B$1)</f>
        <v>0</v>
      </c>
    </row>
    <row r="21" spans="1:74" x14ac:dyDescent="0.25">
      <c r="A21" t="s">
        <v>12</v>
      </c>
      <c r="B21" t="s">
        <v>291</v>
      </c>
      <c r="C21">
        <f>_xll.EQNXTDZ($A$1,$B21,C$1,$B$1)</f>
        <v>0</v>
      </c>
      <c r="D21">
        <f>_xll.EQNXTDZ($A$1,$B21,D$1,$B$1)</f>
        <v>0</v>
      </c>
      <c r="E21">
        <f>_xll.EQNXTDZ($A$1,$B21,E$1,$B$1)</f>
        <v>0</v>
      </c>
      <c r="F21">
        <f>_xll.EQNXTDZ($A$1,$B21,F$1,$B$1)</f>
        <v>0</v>
      </c>
      <c r="G21">
        <f>_xll.EQNXTDZ($A$1,$B21,G$1,$B$1)</f>
        <v>0</v>
      </c>
      <c r="H21">
        <f>_xll.EQNXTDZ($A$1,$B21,H$1,$B$1)</f>
        <v>0</v>
      </c>
      <c r="I21">
        <f>_xll.EQNXTDZ($A$1,$B21,I$1,$B$1)</f>
        <v>0</v>
      </c>
      <c r="J21">
        <f>_xll.EQNXTDZ($A$1,$B21,J$1,$B$1)</f>
        <v>0</v>
      </c>
      <c r="K21">
        <f>_xll.EQNXTDZ($A$1,$B21,K$1,$B$1)</f>
        <v>0</v>
      </c>
      <c r="L21">
        <f>_xll.EQNXTDZ($A$1,$B21,L$1,$B$1)</f>
        <v>0</v>
      </c>
      <c r="M21">
        <f>_xll.EQNXTDZ($A$1,$B21,M$1,$B$1)</f>
        <v>0</v>
      </c>
      <c r="N21">
        <f>_xll.EQNXTDZ($A$1,$B21,N$1,$B$1)</f>
        <v>0</v>
      </c>
      <c r="O21">
        <f>_xll.EQNXTDZ($A$1,$B21,O$1,$B$1)</f>
        <v>0</v>
      </c>
      <c r="P21">
        <f>_xll.EQNXTDZ($A$1,$B21,P$1,$B$1)</f>
        <v>0</v>
      </c>
      <c r="Q21">
        <f>_xll.EQNXTDZ($A$1,$B21,Q$1,$B$1)</f>
        <v>0</v>
      </c>
      <c r="R21">
        <f>_xll.EQNXTDZ($A$1,$B21,R$1,$B$1)</f>
        <v>0</v>
      </c>
      <c r="S21">
        <f>_xll.EQNXTDZ($A$1,$B21,S$1,$B$1)</f>
        <v>0</v>
      </c>
      <c r="T21">
        <f>_xll.EQNXTDZ($A$1,$B21,T$1,$B$1)</f>
        <v>0</v>
      </c>
      <c r="U21">
        <f>_xll.EQNXTDZ($A$1,$B21,U$1,$B$1)</f>
        <v>0</v>
      </c>
      <c r="V21">
        <f>_xll.EQNXTDZ($A$1,$B21,V$1,$B$1)</f>
        <v>0</v>
      </c>
      <c r="W21">
        <f>_xll.EQNXTDZ($A$1,$B21,W$1,$B$1)</f>
        <v>0</v>
      </c>
      <c r="X21">
        <f>_xll.EQNXTDZ($A$1,$B21,X$1,$B$1)</f>
        <v>0</v>
      </c>
      <c r="Y21">
        <f>_xll.EQNXTDZ($A$1,$B21,Y$1,$B$1)</f>
        <v>0</v>
      </c>
      <c r="Z21">
        <f>_xll.EQNXTDZ($A$1,$B21,Z$1,$B$1)</f>
        <v>0</v>
      </c>
      <c r="AA21">
        <f>_xll.EQNXTDZ($A$1,$B21,AA$1,$B$1)</f>
        <v>0</v>
      </c>
      <c r="AB21">
        <f>_xll.EQNXTDZ($A$1,$B21,AB$1,$B$1)</f>
        <v>0</v>
      </c>
      <c r="AC21">
        <f>_xll.EQNXTDZ($A$1,$B21,AC$1,$B$1)</f>
        <v>0</v>
      </c>
      <c r="AD21">
        <f>_xll.EQNXTDZ($A$1,$B21,AD$1,$B$1)</f>
        <v>0</v>
      </c>
      <c r="AE21">
        <f>_xll.EQNXTDZ($A$1,$B21,AE$1,$B$1)</f>
        <v>0</v>
      </c>
      <c r="AF21">
        <f>_xll.EQNXTDZ($A$1,$B21,AF$1,$B$1)</f>
        <v>0</v>
      </c>
      <c r="AG21">
        <f>_xll.EQNXTDZ($A$1,$B21,AG$1,$B$1)</f>
        <v>0</v>
      </c>
      <c r="AH21">
        <f>_xll.EQNXTDZ($A$1,$B21,AH$1,$B$1)</f>
        <v>0</v>
      </c>
      <c r="AI21">
        <f>_xll.EQNXTDZ($A$1,$B21,AI$1,$B$1)</f>
        <v>0</v>
      </c>
      <c r="AJ21">
        <f>_xll.EQNXTDZ($A$1,$B21,AJ$1,$B$1)</f>
        <v>0</v>
      </c>
      <c r="AK21">
        <f>_xll.EQNXTDZ($A$1,$B21,AK$1,$B$1)</f>
        <v>0</v>
      </c>
      <c r="AL21">
        <f>_xll.EQNXTDZ($A$1,$B21,AL$1,$B$1)</f>
        <v>0</v>
      </c>
      <c r="AM21">
        <f>_xll.EQNXTDZ($A$1,$B21,AM$1,$B$1)</f>
        <v>0</v>
      </c>
      <c r="AN21">
        <f>_xll.EQNXTDZ($A$1,$B21,AN$1,$B$1)</f>
        <v>0</v>
      </c>
      <c r="AO21">
        <f>_xll.EQNXTDZ($A$1,$B21,AO$1,$B$1)</f>
        <v>0</v>
      </c>
      <c r="AP21">
        <f>_xll.EQNXTDZ($A$1,$B21,AP$1,$B$1)</f>
        <v>0</v>
      </c>
      <c r="AQ21">
        <f>_xll.EQNXTDZ($A$1,$B21,AQ$1,$B$1)</f>
        <v>0</v>
      </c>
      <c r="AR21">
        <f>_xll.EQNXTDZ($A$1,$B21,AR$1,$B$1)</f>
        <v>0</v>
      </c>
      <c r="AS21">
        <f>_xll.EQNXTDZ($A$1,$B21,AS$1,$B$1)</f>
        <v>0</v>
      </c>
      <c r="AT21">
        <f>_xll.EQNXTDZ($A$1,$B21,AT$1,$B$1)</f>
        <v>0</v>
      </c>
      <c r="AU21">
        <f>_xll.EQNXTDZ($A$1,$B21,AU$1,$B$1)</f>
        <v>0</v>
      </c>
      <c r="AV21">
        <f>_xll.EQNXTDZ($A$1,$B21,AV$1,$B$1)</f>
        <v>0</v>
      </c>
      <c r="AW21">
        <f>_xll.EQNXTDZ($A$1,$B21,AW$1,$B$1)</f>
        <v>0</v>
      </c>
      <c r="AX21">
        <f>_xll.EQNXTDZ($A$1,$B21,AX$1,$B$1)</f>
        <v>0</v>
      </c>
      <c r="AY21">
        <f>_xll.EQNXTDZ($A$1,$B21,AY$1,$B$1)</f>
        <v>0</v>
      </c>
      <c r="AZ21">
        <f>_xll.EQNXTDZ($A$1,$B21,AZ$1,$B$1)</f>
        <v>0</v>
      </c>
      <c r="BA21">
        <f>_xll.EQNXTDZ($A$1,$B21,BA$1,$B$1)</f>
        <v>0</v>
      </c>
      <c r="BB21">
        <f>_xll.EQNXTDZ($A$1,$B21,BB$1,$B$1)</f>
        <v>0</v>
      </c>
      <c r="BC21">
        <f>_xll.EQNXTDZ($A$1,$B21,BC$1,$B$1)</f>
        <v>0</v>
      </c>
      <c r="BD21">
        <f>_xll.EQNXTDZ($A$1,$B21,BD$1,$B$1)</f>
        <v>0</v>
      </c>
      <c r="BE21">
        <f>_xll.EQNXTDZ($A$1,$B21,BE$1,$B$1)</f>
        <v>0</v>
      </c>
      <c r="BF21">
        <f>_xll.EQNXTDZ($A$1,$B21,BF$1,$B$1)</f>
        <v>0</v>
      </c>
      <c r="BG21">
        <f>_xll.EQNXTDZ($A$1,$B21,BG$1,$B$1)</f>
        <v>0</v>
      </c>
      <c r="BH21">
        <f>_xll.EQNXTDZ($A$1,$B21,BH$1,$B$1)</f>
        <v>0</v>
      </c>
      <c r="BI21">
        <f>_xll.EQNXTDZ($A$1,$B21,BI$1,$B$1)</f>
        <v>0</v>
      </c>
      <c r="BJ21">
        <f>_xll.EQNXTDZ($A$1,$B21,BJ$1,$B$1)</f>
        <v>0</v>
      </c>
      <c r="BK21">
        <f>_xll.EQNXTDZ($A$1,$B21,BK$1,$B$1)</f>
        <v>0</v>
      </c>
      <c r="BL21">
        <f>_xll.EQNXTDZ($A$1,$B21,BL$1,$B$1)</f>
        <v>0</v>
      </c>
      <c r="BM21">
        <f>_xll.EQNXTDZ($A$1,$B21,BM$1,$B$1)</f>
        <v>0</v>
      </c>
      <c r="BN21">
        <f>_xll.EQNXTDZ($A$1,$B21,BN$1,$B$1)</f>
        <v>0</v>
      </c>
      <c r="BO21">
        <f>_xll.EQNXTDZ($A$1,$B21,BO$1,$B$1)</f>
        <v>0</v>
      </c>
      <c r="BP21">
        <f>_xll.EQNXTDZ($A$1,$B21,BP$1,$B$1)</f>
        <v>0</v>
      </c>
      <c r="BQ21">
        <f>_xll.EQNXTDZ($A$1,$B21,BQ$1,$B$1)</f>
        <v>0</v>
      </c>
      <c r="BR21">
        <f>_xll.EQNXTDZ($A$1,$B21,BR$1,$B$1)</f>
        <v>0</v>
      </c>
      <c r="BS21">
        <f>_xll.EQNXTDZ($A$1,$B21,BS$1,$B$1)</f>
        <v>0</v>
      </c>
      <c r="BT21">
        <f>_xll.EQNXTDZ($A$1,$B21,BT$1,$B$1)</f>
        <v>0</v>
      </c>
      <c r="BU21">
        <f>_xll.EQNXTDZ($A$1,$B21,BU$1,$B$1)</f>
        <v>0</v>
      </c>
      <c r="BV21">
        <f>_xll.EQNXTDZ($A$1,$B21,BV$1,$B$1)</f>
        <v>0</v>
      </c>
    </row>
    <row r="22" spans="1:74" x14ac:dyDescent="0.25">
      <c r="A22" t="s">
        <v>122</v>
      </c>
      <c r="B22" t="s">
        <v>292</v>
      </c>
      <c r="C22">
        <f>_xll.EQNXTDZ($A$1,$B22,C$1,$B$1)</f>
        <v>6.6209999999999596</v>
      </c>
      <c r="D22">
        <f>_xll.EQNXTDZ($A$1,$B22,D$1,$B$1)</f>
        <v>-5.7069999999999901</v>
      </c>
      <c r="E22">
        <f>_xll.EQNXTDZ($A$1,$B22,E$1,$B$1)</f>
        <v>-0.64200000000000701</v>
      </c>
      <c r="F22">
        <f>_xll.EQNXTDZ($A$1,$B22,F$1,$B$1)</f>
        <v>20.399000000000001</v>
      </c>
      <c r="G22">
        <f>_xll.EQNXTDZ($A$1,$B22,G$1,$B$1)</f>
        <v>-9.5320000000000196</v>
      </c>
      <c r="H22">
        <f>_xll.EQNXTDZ($A$1,$B22,H$1,$B$1)</f>
        <v>-6.0690000000000097</v>
      </c>
      <c r="I22">
        <f>_xll.EQNXTDZ($A$1,$B22,I$1,$B$1)</f>
        <v>-1.6970000000000001</v>
      </c>
      <c r="J22">
        <f>_xll.EQNXTDZ($A$1,$B22,J$1,$B$1)</f>
        <v>-7.9380000000000104</v>
      </c>
      <c r="K22">
        <f>_xll.EQNXTDZ($A$1,$B22,K$1,$B$1)</f>
        <v>-8.9050000000000207</v>
      </c>
      <c r="L22">
        <f>_xll.EQNXTDZ($A$1,$B22,L$1,$B$1)</f>
        <v>-7.6710000000000003</v>
      </c>
      <c r="M22">
        <f>_xll.EQNXTDZ($A$1,$B22,M$1,$B$1)</f>
        <v>-6.4919999999999796</v>
      </c>
      <c r="N22">
        <f>_xll.EQNXTDZ($A$1,$B22,N$1,$B$1)</f>
        <v>-3.3069999999999902</v>
      </c>
      <c r="O22">
        <f>_xll.EQNXTDZ($A$1,$B22,O$1,$B$1)</f>
        <v>1.70799999999999</v>
      </c>
      <c r="P22">
        <f>_xll.EQNXTDZ($A$1,$B22,P$1,$B$1)</f>
        <v>1.2410000000000001</v>
      </c>
      <c r="Q22">
        <f>_xll.EQNXTDZ($A$1,$B22,Q$1,$B$1)</f>
        <v>1.175</v>
      </c>
      <c r="R22">
        <f>_xll.EQNXTDZ($A$1,$B22,R$1,$B$1)</f>
        <v>9.0640000000000001</v>
      </c>
      <c r="S22">
        <f>_xll.EQNXTDZ($A$1,$B22,S$1,$B$1)</f>
        <v>0.58999999999999797</v>
      </c>
      <c r="T22">
        <f>_xll.EQNXTDZ($A$1,$B22,T$1,$B$1)</f>
        <v>-0.102999999999997</v>
      </c>
      <c r="U22">
        <f>_xll.EQNXTDZ($A$1,$B22,U$1,$B$1)</f>
        <v>6.3079999999999901</v>
      </c>
      <c r="V22">
        <f>_xll.EQNXTDZ($A$1,$B22,V$1,$B$1)</f>
        <v>12.263999999999999</v>
      </c>
      <c r="W22">
        <f>_xll.EQNXTDZ($A$1,$B22,W$1,$B$1)</f>
        <v>7.1029999999999998</v>
      </c>
      <c r="X22">
        <f>_xll.EQNXTDZ($A$1,$B22,X$1,$B$1)</f>
        <v>-1.0469999999999999</v>
      </c>
      <c r="Y22">
        <f>_xll.EQNXTDZ($A$1,$B22,Y$1,$B$1)</f>
        <v>2.1889999999999898</v>
      </c>
      <c r="Z22">
        <f>_xll.EQNXTDZ($A$1,$B22,Z$1,$B$1)</f>
        <v>8.2000000000000099</v>
      </c>
      <c r="AA22">
        <f>_xll.EQNXTDZ($A$1,$B22,AA$1,$B$1)</f>
        <v>7.4810000000000203</v>
      </c>
      <c r="AB22">
        <f>_xll.EQNXTDZ($A$1,$B22,AB$1,$B$1)</f>
        <v>4.7789999999999804</v>
      </c>
      <c r="AC22">
        <f>_xll.EQNXTDZ($A$1,$B22,AC$1,$B$1)</f>
        <v>7.5170000000000003</v>
      </c>
      <c r="AD22">
        <f>_xll.EQNXTDZ($A$1,$B22,AD$1,$B$1)</f>
        <v>-4.01999999999998</v>
      </c>
      <c r="AE22">
        <f>_xll.EQNXTDZ($A$1,$B22,AE$1,$B$1)</f>
        <v>8.1259999999999994</v>
      </c>
      <c r="AF22">
        <f>_xll.EQNXTDZ($A$1,$B22,AF$1,$B$1)</f>
        <v>2.6920000000000099</v>
      </c>
      <c r="AG22">
        <f>_xll.EQNXTDZ($A$1,$B22,AG$1,$B$1)</f>
        <v>6.6520000000000001</v>
      </c>
      <c r="AH22">
        <f>_xll.EQNXTDZ($A$1,$B22,AH$1,$B$1)</f>
        <v>3.6579999999999901</v>
      </c>
      <c r="AI22">
        <f>_xll.EQNXTDZ($A$1,$B22,AI$1,$B$1)</f>
        <v>-7.6849999999999996</v>
      </c>
      <c r="AJ22">
        <f>_xll.EQNXTDZ($A$1,$B22,AJ$1,$B$1)</f>
        <v>3.633</v>
      </c>
      <c r="AK22">
        <f>_xll.EQNXTDZ($A$1,$B22,AK$1,$B$1)</f>
        <v>7.5540000000000003</v>
      </c>
      <c r="AL22">
        <f>_xll.EQNXTDZ($A$1,$B22,AL$1,$B$1)</f>
        <v>7.3710000000000004</v>
      </c>
      <c r="AM22">
        <f>_xll.EQNXTDZ($A$1,$B22,AM$1,$B$1)</f>
        <v>1.9099999999999899</v>
      </c>
      <c r="AN22">
        <f>_xll.EQNXTDZ($A$1,$B22,AN$1,$B$1)</f>
        <v>-0.59999999999998899</v>
      </c>
      <c r="AO22">
        <f>_xll.EQNXTDZ($A$1,$B22,AO$1,$B$1)</f>
        <v>32.090000000000003</v>
      </c>
      <c r="AP22">
        <f>_xll.EQNXTDZ($A$1,$B22,AP$1,$B$1)</f>
        <v>112.14</v>
      </c>
      <c r="AQ22">
        <f>_xll.EQNXTDZ($A$1,$B22,AQ$1,$B$1)</f>
        <v>261.86</v>
      </c>
      <c r="AR22">
        <f>_xll.EQNXTDZ($A$1,$B22,AR$1,$B$1)</f>
        <v>156.91999999999999</v>
      </c>
      <c r="AS22">
        <f>_xll.EQNXTDZ($A$1,$B22,AS$1,$B$1)</f>
        <v>226.96</v>
      </c>
      <c r="AT22">
        <f>_xll.EQNXTDZ($A$1,$B22,AT$1,$B$1)</f>
        <v>164.55</v>
      </c>
      <c r="AU22">
        <f>_xll.EQNXTDZ($A$1,$B22,AU$1,$B$1)</f>
        <v>535.87</v>
      </c>
      <c r="AV22">
        <f>_xll.EQNXTDZ($A$1,$B22,AV$1,$B$1)</f>
        <v>286.32</v>
      </c>
      <c r="AW22">
        <f>_xll.EQNXTDZ($A$1,$B22,AW$1,$B$1)</f>
        <v>449.47</v>
      </c>
      <c r="AX22">
        <f>_xll.EQNXTDZ($A$1,$B22,AX$1,$B$1)</f>
        <v>458.41</v>
      </c>
      <c r="AY22">
        <f>_xll.EQNXTDZ($A$1,$B22,AY$1,$B$1)</f>
        <v>718.67</v>
      </c>
      <c r="AZ22">
        <f>_xll.EQNXTDZ($A$1,$B22,AZ$1,$B$1)</f>
        <v>410.71</v>
      </c>
      <c r="BA22">
        <f>_xll.EQNXTDZ($A$1,$B22,BA$1,$B$1)</f>
        <v>536.42999999999995</v>
      </c>
      <c r="BB22">
        <f>_xll.EQNXTDZ($A$1,$B22,BB$1,$B$1)</f>
        <v>261.10000000000002</v>
      </c>
      <c r="BC22">
        <f>_xll.EQNXTDZ($A$1,$B22,BC$1,$B$1)</f>
        <v>794.19</v>
      </c>
      <c r="BD22">
        <f>_xll.EQNXTDZ($A$1,$B22,BD$1,$B$1)</f>
        <v>1043.0899999999999</v>
      </c>
      <c r="BE22">
        <f>_xll.EQNXTDZ($A$1,$B22,BE$1,$B$1)</f>
        <v>1759.21</v>
      </c>
      <c r="BF22">
        <f>_xll.EQNXTDZ($A$1,$B22,BF$1,$B$1)</f>
        <v>2545.3000000000002</v>
      </c>
      <c r="BG22">
        <f>_xll.EQNXTDZ($A$1,$B22,BG$1,$B$1)</f>
        <v>0</v>
      </c>
      <c r="BH22">
        <f>_xll.EQNXTDZ($A$1,$B22,BH$1,$B$1)</f>
        <v>0</v>
      </c>
      <c r="BI22">
        <f>_xll.EQNXTDZ($A$1,$B22,BI$1,$B$1)</f>
        <v>0</v>
      </c>
      <c r="BJ22">
        <f>_xll.EQNXTDZ($A$1,$B22,BJ$1,$B$1)</f>
        <v>0</v>
      </c>
      <c r="BK22">
        <f>_xll.EQNXTDZ($A$1,$B22,BK$1,$B$1)</f>
        <v>0</v>
      </c>
      <c r="BL22">
        <f>_xll.EQNXTDZ($A$1,$B22,BL$1,$B$1)</f>
        <v>0</v>
      </c>
      <c r="BM22">
        <f>_xll.EQNXTDZ($A$1,$B22,BM$1,$B$1)</f>
        <v>0</v>
      </c>
      <c r="BN22">
        <f>_xll.EQNXTDZ($A$1,$B22,BN$1,$B$1)</f>
        <v>0</v>
      </c>
      <c r="BO22">
        <f>_xll.EQNXTDZ($A$1,$B22,BO$1,$B$1)</f>
        <v>0</v>
      </c>
      <c r="BP22">
        <f>_xll.EQNXTDZ($A$1,$B22,BP$1,$B$1)</f>
        <v>0</v>
      </c>
      <c r="BQ22">
        <f>_xll.EQNXTDZ($A$1,$B22,BQ$1,$B$1)</f>
        <v>0</v>
      </c>
      <c r="BR22">
        <f>_xll.EQNXTDZ($A$1,$B22,BR$1,$B$1)</f>
        <v>0</v>
      </c>
      <c r="BS22">
        <f>_xll.EQNXTDZ($A$1,$B22,BS$1,$B$1)</f>
        <v>0</v>
      </c>
      <c r="BT22">
        <f>_xll.EQNXTDZ($A$1,$B22,BT$1,$B$1)</f>
        <v>0</v>
      </c>
      <c r="BU22">
        <f>_xll.EQNXTDZ($A$1,$B22,BU$1,$B$1)</f>
        <v>0</v>
      </c>
      <c r="BV22">
        <f>_xll.EQNXTDZ($A$1,$B22,BV$1,$B$1)</f>
        <v>0</v>
      </c>
    </row>
    <row r="23" spans="1:74" x14ac:dyDescent="0.25">
      <c r="A23" t="s">
        <v>17</v>
      </c>
      <c r="B23" t="s">
        <v>293</v>
      </c>
      <c r="C23">
        <f>_xll.EQNXTDZ($A$1,$B23,C$1,$B$1)</f>
        <v>3.6070000000000002</v>
      </c>
      <c r="D23">
        <f>_xll.EQNXTDZ($A$1,$B23,D$1,$B$1)</f>
        <v>12.914999999999999</v>
      </c>
      <c r="E23">
        <f>_xll.EQNXTDZ($A$1,$B23,E$1,$B$1)</f>
        <v>2.38</v>
      </c>
      <c r="F23">
        <f>_xll.EQNXTDZ($A$1,$B23,F$1,$B$1)</f>
        <v>-2.6389999999999998</v>
      </c>
      <c r="G23">
        <f>_xll.EQNXTDZ($A$1,$B23,G$1,$B$1)</f>
        <v>5.21</v>
      </c>
      <c r="H23">
        <f>_xll.EQNXTDZ($A$1,$B23,H$1,$B$1)</f>
        <v>3.7149999999999999</v>
      </c>
      <c r="I23">
        <f>_xll.EQNXTDZ($A$1,$B23,I$1,$B$1)</f>
        <v>4.1710000000000003</v>
      </c>
      <c r="J23">
        <f>_xll.EQNXTDZ($A$1,$B23,J$1,$B$1)</f>
        <v>3.581</v>
      </c>
      <c r="K23">
        <f>_xll.EQNXTDZ($A$1,$B23,K$1,$B$1)</f>
        <v>4.3929999999999998</v>
      </c>
      <c r="L23">
        <f>_xll.EQNXTDZ($A$1,$B23,L$1,$B$1)</f>
        <v>8.8970000000000002</v>
      </c>
      <c r="M23">
        <f>_xll.EQNXTDZ($A$1,$B23,M$1,$B$1)</f>
        <v>4.0110000000000001</v>
      </c>
      <c r="N23">
        <f>_xll.EQNXTDZ($A$1,$B23,N$1,$B$1)</f>
        <v>5.1230000000000002</v>
      </c>
      <c r="O23">
        <f>_xll.EQNXTDZ($A$1,$B23,O$1,$B$1)</f>
        <v>4.78</v>
      </c>
      <c r="P23">
        <f>_xll.EQNXTDZ($A$1,$B23,P$1,$B$1)</f>
        <v>3.2679999999999998</v>
      </c>
      <c r="Q23">
        <f>_xll.EQNXTDZ($A$1,$B23,Q$1,$B$1)</f>
        <v>3.2360000000000002</v>
      </c>
      <c r="R23">
        <f>_xll.EQNXTDZ($A$1,$B23,R$1,$B$1)</f>
        <v>2.8279999999999998</v>
      </c>
      <c r="S23">
        <f>_xll.EQNXTDZ($A$1,$B23,S$1,$B$1)</f>
        <v>3.67</v>
      </c>
      <c r="T23">
        <f>_xll.EQNXTDZ($A$1,$B23,T$1,$B$1)</f>
        <v>4.3090000000000002</v>
      </c>
      <c r="U23">
        <f>_xll.EQNXTDZ($A$1,$B23,U$1,$B$1)</f>
        <v>0</v>
      </c>
      <c r="V23">
        <f>_xll.EQNXTDZ($A$1,$B23,V$1,$B$1)</f>
        <v>1.6719999999999999</v>
      </c>
      <c r="W23">
        <f>_xll.EQNXTDZ($A$1,$B23,W$1,$B$1)</f>
        <v>4.2039999999999997</v>
      </c>
      <c r="X23">
        <f>_xll.EQNXTDZ($A$1,$B23,X$1,$B$1)</f>
        <v>6.0039999999999996</v>
      </c>
      <c r="Y23">
        <f>_xll.EQNXTDZ($A$1,$B23,Y$1,$B$1)</f>
        <v>6.9169999999999998</v>
      </c>
      <c r="Z23">
        <f>_xll.EQNXTDZ($A$1,$B23,Z$1,$B$1)</f>
        <v>7.5590000000000002</v>
      </c>
      <c r="AA23">
        <f>_xll.EQNXTDZ($A$1,$B23,AA$1,$B$1)</f>
        <v>8.3810000000000002</v>
      </c>
      <c r="AB23">
        <f>_xll.EQNXTDZ($A$1,$B23,AB$1,$B$1)</f>
        <v>1.6319999999999999</v>
      </c>
      <c r="AC23">
        <f>_xll.EQNXTDZ($A$1,$B23,AC$1,$B$1)</f>
        <v>0.27700000000000002</v>
      </c>
      <c r="AD23">
        <f>_xll.EQNXTDZ($A$1,$B23,AD$1,$B$1)</f>
        <v>20.552</v>
      </c>
      <c r="AE23">
        <f>_xll.EQNXTDZ($A$1,$B23,AE$1,$B$1)</f>
        <v>7.2370000000000001</v>
      </c>
      <c r="AF23">
        <f>_xll.EQNXTDZ($A$1,$B23,AF$1,$B$1)</f>
        <v>5.0990000000000002</v>
      </c>
      <c r="AG23">
        <f>_xll.EQNXTDZ($A$1,$B23,AG$1,$B$1)</f>
        <v>5.55</v>
      </c>
      <c r="AH23">
        <f>_xll.EQNXTDZ($A$1,$B23,AH$1,$B$1)</f>
        <v>7.7359999999999998</v>
      </c>
      <c r="AI23">
        <f>_xll.EQNXTDZ($A$1,$B23,AI$1,$B$1)</f>
        <v>0.70199999999999996</v>
      </c>
      <c r="AJ23">
        <f>_xll.EQNXTDZ($A$1,$B23,AJ$1,$B$1)</f>
        <v>5.7030000000000003</v>
      </c>
      <c r="AK23">
        <f>_xll.EQNXTDZ($A$1,$B23,AK$1,$B$1)</f>
        <v>6.2160000000000002</v>
      </c>
      <c r="AL23">
        <f>_xll.EQNXTDZ($A$1,$B23,AL$1,$B$1)</f>
        <v>7.2809999999999997</v>
      </c>
      <c r="AM23">
        <f>_xll.EQNXTDZ($A$1,$B23,AM$1,$B$1)</f>
        <v>8.09</v>
      </c>
      <c r="AN23">
        <f>_xll.EQNXTDZ($A$1,$B23,AN$1,$B$1)</f>
        <v>8.19</v>
      </c>
      <c r="AO23">
        <f>_xll.EQNXTDZ($A$1,$B23,AO$1,$B$1)</f>
        <v>3.07</v>
      </c>
      <c r="AP23">
        <f>_xll.EQNXTDZ($A$1,$B23,AP$1,$B$1)</f>
        <v>10.4</v>
      </c>
      <c r="AQ23">
        <f>_xll.EQNXTDZ($A$1,$B23,AQ$1,$B$1)</f>
        <v>12.62</v>
      </c>
      <c r="AR23">
        <f>_xll.EQNXTDZ($A$1,$B23,AR$1,$B$1)</f>
        <v>12.6</v>
      </c>
      <c r="AS23">
        <f>_xll.EQNXTDZ($A$1,$B23,AS$1,$B$1)</f>
        <v>29.78</v>
      </c>
      <c r="AT23">
        <f>_xll.EQNXTDZ($A$1,$B23,AT$1,$B$1)</f>
        <v>19.46</v>
      </c>
      <c r="AU23">
        <f>_xll.EQNXTDZ($A$1,$B23,AU$1,$B$1)</f>
        <v>11.87</v>
      </c>
      <c r="AV23">
        <f>_xll.EQNXTDZ($A$1,$B23,AV$1,$B$1)</f>
        <v>19.920000000000002</v>
      </c>
      <c r="AW23">
        <f>_xll.EQNXTDZ($A$1,$B23,AW$1,$B$1)</f>
        <v>11.28</v>
      </c>
      <c r="AX23">
        <f>_xll.EQNXTDZ($A$1,$B23,AX$1,$B$1)</f>
        <v>8.06</v>
      </c>
      <c r="AY23">
        <f>_xll.EQNXTDZ($A$1,$B23,AY$1,$B$1)</f>
        <v>5.82</v>
      </c>
      <c r="AZ23">
        <f>_xll.EQNXTDZ($A$1,$B23,AZ$1,$B$1)</f>
        <v>34.11</v>
      </c>
      <c r="BA23">
        <f>_xll.EQNXTDZ($A$1,$B23,BA$1,$B$1)</f>
        <v>18.02</v>
      </c>
      <c r="BB23">
        <f>_xll.EQNXTDZ($A$1,$B23,BB$1,$B$1)</f>
        <v>19.260000000000002</v>
      </c>
      <c r="BC23">
        <f>_xll.EQNXTDZ($A$1,$B23,BC$1,$B$1)</f>
        <v>28.19</v>
      </c>
      <c r="BD23">
        <f>_xll.EQNXTDZ($A$1,$B23,BD$1,$B$1)</f>
        <v>55.47</v>
      </c>
      <c r="BE23">
        <f>_xll.EQNXTDZ($A$1,$B23,BE$1,$B$1)</f>
        <v>97.23</v>
      </c>
      <c r="BF23">
        <f>_xll.EQNXTDZ($A$1,$B23,BF$1,$B$1)</f>
        <v>11.21</v>
      </c>
      <c r="BG23">
        <f>_xll.EQNXTDZ($A$1,$B23,BG$1,$B$1)</f>
        <v>0</v>
      </c>
      <c r="BH23">
        <f>_xll.EQNXTDZ($A$1,$B23,BH$1,$B$1)</f>
        <v>0</v>
      </c>
      <c r="BI23">
        <f>_xll.EQNXTDZ($A$1,$B23,BI$1,$B$1)</f>
        <v>0</v>
      </c>
      <c r="BJ23">
        <f>_xll.EQNXTDZ($A$1,$B23,BJ$1,$B$1)</f>
        <v>0</v>
      </c>
      <c r="BK23">
        <f>_xll.EQNXTDZ($A$1,$B23,BK$1,$B$1)</f>
        <v>0</v>
      </c>
      <c r="BL23">
        <f>_xll.EQNXTDZ($A$1,$B23,BL$1,$B$1)</f>
        <v>0</v>
      </c>
      <c r="BM23">
        <f>_xll.EQNXTDZ($A$1,$B23,BM$1,$B$1)</f>
        <v>0</v>
      </c>
      <c r="BN23">
        <f>_xll.EQNXTDZ($A$1,$B23,BN$1,$B$1)</f>
        <v>0</v>
      </c>
      <c r="BO23">
        <f>_xll.EQNXTDZ($A$1,$B23,BO$1,$B$1)</f>
        <v>0</v>
      </c>
      <c r="BP23">
        <f>_xll.EQNXTDZ($A$1,$B23,BP$1,$B$1)</f>
        <v>0</v>
      </c>
      <c r="BQ23">
        <f>_xll.EQNXTDZ($A$1,$B23,BQ$1,$B$1)</f>
        <v>0</v>
      </c>
      <c r="BR23">
        <f>_xll.EQNXTDZ($A$1,$B23,BR$1,$B$1)</f>
        <v>0</v>
      </c>
      <c r="BS23">
        <f>_xll.EQNXTDZ($A$1,$B23,BS$1,$B$1)</f>
        <v>0</v>
      </c>
      <c r="BT23">
        <f>_xll.EQNXTDZ($A$1,$B23,BT$1,$B$1)</f>
        <v>0</v>
      </c>
      <c r="BU23">
        <f>_xll.EQNXTDZ($A$1,$B23,BU$1,$B$1)</f>
        <v>0</v>
      </c>
      <c r="BV23">
        <f>_xll.EQNXTDZ($A$1,$B23,BV$1,$B$1)</f>
        <v>0</v>
      </c>
    </row>
    <row r="24" spans="1:74" x14ac:dyDescent="0.25">
      <c r="A24" t="s">
        <v>123</v>
      </c>
      <c r="B24" t="s">
        <v>294</v>
      </c>
      <c r="C24">
        <f>_xll.EQNXTDZ($A$1,$B24,C$1,$B$1)</f>
        <v>10.228</v>
      </c>
      <c r="D24">
        <f>_xll.EQNXTDZ($A$1,$B24,D$1,$B$1)</f>
        <v>7.2080000000000002</v>
      </c>
      <c r="E24">
        <f>_xll.EQNXTDZ($A$1,$B24,E$1,$B$1)</f>
        <v>1.738</v>
      </c>
      <c r="F24">
        <f>_xll.EQNXTDZ($A$1,$B24,F$1,$B$1)</f>
        <v>17.760000000000002</v>
      </c>
      <c r="G24">
        <f>_xll.EQNXTDZ($A$1,$B24,G$1,$B$1)</f>
        <v>-4.3220000000000001</v>
      </c>
      <c r="H24">
        <f>_xll.EQNXTDZ($A$1,$B24,H$1,$B$1)</f>
        <v>-2.3540000000000001</v>
      </c>
      <c r="I24">
        <f>_xll.EQNXTDZ($A$1,$B24,I$1,$B$1)</f>
        <v>2.4740000000000002</v>
      </c>
      <c r="J24">
        <f>_xll.EQNXTDZ($A$1,$B24,J$1,$B$1)</f>
        <v>-4.3570000000000002</v>
      </c>
      <c r="K24">
        <f>_xll.EQNXTDZ($A$1,$B24,K$1,$B$1)</f>
        <v>-4.5119999999999996</v>
      </c>
      <c r="L24">
        <f>_xll.EQNXTDZ($A$1,$B24,L$1,$B$1)</f>
        <v>1.226</v>
      </c>
      <c r="M24">
        <f>_xll.EQNXTDZ($A$1,$B24,M$1,$B$1)</f>
        <v>-2.4820000000000002</v>
      </c>
      <c r="N24">
        <f>_xll.EQNXTDZ($A$1,$B24,N$1,$B$1)</f>
        <v>1.8160000000000001</v>
      </c>
      <c r="O24">
        <f>_xll.EQNXTDZ($A$1,$B24,O$1,$B$1)</f>
        <v>6.4880000000000004</v>
      </c>
      <c r="P24">
        <f>_xll.EQNXTDZ($A$1,$B24,P$1,$B$1)</f>
        <v>4.5090000000000003</v>
      </c>
      <c r="Q24">
        <f>_xll.EQNXTDZ($A$1,$B24,Q$1,$B$1)</f>
        <v>4.4109999999999996</v>
      </c>
      <c r="R24">
        <f>_xll.EQNXTDZ($A$1,$B24,R$1,$B$1)</f>
        <v>11.891999999999999</v>
      </c>
      <c r="S24">
        <f>_xll.EQNXTDZ($A$1,$B24,S$1,$B$1)</f>
        <v>4.26</v>
      </c>
      <c r="T24">
        <f>_xll.EQNXTDZ($A$1,$B24,T$1,$B$1)</f>
        <v>4.2060000000000004</v>
      </c>
      <c r="U24">
        <f>_xll.EQNXTDZ($A$1,$B24,U$1,$B$1)</f>
        <v>6.3079999999999998</v>
      </c>
      <c r="V24">
        <f>_xll.EQNXTDZ($A$1,$B24,V$1,$B$1)</f>
        <v>13.936</v>
      </c>
      <c r="W24">
        <f>_xll.EQNXTDZ($A$1,$B24,W$1,$B$1)</f>
        <v>11.307</v>
      </c>
      <c r="X24">
        <f>_xll.EQNXTDZ($A$1,$B24,X$1,$B$1)</f>
        <v>4.9569999999999999</v>
      </c>
      <c r="Y24">
        <f>_xll.EQNXTDZ($A$1,$B24,Y$1,$B$1)</f>
        <v>9.1059999999999999</v>
      </c>
      <c r="Z24">
        <f>_xll.EQNXTDZ($A$1,$B24,Z$1,$B$1)</f>
        <v>15.759</v>
      </c>
      <c r="AA24">
        <f>_xll.EQNXTDZ($A$1,$B24,AA$1,$B$1)</f>
        <v>15.862</v>
      </c>
      <c r="AB24">
        <f>_xll.EQNXTDZ($A$1,$B24,AB$1,$B$1)</f>
        <v>6.4119999999999804</v>
      </c>
      <c r="AC24">
        <f>_xll.EQNXTDZ($A$1,$B24,AC$1,$B$1)</f>
        <v>7.7939999999999898</v>
      </c>
      <c r="AD24">
        <f>_xll.EQNXTDZ($A$1,$B24,AD$1,$B$1)</f>
        <v>16.532</v>
      </c>
      <c r="AE24">
        <f>_xll.EQNXTDZ($A$1,$B24,AE$1,$B$1)</f>
        <v>15.363</v>
      </c>
      <c r="AF24">
        <f>_xll.EQNXTDZ($A$1,$B24,AF$1,$B$1)</f>
        <v>7.7910000000000004</v>
      </c>
      <c r="AG24">
        <f>_xll.EQNXTDZ($A$1,$B24,AG$1,$B$1)</f>
        <v>12.202</v>
      </c>
      <c r="AH24">
        <f>_xll.EQNXTDZ($A$1,$B24,AH$1,$B$1)</f>
        <v>11.394</v>
      </c>
      <c r="AI24">
        <f>_xll.EQNXTDZ($A$1,$B24,AI$1,$B$1)</f>
        <v>-6.9829999999999997</v>
      </c>
      <c r="AJ24">
        <f>_xll.EQNXTDZ($A$1,$B24,AJ$1,$B$1)</f>
        <v>9.3360000000000003</v>
      </c>
      <c r="AK24">
        <f>_xll.EQNXTDZ($A$1,$B24,AK$1,$B$1)</f>
        <v>13.77</v>
      </c>
      <c r="AL24">
        <f>_xll.EQNXTDZ($A$1,$B24,AL$1,$B$1)</f>
        <v>14.651999999999999</v>
      </c>
      <c r="AM24">
        <f>_xll.EQNXTDZ($A$1,$B24,AM$1,$B$1)</f>
        <v>10</v>
      </c>
      <c r="AN24">
        <f>_xll.EQNXTDZ($A$1,$B24,AN$1,$B$1)</f>
        <v>7.59</v>
      </c>
      <c r="AO24">
        <f>_xll.EQNXTDZ($A$1,$B24,AO$1,$B$1)</f>
        <v>35.159999999999997</v>
      </c>
      <c r="AP24">
        <f>_xll.EQNXTDZ($A$1,$B24,AP$1,$B$1)</f>
        <v>122.54</v>
      </c>
      <c r="AQ24">
        <f>_xll.EQNXTDZ($A$1,$B24,AQ$1,$B$1)</f>
        <v>274.48</v>
      </c>
      <c r="AR24">
        <f>_xll.EQNXTDZ($A$1,$B24,AR$1,$B$1)</f>
        <v>169.52</v>
      </c>
      <c r="AS24">
        <f>_xll.EQNXTDZ($A$1,$B24,AS$1,$B$1)</f>
        <v>256.74</v>
      </c>
      <c r="AT24">
        <f>_xll.EQNXTDZ($A$1,$B24,AT$1,$B$1)</f>
        <v>184.01</v>
      </c>
      <c r="AU24">
        <f>_xll.EQNXTDZ($A$1,$B24,AU$1,$B$1)</f>
        <v>547.74</v>
      </c>
      <c r="AV24">
        <f>_xll.EQNXTDZ($A$1,$B24,AV$1,$B$1)</f>
        <v>306.24</v>
      </c>
      <c r="AW24">
        <f>_xll.EQNXTDZ($A$1,$B24,AW$1,$B$1)</f>
        <v>460.75</v>
      </c>
      <c r="AX24">
        <f>_xll.EQNXTDZ($A$1,$B24,AX$1,$B$1)</f>
        <v>466.47</v>
      </c>
      <c r="AY24">
        <f>_xll.EQNXTDZ($A$1,$B24,AY$1,$B$1)</f>
        <v>724.49</v>
      </c>
      <c r="AZ24">
        <f>_xll.EQNXTDZ($A$1,$B24,AZ$1,$B$1)</f>
        <v>444.82</v>
      </c>
      <c r="BA24">
        <f>_xll.EQNXTDZ($A$1,$B24,BA$1,$B$1)</f>
        <v>554.45000000000005</v>
      </c>
      <c r="BB24">
        <f>_xll.EQNXTDZ($A$1,$B24,BB$1,$B$1)</f>
        <v>280.36</v>
      </c>
      <c r="BC24">
        <f>_xll.EQNXTDZ($A$1,$B24,BC$1,$B$1)</f>
        <v>822.38</v>
      </c>
      <c r="BD24">
        <f>_xll.EQNXTDZ($A$1,$B24,BD$1,$B$1)</f>
        <v>1098.56</v>
      </c>
      <c r="BE24">
        <f>_xll.EQNXTDZ($A$1,$B24,BE$1,$B$1)</f>
        <v>1856.44</v>
      </c>
      <c r="BF24">
        <f>_xll.EQNXTDZ($A$1,$B24,BF$1,$B$1)</f>
        <v>2556.5100000000002</v>
      </c>
      <c r="BG24">
        <f>_xll.EQNXTDZ($A$1,$B24,BG$1,$B$1)</f>
        <v>0</v>
      </c>
      <c r="BH24">
        <f>_xll.EQNXTDZ($A$1,$B24,BH$1,$B$1)</f>
        <v>0</v>
      </c>
      <c r="BI24">
        <f>_xll.EQNXTDZ($A$1,$B24,BI$1,$B$1)</f>
        <v>0</v>
      </c>
      <c r="BJ24">
        <f>_xll.EQNXTDZ($A$1,$B24,BJ$1,$B$1)</f>
        <v>0</v>
      </c>
      <c r="BK24">
        <f>_xll.EQNXTDZ($A$1,$B24,BK$1,$B$1)</f>
        <v>0</v>
      </c>
      <c r="BL24">
        <f>_xll.EQNXTDZ($A$1,$B24,BL$1,$B$1)</f>
        <v>0</v>
      </c>
      <c r="BM24">
        <f>_xll.EQNXTDZ($A$1,$B24,BM$1,$B$1)</f>
        <v>0</v>
      </c>
      <c r="BN24">
        <f>_xll.EQNXTDZ($A$1,$B24,BN$1,$B$1)</f>
        <v>0</v>
      </c>
      <c r="BO24">
        <f>_xll.EQNXTDZ($A$1,$B24,BO$1,$B$1)</f>
        <v>0</v>
      </c>
      <c r="BP24">
        <f>_xll.EQNXTDZ($A$1,$B24,BP$1,$B$1)</f>
        <v>0</v>
      </c>
      <c r="BQ24">
        <f>_xll.EQNXTDZ($A$1,$B24,BQ$1,$B$1)</f>
        <v>0</v>
      </c>
      <c r="BR24">
        <f>_xll.EQNXTDZ($A$1,$B24,BR$1,$B$1)</f>
        <v>0</v>
      </c>
      <c r="BS24">
        <f>_xll.EQNXTDZ($A$1,$B24,BS$1,$B$1)</f>
        <v>0</v>
      </c>
      <c r="BT24">
        <f>_xll.EQNXTDZ($A$1,$B24,BT$1,$B$1)</f>
        <v>0</v>
      </c>
      <c r="BU24">
        <f>_xll.EQNXTDZ($A$1,$B24,BU$1,$B$1)</f>
        <v>0</v>
      </c>
      <c r="BV24">
        <f>_xll.EQNXTDZ($A$1,$B24,BV$1,$B$1)</f>
        <v>0</v>
      </c>
    </row>
    <row r="25" spans="1:74" x14ac:dyDescent="0.25">
      <c r="A25" t="s">
        <v>18</v>
      </c>
      <c r="B25" t="s">
        <v>295</v>
      </c>
      <c r="C25">
        <f>_xll.EQNXTDZ($A$1,$B25,C$1,$B$1)</f>
        <v>2.1269999999999998</v>
      </c>
      <c r="D25">
        <f>_xll.EQNXTDZ($A$1,$B25,D$1,$B$1)</f>
        <v>1.897</v>
      </c>
      <c r="E25">
        <f>_xll.EQNXTDZ($A$1,$B25,E$1,$B$1)</f>
        <v>1.32</v>
      </c>
      <c r="F25">
        <f>_xll.EQNXTDZ($A$1,$B25,F$1,$B$1)</f>
        <v>3.1560000000000001</v>
      </c>
      <c r="G25">
        <f>_xll.EQNXTDZ($A$1,$B25,G$1,$B$1)</f>
        <v>1.7150000000000001</v>
      </c>
      <c r="H25">
        <f>_xll.EQNXTDZ($A$1,$B25,H$1,$B$1)</f>
        <v>1.7030000000000001</v>
      </c>
      <c r="I25">
        <f>_xll.EQNXTDZ($A$1,$B25,I$1,$B$1)</f>
        <v>1.6719999999999999</v>
      </c>
      <c r="J25">
        <f>_xll.EQNXTDZ($A$1,$B25,J$1,$B$1)</f>
        <v>2.0680000000000001</v>
      </c>
      <c r="K25">
        <f>_xll.EQNXTDZ($A$1,$B25,K$1,$B$1)</f>
        <v>1.397</v>
      </c>
      <c r="L25">
        <f>_xll.EQNXTDZ($A$1,$B25,L$1,$B$1)</f>
        <v>1.6240000000000001</v>
      </c>
      <c r="M25">
        <f>_xll.EQNXTDZ($A$1,$B25,M$1,$B$1)</f>
        <v>1.5069999999999999</v>
      </c>
      <c r="N25">
        <f>_xll.EQNXTDZ($A$1,$B25,N$1,$B$1)</f>
        <v>1.6679999999999999</v>
      </c>
      <c r="O25">
        <f>_xll.EQNXTDZ($A$1,$B25,O$1,$B$1)</f>
        <v>1.0169999999999999</v>
      </c>
      <c r="P25">
        <f>_xll.EQNXTDZ($A$1,$B25,P$1,$B$1)</f>
        <v>1.4059999999999999</v>
      </c>
      <c r="Q25">
        <f>_xll.EQNXTDZ($A$1,$B25,Q$1,$B$1)</f>
        <v>1.4339999999999999</v>
      </c>
      <c r="R25">
        <f>_xll.EQNXTDZ($A$1,$B25,R$1,$B$1)</f>
        <v>5.843</v>
      </c>
      <c r="S25">
        <f>_xll.EQNXTDZ($A$1,$B25,S$1,$B$1)</f>
        <v>1.153</v>
      </c>
      <c r="T25">
        <f>_xll.EQNXTDZ($A$1,$B25,T$1,$B$1)</f>
        <v>0.89600000000000002</v>
      </c>
      <c r="U25">
        <f>_xll.EQNXTDZ($A$1,$B25,U$1,$B$1)</f>
        <v>2.6930000000000001</v>
      </c>
      <c r="V25">
        <f>_xll.EQNXTDZ($A$1,$B25,V$1,$B$1)</f>
        <v>5.4219999999999997</v>
      </c>
      <c r="W25">
        <f>_xll.EQNXTDZ($A$1,$B25,W$1,$B$1)</f>
        <v>2.3130000000000002</v>
      </c>
      <c r="X25">
        <f>_xll.EQNXTDZ($A$1,$B25,X$1,$B$1)</f>
        <v>1.022</v>
      </c>
      <c r="Y25">
        <f>_xll.EQNXTDZ($A$1,$B25,Y$1,$B$1)</f>
        <v>3.7370000000000001</v>
      </c>
      <c r="Z25">
        <f>_xll.EQNXTDZ($A$1,$B25,Z$1,$B$1)</f>
        <v>3.3420000000000001</v>
      </c>
      <c r="AA25">
        <f>_xll.EQNXTDZ($A$1,$B25,AA$1,$B$1)</f>
        <v>1.784</v>
      </c>
      <c r="AB25">
        <f>_xll.EQNXTDZ($A$1,$B25,AB$1,$B$1)</f>
        <v>1.901</v>
      </c>
      <c r="AC25">
        <f>_xll.EQNXTDZ($A$1,$B25,AC$1,$B$1)</f>
        <v>2.2519999999999998</v>
      </c>
      <c r="AD25">
        <f>_xll.EQNXTDZ($A$1,$B25,AD$1,$B$1)</f>
        <v>4.95</v>
      </c>
      <c r="AE25">
        <f>_xll.EQNXTDZ($A$1,$B25,AE$1,$B$1)</f>
        <v>3.8980000000000001</v>
      </c>
      <c r="AF25">
        <f>_xll.EQNXTDZ($A$1,$B25,AF$1,$B$1)</f>
        <v>3.47</v>
      </c>
      <c r="AG25">
        <f>_xll.EQNXTDZ($A$1,$B25,AG$1,$B$1)</f>
        <v>4.4459999999999997</v>
      </c>
      <c r="AH25">
        <f>_xll.EQNXTDZ($A$1,$B25,AH$1,$B$1)</f>
        <v>4.29</v>
      </c>
      <c r="AI25">
        <f>_xll.EQNXTDZ($A$1,$B25,AI$1,$B$1)</f>
        <v>2.2200000000000002</v>
      </c>
      <c r="AJ25">
        <f>_xll.EQNXTDZ($A$1,$B25,AJ$1,$B$1)</f>
        <v>3.0659999999999998</v>
      </c>
      <c r="AK25">
        <f>_xll.EQNXTDZ($A$1,$B25,AK$1,$B$1)</f>
        <v>6.6589999999999998</v>
      </c>
      <c r="AL25">
        <f>_xll.EQNXTDZ($A$1,$B25,AL$1,$B$1)</f>
        <v>4.8769999999999998</v>
      </c>
      <c r="AM25">
        <f>_xll.EQNXTDZ($A$1,$B25,AM$1,$B$1)</f>
        <v>5.68</v>
      </c>
      <c r="AN25">
        <f>_xll.EQNXTDZ($A$1,$B25,AN$1,$B$1)</f>
        <v>2.71</v>
      </c>
      <c r="AO25">
        <f>_xll.EQNXTDZ($A$1,$B25,AO$1,$B$1)</f>
        <v>5.42</v>
      </c>
      <c r="AP25">
        <f>_xll.EQNXTDZ($A$1,$B25,AP$1,$B$1)</f>
        <v>4.34</v>
      </c>
      <c r="AQ25">
        <f>_xll.EQNXTDZ($A$1,$B25,AQ$1,$B$1)</f>
        <v>5.39</v>
      </c>
      <c r="AR25">
        <f>_xll.EQNXTDZ($A$1,$B25,AR$1,$B$1)</f>
        <v>21.35</v>
      </c>
      <c r="AS25">
        <f>_xll.EQNXTDZ($A$1,$B25,AS$1,$B$1)</f>
        <v>21.02</v>
      </c>
      <c r="AT25">
        <f>_xll.EQNXTDZ($A$1,$B25,AT$1,$B$1)</f>
        <v>17.28</v>
      </c>
      <c r="AU25">
        <f>_xll.EQNXTDZ($A$1,$B25,AU$1,$B$1)</f>
        <v>0.51</v>
      </c>
      <c r="AV25">
        <f>_xll.EQNXTDZ($A$1,$B25,AV$1,$B$1)</f>
        <v>0.99</v>
      </c>
      <c r="AW25">
        <f>_xll.EQNXTDZ($A$1,$B25,AW$1,$B$1)</f>
        <v>1.86</v>
      </c>
      <c r="AX25">
        <f>_xll.EQNXTDZ($A$1,$B25,AX$1,$B$1)</f>
        <v>2.3199999999999998</v>
      </c>
      <c r="AY25">
        <f>_xll.EQNXTDZ($A$1,$B25,AY$1,$B$1)</f>
        <v>1.89</v>
      </c>
      <c r="AZ25">
        <f>_xll.EQNXTDZ($A$1,$B25,AZ$1,$B$1)</f>
        <v>3.62</v>
      </c>
      <c r="BA25">
        <f>_xll.EQNXTDZ($A$1,$B25,BA$1,$B$1)</f>
        <v>8.31</v>
      </c>
      <c r="BB25">
        <f>_xll.EQNXTDZ($A$1,$B25,BB$1,$B$1)</f>
        <v>13.4</v>
      </c>
      <c r="BC25">
        <f>_xll.EQNXTDZ($A$1,$B25,BC$1,$B$1)</f>
        <v>14.63</v>
      </c>
      <c r="BD25">
        <f>_xll.EQNXTDZ($A$1,$B25,BD$1,$B$1)</f>
        <v>175.8</v>
      </c>
      <c r="BE25">
        <f>_xll.EQNXTDZ($A$1,$B25,BE$1,$B$1)</f>
        <v>152.37</v>
      </c>
      <c r="BF25">
        <f>_xll.EQNXTDZ($A$1,$B25,BF$1,$B$1)</f>
        <v>167.56</v>
      </c>
      <c r="BG25">
        <f>_xll.EQNXTDZ($A$1,$B25,BG$1,$B$1)</f>
        <v>0</v>
      </c>
      <c r="BH25">
        <f>_xll.EQNXTDZ($A$1,$B25,BH$1,$B$1)</f>
        <v>0</v>
      </c>
      <c r="BI25">
        <f>_xll.EQNXTDZ($A$1,$B25,BI$1,$B$1)</f>
        <v>0</v>
      </c>
      <c r="BJ25">
        <f>_xll.EQNXTDZ($A$1,$B25,BJ$1,$B$1)</f>
        <v>0</v>
      </c>
      <c r="BK25">
        <f>_xll.EQNXTDZ($A$1,$B25,BK$1,$B$1)</f>
        <v>0</v>
      </c>
      <c r="BL25">
        <f>_xll.EQNXTDZ($A$1,$B25,BL$1,$B$1)</f>
        <v>0</v>
      </c>
      <c r="BM25">
        <f>_xll.EQNXTDZ($A$1,$B25,BM$1,$B$1)</f>
        <v>0</v>
      </c>
      <c r="BN25">
        <f>_xll.EQNXTDZ($A$1,$B25,BN$1,$B$1)</f>
        <v>0</v>
      </c>
      <c r="BO25">
        <f>_xll.EQNXTDZ($A$1,$B25,BO$1,$B$1)</f>
        <v>0</v>
      </c>
      <c r="BP25">
        <f>_xll.EQNXTDZ($A$1,$B25,BP$1,$B$1)</f>
        <v>0</v>
      </c>
      <c r="BQ25">
        <f>_xll.EQNXTDZ($A$1,$B25,BQ$1,$B$1)</f>
        <v>0</v>
      </c>
      <c r="BR25">
        <f>_xll.EQNXTDZ($A$1,$B25,BR$1,$B$1)</f>
        <v>0</v>
      </c>
      <c r="BS25">
        <f>_xll.EQNXTDZ($A$1,$B25,BS$1,$B$1)</f>
        <v>0</v>
      </c>
      <c r="BT25">
        <f>_xll.EQNXTDZ($A$1,$B25,BT$1,$B$1)</f>
        <v>0</v>
      </c>
      <c r="BU25">
        <f>_xll.EQNXTDZ($A$1,$B25,BU$1,$B$1)</f>
        <v>0</v>
      </c>
      <c r="BV25">
        <f>_xll.EQNXTDZ($A$1,$B25,BV$1,$B$1)</f>
        <v>0</v>
      </c>
    </row>
    <row r="26" spans="1:74" x14ac:dyDescent="0.25">
      <c r="A26" t="s">
        <v>264</v>
      </c>
      <c r="B26" t="s">
        <v>296</v>
      </c>
      <c r="C26">
        <f>_xll.EQNXTDZ($A$1,$B26,C$1,$B$1)</f>
        <v>0</v>
      </c>
      <c r="D26">
        <f>_xll.EQNXTDZ($A$1,$B26,D$1,$B$1)</f>
        <v>0</v>
      </c>
      <c r="E26">
        <f>_xll.EQNXTDZ($A$1,$B26,E$1,$B$1)</f>
        <v>0</v>
      </c>
      <c r="F26">
        <f>_xll.EQNXTDZ($A$1,$B26,F$1,$B$1)</f>
        <v>0</v>
      </c>
      <c r="G26">
        <f>_xll.EQNXTDZ($A$1,$B26,G$1,$B$1)</f>
        <v>0</v>
      </c>
      <c r="H26">
        <f>_xll.EQNXTDZ($A$1,$B26,H$1,$B$1)</f>
        <v>0</v>
      </c>
      <c r="I26">
        <f>_xll.EQNXTDZ($A$1,$B26,I$1,$B$1)</f>
        <v>0</v>
      </c>
      <c r="J26">
        <f>_xll.EQNXTDZ($A$1,$B26,J$1,$B$1)</f>
        <v>0</v>
      </c>
      <c r="K26">
        <f>_xll.EQNXTDZ($A$1,$B26,K$1,$B$1)</f>
        <v>0</v>
      </c>
      <c r="L26">
        <f>_xll.EQNXTDZ($A$1,$B26,L$1,$B$1)</f>
        <v>0</v>
      </c>
      <c r="M26">
        <f>_xll.EQNXTDZ($A$1,$B26,M$1,$B$1)</f>
        <v>0</v>
      </c>
      <c r="N26">
        <f>_xll.EQNXTDZ($A$1,$B26,N$1,$B$1)</f>
        <v>0</v>
      </c>
      <c r="O26">
        <f>_xll.EQNXTDZ($A$1,$B26,O$1,$B$1)</f>
        <v>0</v>
      </c>
      <c r="P26">
        <f>_xll.EQNXTDZ($A$1,$B26,P$1,$B$1)</f>
        <v>0</v>
      </c>
      <c r="Q26">
        <f>_xll.EQNXTDZ($A$1,$B26,Q$1,$B$1)</f>
        <v>0</v>
      </c>
      <c r="R26">
        <f>_xll.EQNXTDZ($A$1,$B26,R$1,$B$1)</f>
        <v>-6.2290000000000001</v>
      </c>
      <c r="S26">
        <f>_xll.EQNXTDZ($A$1,$B26,S$1,$B$1)</f>
        <v>0</v>
      </c>
      <c r="T26">
        <f>_xll.EQNXTDZ($A$1,$B26,T$1,$B$1)</f>
        <v>0</v>
      </c>
      <c r="U26">
        <f>_xll.EQNXTDZ($A$1,$B26,U$1,$B$1)</f>
        <v>0</v>
      </c>
      <c r="V26">
        <f>_xll.EQNXTDZ($A$1,$B26,V$1,$B$1)</f>
        <v>0</v>
      </c>
      <c r="W26">
        <f>_xll.EQNXTDZ($A$1,$B26,W$1,$B$1)</f>
        <v>0</v>
      </c>
      <c r="X26">
        <f>_xll.EQNXTDZ($A$1,$B26,X$1,$B$1)</f>
        <v>0</v>
      </c>
      <c r="Y26">
        <f>_xll.EQNXTDZ($A$1,$B26,Y$1,$B$1)</f>
        <v>0</v>
      </c>
      <c r="Z26">
        <f>_xll.EQNXTDZ($A$1,$B26,Z$1,$B$1)</f>
        <v>0</v>
      </c>
      <c r="AA26">
        <f>_xll.EQNXTDZ($A$1,$B26,AA$1,$B$1)</f>
        <v>0</v>
      </c>
      <c r="AB26">
        <f>_xll.EQNXTDZ($A$1,$B26,AB$1,$B$1)</f>
        <v>0</v>
      </c>
      <c r="AC26">
        <f>_xll.EQNXTDZ($A$1,$B26,AC$1,$B$1)</f>
        <v>0</v>
      </c>
      <c r="AD26">
        <f>_xll.EQNXTDZ($A$1,$B26,AD$1,$B$1)</f>
        <v>0</v>
      </c>
      <c r="AE26">
        <f>_xll.EQNXTDZ($A$1,$B26,AE$1,$B$1)</f>
        <v>0</v>
      </c>
      <c r="AF26">
        <f>_xll.EQNXTDZ($A$1,$B26,AF$1,$B$1)</f>
        <v>0</v>
      </c>
      <c r="AG26">
        <f>_xll.EQNXTDZ($A$1,$B26,AG$1,$B$1)</f>
        <v>0</v>
      </c>
      <c r="AH26">
        <f>_xll.EQNXTDZ($A$1,$B26,AH$1,$B$1)</f>
        <v>0</v>
      </c>
      <c r="AI26">
        <f>_xll.EQNXTDZ($A$1,$B26,AI$1,$B$1)</f>
        <v>0</v>
      </c>
      <c r="AJ26">
        <f>_xll.EQNXTDZ($A$1,$B26,AJ$1,$B$1)</f>
        <v>0</v>
      </c>
      <c r="AK26">
        <f>_xll.EQNXTDZ($A$1,$B26,AK$1,$B$1)</f>
        <v>0</v>
      </c>
      <c r="AL26">
        <f>_xll.EQNXTDZ($A$1,$B26,AL$1,$B$1)</f>
        <v>0</v>
      </c>
      <c r="AM26">
        <f>_xll.EQNXTDZ($A$1,$B26,AM$1,$B$1)</f>
        <v>0</v>
      </c>
      <c r="AN26">
        <f>_xll.EQNXTDZ($A$1,$B26,AN$1,$B$1)</f>
        <v>0</v>
      </c>
      <c r="AO26">
        <f>_xll.EQNXTDZ($A$1,$B26,AO$1,$B$1)</f>
        <v>-51.36</v>
      </c>
      <c r="AP26">
        <f>_xll.EQNXTDZ($A$1,$B26,AP$1,$B$1)</f>
        <v>0</v>
      </c>
      <c r="AQ26">
        <f>_xll.EQNXTDZ($A$1,$B26,AQ$1,$B$1)</f>
        <v>-1194.4000000000001</v>
      </c>
      <c r="AR26">
        <f>_xll.EQNXTDZ($A$1,$B26,AR$1,$B$1)</f>
        <v>0</v>
      </c>
      <c r="AS26">
        <f>_xll.EQNXTDZ($A$1,$B26,AS$1,$B$1)</f>
        <v>0</v>
      </c>
      <c r="AT26">
        <f>_xll.EQNXTDZ($A$1,$B26,AT$1,$B$1)</f>
        <v>0</v>
      </c>
      <c r="AU26">
        <f>_xll.EQNXTDZ($A$1,$B26,AU$1,$B$1)</f>
        <v>0</v>
      </c>
      <c r="AV26">
        <f>_xll.EQNXTDZ($A$1,$B26,AV$1,$B$1)</f>
        <v>0</v>
      </c>
      <c r="AW26">
        <f>_xll.EQNXTDZ($A$1,$B26,AW$1,$B$1)</f>
        <v>0</v>
      </c>
      <c r="AX26">
        <f>_xll.EQNXTDZ($A$1,$B26,AX$1,$B$1)</f>
        <v>0</v>
      </c>
      <c r="AY26">
        <f>_xll.EQNXTDZ($A$1,$B26,AY$1,$B$1)</f>
        <v>0</v>
      </c>
      <c r="AZ26">
        <f>_xll.EQNXTDZ($A$1,$B26,AZ$1,$B$1)</f>
        <v>0</v>
      </c>
      <c r="BA26">
        <f>_xll.EQNXTDZ($A$1,$B26,BA$1,$B$1)</f>
        <v>0</v>
      </c>
      <c r="BB26">
        <f>_xll.EQNXTDZ($A$1,$B26,BB$1,$B$1)</f>
        <v>0</v>
      </c>
      <c r="BC26">
        <f>_xll.EQNXTDZ($A$1,$B26,BC$1,$B$1)</f>
        <v>0</v>
      </c>
      <c r="BD26">
        <f>_xll.EQNXTDZ($A$1,$B26,BD$1,$B$1)</f>
        <v>0</v>
      </c>
      <c r="BE26">
        <f>_xll.EQNXTDZ($A$1,$B26,BE$1,$B$1)</f>
        <v>0</v>
      </c>
      <c r="BF26">
        <f>_xll.EQNXTDZ($A$1,$B26,BF$1,$B$1)</f>
        <v>0</v>
      </c>
      <c r="BG26">
        <f>_xll.EQNXTDZ($A$1,$B26,BG$1,$B$1)</f>
        <v>0</v>
      </c>
      <c r="BH26">
        <f>_xll.EQNXTDZ($A$1,$B26,BH$1,$B$1)</f>
        <v>0</v>
      </c>
      <c r="BI26">
        <f>_xll.EQNXTDZ($A$1,$B26,BI$1,$B$1)</f>
        <v>0</v>
      </c>
      <c r="BJ26">
        <f>_xll.EQNXTDZ($A$1,$B26,BJ$1,$B$1)</f>
        <v>0</v>
      </c>
      <c r="BK26">
        <f>_xll.EQNXTDZ($A$1,$B26,BK$1,$B$1)</f>
        <v>0</v>
      </c>
      <c r="BL26">
        <f>_xll.EQNXTDZ($A$1,$B26,BL$1,$B$1)</f>
        <v>0</v>
      </c>
      <c r="BM26">
        <f>_xll.EQNXTDZ($A$1,$B26,BM$1,$B$1)</f>
        <v>0</v>
      </c>
      <c r="BN26">
        <f>_xll.EQNXTDZ($A$1,$B26,BN$1,$B$1)</f>
        <v>0</v>
      </c>
      <c r="BO26">
        <f>_xll.EQNXTDZ($A$1,$B26,BO$1,$B$1)</f>
        <v>0</v>
      </c>
      <c r="BP26">
        <f>_xll.EQNXTDZ($A$1,$B26,BP$1,$B$1)</f>
        <v>0</v>
      </c>
      <c r="BQ26">
        <f>_xll.EQNXTDZ($A$1,$B26,BQ$1,$B$1)</f>
        <v>0</v>
      </c>
      <c r="BR26">
        <f>_xll.EQNXTDZ($A$1,$B26,BR$1,$B$1)</f>
        <v>0</v>
      </c>
      <c r="BS26">
        <f>_xll.EQNXTDZ($A$1,$B26,BS$1,$B$1)</f>
        <v>0</v>
      </c>
      <c r="BT26">
        <f>_xll.EQNXTDZ($A$1,$B26,BT$1,$B$1)</f>
        <v>0</v>
      </c>
      <c r="BU26">
        <f>_xll.EQNXTDZ($A$1,$B26,BU$1,$B$1)</f>
        <v>0</v>
      </c>
      <c r="BV26">
        <f>_xll.EQNXTDZ($A$1,$B26,BV$1,$B$1)</f>
        <v>0</v>
      </c>
    </row>
    <row r="27" spans="1:74" x14ac:dyDescent="0.25">
      <c r="A27" t="s">
        <v>124</v>
      </c>
      <c r="B27" t="s">
        <v>297</v>
      </c>
      <c r="C27">
        <f>_xll.EQNXTDZ($A$1,$B27,C$1,$B$1)</f>
        <v>8.1010000000000009</v>
      </c>
      <c r="D27">
        <f>_xll.EQNXTDZ($A$1,$B27,D$1,$B$1)</f>
        <v>5.3109999999999999</v>
      </c>
      <c r="E27">
        <f>_xll.EQNXTDZ($A$1,$B27,E$1,$B$1)</f>
        <v>0.41799999999999998</v>
      </c>
      <c r="F27">
        <f>_xll.EQNXTDZ($A$1,$B27,F$1,$B$1)</f>
        <v>14.603999999999999</v>
      </c>
      <c r="G27">
        <f>_xll.EQNXTDZ($A$1,$B27,G$1,$B$1)</f>
        <v>-6.0369999999999999</v>
      </c>
      <c r="H27">
        <f>_xll.EQNXTDZ($A$1,$B27,H$1,$B$1)</f>
        <v>-4.0570000000000004</v>
      </c>
      <c r="I27">
        <f>_xll.EQNXTDZ($A$1,$B27,I$1,$B$1)</f>
        <v>0.80200000000000005</v>
      </c>
      <c r="J27">
        <f>_xll.EQNXTDZ($A$1,$B27,J$1,$B$1)</f>
        <v>-6.4249999999999998</v>
      </c>
      <c r="K27">
        <f>_xll.EQNXTDZ($A$1,$B27,K$1,$B$1)</f>
        <v>-5.9089999999999998</v>
      </c>
      <c r="L27">
        <f>_xll.EQNXTDZ($A$1,$B27,L$1,$B$1)</f>
        <v>-0.39800000000000002</v>
      </c>
      <c r="M27">
        <f>_xll.EQNXTDZ($A$1,$B27,M$1,$B$1)</f>
        <v>-3.9889999999999999</v>
      </c>
      <c r="N27">
        <f>_xll.EQNXTDZ($A$1,$B27,N$1,$B$1)</f>
        <v>0.14799999999999999</v>
      </c>
      <c r="O27">
        <f>_xll.EQNXTDZ($A$1,$B27,O$1,$B$1)</f>
        <v>5.4710000000000001</v>
      </c>
      <c r="P27">
        <f>_xll.EQNXTDZ($A$1,$B27,P$1,$B$1)</f>
        <v>3.1030000000000002</v>
      </c>
      <c r="Q27">
        <f>_xll.EQNXTDZ($A$1,$B27,Q$1,$B$1)</f>
        <v>2.9769999999999999</v>
      </c>
      <c r="R27">
        <f>_xll.EQNXTDZ($A$1,$B27,R$1,$B$1)</f>
        <v>-0.18</v>
      </c>
      <c r="S27">
        <f>_xll.EQNXTDZ($A$1,$B27,S$1,$B$1)</f>
        <v>3.1059999999999999</v>
      </c>
      <c r="T27">
        <f>_xll.EQNXTDZ($A$1,$B27,T$1,$B$1)</f>
        <v>3.31</v>
      </c>
      <c r="U27">
        <f>_xll.EQNXTDZ($A$1,$B27,U$1,$B$1)</f>
        <v>3.6150000000000002</v>
      </c>
      <c r="V27">
        <f>_xll.EQNXTDZ($A$1,$B27,V$1,$B$1)</f>
        <v>8.5139999999999993</v>
      </c>
      <c r="W27">
        <f>_xll.EQNXTDZ($A$1,$B27,W$1,$B$1)</f>
        <v>8.9939999999999998</v>
      </c>
      <c r="X27">
        <f>_xll.EQNXTDZ($A$1,$B27,X$1,$B$1)</f>
        <v>3.9350000000000001</v>
      </c>
      <c r="Y27">
        <f>_xll.EQNXTDZ($A$1,$B27,Y$1,$B$1)</f>
        <v>5.3689999999999998</v>
      </c>
      <c r="Z27">
        <f>_xll.EQNXTDZ($A$1,$B27,Z$1,$B$1)</f>
        <v>12.417</v>
      </c>
      <c r="AA27">
        <f>_xll.EQNXTDZ($A$1,$B27,AA$1,$B$1)</f>
        <v>14.077999999999999</v>
      </c>
      <c r="AB27">
        <f>_xll.EQNXTDZ($A$1,$B27,AB$1,$B$1)</f>
        <v>4.5109999999999797</v>
      </c>
      <c r="AC27">
        <f>_xll.EQNXTDZ($A$1,$B27,AC$1,$B$1)</f>
        <v>5.54199999999999</v>
      </c>
      <c r="AD27">
        <f>_xll.EQNXTDZ($A$1,$B27,AD$1,$B$1)</f>
        <v>11.582000000000001</v>
      </c>
      <c r="AE27">
        <f>_xll.EQNXTDZ($A$1,$B27,AE$1,$B$1)</f>
        <v>11.465</v>
      </c>
      <c r="AF27">
        <f>_xll.EQNXTDZ($A$1,$B27,AF$1,$B$1)</f>
        <v>4.3209999999999997</v>
      </c>
      <c r="AG27">
        <f>_xll.EQNXTDZ($A$1,$B27,AG$1,$B$1)</f>
        <v>7.7560000000000002</v>
      </c>
      <c r="AH27">
        <f>_xll.EQNXTDZ($A$1,$B27,AH$1,$B$1)</f>
        <v>7.1040000000000001</v>
      </c>
      <c r="AI27">
        <f>_xll.EQNXTDZ($A$1,$B27,AI$1,$B$1)</f>
        <v>-9.2029999999999994</v>
      </c>
      <c r="AJ27">
        <f>_xll.EQNXTDZ($A$1,$B27,AJ$1,$B$1)</f>
        <v>6.27</v>
      </c>
      <c r="AK27">
        <f>_xll.EQNXTDZ($A$1,$B27,AK$1,$B$1)</f>
        <v>7.11099999999999</v>
      </c>
      <c r="AL27">
        <f>_xll.EQNXTDZ($A$1,$B27,AL$1,$B$1)</f>
        <v>9.7750000000000004</v>
      </c>
      <c r="AM27">
        <f>_xll.EQNXTDZ($A$1,$B27,AM$1,$B$1)</f>
        <v>4.32</v>
      </c>
      <c r="AN27">
        <f>_xll.EQNXTDZ($A$1,$B27,AN$1,$B$1)</f>
        <v>4.88</v>
      </c>
      <c r="AO27">
        <f>_xll.EQNXTDZ($A$1,$B27,AO$1,$B$1)</f>
        <v>-21.62</v>
      </c>
      <c r="AP27">
        <f>_xll.EQNXTDZ($A$1,$B27,AP$1,$B$1)</f>
        <v>118.2</v>
      </c>
      <c r="AQ27">
        <f>_xll.EQNXTDZ($A$1,$B27,AQ$1,$B$1)</f>
        <v>-925.31</v>
      </c>
      <c r="AR27">
        <f>_xll.EQNXTDZ($A$1,$B27,AR$1,$B$1)</f>
        <v>148.16999999999999</v>
      </c>
      <c r="AS27">
        <f>_xll.EQNXTDZ($A$1,$B27,AS$1,$B$1)</f>
        <v>235.72</v>
      </c>
      <c r="AT27">
        <f>_xll.EQNXTDZ($A$1,$B27,AT$1,$B$1)</f>
        <v>166.73</v>
      </c>
      <c r="AU27">
        <f>_xll.EQNXTDZ($A$1,$B27,AU$1,$B$1)</f>
        <v>547.23</v>
      </c>
      <c r="AV27">
        <f>_xll.EQNXTDZ($A$1,$B27,AV$1,$B$1)</f>
        <v>305.25</v>
      </c>
      <c r="AW27">
        <f>_xll.EQNXTDZ($A$1,$B27,AW$1,$B$1)</f>
        <v>458.89</v>
      </c>
      <c r="AX27">
        <f>_xll.EQNXTDZ($A$1,$B27,AX$1,$B$1)</f>
        <v>464.15</v>
      </c>
      <c r="AY27">
        <f>_xll.EQNXTDZ($A$1,$B27,AY$1,$B$1)</f>
        <v>722.6</v>
      </c>
      <c r="AZ27">
        <f>_xll.EQNXTDZ($A$1,$B27,AZ$1,$B$1)</f>
        <v>441.2</v>
      </c>
      <c r="BA27">
        <f>_xll.EQNXTDZ($A$1,$B27,BA$1,$B$1)</f>
        <v>546.14</v>
      </c>
      <c r="BB27">
        <f>_xll.EQNXTDZ($A$1,$B27,BB$1,$B$1)</f>
        <v>266.95999999999998</v>
      </c>
      <c r="BC27">
        <f>_xll.EQNXTDZ($A$1,$B27,BC$1,$B$1)</f>
        <v>807.75</v>
      </c>
      <c r="BD27">
        <f>_xll.EQNXTDZ($A$1,$B27,BD$1,$B$1)</f>
        <v>922.75999999999897</v>
      </c>
      <c r="BE27">
        <f>_xll.EQNXTDZ($A$1,$B27,BE$1,$B$1)</f>
        <v>1704.07</v>
      </c>
      <c r="BF27">
        <f>_xll.EQNXTDZ($A$1,$B27,BF$1,$B$1)</f>
        <v>2388.9499999999998</v>
      </c>
      <c r="BG27">
        <f>_xll.EQNXTDZ($A$1,$B27,BG$1,$B$1)</f>
        <v>0</v>
      </c>
      <c r="BH27">
        <f>_xll.EQNXTDZ($A$1,$B27,BH$1,$B$1)</f>
        <v>0</v>
      </c>
      <c r="BI27">
        <f>_xll.EQNXTDZ($A$1,$B27,BI$1,$B$1)</f>
        <v>0</v>
      </c>
      <c r="BJ27">
        <f>_xll.EQNXTDZ($A$1,$B27,BJ$1,$B$1)</f>
        <v>0</v>
      </c>
      <c r="BK27">
        <f>_xll.EQNXTDZ($A$1,$B27,BK$1,$B$1)</f>
        <v>0</v>
      </c>
      <c r="BL27">
        <f>_xll.EQNXTDZ($A$1,$B27,BL$1,$B$1)</f>
        <v>0</v>
      </c>
      <c r="BM27">
        <f>_xll.EQNXTDZ($A$1,$B27,BM$1,$B$1)</f>
        <v>0</v>
      </c>
      <c r="BN27">
        <f>_xll.EQNXTDZ($A$1,$B27,BN$1,$B$1)</f>
        <v>0</v>
      </c>
      <c r="BO27">
        <f>_xll.EQNXTDZ($A$1,$B27,BO$1,$B$1)</f>
        <v>0</v>
      </c>
      <c r="BP27">
        <f>_xll.EQNXTDZ($A$1,$B27,BP$1,$B$1)</f>
        <v>0</v>
      </c>
      <c r="BQ27">
        <f>_xll.EQNXTDZ($A$1,$B27,BQ$1,$B$1)</f>
        <v>0</v>
      </c>
      <c r="BR27">
        <f>_xll.EQNXTDZ($A$1,$B27,BR$1,$B$1)</f>
        <v>0</v>
      </c>
      <c r="BS27">
        <f>_xll.EQNXTDZ($A$1,$B27,BS$1,$B$1)</f>
        <v>0</v>
      </c>
      <c r="BT27">
        <f>_xll.EQNXTDZ($A$1,$B27,BT$1,$B$1)</f>
        <v>0</v>
      </c>
      <c r="BU27">
        <f>_xll.EQNXTDZ($A$1,$B27,BU$1,$B$1)</f>
        <v>0</v>
      </c>
      <c r="BV27">
        <f>_xll.EQNXTDZ($A$1,$B27,BV$1,$B$1)</f>
        <v>0</v>
      </c>
    </row>
    <row r="28" spans="1:74" x14ac:dyDescent="0.25">
      <c r="A28" t="s">
        <v>15</v>
      </c>
      <c r="B28" t="s">
        <v>298</v>
      </c>
      <c r="C28">
        <f>_xll.EQNXTDZ($A$1,$B28,C$1,$B$1)</f>
        <v>6.5659999999999998</v>
      </c>
      <c r="D28">
        <f>_xll.EQNXTDZ($A$1,$B28,D$1,$B$1)</f>
        <v>6.6580000000000004</v>
      </c>
      <c r="E28">
        <f>_xll.EQNXTDZ($A$1,$B28,E$1,$B$1)</f>
        <v>6.6769999999999996</v>
      </c>
      <c r="F28">
        <f>_xll.EQNXTDZ($A$1,$B28,F$1,$B$1)</f>
        <v>6.617</v>
      </c>
      <c r="G28">
        <f>_xll.EQNXTDZ($A$1,$B28,G$1,$B$1)</f>
        <v>6.6719999999999997</v>
      </c>
      <c r="H28">
        <f>_xll.EQNXTDZ($A$1,$B28,H$1,$B$1)</f>
        <v>6.7469999999999999</v>
      </c>
      <c r="I28">
        <f>_xll.EQNXTDZ($A$1,$B28,I$1,$B$1)</f>
        <v>6.7149999999999999</v>
      </c>
      <c r="J28">
        <f>_xll.EQNXTDZ($A$1,$B28,J$1,$B$1)</f>
        <v>6.5949999999999998</v>
      </c>
      <c r="K28">
        <f>_xll.EQNXTDZ($A$1,$B28,K$1,$B$1)</f>
        <v>2.6579999999999999</v>
      </c>
      <c r="L28">
        <f>_xll.EQNXTDZ($A$1,$B28,L$1,$B$1)</f>
        <v>2.6459999999999999</v>
      </c>
      <c r="M28">
        <f>_xll.EQNXTDZ($A$1,$B28,M$1,$B$1)</f>
        <v>2.6560000000000001</v>
      </c>
      <c r="N28">
        <f>_xll.EQNXTDZ($A$1,$B28,N$1,$B$1)</f>
        <v>2.7109999999999999</v>
      </c>
      <c r="O28">
        <f>_xll.EQNXTDZ($A$1,$B28,O$1,$B$1)</f>
        <v>2.7320000000000002</v>
      </c>
      <c r="P28">
        <f>_xll.EQNXTDZ($A$1,$B28,P$1,$B$1)</f>
        <v>2.7429999999999999</v>
      </c>
      <c r="Q28">
        <f>_xll.EQNXTDZ($A$1,$B28,Q$1,$B$1)</f>
        <v>2.722</v>
      </c>
      <c r="R28">
        <f>_xll.EQNXTDZ($A$1,$B28,R$1,$B$1)</f>
        <v>2.4510000000000001</v>
      </c>
      <c r="S28">
        <f>_xll.EQNXTDZ($A$1,$B28,S$1,$B$1)</f>
        <v>2.968</v>
      </c>
      <c r="T28">
        <f>_xll.EQNXTDZ($A$1,$B28,T$1,$B$1)</f>
        <v>3.0009999999999999</v>
      </c>
      <c r="U28">
        <f>_xll.EQNXTDZ($A$1,$B28,U$1,$B$1)</f>
        <v>3.1859999999999999</v>
      </c>
      <c r="V28">
        <f>_xll.EQNXTDZ($A$1,$B28,V$1,$B$1)</f>
        <v>3.8180000000000001</v>
      </c>
      <c r="W28">
        <f>_xll.EQNXTDZ($A$1,$B28,W$1,$B$1)</f>
        <v>3.7120000000000002</v>
      </c>
      <c r="X28">
        <f>_xll.EQNXTDZ($A$1,$B28,X$1,$B$1)</f>
        <v>3.754</v>
      </c>
      <c r="Y28">
        <f>_xll.EQNXTDZ($A$1,$B28,Y$1,$B$1)</f>
        <v>3.7949999999999999</v>
      </c>
      <c r="Z28">
        <f>_xll.EQNXTDZ($A$1,$B28,Z$1,$B$1)</f>
        <v>2.419</v>
      </c>
      <c r="AA28">
        <f>_xll.EQNXTDZ($A$1,$B28,AA$1,$B$1)</f>
        <v>3.8170000000000002</v>
      </c>
      <c r="AB28">
        <f>_xll.EQNXTDZ($A$1,$B28,AB$1,$B$1)</f>
        <v>3.81</v>
      </c>
      <c r="AC28">
        <f>_xll.EQNXTDZ($A$1,$B28,AC$1,$B$1)</f>
        <v>3.694</v>
      </c>
      <c r="AD28">
        <f>_xll.EQNXTDZ($A$1,$B28,AD$1,$B$1)</f>
        <v>3.758</v>
      </c>
      <c r="AE28">
        <f>_xll.EQNXTDZ($A$1,$B28,AE$1,$B$1)</f>
        <v>3.976</v>
      </c>
      <c r="AF28">
        <f>_xll.EQNXTDZ($A$1,$B28,AF$1,$B$1)</f>
        <v>4.3079999999999998</v>
      </c>
      <c r="AG28">
        <f>_xll.EQNXTDZ($A$1,$B28,AG$1,$B$1)</f>
        <v>4.673</v>
      </c>
      <c r="AH28">
        <f>_xll.EQNXTDZ($A$1,$B28,AH$1,$B$1)</f>
        <v>4.5970000000000004</v>
      </c>
      <c r="AI28">
        <f>_xll.EQNXTDZ($A$1,$B28,AI$1,$B$1)</f>
        <v>0.23300000000000001</v>
      </c>
      <c r="AJ28">
        <f>_xll.EQNXTDZ($A$1,$B28,AJ$1,$B$1)</f>
        <v>4.6520000000000001</v>
      </c>
      <c r="AK28">
        <f>_xll.EQNXTDZ($A$1,$B28,AK$1,$B$1)</f>
        <v>4.5149999999999997</v>
      </c>
      <c r="AL28">
        <f>_xll.EQNXTDZ($A$1,$B28,AL$1,$B$1)</f>
        <v>4.4260000000000002</v>
      </c>
      <c r="AM28">
        <f>_xll.EQNXTDZ($A$1,$B28,AM$1,$B$1)</f>
        <v>4.5</v>
      </c>
      <c r="AN28">
        <f>_xll.EQNXTDZ($A$1,$B28,AN$1,$B$1)</f>
        <v>4.57</v>
      </c>
      <c r="AO28">
        <f>_xll.EQNXTDZ($A$1,$B28,AO$1,$B$1)</f>
        <v>4.57</v>
      </c>
      <c r="AP28">
        <f>_xll.EQNXTDZ($A$1,$B28,AP$1,$B$1)</f>
        <v>4.34</v>
      </c>
      <c r="AQ28">
        <f>_xll.EQNXTDZ($A$1,$B28,AQ$1,$B$1)</f>
        <v>5.0199999999999996</v>
      </c>
      <c r="AR28">
        <f>_xll.EQNXTDZ($A$1,$B28,AR$1,$B$1)</f>
        <v>5.46</v>
      </c>
      <c r="AS28">
        <f>_xll.EQNXTDZ($A$1,$B28,AS$1,$B$1)</f>
        <v>5.69</v>
      </c>
      <c r="AT28">
        <f>_xll.EQNXTDZ($A$1,$B28,AT$1,$B$1)</f>
        <v>6.83</v>
      </c>
      <c r="AU28">
        <f>_xll.EQNXTDZ($A$1,$B28,AU$1,$B$1)</f>
        <v>7.57</v>
      </c>
      <c r="AV28">
        <f>_xll.EQNXTDZ($A$1,$B28,AV$1,$B$1)</f>
        <v>10.199999999999999</v>
      </c>
      <c r="AW28">
        <f>_xll.EQNXTDZ($A$1,$B28,AW$1,$B$1)</f>
        <v>14.7</v>
      </c>
      <c r="AX28">
        <f>_xll.EQNXTDZ($A$1,$B28,AX$1,$B$1)</f>
        <v>16.52</v>
      </c>
      <c r="AY28">
        <f>_xll.EQNXTDZ($A$1,$B28,AY$1,$B$1)</f>
        <v>18.73</v>
      </c>
      <c r="AZ28">
        <f>_xll.EQNXTDZ($A$1,$B28,AZ$1,$B$1)</f>
        <v>17.68</v>
      </c>
      <c r="BA28">
        <f>_xll.EQNXTDZ($A$1,$B28,BA$1,$B$1)</f>
        <v>22.06</v>
      </c>
      <c r="BB28">
        <f>_xll.EQNXTDZ($A$1,$B28,BB$1,$B$1)</f>
        <v>22.34</v>
      </c>
      <c r="BC28">
        <f>_xll.EQNXTDZ($A$1,$B28,BC$1,$B$1)</f>
        <v>30.73</v>
      </c>
      <c r="BD28">
        <f>_xll.EQNXTDZ($A$1,$B28,BD$1,$B$1)</f>
        <v>166.53</v>
      </c>
      <c r="BE28">
        <f>_xll.EQNXTDZ($A$1,$B28,BE$1,$B$1)</f>
        <v>185.55</v>
      </c>
      <c r="BF28">
        <f>_xll.EQNXTDZ($A$1,$B28,BF$1,$B$1)</f>
        <v>224.35</v>
      </c>
      <c r="BG28">
        <f>_xll.EQNXTDZ($A$1,$B28,BG$1,$B$1)</f>
        <v>0</v>
      </c>
      <c r="BH28">
        <f>_xll.EQNXTDZ($A$1,$B28,BH$1,$B$1)</f>
        <v>0</v>
      </c>
      <c r="BI28">
        <f>_xll.EQNXTDZ($A$1,$B28,BI$1,$B$1)</f>
        <v>0</v>
      </c>
      <c r="BJ28">
        <f>_xll.EQNXTDZ($A$1,$B28,BJ$1,$B$1)</f>
        <v>0</v>
      </c>
      <c r="BK28">
        <f>_xll.EQNXTDZ($A$1,$B28,BK$1,$B$1)</f>
        <v>0</v>
      </c>
      <c r="BL28">
        <f>_xll.EQNXTDZ($A$1,$B28,BL$1,$B$1)</f>
        <v>0</v>
      </c>
      <c r="BM28">
        <f>_xll.EQNXTDZ($A$1,$B28,BM$1,$B$1)</f>
        <v>0</v>
      </c>
      <c r="BN28">
        <f>_xll.EQNXTDZ($A$1,$B28,BN$1,$B$1)</f>
        <v>0</v>
      </c>
      <c r="BO28">
        <f>_xll.EQNXTDZ($A$1,$B28,BO$1,$B$1)</f>
        <v>0</v>
      </c>
      <c r="BP28">
        <f>_xll.EQNXTDZ($A$1,$B28,BP$1,$B$1)</f>
        <v>0</v>
      </c>
      <c r="BQ28">
        <f>_xll.EQNXTDZ($A$1,$B28,BQ$1,$B$1)</f>
        <v>0</v>
      </c>
      <c r="BR28">
        <f>_xll.EQNXTDZ($A$1,$B28,BR$1,$B$1)</f>
        <v>0</v>
      </c>
      <c r="BS28">
        <f>_xll.EQNXTDZ($A$1,$B28,BS$1,$B$1)</f>
        <v>0</v>
      </c>
      <c r="BT28">
        <f>_xll.EQNXTDZ($A$1,$B28,BT$1,$B$1)</f>
        <v>0</v>
      </c>
      <c r="BU28">
        <f>_xll.EQNXTDZ($A$1,$B28,BU$1,$B$1)</f>
        <v>0</v>
      </c>
      <c r="BV28">
        <f>_xll.EQNXTDZ($A$1,$B28,BV$1,$B$1)</f>
        <v>0</v>
      </c>
    </row>
    <row r="29" spans="1:74" x14ac:dyDescent="0.25">
      <c r="A29" t="s">
        <v>21</v>
      </c>
      <c r="B29" t="s">
        <v>299</v>
      </c>
      <c r="C29">
        <f>_xll.EQNXTDZ($A$1,$B29,C$1,$B$1)</f>
        <v>0</v>
      </c>
      <c r="D29">
        <f>_xll.EQNXTDZ($A$1,$B29,D$1,$B$1)</f>
        <v>0</v>
      </c>
      <c r="E29">
        <f>_xll.EQNXTDZ($A$1,$B29,E$1,$B$1)</f>
        <v>0</v>
      </c>
      <c r="F29">
        <f>_xll.EQNXTDZ($A$1,$B29,F$1,$B$1)</f>
        <v>0</v>
      </c>
      <c r="G29">
        <f>_xll.EQNXTDZ($A$1,$B29,G$1,$B$1)</f>
        <v>0</v>
      </c>
      <c r="H29">
        <f>_xll.EQNXTDZ($A$1,$B29,H$1,$B$1)</f>
        <v>0</v>
      </c>
      <c r="I29">
        <f>_xll.EQNXTDZ($A$1,$B29,I$1,$B$1)</f>
        <v>0</v>
      </c>
      <c r="J29">
        <f>_xll.EQNXTDZ($A$1,$B29,J$1,$B$1)</f>
        <v>0</v>
      </c>
      <c r="K29">
        <f>_xll.EQNXTDZ($A$1,$B29,K$1,$B$1)</f>
        <v>0</v>
      </c>
      <c r="L29">
        <f>_xll.EQNXTDZ($A$1,$B29,L$1,$B$1)</f>
        <v>0</v>
      </c>
      <c r="M29">
        <f>_xll.EQNXTDZ($A$1,$B29,M$1,$B$1)</f>
        <v>0</v>
      </c>
      <c r="N29">
        <f>_xll.EQNXTDZ($A$1,$B29,N$1,$B$1)</f>
        <v>0</v>
      </c>
      <c r="O29">
        <f>_xll.EQNXTDZ($A$1,$B29,O$1,$B$1)</f>
        <v>0</v>
      </c>
      <c r="P29">
        <f>_xll.EQNXTDZ($A$1,$B29,P$1,$B$1)</f>
        <v>0</v>
      </c>
      <c r="Q29">
        <f>_xll.EQNXTDZ($A$1,$B29,Q$1,$B$1)</f>
        <v>0</v>
      </c>
      <c r="R29">
        <f>_xll.EQNXTDZ($A$1,$B29,R$1,$B$1)</f>
        <v>0</v>
      </c>
      <c r="S29">
        <f>_xll.EQNXTDZ($A$1,$B29,S$1,$B$1)</f>
        <v>0</v>
      </c>
      <c r="T29">
        <f>_xll.EQNXTDZ($A$1,$B29,T$1,$B$1)</f>
        <v>0</v>
      </c>
      <c r="U29">
        <f>_xll.EQNXTDZ($A$1,$B29,U$1,$B$1)</f>
        <v>0</v>
      </c>
      <c r="V29">
        <f>_xll.EQNXTDZ($A$1,$B29,V$1,$B$1)</f>
        <v>0</v>
      </c>
      <c r="W29">
        <f>_xll.EQNXTDZ($A$1,$B29,W$1,$B$1)</f>
        <v>0</v>
      </c>
      <c r="X29">
        <f>_xll.EQNXTDZ($A$1,$B29,X$1,$B$1)</f>
        <v>0</v>
      </c>
      <c r="Y29">
        <f>_xll.EQNXTDZ($A$1,$B29,Y$1,$B$1)</f>
        <v>0</v>
      </c>
      <c r="Z29">
        <f>_xll.EQNXTDZ($A$1,$B29,Z$1,$B$1)</f>
        <v>0</v>
      </c>
      <c r="AA29">
        <f>_xll.EQNXTDZ($A$1,$B29,AA$1,$B$1)</f>
        <v>0</v>
      </c>
      <c r="AB29">
        <f>_xll.EQNXTDZ($A$1,$B29,AB$1,$B$1)</f>
        <v>0</v>
      </c>
      <c r="AC29">
        <f>_xll.EQNXTDZ($A$1,$B29,AC$1,$B$1)</f>
        <v>0</v>
      </c>
      <c r="AD29">
        <f>_xll.EQNXTDZ($A$1,$B29,AD$1,$B$1)</f>
        <v>0</v>
      </c>
      <c r="AE29">
        <f>_xll.EQNXTDZ($A$1,$B29,AE$1,$B$1)</f>
        <v>0</v>
      </c>
      <c r="AF29">
        <f>_xll.EQNXTDZ($A$1,$B29,AF$1,$B$1)</f>
        <v>0</v>
      </c>
      <c r="AG29">
        <f>_xll.EQNXTDZ($A$1,$B29,AG$1,$B$1)</f>
        <v>0</v>
      </c>
      <c r="AH29">
        <f>_xll.EQNXTDZ($A$1,$B29,AH$1,$B$1)</f>
        <v>-18.733000000000001</v>
      </c>
      <c r="AI29">
        <f>_xll.EQNXTDZ($A$1,$B29,AI$1,$B$1)</f>
        <v>0</v>
      </c>
      <c r="AJ29">
        <f>_xll.EQNXTDZ($A$1,$B29,AJ$1,$B$1)</f>
        <v>0</v>
      </c>
      <c r="AK29">
        <f>_xll.EQNXTDZ($A$1,$B29,AK$1,$B$1)</f>
        <v>0</v>
      </c>
      <c r="AL29">
        <f>_xll.EQNXTDZ($A$1,$B29,AL$1,$B$1)</f>
        <v>0</v>
      </c>
      <c r="AM29">
        <f>_xll.EQNXTDZ($A$1,$B29,AM$1,$B$1)</f>
        <v>0</v>
      </c>
      <c r="AN29">
        <f>_xll.EQNXTDZ($A$1,$B29,AN$1,$B$1)</f>
        <v>0</v>
      </c>
      <c r="AO29">
        <f>_xll.EQNXTDZ($A$1,$B29,AO$1,$B$1)</f>
        <v>0</v>
      </c>
      <c r="AP29">
        <f>_xll.EQNXTDZ($A$1,$B29,AP$1,$B$1)</f>
        <v>-9.51</v>
      </c>
      <c r="AQ29">
        <f>_xll.EQNXTDZ($A$1,$B29,AQ$1,$B$1)</f>
        <v>0</v>
      </c>
      <c r="AR29">
        <f>_xll.EQNXTDZ($A$1,$B29,AR$1,$B$1)</f>
        <v>0</v>
      </c>
      <c r="AS29">
        <f>_xll.EQNXTDZ($A$1,$B29,AS$1,$B$1)</f>
        <v>0</v>
      </c>
      <c r="AT29">
        <f>_xll.EQNXTDZ($A$1,$B29,AT$1,$B$1)</f>
        <v>-109.14</v>
      </c>
      <c r="AU29">
        <f>_xll.EQNXTDZ($A$1,$B29,AU$1,$B$1)</f>
        <v>136.4</v>
      </c>
      <c r="AV29">
        <f>_xll.EQNXTDZ($A$1,$B29,AV$1,$B$1)</f>
        <v>63.79</v>
      </c>
      <c r="AW29">
        <f>_xll.EQNXTDZ($A$1,$B29,AW$1,$B$1)</f>
        <v>112.69</v>
      </c>
      <c r="AX29">
        <f>_xll.EQNXTDZ($A$1,$B29,AX$1,$B$1)</f>
        <v>170.72</v>
      </c>
      <c r="AY29">
        <f>_xll.EQNXTDZ($A$1,$B29,AY$1,$B$1)</f>
        <v>146.47</v>
      </c>
      <c r="AZ29">
        <f>_xll.EQNXTDZ($A$1,$B29,AZ$1,$B$1)</f>
        <v>122.2</v>
      </c>
      <c r="BA29">
        <f>_xll.EQNXTDZ($A$1,$B29,BA$1,$B$1)</f>
        <v>134.79</v>
      </c>
      <c r="BB29">
        <f>_xll.EQNXTDZ($A$1,$B29,BB$1,$B$1)</f>
        <v>42.74</v>
      </c>
      <c r="BC29">
        <f>_xll.EQNXTDZ($A$1,$B29,BC$1,$B$1)</f>
        <v>135.43</v>
      </c>
      <c r="BD29">
        <f>_xll.EQNXTDZ($A$1,$B29,BD$1,$B$1)</f>
        <v>188.84</v>
      </c>
      <c r="BE29">
        <f>_xll.EQNXTDZ($A$1,$B29,BE$1,$B$1)</f>
        <v>427.01</v>
      </c>
      <c r="BF29">
        <f>_xll.EQNXTDZ($A$1,$B29,BF$1,$B$1)</f>
        <v>657.06</v>
      </c>
      <c r="BG29">
        <f>_xll.EQNXTDZ($A$1,$B29,BG$1,$B$1)</f>
        <v>0</v>
      </c>
      <c r="BH29">
        <f>_xll.EQNXTDZ($A$1,$B29,BH$1,$B$1)</f>
        <v>0</v>
      </c>
      <c r="BI29">
        <f>_xll.EQNXTDZ($A$1,$B29,BI$1,$B$1)</f>
        <v>0</v>
      </c>
      <c r="BJ29">
        <f>_xll.EQNXTDZ($A$1,$B29,BJ$1,$B$1)</f>
        <v>0</v>
      </c>
      <c r="BK29">
        <f>_xll.EQNXTDZ($A$1,$B29,BK$1,$B$1)</f>
        <v>0</v>
      </c>
      <c r="BL29">
        <f>_xll.EQNXTDZ($A$1,$B29,BL$1,$B$1)</f>
        <v>0</v>
      </c>
      <c r="BM29">
        <f>_xll.EQNXTDZ($A$1,$B29,BM$1,$B$1)</f>
        <v>0</v>
      </c>
      <c r="BN29">
        <f>_xll.EQNXTDZ($A$1,$B29,BN$1,$B$1)</f>
        <v>0</v>
      </c>
      <c r="BO29">
        <f>_xll.EQNXTDZ($A$1,$B29,BO$1,$B$1)</f>
        <v>0</v>
      </c>
      <c r="BP29">
        <f>_xll.EQNXTDZ($A$1,$B29,BP$1,$B$1)</f>
        <v>0</v>
      </c>
      <c r="BQ29">
        <f>_xll.EQNXTDZ($A$1,$B29,BQ$1,$B$1)</f>
        <v>0</v>
      </c>
      <c r="BR29">
        <f>_xll.EQNXTDZ($A$1,$B29,BR$1,$B$1)</f>
        <v>0</v>
      </c>
      <c r="BS29">
        <f>_xll.EQNXTDZ($A$1,$B29,BS$1,$B$1)</f>
        <v>0</v>
      </c>
      <c r="BT29">
        <f>_xll.EQNXTDZ($A$1,$B29,BT$1,$B$1)</f>
        <v>0</v>
      </c>
      <c r="BU29">
        <f>_xll.EQNXTDZ($A$1,$B29,BU$1,$B$1)</f>
        <v>0</v>
      </c>
      <c r="BV29">
        <f>_xll.EQNXTDZ($A$1,$B29,BV$1,$B$1)</f>
        <v>0</v>
      </c>
    </row>
    <row r="30" spans="1:74" x14ac:dyDescent="0.25">
      <c r="A30" t="s">
        <v>265</v>
      </c>
      <c r="B30" t="s">
        <v>300</v>
      </c>
      <c r="C30">
        <f>_xll.EQNXTDZ($A$1,$B30,C$1,$B$1)</f>
        <v>1.5349999999999999</v>
      </c>
      <c r="D30">
        <f>_xll.EQNXTDZ($A$1,$B30,D$1,$B$1)</f>
        <v>-1.3480000000000001</v>
      </c>
      <c r="E30">
        <f>_xll.EQNXTDZ($A$1,$B30,E$1,$B$1)</f>
        <v>-6.2590000000000003</v>
      </c>
      <c r="F30">
        <f>_xll.EQNXTDZ($A$1,$B30,F$1,$B$1)</f>
        <v>7.9870000000000001</v>
      </c>
      <c r="G30">
        <f>_xll.EQNXTDZ($A$1,$B30,G$1,$B$1)</f>
        <v>-12.709</v>
      </c>
      <c r="H30">
        <f>_xll.EQNXTDZ($A$1,$B30,H$1,$B$1)</f>
        <v>-10.804</v>
      </c>
      <c r="I30">
        <f>_xll.EQNXTDZ($A$1,$B30,I$1,$B$1)</f>
        <v>-5.9130000000000003</v>
      </c>
      <c r="J30">
        <f>_xll.EQNXTDZ($A$1,$B30,J$1,$B$1)</f>
        <v>-13.02</v>
      </c>
      <c r="K30">
        <f>_xll.EQNXTDZ($A$1,$B30,K$1,$B$1)</f>
        <v>-8.5670000000000002</v>
      </c>
      <c r="L30">
        <f>_xll.EQNXTDZ($A$1,$B30,L$1,$B$1)</f>
        <v>-3.044</v>
      </c>
      <c r="M30">
        <f>_xll.EQNXTDZ($A$1,$B30,M$1,$B$1)</f>
        <v>-6.6449999999999996</v>
      </c>
      <c r="N30">
        <f>_xll.EQNXTDZ($A$1,$B30,N$1,$B$1)</f>
        <v>-2.5630000000000002</v>
      </c>
      <c r="O30">
        <f>_xll.EQNXTDZ($A$1,$B30,O$1,$B$1)</f>
        <v>2.7389999999999999</v>
      </c>
      <c r="P30">
        <f>_xll.EQNXTDZ($A$1,$B30,P$1,$B$1)</f>
        <v>0.36</v>
      </c>
      <c r="Q30">
        <f>_xll.EQNXTDZ($A$1,$B30,Q$1,$B$1)</f>
        <v>0.255</v>
      </c>
      <c r="R30">
        <f>_xll.EQNXTDZ($A$1,$B30,R$1,$B$1)</f>
        <v>-2.6309999999999998</v>
      </c>
      <c r="S30">
        <f>_xll.EQNXTDZ($A$1,$B30,S$1,$B$1)</f>
        <v>0.13800000000000001</v>
      </c>
      <c r="T30">
        <f>_xll.EQNXTDZ($A$1,$B30,T$1,$B$1)</f>
        <v>0.309</v>
      </c>
      <c r="U30">
        <f>_xll.EQNXTDZ($A$1,$B30,U$1,$B$1)</f>
        <v>0.42899999999999999</v>
      </c>
      <c r="V30">
        <f>_xll.EQNXTDZ($A$1,$B30,V$1,$B$1)</f>
        <v>4.6959999999999997</v>
      </c>
      <c r="W30">
        <f>_xll.EQNXTDZ($A$1,$B30,W$1,$B$1)</f>
        <v>5.282</v>
      </c>
      <c r="X30">
        <f>_xll.EQNXTDZ($A$1,$B30,X$1,$B$1)</f>
        <v>0.18099999999999999</v>
      </c>
      <c r="Y30">
        <f>_xll.EQNXTDZ($A$1,$B30,Y$1,$B$1)</f>
        <v>1.5740000000000001</v>
      </c>
      <c r="Z30">
        <f>_xll.EQNXTDZ($A$1,$B30,Z$1,$B$1)</f>
        <v>9.9969999999999999</v>
      </c>
      <c r="AA30">
        <f>_xll.EQNXTDZ($A$1,$B30,AA$1,$B$1)</f>
        <v>10.260999999999999</v>
      </c>
      <c r="AB30">
        <f>_xll.EQNXTDZ($A$1,$B30,AB$1,$B$1)</f>
        <v>0.70099999999997697</v>
      </c>
      <c r="AC30">
        <f>_xll.EQNXTDZ($A$1,$B30,AC$1,$B$1)</f>
        <v>1.8479999999999901</v>
      </c>
      <c r="AD30">
        <f>_xll.EQNXTDZ($A$1,$B30,AD$1,$B$1)</f>
        <v>7.8240000000000203</v>
      </c>
      <c r="AE30">
        <f>_xll.EQNXTDZ($A$1,$B30,AE$1,$B$1)</f>
        <v>7.4890000000000096</v>
      </c>
      <c r="AF30">
        <f>_xll.EQNXTDZ($A$1,$B30,AF$1,$B$1)</f>
        <v>1.29999999999967E-2</v>
      </c>
      <c r="AG30">
        <f>_xll.EQNXTDZ($A$1,$B30,AG$1,$B$1)</f>
        <v>3.0830000000000002</v>
      </c>
      <c r="AH30">
        <f>_xll.EQNXTDZ($A$1,$B30,AH$1,$B$1)</f>
        <v>21.24</v>
      </c>
      <c r="AI30">
        <f>_xll.EQNXTDZ($A$1,$B30,AI$1,$B$1)</f>
        <v>-9.4359999999999999</v>
      </c>
      <c r="AJ30">
        <f>_xll.EQNXTDZ($A$1,$B30,AJ$1,$B$1)</f>
        <v>1.6180000000000001</v>
      </c>
      <c r="AK30">
        <f>_xll.EQNXTDZ($A$1,$B30,AK$1,$B$1)</f>
        <v>2.5959999999999899</v>
      </c>
      <c r="AL30">
        <f>_xll.EQNXTDZ($A$1,$B30,AL$1,$B$1)</f>
        <v>5.3490000000000002</v>
      </c>
      <c r="AM30">
        <f>_xll.EQNXTDZ($A$1,$B30,AM$1,$B$1)</f>
        <v>-0.18</v>
      </c>
      <c r="AN30">
        <f>_xll.EQNXTDZ($A$1,$B30,AN$1,$B$1)</f>
        <v>0.309999999999997</v>
      </c>
      <c r="AO30">
        <f>_xll.EQNXTDZ($A$1,$B30,AO$1,$B$1)</f>
        <v>-26.19</v>
      </c>
      <c r="AP30">
        <f>_xll.EQNXTDZ($A$1,$B30,AP$1,$B$1)</f>
        <v>123.37</v>
      </c>
      <c r="AQ30">
        <f>_xll.EQNXTDZ($A$1,$B30,AQ$1,$B$1)</f>
        <v>-930.33</v>
      </c>
      <c r="AR30">
        <f>_xll.EQNXTDZ($A$1,$B30,AR$1,$B$1)</f>
        <v>142.71</v>
      </c>
      <c r="AS30">
        <f>_xll.EQNXTDZ($A$1,$B30,AS$1,$B$1)</f>
        <v>230.03</v>
      </c>
      <c r="AT30">
        <f>_xll.EQNXTDZ($A$1,$B30,AT$1,$B$1)</f>
        <v>269.04000000000002</v>
      </c>
      <c r="AU30">
        <f>_xll.EQNXTDZ($A$1,$B30,AU$1,$B$1)</f>
        <v>403.26</v>
      </c>
      <c r="AV30">
        <f>_xll.EQNXTDZ($A$1,$B30,AV$1,$B$1)</f>
        <v>231.26</v>
      </c>
      <c r="AW30">
        <f>_xll.EQNXTDZ($A$1,$B30,AW$1,$B$1)</f>
        <v>331.5</v>
      </c>
      <c r="AX30">
        <f>_xll.EQNXTDZ($A$1,$B30,AX$1,$B$1)</f>
        <v>276.91000000000003</v>
      </c>
      <c r="AY30">
        <f>_xll.EQNXTDZ($A$1,$B30,AY$1,$B$1)</f>
        <v>557.4</v>
      </c>
      <c r="AZ30">
        <f>_xll.EQNXTDZ($A$1,$B30,AZ$1,$B$1)</f>
        <v>301.32</v>
      </c>
      <c r="BA30">
        <f>_xll.EQNXTDZ($A$1,$B30,BA$1,$B$1)</f>
        <v>389.29</v>
      </c>
      <c r="BB30">
        <f>_xll.EQNXTDZ($A$1,$B30,BB$1,$B$1)</f>
        <v>201.88</v>
      </c>
      <c r="BC30">
        <f>_xll.EQNXTDZ($A$1,$B30,BC$1,$B$1)</f>
        <v>641.59</v>
      </c>
      <c r="BD30">
        <f>_xll.EQNXTDZ($A$1,$B30,BD$1,$B$1)</f>
        <v>567.38999999999896</v>
      </c>
      <c r="BE30">
        <f>_xll.EQNXTDZ($A$1,$B30,BE$1,$B$1)</f>
        <v>1091.51</v>
      </c>
      <c r="BF30">
        <f>_xll.EQNXTDZ($A$1,$B30,BF$1,$B$1)</f>
        <v>1507.54</v>
      </c>
      <c r="BG30">
        <f>_xll.EQNXTDZ($A$1,$B30,BG$1,$B$1)</f>
        <v>0</v>
      </c>
      <c r="BH30">
        <f>_xll.EQNXTDZ($A$1,$B30,BH$1,$B$1)</f>
        <v>0</v>
      </c>
      <c r="BI30">
        <f>_xll.EQNXTDZ($A$1,$B30,BI$1,$B$1)</f>
        <v>0</v>
      </c>
      <c r="BJ30">
        <f>_xll.EQNXTDZ($A$1,$B30,BJ$1,$B$1)</f>
        <v>0</v>
      </c>
      <c r="BK30">
        <f>_xll.EQNXTDZ($A$1,$B30,BK$1,$B$1)</f>
        <v>0</v>
      </c>
      <c r="BL30">
        <f>_xll.EQNXTDZ($A$1,$B30,BL$1,$B$1)</f>
        <v>0</v>
      </c>
      <c r="BM30">
        <f>_xll.EQNXTDZ($A$1,$B30,BM$1,$B$1)</f>
        <v>0</v>
      </c>
      <c r="BN30">
        <f>_xll.EQNXTDZ($A$1,$B30,BN$1,$B$1)</f>
        <v>0</v>
      </c>
      <c r="BO30">
        <f>_xll.EQNXTDZ($A$1,$B30,BO$1,$B$1)</f>
        <v>0</v>
      </c>
      <c r="BP30">
        <f>_xll.EQNXTDZ($A$1,$B30,BP$1,$B$1)</f>
        <v>0</v>
      </c>
      <c r="BQ30">
        <f>_xll.EQNXTDZ($A$1,$B30,BQ$1,$B$1)</f>
        <v>0</v>
      </c>
      <c r="BR30">
        <f>_xll.EQNXTDZ($A$1,$B30,BR$1,$B$1)</f>
        <v>0</v>
      </c>
      <c r="BS30">
        <f>_xll.EQNXTDZ($A$1,$B30,BS$1,$B$1)</f>
        <v>0</v>
      </c>
      <c r="BT30">
        <f>_xll.EQNXTDZ($A$1,$B30,BT$1,$B$1)</f>
        <v>0</v>
      </c>
      <c r="BU30">
        <f>_xll.EQNXTDZ($A$1,$B30,BU$1,$B$1)</f>
        <v>0</v>
      </c>
      <c r="BV30">
        <f>_xll.EQNXTDZ($A$1,$B30,BV$1,$B$1)</f>
        <v>0</v>
      </c>
    </row>
    <row r="31" spans="1:74" x14ac:dyDescent="0.25">
      <c r="A31" t="s">
        <v>266</v>
      </c>
      <c r="B31" t="s">
        <v>301</v>
      </c>
      <c r="C31">
        <f>_xll.EQNXTDZ($A$1,$B31,C$1,$B$1)</f>
        <v>0</v>
      </c>
      <c r="D31">
        <f>_xll.EQNXTDZ($A$1,$B31,D$1,$B$1)</f>
        <v>0</v>
      </c>
      <c r="E31">
        <f>_xll.EQNXTDZ($A$1,$B31,E$1,$B$1)</f>
        <v>0</v>
      </c>
      <c r="F31">
        <f>_xll.EQNXTDZ($A$1,$B31,F$1,$B$1)</f>
        <v>0</v>
      </c>
      <c r="G31">
        <f>_xll.EQNXTDZ($A$1,$B31,G$1,$B$1)</f>
        <v>0</v>
      </c>
      <c r="H31">
        <f>_xll.EQNXTDZ($A$1,$B31,H$1,$B$1)</f>
        <v>0</v>
      </c>
      <c r="I31">
        <f>_xll.EQNXTDZ($A$1,$B31,I$1,$B$1)</f>
        <v>0</v>
      </c>
      <c r="J31">
        <f>_xll.EQNXTDZ($A$1,$B31,J$1,$B$1)</f>
        <v>0</v>
      </c>
      <c r="K31">
        <f>_xll.EQNXTDZ($A$1,$B31,K$1,$B$1)</f>
        <v>0</v>
      </c>
      <c r="L31">
        <f>_xll.EQNXTDZ($A$1,$B31,L$1,$B$1)</f>
        <v>0</v>
      </c>
      <c r="M31">
        <f>_xll.EQNXTDZ($A$1,$B31,M$1,$B$1)</f>
        <v>0</v>
      </c>
      <c r="N31">
        <f>_xll.EQNXTDZ($A$1,$B31,N$1,$B$1)</f>
        <v>0</v>
      </c>
      <c r="O31">
        <f>_xll.EQNXTDZ($A$1,$B31,O$1,$B$1)</f>
        <v>0</v>
      </c>
      <c r="P31">
        <f>_xll.EQNXTDZ($A$1,$B31,P$1,$B$1)</f>
        <v>0</v>
      </c>
      <c r="Q31">
        <f>_xll.EQNXTDZ($A$1,$B31,Q$1,$B$1)</f>
        <v>0</v>
      </c>
      <c r="R31">
        <f>_xll.EQNXTDZ($A$1,$B31,R$1,$B$1)</f>
        <v>0</v>
      </c>
      <c r="S31">
        <f>_xll.EQNXTDZ($A$1,$B31,S$1,$B$1)</f>
        <v>0</v>
      </c>
      <c r="T31">
        <f>_xll.EQNXTDZ($A$1,$B31,T$1,$B$1)</f>
        <v>0</v>
      </c>
      <c r="U31">
        <f>_xll.EQNXTDZ($A$1,$B31,U$1,$B$1)</f>
        <v>0</v>
      </c>
      <c r="V31">
        <f>_xll.EQNXTDZ($A$1,$B31,V$1,$B$1)</f>
        <v>0</v>
      </c>
      <c r="W31">
        <f>_xll.EQNXTDZ($A$1,$B31,W$1,$B$1)</f>
        <v>0</v>
      </c>
      <c r="X31">
        <f>_xll.EQNXTDZ($A$1,$B31,X$1,$B$1)</f>
        <v>0</v>
      </c>
      <c r="Y31">
        <f>_xll.EQNXTDZ($A$1,$B31,Y$1,$B$1)</f>
        <v>0</v>
      </c>
      <c r="Z31">
        <f>_xll.EQNXTDZ($A$1,$B31,Z$1,$B$1)</f>
        <v>0</v>
      </c>
      <c r="AA31">
        <f>_xll.EQNXTDZ($A$1,$B31,AA$1,$B$1)</f>
        <v>0</v>
      </c>
      <c r="AB31">
        <f>_xll.EQNXTDZ($A$1,$B31,AB$1,$B$1)</f>
        <v>0</v>
      </c>
      <c r="AC31">
        <f>_xll.EQNXTDZ($A$1,$B31,AC$1,$B$1)</f>
        <v>0</v>
      </c>
      <c r="AD31">
        <f>_xll.EQNXTDZ($A$1,$B31,AD$1,$B$1)</f>
        <v>0</v>
      </c>
      <c r="AE31">
        <f>_xll.EQNXTDZ($A$1,$B31,AE$1,$B$1)</f>
        <v>0</v>
      </c>
      <c r="AF31">
        <f>_xll.EQNXTDZ($A$1,$B31,AF$1,$B$1)</f>
        <v>0</v>
      </c>
      <c r="AG31">
        <f>_xll.EQNXTDZ($A$1,$B31,AG$1,$B$1)</f>
        <v>0</v>
      </c>
      <c r="AH31">
        <f>_xll.EQNXTDZ($A$1,$B31,AH$1,$B$1)</f>
        <v>0</v>
      </c>
      <c r="AI31">
        <f>_xll.EQNXTDZ($A$1,$B31,AI$1,$B$1)</f>
        <v>0</v>
      </c>
      <c r="AJ31">
        <f>_xll.EQNXTDZ($A$1,$B31,AJ$1,$B$1)</f>
        <v>0</v>
      </c>
      <c r="AK31">
        <f>_xll.EQNXTDZ($A$1,$B31,AK$1,$B$1)</f>
        <v>0</v>
      </c>
      <c r="AL31">
        <f>_xll.EQNXTDZ($A$1,$B31,AL$1,$B$1)</f>
        <v>0</v>
      </c>
      <c r="AM31">
        <f>_xll.EQNXTDZ($A$1,$B31,AM$1,$B$1)</f>
        <v>0</v>
      </c>
      <c r="AN31">
        <f>_xll.EQNXTDZ($A$1,$B31,AN$1,$B$1)</f>
        <v>0</v>
      </c>
      <c r="AO31">
        <f>_xll.EQNXTDZ($A$1,$B31,AO$1,$B$1)</f>
        <v>0</v>
      </c>
      <c r="AP31">
        <f>_xll.EQNXTDZ($A$1,$B31,AP$1,$B$1)</f>
        <v>0</v>
      </c>
      <c r="AQ31">
        <f>_xll.EQNXTDZ($A$1,$B31,AQ$1,$B$1)</f>
        <v>0</v>
      </c>
      <c r="AR31">
        <f>_xll.EQNXTDZ($A$1,$B31,AR$1,$B$1)</f>
        <v>0</v>
      </c>
      <c r="AS31">
        <f>_xll.EQNXTDZ($A$1,$B31,AS$1,$B$1)</f>
        <v>0</v>
      </c>
      <c r="AT31">
        <f>_xll.EQNXTDZ($A$1,$B31,AT$1,$B$1)</f>
        <v>0</v>
      </c>
      <c r="AU31">
        <f>_xll.EQNXTDZ($A$1,$B31,AU$1,$B$1)</f>
        <v>0</v>
      </c>
      <c r="AV31">
        <f>_xll.EQNXTDZ($A$1,$B31,AV$1,$B$1)</f>
        <v>0</v>
      </c>
      <c r="AW31">
        <f>_xll.EQNXTDZ($A$1,$B31,AW$1,$B$1)</f>
        <v>0</v>
      </c>
      <c r="AX31">
        <f>_xll.EQNXTDZ($A$1,$B31,AX$1,$B$1)</f>
        <v>0</v>
      </c>
      <c r="AY31">
        <f>_xll.EQNXTDZ($A$1,$B31,AY$1,$B$1)</f>
        <v>0</v>
      </c>
      <c r="AZ31">
        <f>_xll.EQNXTDZ($A$1,$B31,AZ$1,$B$1)</f>
        <v>0</v>
      </c>
      <c r="BA31">
        <f>_xll.EQNXTDZ($A$1,$B31,BA$1,$B$1)</f>
        <v>0</v>
      </c>
      <c r="BB31">
        <f>_xll.EQNXTDZ($A$1,$B31,BB$1,$B$1)</f>
        <v>0</v>
      </c>
      <c r="BC31">
        <f>_xll.EQNXTDZ($A$1,$B31,BC$1,$B$1)</f>
        <v>0</v>
      </c>
      <c r="BD31">
        <f>_xll.EQNXTDZ($A$1,$B31,BD$1,$B$1)</f>
        <v>0</v>
      </c>
      <c r="BE31">
        <f>_xll.EQNXTDZ($A$1,$B31,BE$1,$B$1)</f>
        <v>0</v>
      </c>
      <c r="BF31">
        <f>_xll.EQNXTDZ($A$1,$B31,BF$1,$B$1)</f>
        <v>0</v>
      </c>
      <c r="BG31">
        <f>_xll.EQNXTDZ($A$1,$B31,BG$1,$B$1)</f>
        <v>0</v>
      </c>
      <c r="BH31">
        <f>_xll.EQNXTDZ($A$1,$B31,BH$1,$B$1)</f>
        <v>0</v>
      </c>
      <c r="BI31">
        <f>_xll.EQNXTDZ($A$1,$B31,BI$1,$B$1)</f>
        <v>0</v>
      </c>
      <c r="BJ31">
        <f>_xll.EQNXTDZ($A$1,$B31,BJ$1,$B$1)</f>
        <v>0</v>
      </c>
      <c r="BK31">
        <f>_xll.EQNXTDZ($A$1,$B31,BK$1,$B$1)</f>
        <v>0</v>
      </c>
      <c r="BL31">
        <f>_xll.EQNXTDZ($A$1,$B31,BL$1,$B$1)</f>
        <v>0</v>
      </c>
      <c r="BM31">
        <f>_xll.EQNXTDZ($A$1,$B31,BM$1,$B$1)</f>
        <v>0</v>
      </c>
      <c r="BN31">
        <f>_xll.EQNXTDZ($A$1,$B31,BN$1,$B$1)</f>
        <v>0</v>
      </c>
      <c r="BO31">
        <f>_xll.EQNXTDZ($A$1,$B31,BO$1,$B$1)</f>
        <v>0</v>
      </c>
      <c r="BP31">
        <f>_xll.EQNXTDZ($A$1,$B31,BP$1,$B$1)</f>
        <v>0</v>
      </c>
      <c r="BQ31">
        <f>_xll.EQNXTDZ($A$1,$B31,BQ$1,$B$1)</f>
        <v>0</v>
      </c>
      <c r="BR31">
        <f>_xll.EQNXTDZ($A$1,$B31,BR$1,$B$1)</f>
        <v>0</v>
      </c>
      <c r="BS31">
        <f>_xll.EQNXTDZ($A$1,$B31,BS$1,$B$1)</f>
        <v>0</v>
      </c>
      <c r="BT31">
        <f>_xll.EQNXTDZ($A$1,$B31,BT$1,$B$1)</f>
        <v>0</v>
      </c>
      <c r="BU31">
        <f>_xll.EQNXTDZ($A$1,$B31,BU$1,$B$1)</f>
        <v>0</v>
      </c>
      <c r="BV31">
        <f>_xll.EQNXTDZ($A$1,$B31,BV$1,$B$1)</f>
        <v>0</v>
      </c>
    </row>
    <row r="32" spans="1:74" x14ac:dyDescent="0.25">
      <c r="A32" t="s">
        <v>267</v>
      </c>
      <c r="B32" t="s">
        <v>302</v>
      </c>
      <c r="C32">
        <f>_xll.EQNXTDZ($A$1,$B32,C$1,$B$1)</f>
        <v>0</v>
      </c>
      <c r="D32">
        <f>_xll.EQNXTDZ($A$1,$B32,D$1,$B$1)</f>
        <v>0</v>
      </c>
      <c r="E32">
        <f>_xll.EQNXTDZ($A$1,$B32,E$1,$B$1)</f>
        <v>0</v>
      </c>
      <c r="F32">
        <f>_xll.EQNXTDZ($A$1,$B32,F$1,$B$1)</f>
        <v>0</v>
      </c>
      <c r="G32">
        <f>_xll.EQNXTDZ($A$1,$B32,G$1,$B$1)</f>
        <v>0</v>
      </c>
      <c r="H32">
        <f>_xll.EQNXTDZ($A$1,$B32,H$1,$B$1)</f>
        <v>0</v>
      </c>
      <c r="I32">
        <f>_xll.EQNXTDZ($A$1,$B32,I$1,$B$1)</f>
        <v>0</v>
      </c>
      <c r="J32">
        <f>_xll.EQNXTDZ($A$1,$B32,J$1,$B$1)</f>
        <v>0</v>
      </c>
      <c r="K32">
        <f>_xll.EQNXTDZ($A$1,$B32,K$1,$B$1)</f>
        <v>0</v>
      </c>
      <c r="L32">
        <f>_xll.EQNXTDZ($A$1,$B32,L$1,$B$1)</f>
        <v>0</v>
      </c>
      <c r="M32">
        <f>_xll.EQNXTDZ($A$1,$B32,M$1,$B$1)</f>
        <v>0</v>
      </c>
      <c r="N32">
        <f>_xll.EQNXTDZ($A$1,$B32,N$1,$B$1)</f>
        <v>0</v>
      </c>
      <c r="O32">
        <f>_xll.EQNXTDZ($A$1,$B32,O$1,$B$1)</f>
        <v>0</v>
      </c>
      <c r="P32">
        <f>_xll.EQNXTDZ($A$1,$B32,P$1,$B$1)</f>
        <v>0</v>
      </c>
      <c r="Q32">
        <f>_xll.EQNXTDZ($A$1,$B32,Q$1,$B$1)</f>
        <v>0</v>
      </c>
      <c r="R32">
        <f>_xll.EQNXTDZ($A$1,$B32,R$1,$B$1)</f>
        <v>0</v>
      </c>
      <c r="S32">
        <f>_xll.EQNXTDZ($A$1,$B32,S$1,$B$1)</f>
        <v>0</v>
      </c>
      <c r="T32">
        <f>_xll.EQNXTDZ($A$1,$B32,T$1,$B$1)</f>
        <v>0</v>
      </c>
      <c r="U32">
        <f>_xll.EQNXTDZ($A$1,$B32,U$1,$B$1)</f>
        <v>0</v>
      </c>
      <c r="V32">
        <f>_xll.EQNXTDZ($A$1,$B32,V$1,$B$1)</f>
        <v>0</v>
      </c>
      <c r="W32">
        <f>_xll.EQNXTDZ($A$1,$B32,W$1,$B$1)</f>
        <v>0</v>
      </c>
      <c r="X32">
        <f>_xll.EQNXTDZ($A$1,$B32,X$1,$B$1)</f>
        <v>0</v>
      </c>
      <c r="Y32">
        <f>_xll.EQNXTDZ($A$1,$B32,Y$1,$B$1)</f>
        <v>0</v>
      </c>
      <c r="Z32">
        <f>_xll.EQNXTDZ($A$1,$B32,Z$1,$B$1)</f>
        <v>0</v>
      </c>
      <c r="AA32">
        <f>_xll.EQNXTDZ($A$1,$B32,AA$1,$B$1)</f>
        <v>0</v>
      </c>
      <c r="AB32">
        <f>_xll.EQNXTDZ($A$1,$B32,AB$1,$B$1)</f>
        <v>0</v>
      </c>
      <c r="AC32">
        <f>_xll.EQNXTDZ($A$1,$B32,AC$1,$B$1)</f>
        <v>0</v>
      </c>
      <c r="AD32">
        <f>_xll.EQNXTDZ($A$1,$B32,AD$1,$B$1)</f>
        <v>0</v>
      </c>
      <c r="AE32">
        <f>_xll.EQNXTDZ($A$1,$B32,AE$1,$B$1)</f>
        <v>0</v>
      </c>
      <c r="AF32">
        <f>_xll.EQNXTDZ($A$1,$B32,AF$1,$B$1)</f>
        <v>0</v>
      </c>
      <c r="AG32">
        <f>_xll.EQNXTDZ($A$1,$B32,AG$1,$B$1)</f>
        <v>0</v>
      </c>
      <c r="AH32">
        <f>_xll.EQNXTDZ($A$1,$B32,AH$1,$B$1)</f>
        <v>0</v>
      </c>
      <c r="AI32">
        <f>_xll.EQNXTDZ($A$1,$B32,AI$1,$B$1)</f>
        <v>0</v>
      </c>
      <c r="AJ32">
        <f>_xll.EQNXTDZ($A$1,$B32,AJ$1,$B$1)</f>
        <v>0</v>
      </c>
      <c r="AK32">
        <f>_xll.EQNXTDZ($A$1,$B32,AK$1,$B$1)</f>
        <v>0</v>
      </c>
      <c r="AL32">
        <f>_xll.EQNXTDZ($A$1,$B32,AL$1,$B$1)</f>
        <v>0</v>
      </c>
      <c r="AM32">
        <f>_xll.EQNXTDZ($A$1,$B32,AM$1,$B$1)</f>
        <v>0</v>
      </c>
      <c r="AN32">
        <f>_xll.EQNXTDZ($A$1,$B32,AN$1,$B$1)</f>
        <v>0</v>
      </c>
      <c r="AO32">
        <f>_xll.EQNXTDZ($A$1,$B32,AO$1,$B$1)</f>
        <v>0</v>
      </c>
      <c r="AP32">
        <f>_xll.EQNXTDZ($A$1,$B32,AP$1,$B$1)</f>
        <v>0</v>
      </c>
      <c r="AQ32">
        <f>_xll.EQNXTDZ($A$1,$B32,AQ$1,$B$1)</f>
        <v>0</v>
      </c>
      <c r="AR32">
        <f>_xll.EQNXTDZ($A$1,$B32,AR$1,$B$1)</f>
        <v>0</v>
      </c>
      <c r="AS32">
        <f>_xll.EQNXTDZ($A$1,$B32,AS$1,$B$1)</f>
        <v>0</v>
      </c>
      <c r="AT32">
        <f>_xll.EQNXTDZ($A$1,$B32,AT$1,$B$1)</f>
        <v>0</v>
      </c>
      <c r="AU32">
        <f>_xll.EQNXTDZ($A$1,$B32,AU$1,$B$1)</f>
        <v>0</v>
      </c>
      <c r="AV32">
        <f>_xll.EQNXTDZ($A$1,$B32,AV$1,$B$1)</f>
        <v>0</v>
      </c>
      <c r="AW32">
        <f>_xll.EQNXTDZ($A$1,$B32,AW$1,$B$1)</f>
        <v>0</v>
      </c>
      <c r="AX32">
        <f>_xll.EQNXTDZ($A$1,$B32,AX$1,$B$1)</f>
        <v>0</v>
      </c>
      <c r="AY32">
        <f>_xll.EQNXTDZ($A$1,$B32,AY$1,$B$1)</f>
        <v>0</v>
      </c>
      <c r="AZ32">
        <f>_xll.EQNXTDZ($A$1,$B32,AZ$1,$B$1)</f>
        <v>0</v>
      </c>
      <c r="BA32">
        <f>_xll.EQNXTDZ($A$1,$B32,BA$1,$B$1)</f>
        <v>0</v>
      </c>
      <c r="BB32">
        <f>_xll.EQNXTDZ($A$1,$B32,BB$1,$B$1)</f>
        <v>0</v>
      </c>
      <c r="BC32">
        <f>_xll.EQNXTDZ($A$1,$B32,BC$1,$B$1)</f>
        <v>0</v>
      </c>
      <c r="BD32">
        <f>_xll.EQNXTDZ($A$1,$B32,BD$1,$B$1)</f>
        <v>0</v>
      </c>
      <c r="BE32">
        <f>_xll.EQNXTDZ($A$1,$B32,BE$1,$B$1)</f>
        <v>0</v>
      </c>
      <c r="BF32">
        <f>_xll.EQNXTDZ($A$1,$B32,BF$1,$B$1)</f>
        <v>0</v>
      </c>
      <c r="BG32">
        <f>_xll.EQNXTDZ($A$1,$B32,BG$1,$B$1)</f>
        <v>0</v>
      </c>
      <c r="BH32">
        <f>_xll.EQNXTDZ($A$1,$B32,BH$1,$B$1)</f>
        <v>0</v>
      </c>
      <c r="BI32">
        <f>_xll.EQNXTDZ($A$1,$B32,BI$1,$B$1)</f>
        <v>0</v>
      </c>
      <c r="BJ32">
        <f>_xll.EQNXTDZ($A$1,$B32,BJ$1,$B$1)</f>
        <v>0</v>
      </c>
      <c r="BK32">
        <f>_xll.EQNXTDZ($A$1,$B32,BK$1,$B$1)</f>
        <v>0</v>
      </c>
      <c r="BL32">
        <f>_xll.EQNXTDZ($A$1,$B32,BL$1,$B$1)</f>
        <v>0</v>
      </c>
      <c r="BM32">
        <f>_xll.EQNXTDZ($A$1,$B32,BM$1,$B$1)</f>
        <v>0</v>
      </c>
      <c r="BN32">
        <f>_xll.EQNXTDZ($A$1,$B32,BN$1,$B$1)</f>
        <v>0</v>
      </c>
      <c r="BO32">
        <f>_xll.EQNXTDZ($A$1,$B32,BO$1,$B$1)</f>
        <v>0</v>
      </c>
      <c r="BP32">
        <f>_xll.EQNXTDZ($A$1,$B32,BP$1,$B$1)</f>
        <v>0</v>
      </c>
      <c r="BQ32">
        <f>_xll.EQNXTDZ($A$1,$B32,BQ$1,$B$1)</f>
        <v>0</v>
      </c>
      <c r="BR32">
        <f>_xll.EQNXTDZ($A$1,$B32,BR$1,$B$1)</f>
        <v>0</v>
      </c>
      <c r="BS32">
        <f>_xll.EQNXTDZ($A$1,$B32,BS$1,$B$1)</f>
        <v>0</v>
      </c>
      <c r="BT32">
        <f>_xll.EQNXTDZ($A$1,$B32,BT$1,$B$1)</f>
        <v>0</v>
      </c>
      <c r="BU32">
        <f>_xll.EQNXTDZ($A$1,$B32,BU$1,$B$1)</f>
        <v>0</v>
      </c>
      <c r="BV32">
        <f>_xll.EQNXTDZ($A$1,$B32,BV$1,$B$1)</f>
        <v>0</v>
      </c>
    </row>
    <row r="33" spans="1:74" x14ac:dyDescent="0.25">
      <c r="A33" t="s">
        <v>268</v>
      </c>
      <c r="B33" t="s">
        <v>303</v>
      </c>
      <c r="C33">
        <f>_xll.EQNXTDZ($A$1,$B33,C$1,$B$1)</f>
        <v>0</v>
      </c>
      <c r="D33">
        <f>_xll.EQNXTDZ($A$1,$B33,D$1,$B$1)</f>
        <v>0</v>
      </c>
      <c r="E33">
        <f>_xll.EQNXTDZ($A$1,$B33,E$1,$B$1)</f>
        <v>0</v>
      </c>
      <c r="F33">
        <f>_xll.EQNXTDZ($A$1,$B33,F$1,$B$1)</f>
        <v>0</v>
      </c>
      <c r="G33">
        <f>_xll.EQNXTDZ($A$1,$B33,G$1,$B$1)</f>
        <v>0</v>
      </c>
      <c r="H33">
        <f>_xll.EQNXTDZ($A$1,$B33,H$1,$B$1)</f>
        <v>0</v>
      </c>
      <c r="I33">
        <f>_xll.EQNXTDZ($A$1,$B33,I$1,$B$1)</f>
        <v>0</v>
      </c>
      <c r="J33">
        <f>_xll.EQNXTDZ($A$1,$B33,J$1,$B$1)</f>
        <v>0</v>
      </c>
      <c r="K33">
        <f>_xll.EQNXTDZ($A$1,$B33,K$1,$B$1)</f>
        <v>0</v>
      </c>
      <c r="L33">
        <f>_xll.EQNXTDZ($A$1,$B33,L$1,$B$1)</f>
        <v>0</v>
      </c>
      <c r="M33">
        <f>_xll.EQNXTDZ($A$1,$B33,M$1,$B$1)</f>
        <v>0</v>
      </c>
      <c r="N33">
        <f>_xll.EQNXTDZ($A$1,$B33,N$1,$B$1)</f>
        <v>0</v>
      </c>
      <c r="O33">
        <f>_xll.EQNXTDZ($A$1,$B33,O$1,$B$1)</f>
        <v>0</v>
      </c>
      <c r="P33">
        <f>_xll.EQNXTDZ($A$1,$B33,P$1,$B$1)</f>
        <v>0</v>
      </c>
      <c r="Q33">
        <f>_xll.EQNXTDZ($A$1,$B33,Q$1,$B$1)</f>
        <v>0</v>
      </c>
      <c r="R33">
        <f>_xll.EQNXTDZ($A$1,$B33,R$1,$B$1)</f>
        <v>0</v>
      </c>
      <c r="S33">
        <f>_xll.EQNXTDZ($A$1,$B33,S$1,$B$1)</f>
        <v>0</v>
      </c>
      <c r="T33">
        <f>_xll.EQNXTDZ($A$1,$B33,T$1,$B$1)</f>
        <v>0</v>
      </c>
      <c r="U33">
        <f>_xll.EQNXTDZ($A$1,$B33,U$1,$B$1)</f>
        <v>0</v>
      </c>
      <c r="V33">
        <f>_xll.EQNXTDZ($A$1,$B33,V$1,$B$1)</f>
        <v>0</v>
      </c>
      <c r="W33">
        <f>_xll.EQNXTDZ($A$1,$B33,W$1,$B$1)</f>
        <v>0</v>
      </c>
      <c r="X33">
        <f>_xll.EQNXTDZ($A$1,$B33,X$1,$B$1)</f>
        <v>0</v>
      </c>
      <c r="Y33">
        <f>_xll.EQNXTDZ($A$1,$B33,Y$1,$B$1)</f>
        <v>0</v>
      </c>
      <c r="Z33">
        <f>_xll.EQNXTDZ($A$1,$B33,Z$1,$B$1)</f>
        <v>0</v>
      </c>
      <c r="AA33">
        <f>_xll.EQNXTDZ($A$1,$B33,AA$1,$B$1)</f>
        <v>0</v>
      </c>
      <c r="AB33">
        <f>_xll.EQNXTDZ($A$1,$B33,AB$1,$B$1)</f>
        <v>0</v>
      </c>
      <c r="AC33">
        <f>_xll.EQNXTDZ($A$1,$B33,AC$1,$B$1)</f>
        <v>0</v>
      </c>
      <c r="AD33">
        <f>_xll.EQNXTDZ($A$1,$B33,AD$1,$B$1)</f>
        <v>0</v>
      </c>
      <c r="AE33">
        <f>_xll.EQNXTDZ($A$1,$B33,AE$1,$B$1)</f>
        <v>0</v>
      </c>
      <c r="AF33">
        <f>_xll.EQNXTDZ($A$1,$B33,AF$1,$B$1)</f>
        <v>0</v>
      </c>
      <c r="AG33">
        <f>_xll.EQNXTDZ($A$1,$B33,AG$1,$B$1)</f>
        <v>0</v>
      </c>
      <c r="AH33">
        <f>_xll.EQNXTDZ($A$1,$B33,AH$1,$B$1)</f>
        <v>0</v>
      </c>
      <c r="AI33">
        <f>_xll.EQNXTDZ($A$1,$B33,AI$1,$B$1)</f>
        <v>0</v>
      </c>
      <c r="AJ33">
        <f>_xll.EQNXTDZ($A$1,$B33,AJ$1,$B$1)</f>
        <v>0</v>
      </c>
      <c r="AK33">
        <f>_xll.EQNXTDZ($A$1,$B33,AK$1,$B$1)</f>
        <v>0</v>
      </c>
      <c r="AL33">
        <f>_xll.EQNXTDZ($A$1,$B33,AL$1,$B$1)</f>
        <v>0</v>
      </c>
      <c r="AM33">
        <f>_xll.EQNXTDZ($A$1,$B33,AM$1,$B$1)</f>
        <v>0</v>
      </c>
      <c r="AN33">
        <f>_xll.EQNXTDZ($A$1,$B33,AN$1,$B$1)</f>
        <v>0</v>
      </c>
      <c r="AO33">
        <f>_xll.EQNXTDZ($A$1,$B33,AO$1,$B$1)</f>
        <v>0</v>
      </c>
      <c r="AP33">
        <f>_xll.EQNXTDZ($A$1,$B33,AP$1,$B$1)</f>
        <v>0</v>
      </c>
      <c r="AQ33">
        <f>_xll.EQNXTDZ($A$1,$B33,AQ$1,$B$1)</f>
        <v>0</v>
      </c>
      <c r="AR33">
        <f>_xll.EQNXTDZ($A$1,$B33,AR$1,$B$1)</f>
        <v>0</v>
      </c>
      <c r="AS33">
        <f>_xll.EQNXTDZ($A$1,$B33,AS$1,$B$1)</f>
        <v>0</v>
      </c>
      <c r="AT33">
        <f>_xll.EQNXTDZ($A$1,$B33,AT$1,$B$1)</f>
        <v>0</v>
      </c>
      <c r="AU33">
        <f>_xll.EQNXTDZ($A$1,$B33,AU$1,$B$1)</f>
        <v>0</v>
      </c>
      <c r="AV33">
        <f>_xll.EQNXTDZ($A$1,$B33,AV$1,$B$1)</f>
        <v>0</v>
      </c>
      <c r="AW33">
        <f>_xll.EQNXTDZ($A$1,$B33,AW$1,$B$1)</f>
        <v>0</v>
      </c>
      <c r="AX33">
        <f>_xll.EQNXTDZ($A$1,$B33,AX$1,$B$1)</f>
        <v>0</v>
      </c>
      <c r="AY33">
        <f>_xll.EQNXTDZ($A$1,$B33,AY$1,$B$1)</f>
        <v>0</v>
      </c>
      <c r="AZ33">
        <f>_xll.EQNXTDZ($A$1,$B33,AZ$1,$B$1)</f>
        <v>0</v>
      </c>
      <c r="BA33">
        <f>_xll.EQNXTDZ($A$1,$B33,BA$1,$B$1)</f>
        <v>0</v>
      </c>
      <c r="BB33">
        <f>_xll.EQNXTDZ($A$1,$B33,BB$1,$B$1)</f>
        <v>0</v>
      </c>
      <c r="BC33">
        <f>_xll.EQNXTDZ($A$1,$B33,BC$1,$B$1)</f>
        <v>0</v>
      </c>
      <c r="BD33">
        <f>_xll.EQNXTDZ($A$1,$B33,BD$1,$B$1)</f>
        <v>0</v>
      </c>
      <c r="BE33">
        <f>_xll.EQNXTDZ($A$1,$B33,BE$1,$B$1)</f>
        <v>0</v>
      </c>
      <c r="BF33">
        <f>_xll.EQNXTDZ($A$1,$B33,BF$1,$B$1)</f>
        <v>0</v>
      </c>
      <c r="BG33">
        <f>_xll.EQNXTDZ($A$1,$B33,BG$1,$B$1)</f>
        <v>0</v>
      </c>
      <c r="BH33">
        <f>_xll.EQNXTDZ($A$1,$B33,BH$1,$B$1)</f>
        <v>0</v>
      </c>
      <c r="BI33">
        <f>_xll.EQNXTDZ($A$1,$B33,BI$1,$B$1)</f>
        <v>0</v>
      </c>
      <c r="BJ33">
        <f>_xll.EQNXTDZ($A$1,$B33,BJ$1,$B$1)</f>
        <v>0</v>
      </c>
      <c r="BK33">
        <f>_xll.EQNXTDZ($A$1,$B33,BK$1,$B$1)</f>
        <v>0</v>
      </c>
      <c r="BL33">
        <f>_xll.EQNXTDZ($A$1,$B33,BL$1,$B$1)</f>
        <v>0</v>
      </c>
      <c r="BM33">
        <f>_xll.EQNXTDZ($A$1,$B33,BM$1,$B$1)</f>
        <v>0</v>
      </c>
      <c r="BN33">
        <f>_xll.EQNXTDZ($A$1,$B33,BN$1,$B$1)</f>
        <v>0</v>
      </c>
      <c r="BO33">
        <f>_xll.EQNXTDZ($A$1,$B33,BO$1,$B$1)</f>
        <v>0</v>
      </c>
      <c r="BP33">
        <f>_xll.EQNXTDZ($A$1,$B33,BP$1,$B$1)</f>
        <v>0</v>
      </c>
      <c r="BQ33">
        <f>_xll.EQNXTDZ($A$1,$B33,BQ$1,$B$1)</f>
        <v>0</v>
      </c>
      <c r="BR33">
        <f>_xll.EQNXTDZ($A$1,$B33,BR$1,$B$1)</f>
        <v>0</v>
      </c>
      <c r="BS33">
        <f>_xll.EQNXTDZ($A$1,$B33,BS$1,$B$1)</f>
        <v>0</v>
      </c>
      <c r="BT33">
        <f>_xll.EQNXTDZ($A$1,$B33,BT$1,$B$1)</f>
        <v>0</v>
      </c>
      <c r="BU33">
        <f>_xll.EQNXTDZ($A$1,$B33,BU$1,$B$1)</f>
        <v>0</v>
      </c>
      <c r="BV33">
        <f>_xll.EQNXTDZ($A$1,$B33,BV$1,$B$1)</f>
        <v>0</v>
      </c>
    </row>
    <row r="34" spans="1:74" x14ac:dyDescent="0.25">
      <c r="A34" t="s">
        <v>23</v>
      </c>
      <c r="B34" t="s">
        <v>304</v>
      </c>
      <c r="C34">
        <f>_xll.EQNXTDZ($A$1,$B34,C$1,$B$1)</f>
        <v>0</v>
      </c>
      <c r="D34">
        <f>_xll.EQNXTDZ($A$1,$B34,D$1,$B$1)</f>
        <v>0</v>
      </c>
      <c r="E34">
        <f>_xll.EQNXTDZ($A$1,$B34,E$1,$B$1)</f>
        <v>0</v>
      </c>
      <c r="F34">
        <f>_xll.EQNXTDZ($A$1,$B34,F$1,$B$1)</f>
        <v>0</v>
      </c>
      <c r="G34">
        <f>_xll.EQNXTDZ($A$1,$B34,G$1,$B$1)</f>
        <v>0</v>
      </c>
      <c r="H34">
        <f>_xll.EQNXTDZ($A$1,$B34,H$1,$B$1)</f>
        <v>0</v>
      </c>
      <c r="I34">
        <f>_xll.EQNXTDZ($A$1,$B34,I$1,$B$1)</f>
        <v>0</v>
      </c>
      <c r="J34">
        <f>_xll.EQNXTDZ($A$1,$B34,J$1,$B$1)</f>
        <v>0</v>
      </c>
      <c r="K34">
        <f>_xll.EQNXTDZ($A$1,$B34,K$1,$B$1)</f>
        <v>0</v>
      </c>
      <c r="L34">
        <f>_xll.EQNXTDZ($A$1,$B34,L$1,$B$1)</f>
        <v>0</v>
      </c>
      <c r="M34">
        <f>_xll.EQNXTDZ($A$1,$B34,M$1,$B$1)</f>
        <v>0</v>
      </c>
      <c r="N34">
        <f>_xll.EQNXTDZ($A$1,$B34,N$1,$B$1)</f>
        <v>0</v>
      </c>
      <c r="O34">
        <f>_xll.EQNXTDZ($A$1,$B34,O$1,$B$1)</f>
        <v>0</v>
      </c>
      <c r="P34">
        <f>_xll.EQNXTDZ($A$1,$B34,P$1,$B$1)</f>
        <v>0</v>
      </c>
      <c r="Q34">
        <f>_xll.EQNXTDZ($A$1,$B34,Q$1,$B$1)</f>
        <v>0</v>
      </c>
      <c r="R34">
        <f>_xll.EQNXTDZ($A$1,$B34,R$1,$B$1)</f>
        <v>0</v>
      </c>
      <c r="S34">
        <f>_xll.EQNXTDZ($A$1,$B34,S$1,$B$1)</f>
        <v>0</v>
      </c>
      <c r="T34">
        <f>_xll.EQNXTDZ($A$1,$B34,T$1,$B$1)</f>
        <v>0</v>
      </c>
      <c r="U34">
        <f>_xll.EQNXTDZ($A$1,$B34,U$1,$B$1)</f>
        <v>0</v>
      </c>
      <c r="V34">
        <f>_xll.EQNXTDZ($A$1,$B34,V$1,$B$1)</f>
        <v>0</v>
      </c>
      <c r="W34">
        <f>_xll.EQNXTDZ($A$1,$B34,W$1,$B$1)</f>
        <v>0</v>
      </c>
      <c r="X34">
        <f>_xll.EQNXTDZ($A$1,$B34,X$1,$B$1)</f>
        <v>0</v>
      </c>
      <c r="Y34">
        <f>_xll.EQNXTDZ($A$1,$B34,Y$1,$B$1)</f>
        <v>0</v>
      </c>
      <c r="Z34">
        <f>_xll.EQNXTDZ($A$1,$B34,Z$1,$B$1)</f>
        <v>0</v>
      </c>
      <c r="AA34">
        <f>_xll.EQNXTDZ($A$1,$B34,AA$1,$B$1)</f>
        <v>0</v>
      </c>
      <c r="AB34">
        <f>_xll.EQNXTDZ($A$1,$B34,AB$1,$B$1)</f>
        <v>0</v>
      </c>
      <c r="AC34">
        <f>_xll.EQNXTDZ($A$1,$B34,AC$1,$B$1)</f>
        <v>0</v>
      </c>
      <c r="AD34">
        <f>_xll.EQNXTDZ($A$1,$B34,AD$1,$B$1)</f>
        <v>0</v>
      </c>
      <c r="AE34">
        <f>_xll.EQNXTDZ($A$1,$B34,AE$1,$B$1)</f>
        <v>0</v>
      </c>
      <c r="AF34">
        <f>_xll.EQNXTDZ($A$1,$B34,AF$1,$B$1)</f>
        <v>0</v>
      </c>
      <c r="AG34">
        <f>_xll.EQNXTDZ($A$1,$B34,AG$1,$B$1)</f>
        <v>0</v>
      </c>
      <c r="AH34">
        <f>_xll.EQNXTDZ($A$1,$B34,AH$1,$B$1)</f>
        <v>0</v>
      </c>
      <c r="AI34">
        <f>_xll.EQNXTDZ($A$1,$B34,AI$1,$B$1)</f>
        <v>0</v>
      </c>
      <c r="AJ34">
        <f>_xll.EQNXTDZ($A$1,$B34,AJ$1,$B$1)</f>
        <v>0</v>
      </c>
      <c r="AK34">
        <f>_xll.EQNXTDZ($A$1,$B34,AK$1,$B$1)</f>
        <v>0</v>
      </c>
      <c r="AL34">
        <f>_xll.EQNXTDZ($A$1,$B34,AL$1,$B$1)</f>
        <v>0</v>
      </c>
      <c r="AM34">
        <f>_xll.EQNXTDZ($A$1,$B34,AM$1,$B$1)</f>
        <v>0</v>
      </c>
      <c r="AN34">
        <f>_xll.EQNXTDZ($A$1,$B34,AN$1,$B$1)</f>
        <v>0</v>
      </c>
      <c r="AO34">
        <f>_xll.EQNXTDZ($A$1,$B34,AO$1,$B$1)</f>
        <v>0</v>
      </c>
      <c r="AP34">
        <f>_xll.EQNXTDZ($A$1,$B34,AP$1,$B$1)</f>
        <v>0</v>
      </c>
      <c r="AQ34">
        <f>_xll.EQNXTDZ($A$1,$B34,AQ$1,$B$1)</f>
        <v>0</v>
      </c>
      <c r="AR34">
        <f>_xll.EQNXTDZ($A$1,$B34,AR$1,$B$1)</f>
        <v>0</v>
      </c>
      <c r="AS34">
        <f>_xll.EQNXTDZ($A$1,$B34,AS$1,$B$1)</f>
        <v>0</v>
      </c>
      <c r="AT34">
        <f>_xll.EQNXTDZ($A$1,$B34,AT$1,$B$1)</f>
        <v>0</v>
      </c>
      <c r="AU34">
        <f>_xll.EQNXTDZ($A$1,$B34,AU$1,$B$1)</f>
        <v>0</v>
      </c>
      <c r="AV34">
        <f>_xll.EQNXTDZ($A$1,$B34,AV$1,$B$1)</f>
        <v>0</v>
      </c>
      <c r="AW34">
        <f>_xll.EQNXTDZ($A$1,$B34,AW$1,$B$1)</f>
        <v>0</v>
      </c>
      <c r="AX34">
        <f>_xll.EQNXTDZ($A$1,$B34,AX$1,$B$1)</f>
        <v>0</v>
      </c>
      <c r="AY34">
        <f>_xll.EQNXTDZ($A$1,$B34,AY$1,$B$1)</f>
        <v>0</v>
      </c>
      <c r="AZ34">
        <f>_xll.EQNXTDZ($A$1,$B34,AZ$1,$B$1)</f>
        <v>0</v>
      </c>
      <c r="BA34">
        <f>_xll.EQNXTDZ($A$1,$B34,BA$1,$B$1)</f>
        <v>0</v>
      </c>
      <c r="BB34">
        <f>_xll.EQNXTDZ($A$1,$B34,BB$1,$B$1)</f>
        <v>0</v>
      </c>
      <c r="BC34">
        <f>_xll.EQNXTDZ($A$1,$B34,BC$1,$B$1)</f>
        <v>0</v>
      </c>
      <c r="BD34">
        <f>_xll.EQNXTDZ($A$1,$B34,BD$1,$B$1)</f>
        <v>4.97</v>
      </c>
      <c r="BE34">
        <f>_xll.EQNXTDZ($A$1,$B34,BE$1,$B$1)</f>
        <v>-42.17</v>
      </c>
      <c r="BF34">
        <f>_xll.EQNXTDZ($A$1,$B34,BF$1,$B$1)</f>
        <v>-110.6</v>
      </c>
      <c r="BG34">
        <f>_xll.EQNXTDZ($A$1,$B34,BG$1,$B$1)</f>
        <v>0</v>
      </c>
      <c r="BH34">
        <f>_xll.EQNXTDZ($A$1,$B34,BH$1,$B$1)</f>
        <v>0</v>
      </c>
      <c r="BI34">
        <f>_xll.EQNXTDZ($A$1,$B34,BI$1,$B$1)</f>
        <v>0</v>
      </c>
      <c r="BJ34">
        <f>_xll.EQNXTDZ($A$1,$B34,BJ$1,$B$1)</f>
        <v>0</v>
      </c>
      <c r="BK34">
        <f>_xll.EQNXTDZ($A$1,$B34,BK$1,$B$1)</f>
        <v>0</v>
      </c>
      <c r="BL34">
        <f>_xll.EQNXTDZ($A$1,$B34,BL$1,$B$1)</f>
        <v>0</v>
      </c>
      <c r="BM34">
        <f>_xll.EQNXTDZ($A$1,$B34,BM$1,$B$1)</f>
        <v>0</v>
      </c>
      <c r="BN34">
        <f>_xll.EQNXTDZ($A$1,$B34,BN$1,$B$1)</f>
        <v>0</v>
      </c>
      <c r="BO34">
        <f>_xll.EQNXTDZ($A$1,$B34,BO$1,$B$1)</f>
        <v>0</v>
      </c>
      <c r="BP34">
        <f>_xll.EQNXTDZ($A$1,$B34,BP$1,$B$1)</f>
        <v>0</v>
      </c>
      <c r="BQ34">
        <f>_xll.EQNXTDZ($A$1,$B34,BQ$1,$B$1)</f>
        <v>0</v>
      </c>
      <c r="BR34">
        <f>_xll.EQNXTDZ($A$1,$B34,BR$1,$B$1)</f>
        <v>0</v>
      </c>
      <c r="BS34">
        <f>_xll.EQNXTDZ($A$1,$B34,BS$1,$B$1)</f>
        <v>0</v>
      </c>
      <c r="BT34">
        <f>_xll.EQNXTDZ($A$1,$B34,BT$1,$B$1)</f>
        <v>0</v>
      </c>
      <c r="BU34">
        <f>_xll.EQNXTDZ($A$1,$B34,BU$1,$B$1)</f>
        <v>0</v>
      </c>
      <c r="BV34">
        <f>_xll.EQNXTDZ($A$1,$B34,BV$1,$B$1)</f>
        <v>0</v>
      </c>
    </row>
    <row r="35" spans="1:74" x14ac:dyDescent="0.25">
      <c r="A35" t="s">
        <v>269</v>
      </c>
      <c r="B35" t="s">
        <v>305</v>
      </c>
      <c r="C35">
        <f>_xll.EQNXTDZ($A$1,$B35,C$1,$B$1)</f>
        <v>0</v>
      </c>
      <c r="D35">
        <f>_xll.EQNXTDZ($A$1,$B35,D$1,$B$1)</f>
        <v>0</v>
      </c>
      <c r="E35">
        <f>_xll.EQNXTDZ($A$1,$B35,E$1,$B$1)</f>
        <v>0</v>
      </c>
      <c r="F35">
        <f>_xll.EQNXTDZ($A$1,$B35,F$1,$B$1)</f>
        <v>0</v>
      </c>
      <c r="G35">
        <f>_xll.EQNXTDZ($A$1,$B35,G$1,$B$1)</f>
        <v>0</v>
      </c>
      <c r="H35">
        <f>_xll.EQNXTDZ($A$1,$B35,H$1,$B$1)</f>
        <v>0</v>
      </c>
      <c r="I35">
        <f>_xll.EQNXTDZ($A$1,$B35,I$1,$B$1)</f>
        <v>0</v>
      </c>
      <c r="J35">
        <f>_xll.EQNXTDZ($A$1,$B35,J$1,$B$1)</f>
        <v>0</v>
      </c>
      <c r="K35">
        <f>_xll.EQNXTDZ($A$1,$B35,K$1,$B$1)</f>
        <v>0</v>
      </c>
      <c r="L35">
        <f>_xll.EQNXTDZ($A$1,$B35,L$1,$B$1)</f>
        <v>0</v>
      </c>
      <c r="M35">
        <f>_xll.EQNXTDZ($A$1,$B35,M$1,$B$1)</f>
        <v>0</v>
      </c>
      <c r="N35">
        <f>_xll.EQNXTDZ($A$1,$B35,N$1,$B$1)</f>
        <v>0</v>
      </c>
      <c r="O35">
        <f>_xll.EQNXTDZ($A$1,$B35,O$1,$B$1)</f>
        <v>0</v>
      </c>
      <c r="P35">
        <f>_xll.EQNXTDZ($A$1,$B35,P$1,$B$1)</f>
        <v>0</v>
      </c>
      <c r="Q35">
        <f>_xll.EQNXTDZ($A$1,$B35,Q$1,$B$1)</f>
        <v>0</v>
      </c>
      <c r="R35">
        <f>_xll.EQNXTDZ($A$1,$B35,R$1,$B$1)</f>
        <v>0</v>
      </c>
      <c r="S35">
        <f>_xll.EQNXTDZ($A$1,$B35,S$1,$B$1)</f>
        <v>0</v>
      </c>
      <c r="T35">
        <f>_xll.EQNXTDZ($A$1,$B35,T$1,$B$1)</f>
        <v>0</v>
      </c>
      <c r="U35">
        <f>_xll.EQNXTDZ($A$1,$B35,U$1,$B$1)</f>
        <v>0</v>
      </c>
      <c r="V35">
        <f>_xll.EQNXTDZ($A$1,$B35,V$1,$B$1)</f>
        <v>0</v>
      </c>
      <c r="W35">
        <f>_xll.EQNXTDZ($A$1,$B35,W$1,$B$1)</f>
        <v>0</v>
      </c>
      <c r="X35">
        <f>_xll.EQNXTDZ($A$1,$B35,X$1,$B$1)</f>
        <v>0</v>
      </c>
      <c r="Y35">
        <f>_xll.EQNXTDZ($A$1,$B35,Y$1,$B$1)</f>
        <v>0</v>
      </c>
      <c r="Z35">
        <f>_xll.EQNXTDZ($A$1,$B35,Z$1,$B$1)</f>
        <v>0</v>
      </c>
      <c r="AA35">
        <f>_xll.EQNXTDZ($A$1,$B35,AA$1,$B$1)</f>
        <v>0</v>
      </c>
      <c r="AB35">
        <f>_xll.EQNXTDZ($A$1,$B35,AB$1,$B$1)</f>
        <v>0</v>
      </c>
      <c r="AC35">
        <f>_xll.EQNXTDZ($A$1,$B35,AC$1,$B$1)</f>
        <v>0</v>
      </c>
      <c r="AD35">
        <f>_xll.EQNXTDZ($A$1,$B35,AD$1,$B$1)</f>
        <v>0</v>
      </c>
      <c r="AE35">
        <f>_xll.EQNXTDZ($A$1,$B35,AE$1,$B$1)</f>
        <v>0</v>
      </c>
      <c r="AF35">
        <f>_xll.EQNXTDZ($A$1,$B35,AF$1,$B$1)</f>
        <v>0</v>
      </c>
      <c r="AG35">
        <f>_xll.EQNXTDZ($A$1,$B35,AG$1,$B$1)</f>
        <v>0</v>
      </c>
      <c r="AH35">
        <f>_xll.EQNXTDZ($A$1,$B35,AH$1,$B$1)</f>
        <v>0</v>
      </c>
      <c r="AI35">
        <f>_xll.EQNXTDZ($A$1,$B35,AI$1,$B$1)</f>
        <v>0</v>
      </c>
      <c r="AJ35">
        <f>_xll.EQNXTDZ($A$1,$B35,AJ$1,$B$1)</f>
        <v>0</v>
      </c>
      <c r="AK35">
        <f>_xll.EQNXTDZ($A$1,$B35,AK$1,$B$1)</f>
        <v>0</v>
      </c>
      <c r="AL35">
        <f>_xll.EQNXTDZ($A$1,$B35,AL$1,$B$1)</f>
        <v>0</v>
      </c>
      <c r="AM35">
        <f>_xll.EQNXTDZ($A$1,$B35,AM$1,$B$1)</f>
        <v>0</v>
      </c>
      <c r="AN35">
        <f>_xll.EQNXTDZ($A$1,$B35,AN$1,$B$1)</f>
        <v>0</v>
      </c>
      <c r="AO35">
        <f>_xll.EQNXTDZ($A$1,$B35,AO$1,$B$1)</f>
        <v>0.05</v>
      </c>
      <c r="AP35">
        <f>_xll.EQNXTDZ($A$1,$B35,AP$1,$B$1)</f>
        <v>0.02</v>
      </c>
      <c r="AQ35">
        <f>_xll.EQNXTDZ($A$1,$B35,AQ$1,$B$1)</f>
        <v>0</v>
      </c>
      <c r="AR35">
        <f>_xll.EQNXTDZ($A$1,$B35,AR$1,$B$1)</f>
        <v>-0.01</v>
      </c>
      <c r="AS35">
        <f>_xll.EQNXTDZ($A$1,$B35,AS$1,$B$1)</f>
        <v>0</v>
      </c>
      <c r="AT35">
        <f>_xll.EQNXTDZ($A$1,$B35,AT$1,$B$1)</f>
        <v>0</v>
      </c>
      <c r="AU35">
        <f>_xll.EQNXTDZ($A$1,$B35,AU$1,$B$1)</f>
        <v>0</v>
      </c>
      <c r="AV35">
        <f>_xll.EQNXTDZ($A$1,$B35,AV$1,$B$1)</f>
        <v>0</v>
      </c>
      <c r="AW35">
        <f>_xll.EQNXTDZ($A$1,$B35,AW$1,$B$1)</f>
        <v>0</v>
      </c>
      <c r="AX35">
        <f>_xll.EQNXTDZ($A$1,$B35,AX$1,$B$1)</f>
        <v>0</v>
      </c>
      <c r="AY35">
        <f>_xll.EQNXTDZ($A$1,$B35,AY$1,$B$1)</f>
        <v>0</v>
      </c>
      <c r="AZ35">
        <f>_xll.EQNXTDZ($A$1,$B35,AZ$1,$B$1)</f>
        <v>0</v>
      </c>
      <c r="BA35">
        <f>_xll.EQNXTDZ($A$1,$B35,BA$1,$B$1)</f>
        <v>0</v>
      </c>
      <c r="BB35">
        <f>_xll.EQNXTDZ($A$1,$B35,BB$1,$B$1)</f>
        <v>0</v>
      </c>
      <c r="BC35">
        <f>_xll.EQNXTDZ($A$1,$B35,BC$1,$B$1)</f>
        <v>0</v>
      </c>
      <c r="BD35">
        <f>_xll.EQNXTDZ($A$1,$B35,BD$1,$B$1)</f>
        <v>0</v>
      </c>
      <c r="BE35">
        <f>_xll.EQNXTDZ($A$1,$B35,BE$1,$B$1)</f>
        <v>-1.95</v>
      </c>
      <c r="BF35">
        <f>_xll.EQNXTDZ($A$1,$B35,BF$1,$B$1)</f>
        <v>22.56</v>
      </c>
      <c r="BG35">
        <f>_xll.EQNXTDZ($A$1,$B35,BG$1,$B$1)</f>
        <v>0</v>
      </c>
      <c r="BH35">
        <f>_xll.EQNXTDZ($A$1,$B35,BH$1,$B$1)</f>
        <v>0</v>
      </c>
      <c r="BI35">
        <f>_xll.EQNXTDZ($A$1,$B35,BI$1,$B$1)</f>
        <v>0</v>
      </c>
      <c r="BJ35">
        <f>_xll.EQNXTDZ($A$1,$B35,BJ$1,$B$1)</f>
        <v>0</v>
      </c>
      <c r="BK35">
        <f>_xll.EQNXTDZ($A$1,$B35,BK$1,$B$1)</f>
        <v>0</v>
      </c>
      <c r="BL35">
        <f>_xll.EQNXTDZ($A$1,$B35,BL$1,$B$1)</f>
        <v>0</v>
      </c>
      <c r="BM35">
        <f>_xll.EQNXTDZ($A$1,$B35,BM$1,$B$1)</f>
        <v>0</v>
      </c>
      <c r="BN35">
        <f>_xll.EQNXTDZ($A$1,$B35,BN$1,$B$1)</f>
        <v>0</v>
      </c>
      <c r="BO35">
        <f>_xll.EQNXTDZ($A$1,$B35,BO$1,$B$1)</f>
        <v>0</v>
      </c>
      <c r="BP35">
        <f>_xll.EQNXTDZ($A$1,$B35,BP$1,$B$1)</f>
        <v>0</v>
      </c>
      <c r="BQ35">
        <f>_xll.EQNXTDZ($A$1,$B35,BQ$1,$B$1)</f>
        <v>0</v>
      </c>
      <c r="BR35">
        <f>_xll.EQNXTDZ($A$1,$B35,BR$1,$B$1)</f>
        <v>0</v>
      </c>
      <c r="BS35">
        <f>_xll.EQNXTDZ($A$1,$B35,BS$1,$B$1)</f>
        <v>0</v>
      </c>
      <c r="BT35">
        <f>_xll.EQNXTDZ($A$1,$B35,BT$1,$B$1)</f>
        <v>0</v>
      </c>
      <c r="BU35">
        <f>_xll.EQNXTDZ($A$1,$B35,BU$1,$B$1)</f>
        <v>0</v>
      </c>
      <c r="BV35">
        <f>_xll.EQNXTDZ($A$1,$B35,BV$1,$B$1)</f>
        <v>0</v>
      </c>
    </row>
    <row r="36" spans="1:74" x14ac:dyDescent="0.25">
      <c r="A36" t="s">
        <v>270</v>
      </c>
      <c r="B36" t="s">
        <v>306</v>
      </c>
      <c r="C36">
        <f>_xll.EQNXTDZ($A$1,$B36,C$1,$B$1)</f>
        <v>0</v>
      </c>
      <c r="D36">
        <f>_xll.EQNXTDZ($A$1,$B36,D$1,$B$1)</f>
        <v>0</v>
      </c>
      <c r="E36">
        <f>_xll.EQNXTDZ($A$1,$B36,E$1,$B$1)</f>
        <v>0</v>
      </c>
      <c r="F36">
        <f>_xll.EQNXTDZ($A$1,$B36,F$1,$B$1)</f>
        <v>0</v>
      </c>
      <c r="G36">
        <f>_xll.EQNXTDZ($A$1,$B36,G$1,$B$1)</f>
        <v>0</v>
      </c>
      <c r="H36">
        <f>_xll.EQNXTDZ($A$1,$B36,H$1,$B$1)</f>
        <v>0</v>
      </c>
      <c r="I36">
        <f>_xll.EQNXTDZ($A$1,$B36,I$1,$B$1)</f>
        <v>0</v>
      </c>
      <c r="J36">
        <f>_xll.EQNXTDZ($A$1,$B36,J$1,$B$1)</f>
        <v>0</v>
      </c>
      <c r="K36">
        <f>_xll.EQNXTDZ($A$1,$B36,K$1,$B$1)</f>
        <v>0</v>
      </c>
      <c r="L36">
        <f>_xll.EQNXTDZ($A$1,$B36,L$1,$B$1)</f>
        <v>0</v>
      </c>
      <c r="M36">
        <f>_xll.EQNXTDZ($A$1,$B36,M$1,$B$1)</f>
        <v>0</v>
      </c>
      <c r="N36">
        <f>_xll.EQNXTDZ($A$1,$B36,N$1,$B$1)</f>
        <v>0</v>
      </c>
      <c r="O36">
        <f>_xll.EQNXTDZ($A$1,$B36,O$1,$B$1)</f>
        <v>0</v>
      </c>
      <c r="P36">
        <f>_xll.EQNXTDZ($A$1,$B36,P$1,$B$1)</f>
        <v>0</v>
      </c>
      <c r="Q36">
        <f>_xll.EQNXTDZ($A$1,$B36,Q$1,$B$1)</f>
        <v>0</v>
      </c>
      <c r="R36">
        <f>_xll.EQNXTDZ($A$1,$B36,R$1,$B$1)</f>
        <v>0</v>
      </c>
      <c r="S36">
        <f>_xll.EQNXTDZ($A$1,$B36,S$1,$B$1)</f>
        <v>0</v>
      </c>
      <c r="T36">
        <f>_xll.EQNXTDZ($A$1,$B36,T$1,$B$1)</f>
        <v>0</v>
      </c>
      <c r="U36">
        <f>_xll.EQNXTDZ($A$1,$B36,U$1,$B$1)</f>
        <v>0</v>
      </c>
      <c r="V36">
        <f>_xll.EQNXTDZ($A$1,$B36,V$1,$B$1)</f>
        <v>0</v>
      </c>
      <c r="W36">
        <f>_xll.EQNXTDZ($A$1,$B36,W$1,$B$1)</f>
        <v>0</v>
      </c>
      <c r="X36">
        <f>_xll.EQNXTDZ($A$1,$B36,X$1,$B$1)</f>
        <v>0</v>
      </c>
      <c r="Y36">
        <f>_xll.EQNXTDZ($A$1,$B36,Y$1,$B$1)</f>
        <v>0</v>
      </c>
      <c r="Z36">
        <f>_xll.EQNXTDZ($A$1,$B36,Z$1,$B$1)</f>
        <v>0</v>
      </c>
      <c r="AA36">
        <f>_xll.EQNXTDZ($A$1,$B36,AA$1,$B$1)</f>
        <v>0</v>
      </c>
      <c r="AB36">
        <f>_xll.EQNXTDZ($A$1,$B36,AB$1,$B$1)</f>
        <v>0</v>
      </c>
      <c r="AC36">
        <f>_xll.EQNXTDZ($A$1,$B36,AC$1,$B$1)</f>
        <v>0</v>
      </c>
      <c r="AD36">
        <f>_xll.EQNXTDZ($A$1,$B36,AD$1,$B$1)</f>
        <v>0</v>
      </c>
      <c r="AE36">
        <f>_xll.EQNXTDZ($A$1,$B36,AE$1,$B$1)</f>
        <v>0</v>
      </c>
      <c r="AF36">
        <f>_xll.EQNXTDZ($A$1,$B36,AF$1,$B$1)</f>
        <v>0</v>
      </c>
      <c r="AG36">
        <f>_xll.EQNXTDZ($A$1,$B36,AG$1,$B$1)</f>
        <v>0</v>
      </c>
      <c r="AH36">
        <f>_xll.EQNXTDZ($A$1,$B36,AH$1,$B$1)</f>
        <v>0</v>
      </c>
      <c r="AI36">
        <f>_xll.EQNXTDZ($A$1,$B36,AI$1,$B$1)</f>
        <v>0</v>
      </c>
      <c r="AJ36">
        <f>_xll.EQNXTDZ($A$1,$B36,AJ$1,$B$1)</f>
        <v>0</v>
      </c>
      <c r="AK36">
        <f>_xll.EQNXTDZ($A$1,$B36,AK$1,$B$1)</f>
        <v>0</v>
      </c>
      <c r="AL36">
        <f>_xll.EQNXTDZ($A$1,$B36,AL$1,$B$1)</f>
        <v>0</v>
      </c>
      <c r="AM36">
        <f>_xll.EQNXTDZ($A$1,$B36,AM$1,$B$1)</f>
        <v>0</v>
      </c>
      <c r="AN36">
        <f>_xll.EQNXTDZ($A$1,$B36,AN$1,$B$1)</f>
        <v>0</v>
      </c>
      <c r="AO36">
        <f>_xll.EQNXTDZ($A$1,$B36,AO$1,$B$1)</f>
        <v>0</v>
      </c>
      <c r="AP36">
        <f>_xll.EQNXTDZ($A$1,$B36,AP$1,$B$1)</f>
        <v>0</v>
      </c>
      <c r="AQ36">
        <f>_xll.EQNXTDZ($A$1,$B36,AQ$1,$B$1)</f>
        <v>0</v>
      </c>
      <c r="AR36">
        <f>_xll.EQNXTDZ($A$1,$B36,AR$1,$B$1)</f>
        <v>0</v>
      </c>
      <c r="AS36">
        <f>_xll.EQNXTDZ($A$1,$B36,AS$1,$B$1)</f>
        <v>0</v>
      </c>
      <c r="AT36">
        <f>_xll.EQNXTDZ($A$1,$B36,AT$1,$B$1)</f>
        <v>0</v>
      </c>
      <c r="AU36">
        <f>_xll.EQNXTDZ($A$1,$B36,AU$1,$B$1)</f>
        <v>0</v>
      </c>
      <c r="AV36">
        <f>_xll.EQNXTDZ($A$1,$B36,AV$1,$B$1)</f>
        <v>0</v>
      </c>
      <c r="AW36">
        <f>_xll.EQNXTDZ($A$1,$B36,AW$1,$B$1)</f>
        <v>0</v>
      </c>
      <c r="AX36">
        <f>_xll.EQNXTDZ($A$1,$B36,AX$1,$B$1)</f>
        <v>0</v>
      </c>
      <c r="AY36">
        <f>_xll.EQNXTDZ($A$1,$B36,AY$1,$B$1)</f>
        <v>0</v>
      </c>
      <c r="AZ36">
        <f>_xll.EQNXTDZ($A$1,$B36,AZ$1,$B$1)</f>
        <v>0</v>
      </c>
      <c r="BA36">
        <f>_xll.EQNXTDZ($A$1,$B36,BA$1,$B$1)</f>
        <v>0</v>
      </c>
      <c r="BB36">
        <f>_xll.EQNXTDZ($A$1,$B36,BB$1,$B$1)</f>
        <v>0</v>
      </c>
      <c r="BC36">
        <f>_xll.EQNXTDZ($A$1,$B36,BC$1,$B$1)</f>
        <v>0</v>
      </c>
      <c r="BD36">
        <f>_xll.EQNXTDZ($A$1,$B36,BD$1,$B$1)</f>
        <v>0</v>
      </c>
      <c r="BE36">
        <f>_xll.EQNXTDZ($A$1,$B36,BE$1,$B$1)</f>
        <v>0</v>
      </c>
      <c r="BF36">
        <f>_xll.EQNXTDZ($A$1,$B36,BF$1,$B$1)</f>
        <v>0</v>
      </c>
      <c r="BG36">
        <f>_xll.EQNXTDZ($A$1,$B36,BG$1,$B$1)</f>
        <v>0</v>
      </c>
      <c r="BH36">
        <f>_xll.EQNXTDZ($A$1,$B36,BH$1,$B$1)</f>
        <v>0</v>
      </c>
      <c r="BI36">
        <f>_xll.EQNXTDZ($A$1,$B36,BI$1,$B$1)</f>
        <v>0</v>
      </c>
      <c r="BJ36">
        <f>_xll.EQNXTDZ($A$1,$B36,BJ$1,$B$1)</f>
        <v>0</v>
      </c>
      <c r="BK36">
        <f>_xll.EQNXTDZ($A$1,$B36,BK$1,$B$1)</f>
        <v>0</v>
      </c>
      <c r="BL36">
        <f>_xll.EQNXTDZ($A$1,$B36,BL$1,$B$1)</f>
        <v>0</v>
      </c>
      <c r="BM36">
        <f>_xll.EQNXTDZ($A$1,$B36,BM$1,$B$1)</f>
        <v>0</v>
      </c>
      <c r="BN36">
        <f>_xll.EQNXTDZ($A$1,$B36,BN$1,$B$1)</f>
        <v>0</v>
      </c>
      <c r="BO36">
        <f>_xll.EQNXTDZ($A$1,$B36,BO$1,$B$1)</f>
        <v>0</v>
      </c>
      <c r="BP36">
        <f>_xll.EQNXTDZ($A$1,$B36,BP$1,$B$1)</f>
        <v>0</v>
      </c>
      <c r="BQ36">
        <f>_xll.EQNXTDZ($A$1,$B36,BQ$1,$B$1)</f>
        <v>0</v>
      </c>
      <c r="BR36">
        <f>_xll.EQNXTDZ($A$1,$B36,BR$1,$B$1)</f>
        <v>0</v>
      </c>
      <c r="BS36">
        <f>_xll.EQNXTDZ($A$1,$B36,BS$1,$B$1)</f>
        <v>0</v>
      </c>
      <c r="BT36">
        <f>_xll.EQNXTDZ($A$1,$B36,BT$1,$B$1)</f>
        <v>0</v>
      </c>
      <c r="BU36">
        <f>_xll.EQNXTDZ($A$1,$B36,BU$1,$B$1)</f>
        <v>0</v>
      </c>
      <c r="BV36">
        <f>_xll.EQNXTDZ($A$1,$B36,BV$1,$B$1)</f>
        <v>0</v>
      </c>
    </row>
    <row r="37" spans="1:74" x14ac:dyDescent="0.25">
      <c r="A37" t="s">
        <v>271</v>
      </c>
      <c r="B37" t="s">
        <v>307</v>
      </c>
      <c r="C37">
        <f>_xll.EQNXTDZ($A$1,$B37,C$1,$B$1)</f>
        <v>0</v>
      </c>
      <c r="D37">
        <f>_xll.EQNXTDZ($A$1,$B37,D$1,$B$1)</f>
        <v>0</v>
      </c>
      <c r="E37">
        <f>_xll.EQNXTDZ($A$1,$B37,E$1,$B$1)</f>
        <v>0</v>
      </c>
      <c r="F37">
        <f>_xll.EQNXTDZ($A$1,$B37,F$1,$B$1)</f>
        <v>0</v>
      </c>
      <c r="G37">
        <f>_xll.EQNXTDZ($A$1,$B37,G$1,$B$1)</f>
        <v>0</v>
      </c>
      <c r="H37">
        <f>_xll.EQNXTDZ($A$1,$B37,H$1,$B$1)</f>
        <v>0</v>
      </c>
      <c r="I37">
        <f>_xll.EQNXTDZ($A$1,$B37,I$1,$B$1)</f>
        <v>0</v>
      </c>
      <c r="J37">
        <f>_xll.EQNXTDZ($A$1,$B37,J$1,$B$1)</f>
        <v>0</v>
      </c>
      <c r="K37">
        <f>_xll.EQNXTDZ($A$1,$B37,K$1,$B$1)</f>
        <v>0</v>
      </c>
      <c r="L37">
        <f>_xll.EQNXTDZ($A$1,$B37,L$1,$B$1)</f>
        <v>0</v>
      </c>
      <c r="M37">
        <f>_xll.EQNXTDZ($A$1,$B37,M$1,$B$1)</f>
        <v>0</v>
      </c>
      <c r="N37">
        <f>_xll.EQNXTDZ($A$1,$B37,N$1,$B$1)</f>
        <v>0</v>
      </c>
      <c r="O37">
        <f>_xll.EQNXTDZ($A$1,$B37,O$1,$B$1)</f>
        <v>0</v>
      </c>
      <c r="P37">
        <f>_xll.EQNXTDZ($A$1,$B37,P$1,$B$1)</f>
        <v>0</v>
      </c>
      <c r="Q37">
        <f>_xll.EQNXTDZ($A$1,$B37,Q$1,$B$1)</f>
        <v>0</v>
      </c>
      <c r="R37">
        <f>_xll.EQNXTDZ($A$1,$B37,R$1,$B$1)</f>
        <v>0</v>
      </c>
      <c r="S37">
        <f>_xll.EQNXTDZ($A$1,$B37,S$1,$B$1)</f>
        <v>0</v>
      </c>
      <c r="T37">
        <f>_xll.EQNXTDZ($A$1,$B37,T$1,$B$1)</f>
        <v>0</v>
      </c>
      <c r="U37">
        <f>_xll.EQNXTDZ($A$1,$B37,U$1,$B$1)</f>
        <v>0</v>
      </c>
      <c r="V37">
        <f>_xll.EQNXTDZ($A$1,$B37,V$1,$B$1)</f>
        <v>0</v>
      </c>
      <c r="W37">
        <f>_xll.EQNXTDZ($A$1,$B37,W$1,$B$1)</f>
        <v>0</v>
      </c>
      <c r="X37">
        <f>_xll.EQNXTDZ($A$1,$B37,X$1,$B$1)</f>
        <v>0</v>
      </c>
      <c r="Y37">
        <f>_xll.EQNXTDZ($A$1,$B37,Y$1,$B$1)</f>
        <v>0</v>
      </c>
      <c r="Z37">
        <f>_xll.EQNXTDZ($A$1,$B37,Z$1,$B$1)</f>
        <v>0</v>
      </c>
      <c r="AA37">
        <f>_xll.EQNXTDZ($A$1,$B37,AA$1,$B$1)</f>
        <v>0</v>
      </c>
      <c r="AB37">
        <f>_xll.EQNXTDZ($A$1,$B37,AB$1,$B$1)</f>
        <v>0</v>
      </c>
      <c r="AC37">
        <f>_xll.EQNXTDZ($A$1,$B37,AC$1,$B$1)</f>
        <v>0</v>
      </c>
      <c r="AD37">
        <f>_xll.EQNXTDZ($A$1,$B37,AD$1,$B$1)</f>
        <v>0</v>
      </c>
      <c r="AE37">
        <f>_xll.EQNXTDZ($A$1,$B37,AE$1,$B$1)</f>
        <v>0</v>
      </c>
      <c r="AF37">
        <f>_xll.EQNXTDZ($A$1,$B37,AF$1,$B$1)</f>
        <v>0</v>
      </c>
      <c r="AG37">
        <f>_xll.EQNXTDZ($A$1,$B37,AG$1,$B$1)</f>
        <v>0</v>
      </c>
      <c r="AH37">
        <f>_xll.EQNXTDZ($A$1,$B37,AH$1,$B$1)</f>
        <v>0</v>
      </c>
      <c r="AI37">
        <f>_xll.EQNXTDZ($A$1,$B37,AI$1,$B$1)</f>
        <v>0</v>
      </c>
      <c r="AJ37">
        <f>_xll.EQNXTDZ($A$1,$B37,AJ$1,$B$1)</f>
        <v>0</v>
      </c>
      <c r="AK37">
        <f>_xll.EQNXTDZ($A$1,$B37,AK$1,$B$1)</f>
        <v>0</v>
      </c>
      <c r="AL37">
        <f>_xll.EQNXTDZ($A$1,$B37,AL$1,$B$1)</f>
        <v>0</v>
      </c>
      <c r="AM37">
        <f>_xll.EQNXTDZ($A$1,$B37,AM$1,$B$1)</f>
        <v>0</v>
      </c>
      <c r="AN37">
        <f>_xll.EQNXTDZ($A$1,$B37,AN$1,$B$1)</f>
        <v>0</v>
      </c>
      <c r="AO37">
        <f>_xll.EQNXTDZ($A$1,$B37,AO$1,$B$1)</f>
        <v>0</v>
      </c>
      <c r="AP37">
        <f>_xll.EQNXTDZ($A$1,$B37,AP$1,$B$1)</f>
        <v>0</v>
      </c>
      <c r="AQ37">
        <f>_xll.EQNXTDZ($A$1,$B37,AQ$1,$B$1)</f>
        <v>0</v>
      </c>
      <c r="AR37">
        <f>_xll.EQNXTDZ($A$1,$B37,AR$1,$B$1)</f>
        <v>0</v>
      </c>
      <c r="AS37">
        <f>_xll.EQNXTDZ($A$1,$B37,AS$1,$B$1)</f>
        <v>0</v>
      </c>
      <c r="AT37">
        <f>_xll.EQNXTDZ($A$1,$B37,AT$1,$B$1)</f>
        <v>0</v>
      </c>
      <c r="AU37">
        <f>_xll.EQNXTDZ($A$1,$B37,AU$1,$B$1)</f>
        <v>0</v>
      </c>
      <c r="AV37">
        <f>_xll.EQNXTDZ($A$1,$B37,AV$1,$B$1)</f>
        <v>0</v>
      </c>
      <c r="AW37">
        <f>_xll.EQNXTDZ($A$1,$B37,AW$1,$B$1)</f>
        <v>0</v>
      </c>
      <c r="AX37">
        <f>_xll.EQNXTDZ($A$1,$B37,AX$1,$B$1)</f>
        <v>0</v>
      </c>
      <c r="AY37">
        <f>_xll.EQNXTDZ($A$1,$B37,AY$1,$B$1)</f>
        <v>0</v>
      </c>
      <c r="AZ37">
        <f>_xll.EQNXTDZ($A$1,$B37,AZ$1,$B$1)</f>
        <v>0</v>
      </c>
      <c r="BA37">
        <f>_xll.EQNXTDZ($A$1,$B37,BA$1,$B$1)</f>
        <v>0</v>
      </c>
      <c r="BB37">
        <f>_xll.EQNXTDZ($A$1,$B37,BB$1,$B$1)</f>
        <v>0</v>
      </c>
      <c r="BC37">
        <f>_xll.EQNXTDZ($A$1,$B37,BC$1,$B$1)</f>
        <v>0</v>
      </c>
      <c r="BD37">
        <f>_xll.EQNXTDZ($A$1,$B37,BD$1,$B$1)</f>
        <v>0</v>
      </c>
      <c r="BE37">
        <f>_xll.EQNXTDZ($A$1,$B37,BE$1,$B$1)</f>
        <v>0</v>
      </c>
      <c r="BF37">
        <f>_xll.EQNXTDZ($A$1,$B37,BF$1,$B$1)</f>
        <v>0</v>
      </c>
      <c r="BG37">
        <f>_xll.EQNXTDZ($A$1,$B37,BG$1,$B$1)</f>
        <v>0</v>
      </c>
      <c r="BH37">
        <f>_xll.EQNXTDZ($A$1,$B37,BH$1,$B$1)</f>
        <v>0</v>
      </c>
      <c r="BI37">
        <f>_xll.EQNXTDZ($A$1,$B37,BI$1,$B$1)</f>
        <v>0</v>
      </c>
      <c r="BJ37">
        <f>_xll.EQNXTDZ($A$1,$B37,BJ$1,$B$1)</f>
        <v>0</v>
      </c>
      <c r="BK37">
        <f>_xll.EQNXTDZ($A$1,$B37,BK$1,$B$1)</f>
        <v>0</v>
      </c>
      <c r="BL37">
        <f>_xll.EQNXTDZ($A$1,$B37,BL$1,$B$1)</f>
        <v>0</v>
      </c>
      <c r="BM37">
        <f>_xll.EQNXTDZ($A$1,$B37,BM$1,$B$1)</f>
        <v>0</v>
      </c>
      <c r="BN37">
        <f>_xll.EQNXTDZ($A$1,$B37,BN$1,$B$1)</f>
        <v>0</v>
      </c>
      <c r="BO37">
        <f>_xll.EQNXTDZ($A$1,$B37,BO$1,$B$1)</f>
        <v>0</v>
      </c>
      <c r="BP37">
        <f>_xll.EQNXTDZ($A$1,$B37,BP$1,$B$1)</f>
        <v>0</v>
      </c>
      <c r="BQ37">
        <f>_xll.EQNXTDZ($A$1,$B37,BQ$1,$B$1)</f>
        <v>0</v>
      </c>
      <c r="BR37">
        <f>_xll.EQNXTDZ($A$1,$B37,BR$1,$B$1)</f>
        <v>0</v>
      </c>
      <c r="BS37">
        <f>_xll.EQNXTDZ($A$1,$B37,BS$1,$B$1)</f>
        <v>0</v>
      </c>
      <c r="BT37">
        <f>_xll.EQNXTDZ($A$1,$B37,BT$1,$B$1)</f>
        <v>0</v>
      </c>
      <c r="BU37">
        <f>_xll.EQNXTDZ($A$1,$B37,BU$1,$B$1)</f>
        <v>0</v>
      </c>
      <c r="BV37">
        <f>_xll.EQNXTDZ($A$1,$B37,BV$1,$B$1)</f>
        <v>0</v>
      </c>
    </row>
    <row r="38" spans="1:74" x14ac:dyDescent="0.25">
      <c r="A38" t="s">
        <v>223</v>
      </c>
      <c r="B38" t="s">
        <v>308</v>
      </c>
      <c r="C38">
        <f>_xll.EQNXTDZ($A$1,$B38,C$1,$B$1)</f>
        <v>1.5349999999999999</v>
      </c>
      <c r="D38">
        <f>_xll.EQNXTDZ($A$1,$B38,D$1,$B$1)</f>
        <v>-1.3480000000000001</v>
      </c>
      <c r="E38">
        <f>_xll.EQNXTDZ($A$1,$B38,E$1,$B$1)</f>
        <v>-6.2590000000000003</v>
      </c>
      <c r="F38">
        <f>_xll.EQNXTDZ($A$1,$B38,F$1,$B$1)</f>
        <v>7.9870000000000001</v>
      </c>
      <c r="G38">
        <f>_xll.EQNXTDZ($A$1,$B38,G$1,$B$1)</f>
        <v>-12.709</v>
      </c>
      <c r="H38">
        <f>_xll.EQNXTDZ($A$1,$B38,H$1,$B$1)</f>
        <v>-10.804</v>
      </c>
      <c r="I38">
        <f>_xll.EQNXTDZ($A$1,$B38,I$1,$B$1)</f>
        <v>-5.9130000000000003</v>
      </c>
      <c r="J38">
        <f>_xll.EQNXTDZ($A$1,$B38,J$1,$B$1)</f>
        <v>-13.02</v>
      </c>
      <c r="K38">
        <f>_xll.EQNXTDZ($A$1,$B38,K$1,$B$1)</f>
        <v>-8.5670000000000002</v>
      </c>
      <c r="L38">
        <f>_xll.EQNXTDZ($A$1,$B38,L$1,$B$1)</f>
        <v>-3.044</v>
      </c>
      <c r="M38">
        <f>_xll.EQNXTDZ($A$1,$B38,M$1,$B$1)</f>
        <v>-6.6449999999999996</v>
      </c>
      <c r="N38">
        <f>_xll.EQNXTDZ($A$1,$B38,N$1,$B$1)</f>
        <v>-2.5630000000000002</v>
      </c>
      <c r="O38">
        <f>_xll.EQNXTDZ($A$1,$B38,O$1,$B$1)</f>
        <v>2.7389999999999999</v>
      </c>
      <c r="P38">
        <f>_xll.EQNXTDZ($A$1,$B38,P$1,$B$1)</f>
        <v>0.36</v>
      </c>
      <c r="Q38">
        <f>_xll.EQNXTDZ($A$1,$B38,Q$1,$B$1)</f>
        <v>0.255</v>
      </c>
      <c r="R38">
        <f>_xll.EQNXTDZ($A$1,$B38,R$1,$B$1)</f>
        <v>-2.6309999999999998</v>
      </c>
      <c r="S38">
        <f>_xll.EQNXTDZ($A$1,$B38,S$1,$B$1)</f>
        <v>0.13800000000000001</v>
      </c>
      <c r="T38">
        <f>_xll.EQNXTDZ($A$1,$B38,T$1,$B$1)</f>
        <v>0.309</v>
      </c>
      <c r="U38">
        <f>_xll.EQNXTDZ($A$1,$B38,U$1,$B$1)</f>
        <v>0.42899999999999999</v>
      </c>
      <c r="V38">
        <f>_xll.EQNXTDZ($A$1,$B38,V$1,$B$1)</f>
        <v>4.6959999999999997</v>
      </c>
      <c r="W38">
        <f>_xll.EQNXTDZ($A$1,$B38,W$1,$B$1)</f>
        <v>5.282</v>
      </c>
      <c r="X38">
        <f>_xll.EQNXTDZ($A$1,$B38,X$1,$B$1)</f>
        <v>0.18099999999999999</v>
      </c>
      <c r="Y38">
        <f>_xll.EQNXTDZ($A$1,$B38,Y$1,$B$1)</f>
        <v>1.5740000000000001</v>
      </c>
      <c r="Z38">
        <f>_xll.EQNXTDZ($A$1,$B38,Z$1,$B$1)</f>
        <v>9.9969999999999999</v>
      </c>
      <c r="AA38">
        <f>_xll.EQNXTDZ($A$1,$B38,AA$1,$B$1)</f>
        <v>10.260999999999999</v>
      </c>
      <c r="AB38">
        <f>_xll.EQNXTDZ($A$1,$B38,AB$1,$B$1)</f>
        <v>0.70099999999997697</v>
      </c>
      <c r="AC38">
        <f>_xll.EQNXTDZ($A$1,$B38,AC$1,$B$1)</f>
        <v>1.8479999999999901</v>
      </c>
      <c r="AD38">
        <f>_xll.EQNXTDZ($A$1,$B38,AD$1,$B$1)</f>
        <v>7.8240000000000203</v>
      </c>
      <c r="AE38">
        <f>_xll.EQNXTDZ($A$1,$B38,AE$1,$B$1)</f>
        <v>7.4890000000000096</v>
      </c>
      <c r="AF38">
        <f>_xll.EQNXTDZ($A$1,$B38,AF$1,$B$1)</f>
        <v>1.4E-2</v>
      </c>
      <c r="AG38">
        <f>_xll.EQNXTDZ($A$1,$B38,AG$1,$B$1)</f>
        <v>3.0830000000000002</v>
      </c>
      <c r="AH38">
        <f>_xll.EQNXTDZ($A$1,$B38,AH$1,$B$1)</f>
        <v>21.239000000000001</v>
      </c>
      <c r="AI38">
        <f>_xll.EQNXTDZ($A$1,$B38,AI$1,$B$1)</f>
        <v>-9.4359999999999999</v>
      </c>
      <c r="AJ38">
        <f>_xll.EQNXTDZ($A$1,$B38,AJ$1,$B$1)</f>
        <v>1.6180000000000001</v>
      </c>
      <c r="AK38">
        <f>_xll.EQNXTDZ($A$1,$B38,AK$1,$B$1)</f>
        <v>2.5950000000000002</v>
      </c>
      <c r="AL38">
        <f>_xll.EQNXTDZ($A$1,$B38,AL$1,$B$1)</f>
        <v>5.3490000000000002</v>
      </c>
      <c r="AM38">
        <f>_xll.EQNXTDZ($A$1,$B38,AM$1,$B$1)</f>
        <v>-0.18</v>
      </c>
      <c r="AN38">
        <f>_xll.EQNXTDZ($A$1,$B38,AN$1,$B$1)</f>
        <v>0.31</v>
      </c>
      <c r="AO38">
        <f>_xll.EQNXTDZ($A$1,$B38,AO$1,$B$1)</f>
        <v>-26.14</v>
      </c>
      <c r="AP38">
        <f>_xll.EQNXTDZ($A$1,$B38,AP$1,$B$1)</f>
        <v>123.39</v>
      </c>
      <c r="AQ38">
        <f>_xll.EQNXTDZ($A$1,$B38,AQ$1,$B$1)</f>
        <v>-930.33</v>
      </c>
      <c r="AR38">
        <f>_xll.EQNXTDZ($A$1,$B38,AR$1,$B$1)</f>
        <v>142.69999999999999</v>
      </c>
      <c r="AS38">
        <f>_xll.EQNXTDZ($A$1,$B38,AS$1,$B$1)</f>
        <v>230.03</v>
      </c>
      <c r="AT38">
        <f>_xll.EQNXTDZ($A$1,$B38,AT$1,$B$1)</f>
        <v>269.04000000000002</v>
      </c>
      <c r="AU38">
        <f>_xll.EQNXTDZ($A$1,$B38,AU$1,$B$1)</f>
        <v>403.26</v>
      </c>
      <c r="AV38">
        <f>_xll.EQNXTDZ($A$1,$B38,AV$1,$B$1)</f>
        <v>231.26</v>
      </c>
      <c r="AW38">
        <f>_xll.EQNXTDZ($A$1,$B38,AW$1,$B$1)</f>
        <v>331.5</v>
      </c>
      <c r="AX38">
        <f>_xll.EQNXTDZ($A$1,$B38,AX$1,$B$1)</f>
        <v>276.91000000000003</v>
      </c>
      <c r="AY38">
        <f>_xll.EQNXTDZ($A$1,$B38,AY$1,$B$1)</f>
        <v>557.4</v>
      </c>
      <c r="AZ38">
        <f>_xll.EQNXTDZ($A$1,$B38,AZ$1,$B$1)</f>
        <v>301.32</v>
      </c>
      <c r="BA38">
        <f>_xll.EQNXTDZ($A$1,$B38,BA$1,$B$1)</f>
        <v>389.29</v>
      </c>
      <c r="BB38">
        <f>_xll.EQNXTDZ($A$1,$B38,BB$1,$B$1)</f>
        <v>201.88</v>
      </c>
      <c r="BC38">
        <f>_xll.EQNXTDZ($A$1,$B38,BC$1,$B$1)</f>
        <v>641.59</v>
      </c>
      <c r="BD38">
        <f>_xll.EQNXTDZ($A$1,$B38,BD$1,$B$1)</f>
        <v>572.36</v>
      </c>
      <c r="BE38">
        <f>_xll.EQNXTDZ($A$1,$B38,BE$1,$B$1)</f>
        <v>1047.3900000000001</v>
      </c>
      <c r="BF38">
        <f>_xll.EQNXTDZ($A$1,$B38,BF$1,$B$1)</f>
        <v>1419.5</v>
      </c>
      <c r="BG38">
        <f>_xll.EQNXTDZ($A$1,$B38,BG$1,$B$1)</f>
        <v>0</v>
      </c>
      <c r="BH38">
        <f>_xll.EQNXTDZ($A$1,$B38,BH$1,$B$1)</f>
        <v>0</v>
      </c>
      <c r="BI38">
        <f>_xll.EQNXTDZ($A$1,$B38,BI$1,$B$1)</f>
        <v>0</v>
      </c>
      <c r="BJ38">
        <f>_xll.EQNXTDZ($A$1,$B38,BJ$1,$B$1)</f>
        <v>0</v>
      </c>
      <c r="BK38">
        <f>_xll.EQNXTDZ($A$1,$B38,BK$1,$B$1)</f>
        <v>0</v>
      </c>
      <c r="BL38">
        <f>_xll.EQNXTDZ($A$1,$B38,BL$1,$B$1)</f>
        <v>0</v>
      </c>
      <c r="BM38">
        <f>_xll.EQNXTDZ($A$1,$B38,BM$1,$B$1)</f>
        <v>0</v>
      </c>
      <c r="BN38">
        <f>_xll.EQNXTDZ($A$1,$B38,BN$1,$B$1)</f>
        <v>0</v>
      </c>
      <c r="BO38">
        <f>_xll.EQNXTDZ($A$1,$B38,BO$1,$B$1)</f>
        <v>0</v>
      </c>
      <c r="BP38">
        <f>_xll.EQNXTDZ($A$1,$B38,BP$1,$B$1)</f>
        <v>0</v>
      </c>
      <c r="BQ38">
        <f>_xll.EQNXTDZ($A$1,$B38,BQ$1,$B$1)</f>
        <v>0</v>
      </c>
      <c r="BR38">
        <f>_xll.EQNXTDZ($A$1,$B38,BR$1,$B$1)</f>
        <v>0</v>
      </c>
      <c r="BS38">
        <f>_xll.EQNXTDZ($A$1,$B38,BS$1,$B$1)</f>
        <v>0</v>
      </c>
      <c r="BT38">
        <f>_xll.EQNXTDZ($A$1,$B38,BT$1,$B$1)</f>
        <v>0</v>
      </c>
      <c r="BU38">
        <f>_xll.EQNXTDZ($A$1,$B38,BU$1,$B$1)</f>
        <v>0</v>
      </c>
      <c r="BV38">
        <f>_xll.EQNXTDZ($A$1,$B38,BV$1,$B$1)</f>
        <v>0</v>
      </c>
    </row>
    <row r="39" spans="1:74" x14ac:dyDescent="0.25">
      <c r="A39" t="s">
        <v>272</v>
      </c>
      <c r="B39" t="s">
        <v>309</v>
      </c>
      <c r="C39">
        <f>_xll.EQNXTDZ($A$1,$B39,C$1,$B$1)</f>
        <v>0</v>
      </c>
      <c r="D39">
        <f>_xll.EQNXTDZ($A$1,$B39,D$1,$B$1)</f>
        <v>0</v>
      </c>
      <c r="E39">
        <f>_xll.EQNXTDZ($A$1,$B39,E$1,$B$1)</f>
        <v>0</v>
      </c>
      <c r="F39">
        <f>_xll.EQNXTDZ($A$1,$B39,F$1,$B$1)</f>
        <v>0</v>
      </c>
      <c r="G39">
        <f>_xll.EQNXTDZ($A$1,$B39,G$1,$B$1)</f>
        <v>0</v>
      </c>
      <c r="H39">
        <f>_xll.EQNXTDZ($A$1,$B39,H$1,$B$1)</f>
        <v>0</v>
      </c>
      <c r="I39">
        <f>_xll.EQNXTDZ($A$1,$B39,I$1,$B$1)</f>
        <v>0</v>
      </c>
      <c r="J39">
        <f>_xll.EQNXTDZ($A$1,$B39,J$1,$B$1)</f>
        <v>0</v>
      </c>
      <c r="K39">
        <f>_xll.EQNXTDZ($A$1,$B39,K$1,$B$1)</f>
        <v>0</v>
      </c>
      <c r="L39">
        <f>_xll.EQNXTDZ($A$1,$B39,L$1,$B$1)</f>
        <v>0</v>
      </c>
      <c r="M39">
        <f>_xll.EQNXTDZ($A$1,$B39,M$1,$B$1)</f>
        <v>0</v>
      </c>
      <c r="N39">
        <f>_xll.EQNXTDZ($A$1,$B39,N$1,$B$1)</f>
        <v>0</v>
      </c>
      <c r="O39">
        <f>_xll.EQNXTDZ($A$1,$B39,O$1,$B$1)</f>
        <v>0</v>
      </c>
      <c r="P39">
        <f>_xll.EQNXTDZ($A$1,$B39,P$1,$B$1)</f>
        <v>0</v>
      </c>
      <c r="Q39">
        <f>_xll.EQNXTDZ($A$1,$B39,Q$1,$B$1)</f>
        <v>0</v>
      </c>
      <c r="R39">
        <f>_xll.EQNXTDZ($A$1,$B39,R$1,$B$1)</f>
        <v>0</v>
      </c>
      <c r="S39">
        <f>_xll.EQNXTDZ($A$1,$B39,S$1,$B$1)</f>
        <v>0</v>
      </c>
      <c r="T39">
        <f>_xll.EQNXTDZ($A$1,$B39,T$1,$B$1)</f>
        <v>0</v>
      </c>
      <c r="U39">
        <f>_xll.EQNXTDZ($A$1,$B39,U$1,$B$1)</f>
        <v>0</v>
      </c>
      <c r="V39">
        <f>_xll.EQNXTDZ($A$1,$B39,V$1,$B$1)</f>
        <v>0</v>
      </c>
      <c r="W39">
        <f>_xll.EQNXTDZ($A$1,$B39,W$1,$B$1)</f>
        <v>0</v>
      </c>
      <c r="X39">
        <f>_xll.EQNXTDZ($A$1,$B39,X$1,$B$1)</f>
        <v>0</v>
      </c>
      <c r="Y39">
        <f>_xll.EQNXTDZ($A$1,$B39,Y$1,$B$1)</f>
        <v>0</v>
      </c>
      <c r="Z39">
        <f>_xll.EQNXTDZ($A$1,$B39,Z$1,$B$1)</f>
        <v>0</v>
      </c>
      <c r="AA39">
        <f>_xll.EQNXTDZ($A$1,$B39,AA$1,$B$1)</f>
        <v>0</v>
      </c>
      <c r="AB39">
        <f>_xll.EQNXTDZ($A$1,$B39,AB$1,$B$1)</f>
        <v>0</v>
      </c>
      <c r="AC39">
        <f>_xll.EQNXTDZ($A$1,$B39,AC$1,$B$1)</f>
        <v>0</v>
      </c>
      <c r="AD39">
        <f>_xll.EQNXTDZ($A$1,$B39,AD$1,$B$1)</f>
        <v>0</v>
      </c>
      <c r="AE39">
        <f>_xll.EQNXTDZ($A$1,$B39,AE$1,$B$1)</f>
        <v>0</v>
      </c>
      <c r="AF39">
        <f>_xll.EQNXTDZ($A$1,$B39,AF$1,$B$1)</f>
        <v>0</v>
      </c>
      <c r="AG39">
        <f>_xll.EQNXTDZ($A$1,$B39,AG$1,$B$1)</f>
        <v>0</v>
      </c>
      <c r="AH39">
        <f>_xll.EQNXTDZ($A$1,$B39,AH$1,$B$1)</f>
        <v>0</v>
      </c>
      <c r="AI39">
        <f>_xll.EQNXTDZ($A$1,$B39,AI$1,$B$1)</f>
        <v>0</v>
      </c>
      <c r="AJ39">
        <f>_xll.EQNXTDZ($A$1,$B39,AJ$1,$B$1)</f>
        <v>0</v>
      </c>
      <c r="AK39">
        <f>_xll.EQNXTDZ($A$1,$B39,AK$1,$B$1)</f>
        <v>0</v>
      </c>
      <c r="AL39">
        <f>_xll.EQNXTDZ($A$1,$B39,AL$1,$B$1)</f>
        <v>0</v>
      </c>
      <c r="AM39">
        <f>_xll.EQNXTDZ($A$1,$B39,AM$1,$B$1)</f>
        <v>0</v>
      </c>
      <c r="AN39">
        <f>_xll.EQNXTDZ($A$1,$B39,AN$1,$B$1)</f>
        <v>0</v>
      </c>
      <c r="AO39">
        <f>_xll.EQNXTDZ($A$1,$B39,AO$1,$B$1)</f>
        <v>0</v>
      </c>
      <c r="AP39">
        <f>_xll.EQNXTDZ($A$1,$B39,AP$1,$B$1)</f>
        <v>0</v>
      </c>
      <c r="AQ39">
        <f>_xll.EQNXTDZ($A$1,$B39,AQ$1,$B$1)</f>
        <v>0</v>
      </c>
      <c r="AR39">
        <f>_xll.EQNXTDZ($A$1,$B39,AR$1,$B$1)</f>
        <v>0</v>
      </c>
      <c r="AS39">
        <f>_xll.EQNXTDZ($A$1,$B39,AS$1,$B$1)</f>
        <v>0</v>
      </c>
      <c r="AT39">
        <f>_xll.EQNXTDZ($A$1,$B39,AT$1,$B$1)</f>
        <v>0</v>
      </c>
      <c r="AU39">
        <f>_xll.EQNXTDZ($A$1,$B39,AU$1,$B$1)</f>
        <v>0</v>
      </c>
      <c r="AV39">
        <f>_xll.EQNXTDZ($A$1,$B39,AV$1,$B$1)</f>
        <v>0</v>
      </c>
      <c r="AW39">
        <f>_xll.EQNXTDZ($A$1,$B39,AW$1,$B$1)</f>
        <v>0</v>
      </c>
      <c r="AX39">
        <f>_xll.EQNXTDZ($A$1,$B39,AX$1,$B$1)</f>
        <v>0</v>
      </c>
      <c r="AY39">
        <f>_xll.EQNXTDZ($A$1,$B39,AY$1,$B$1)</f>
        <v>0</v>
      </c>
      <c r="AZ39">
        <f>_xll.EQNXTDZ($A$1,$B39,AZ$1,$B$1)</f>
        <v>0</v>
      </c>
      <c r="BA39">
        <f>_xll.EQNXTDZ($A$1,$B39,BA$1,$B$1)</f>
        <v>0</v>
      </c>
      <c r="BB39">
        <f>_xll.EQNXTDZ($A$1,$B39,BB$1,$B$1)</f>
        <v>0</v>
      </c>
      <c r="BC39">
        <f>_xll.EQNXTDZ($A$1,$B39,BC$1,$B$1)</f>
        <v>0</v>
      </c>
      <c r="BD39">
        <f>_xll.EQNXTDZ($A$1,$B39,BD$1,$B$1)</f>
        <v>0</v>
      </c>
      <c r="BE39">
        <f>_xll.EQNXTDZ($A$1,$B39,BE$1,$B$1)</f>
        <v>0</v>
      </c>
      <c r="BF39">
        <f>_xll.EQNXTDZ($A$1,$B39,BF$1,$B$1)</f>
        <v>0</v>
      </c>
      <c r="BG39">
        <f>_xll.EQNXTDZ($A$1,$B39,BG$1,$B$1)</f>
        <v>0</v>
      </c>
      <c r="BH39">
        <f>_xll.EQNXTDZ($A$1,$B39,BH$1,$B$1)</f>
        <v>0</v>
      </c>
      <c r="BI39">
        <f>_xll.EQNXTDZ($A$1,$B39,BI$1,$B$1)</f>
        <v>0</v>
      </c>
      <c r="BJ39">
        <f>_xll.EQNXTDZ($A$1,$B39,BJ$1,$B$1)</f>
        <v>0</v>
      </c>
      <c r="BK39">
        <f>_xll.EQNXTDZ($A$1,$B39,BK$1,$B$1)</f>
        <v>0</v>
      </c>
      <c r="BL39">
        <f>_xll.EQNXTDZ($A$1,$B39,BL$1,$B$1)</f>
        <v>0</v>
      </c>
      <c r="BM39">
        <f>_xll.EQNXTDZ($A$1,$B39,BM$1,$B$1)</f>
        <v>0</v>
      </c>
      <c r="BN39">
        <f>_xll.EQNXTDZ($A$1,$B39,BN$1,$B$1)</f>
        <v>0</v>
      </c>
      <c r="BO39">
        <f>_xll.EQNXTDZ($A$1,$B39,BO$1,$B$1)</f>
        <v>0</v>
      </c>
      <c r="BP39">
        <f>_xll.EQNXTDZ($A$1,$B39,BP$1,$B$1)</f>
        <v>0</v>
      </c>
      <c r="BQ39">
        <f>_xll.EQNXTDZ($A$1,$B39,BQ$1,$B$1)</f>
        <v>0</v>
      </c>
      <c r="BR39">
        <f>_xll.EQNXTDZ($A$1,$B39,BR$1,$B$1)</f>
        <v>0</v>
      </c>
      <c r="BS39">
        <f>_xll.EQNXTDZ($A$1,$B39,BS$1,$B$1)</f>
        <v>0</v>
      </c>
      <c r="BT39">
        <f>_xll.EQNXTDZ($A$1,$B39,BT$1,$B$1)</f>
        <v>0</v>
      </c>
      <c r="BU39">
        <f>_xll.EQNXTDZ($A$1,$B39,BU$1,$B$1)</f>
        <v>0</v>
      </c>
      <c r="BV39">
        <f>_xll.EQNXTDZ($A$1,$B39,BV$1,$B$1)</f>
        <v>0</v>
      </c>
    </row>
    <row r="40" spans="1:74" x14ac:dyDescent="0.25">
      <c r="A40" t="s">
        <v>273</v>
      </c>
      <c r="B40" t="s">
        <v>310</v>
      </c>
      <c r="C40">
        <f>_xll.EQNXTDZ($A$1,$B40,C$1,$B$1)</f>
        <v>0</v>
      </c>
      <c r="D40">
        <f>_xll.EQNXTDZ($A$1,$B40,D$1,$B$1)</f>
        <v>0</v>
      </c>
      <c r="E40">
        <f>_xll.EQNXTDZ($A$1,$B40,E$1,$B$1)</f>
        <v>0</v>
      </c>
      <c r="F40">
        <f>_xll.EQNXTDZ($A$1,$B40,F$1,$B$1)</f>
        <v>0</v>
      </c>
      <c r="G40">
        <f>_xll.EQNXTDZ($A$1,$B40,G$1,$B$1)</f>
        <v>0</v>
      </c>
      <c r="H40">
        <f>_xll.EQNXTDZ($A$1,$B40,H$1,$B$1)</f>
        <v>0</v>
      </c>
      <c r="I40">
        <f>_xll.EQNXTDZ($A$1,$B40,I$1,$B$1)</f>
        <v>0</v>
      </c>
      <c r="J40">
        <f>_xll.EQNXTDZ($A$1,$B40,J$1,$B$1)</f>
        <v>0</v>
      </c>
      <c r="K40">
        <f>_xll.EQNXTDZ($A$1,$B40,K$1,$B$1)</f>
        <v>0</v>
      </c>
      <c r="L40">
        <f>_xll.EQNXTDZ($A$1,$B40,L$1,$B$1)</f>
        <v>0</v>
      </c>
      <c r="M40">
        <f>_xll.EQNXTDZ($A$1,$B40,M$1,$B$1)</f>
        <v>0</v>
      </c>
      <c r="N40">
        <f>_xll.EQNXTDZ($A$1,$B40,N$1,$B$1)</f>
        <v>0</v>
      </c>
      <c r="O40">
        <f>_xll.EQNXTDZ($A$1,$B40,O$1,$B$1)</f>
        <v>0</v>
      </c>
      <c r="P40">
        <f>_xll.EQNXTDZ($A$1,$B40,P$1,$B$1)</f>
        <v>0</v>
      </c>
      <c r="Q40">
        <f>_xll.EQNXTDZ($A$1,$B40,Q$1,$B$1)</f>
        <v>0</v>
      </c>
      <c r="R40">
        <f>_xll.EQNXTDZ($A$1,$B40,R$1,$B$1)</f>
        <v>0</v>
      </c>
      <c r="S40">
        <f>_xll.EQNXTDZ($A$1,$B40,S$1,$B$1)</f>
        <v>-0.32900000000000001</v>
      </c>
      <c r="T40">
        <f>_xll.EQNXTDZ($A$1,$B40,T$1,$B$1)</f>
        <v>0</v>
      </c>
      <c r="U40">
        <f>_xll.EQNXTDZ($A$1,$B40,U$1,$B$1)</f>
        <v>0</v>
      </c>
      <c r="V40">
        <f>_xll.EQNXTDZ($A$1,$B40,V$1,$B$1)</f>
        <v>8.1000000000000003E-2</v>
      </c>
      <c r="W40">
        <f>_xll.EQNXTDZ($A$1,$B40,W$1,$B$1)</f>
        <v>-0.23499999999999999</v>
      </c>
      <c r="X40">
        <f>_xll.EQNXTDZ($A$1,$B40,X$1,$B$1)</f>
        <v>-2.7E-2</v>
      </c>
      <c r="Y40">
        <f>_xll.EQNXTDZ($A$1,$B40,Y$1,$B$1)</f>
        <v>0</v>
      </c>
      <c r="Z40">
        <f>_xll.EQNXTDZ($A$1,$B40,Z$1,$B$1)</f>
        <v>3.9E-2</v>
      </c>
      <c r="AA40">
        <f>_xll.EQNXTDZ($A$1,$B40,AA$1,$B$1)</f>
        <v>-5.6000000000000001E-2</v>
      </c>
      <c r="AB40">
        <f>_xll.EQNXTDZ($A$1,$B40,AB$1,$B$1)</f>
        <v>-5.6000000000000001E-2</v>
      </c>
      <c r="AC40">
        <f>_xll.EQNXTDZ($A$1,$B40,AC$1,$B$1)</f>
        <v>-5.5E-2</v>
      </c>
      <c r="AD40">
        <f>_xll.EQNXTDZ($A$1,$B40,AD$1,$B$1)</f>
        <v>0.42499999999999999</v>
      </c>
      <c r="AE40">
        <f>_xll.EQNXTDZ($A$1,$B40,AE$1,$B$1)</f>
        <v>6.4000000000000001E-2</v>
      </c>
      <c r="AF40">
        <f>_xll.EQNXTDZ($A$1,$B40,AF$1,$B$1)</f>
        <v>6.4000000000000001E-2</v>
      </c>
      <c r="AG40">
        <f>_xll.EQNXTDZ($A$1,$B40,AG$1,$B$1)</f>
        <v>6.4000000000000001E-2</v>
      </c>
      <c r="AH40">
        <f>_xll.EQNXTDZ($A$1,$B40,AH$1,$B$1)</f>
        <v>-0.46899999999999997</v>
      </c>
      <c r="AI40">
        <f>_xll.EQNXTDZ($A$1,$B40,AI$1,$B$1)</f>
        <v>0</v>
      </c>
      <c r="AJ40">
        <f>_xll.EQNXTDZ($A$1,$B40,AJ$1,$B$1)</f>
        <v>-6.9000000000000006E-2</v>
      </c>
      <c r="AK40">
        <f>_xll.EQNXTDZ($A$1,$B40,AK$1,$B$1)</f>
        <v>-6.9000000000000006E-2</v>
      </c>
      <c r="AL40">
        <f>_xll.EQNXTDZ($A$1,$B40,AL$1,$B$1)</f>
        <v>0.66100000000000003</v>
      </c>
      <c r="AM40">
        <f>_xll.EQNXTDZ($A$1,$B40,AM$1,$B$1)</f>
        <v>0.13</v>
      </c>
      <c r="AN40">
        <f>_xll.EQNXTDZ($A$1,$B40,AN$1,$B$1)</f>
        <v>0.13</v>
      </c>
      <c r="AO40">
        <f>_xll.EQNXTDZ($A$1,$B40,AO$1,$B$1)</f>
        <v>0.13</v>
      </c>
      <c r="AP40">
        <f>_xll.EQNXTDZ($A$1,$B40,AP$1,$B$1)</f>
        <v>0.34</v>
      </c>
      <c r="AQ40">
        <f>_xll.EQNXTDZ($A$1,$B40,AQ$1,$B$1)</f>
        <v>0.18</v>
      </c>
      <c r="AR40">
        <f>_xll.EQNXTDZ($A$1,$B40,AR$1,$B$1)</f>
        <v>0.18</v>
      </c>
      <c r="AS40">
        <f>_xll.EQNXTDZ($A$1,$B40,AS$1,$B$1)</f>
        <v>0.19</v>
      </c>
      <c r="AT40">
        <f>_xll.EQNXTDZ($A$1,$B40,AT$1,$B$1)</f>
        <v>1.52</v>
      </c>
      <c r="AU40">
        <f>_xll.EQNXTDZ($A$1,$B40,AU$1,$B$1)</f>
        <v>0.18</v>
      </c>
      <c r="AV40">
        <f>_xll.EQNXTDZ($A$1,$B40,AV$1,$B$1)</f>
        <v>0.18</v>
      </c>
      <c r="AW40">
        <f>_xll.EQNXTDZ($A$1,$B40,AW$1,$B$1)</f>
        <v>0.19</v>
      </c>
      <c r="AX40">
        <f>_xll.EQNXTDZ($A$1,$B40,AX$1,$B$1)</f>
        <v>2.2000000000000002</v>
      </c>
      <c r="AY40">
        <f>_xll.EQNXTDZ($A$1,$B40,AY$1,$B$1)</f>
        <v>0.69</v>
      </c>
      <c r="AZ40">
        <f>_xll.EQNXTDZ($A$1,$B40,AZ$1,$B$1)</f>
        <v>0.69</v>
      </c>
      <c r="BA40">
        <f>_xll.EQNXTDZ($A$1,$B40,BA$1,$B$1)</f>
        <v>0.69</v>
      </c>
      <c r="BB40">
        <f>_xll.EQNXTDZ($A$1,$B40,BB$1,$B$1)</f>
        <v>-2.76</v>
      </c>
      <c r="BC40">
        <f>_xll.EQNXTDZ($A$1,$B40,BC$1,$B$1)</f>
        <v>-0.17</v>
      </c>
      <c r="BD40">
        <f>_xll.EQNXTDZ($A$1,$B40,BD$1,$B$1)</f>
        <v>9.8000000000000007</v>
      </c>
      <c r="BE40">
        <f>_xll.EQNXTDZ($A$1,$B40,BE$1,$B$1)</f>
        <v>-3.92</v>
      </c>
      <c r="BF40">
        <f>_xll.EQNXTDZ($A$1,$B40,BF$1,$B$1)</f>
        <v>82.17</v>
      </c>
      <c r="BG40">
        <f>_xll.EQNXTDZ($A$1,$B40,BG$1,$B$1)</f>
        <v>0</v>
      </c>
      <c r="BH40">
        <f>_xll.EQNXTDZ($A$1,$B40,BH$1,$B$1)</f>
        <v>0</v>
      </c>
      <c r="BI40">
        <f>_xll.EQNXTDZ($A$1,$B40,BI$1,$B$1)</f>
        <v>0</v>
      </c>
      <c r="BJ40">
        <f>_xll.EQNXTDZ($A$1,$B40,BJ$1,$B$1)</f>
        <v>0</v>
      </c>
      <c r="BK40">
        <f>_xll.EQNXTDZ($A$1,$B40,BK$1,$B$1)</f>
        <v>0</v>
      </c>
      <c r="BL40">
        <f>_xll.EQNXTDZ($A$1,$B40,BL$1,$B$1)</f>
        <v>0</v>
      </c>
      <c r="BM40">
        <f>_xll.EQNXTDZ($A$1,$B40,BM$1,$B$1)</f>
        <v>0</v>
      </c>
      <c r="BN40">
        <f>_xll.EQNXTDZ($A$1,$B40,BN$1,$B$1)</f>
        <v>0</v>
      </c>
      <c r="BO40">
        <f>_xll.EQNXTDZ($A$1,$B40,BO$1,$B$1)</f>
        <v>0</v>
      </c>
      <c r="BP40">
        <f>_xll.EQNXTDZ($A$1,$B40,BP$1,$B$1)</f>
        <v>0</v>
      </c>
      <c r="BQ40">
        <f>_xll.EQNXTDZ($A$1,$B40,BQ$1,$B$1)</f>
        <v>0</v>
      </c>
      <c r="BR40">
        <f>_xll.EQNXTDZ($A$1,$B40,BR$1,$B$1)</f>
        <v>0</v>
      </c>
      <c r="BS40">
        <f>_xll.EQNXTDZ($A$1,$B40,BS$1,$B$1)</f>
        <v>0</v>
      </c>
      <c r="BT40">
        <f>_xll.EQNXTDZ($A$1,$B40,BT$1,$B$1)</f>
        <v>0</v>
      </c>
      <c r="BU40">
        <f>_xll.EQNXTDZ($A$1,$B40,BU$1,$B$1)</f>
        <v>0</v>
      </c>
      <c r="BV40">
        <f>_xll.EQNXTDZ($A$1,$B40,BV$1,$B$1)</f>
        <v>0</v>
      </c>
    </row>
    <row r="41" spans="1:74" x14ac:dyDescent="0.25">
      <c r="A41" t="s">
        <v>274</v>
      </c>
      <c r="B41" t="s">
        <v>311</v>
      </c>
      <c r="C41">
        <f>_xll.EQNXTDZ($A$1,$B41,C$1,$B$1)</f>
        <v>0</v>
      </c>
      <c r="D41">
        <f>_xll.EQNXTDZ($A$1,$B41,D$1,$B$1)</f>
        <v>0</v>
      </c>
      <c r="E41">
        <f>_xll.EQNXTDZ($A$1,$B41,E$1,$B$1)</f>
        <v>0</v>
      </c>
      <c r="F41">
        <f>_xll.EQNXTDZ($A$1,$B41,F$1,$B$1)</f>
        <v>0</v>
      </c>
      <c r="G41">
        <f>_xll.EQNXTDZ($A$1,$B41,G$1,$B$1)</f>
        <v>0</v>
      </c>
      <c r="H41">
        <f>_xll.EQNXTDZ($A$1,$B41,H$1,$B$1)</f>
        <v>0</v>
      </c>
      <c r="I41">
        <f>_xll.EQNXTDZ($A$1,$B41,I$1,$B$1)</f>
        <v>0</v>
      </c>
      <c r="J41">
        <f>_xll.EQNXTDZ($A$1,$B41,J$1,$B$1)</f>
        <v>0</v>
      </c>
      <c r="K41">
        <f>_xll.EQNXTDZ($A$1,$B41,K$1,$B$1)</f>
        <v>0</v>
      </c>
      <c r="L41">
        <f>_xll.EQNXTDZ($A$1,$B41,L$1,$B$1)</f>
        <v>0</v>
      </c>
      <c r="M41">
        <f>_xll.EQNXTDZ($A$1,$B41,M$1,$B$1)</f>
        <v>0</v>
      </c>
      <c r="N41">
        <f>_xll.EQNXTDZ($A$1,$B41,N$1,$B$1)</f>
        <v>0</v>
      </c>
      <c r="O41">
        <f>_xll.EQNXTDZ($A$1,$B41,O$1,$B$1)</f>
        <v>0</v>
      </c>
      <c r="P41">
        <f>_xll.EQNXTDZ($A$1,$B41,P$1,$B$1)</f>
        <v>0.36</v>
      </c>
      <c r="Q41">
        <f>_xll.EQNXTDZ($A$1,$B41,Q$1,$B$1)</f>
        <v>0.255</v>
      </c>
      <c r="R41">
        <f>_xll.EQNXTDZ($A$1,$B41,R$1,$B$1)</f>
        <v>-2.6309999999999998</v>
      </c>
      <c r="S41">
        <f>_xll.EQNXTDZ($A$1,$B41,S$1,$B$1)</f>
        <v>-0.191</v>
      </c>
      <c r="T41">
        <f>_xll.EQNXTDZ($A$1,$B41,T$1,$B$1)</f>
        <v>0.309</v>
      </c>
      <c r="U41">
        <f>_xll.EQNXTDZ($A$1,$B41,U$1,$B$1)</f>
        <v>0.42899999999999999</v>
      </c>
      <c r="V41">
        <f>_xll.EQNXTDZ($A$1,$B41,V$1,$B$1)</f>
        <v>4.7770000000000001</v>
      </c>
      <c r="W41">
        <f>_xll.EQNXTDZ($A$1,$B41,W$1,$B$1)</f>
        <v>5.0469999999999997</v>
      </c>
      <c r="X41">
        <f>_xll.EQNXTDZ($A$1,$B41,X$1,$B$1)</f>
        <v>0.154</v>
      </c>
      <c r="Y41">
        <f>_xll.EQNXTDZ($A$1,$B41,Y$1,$B$1)</f>
        <v>1.5740000000000001</v>
      </c>
      <c r="Z41">
        <f>_xll.EQNXTDZ($A$1,$B41,Z$1,$B$1)</f>
        <v>10.036</v>
      </c>
      <c r="AA41">
        <f>_xll.EQNXTDZ($A$1,$B41,AA$1,$B$1)</f>
        <v>10.205</v>
      </c>
      <c r="AB41">
        <f>_xll.EQNXTDZ($A$1,$B41,AB$1,$B$1)</f>
        <v>0.64600000000000002</v>
      </c>
      <c r="AC41">
        <f>_xll.EQNXTDZ($A$1,$B41,AC$1,$B$1)</f>
        <v>1.7929999999999999</v>
      </c>
      <c r="AD41">
        <f>_xll.EQNXTDZ($A$1,$B41,AD$1,$B$1)</f>
        <v>8.2479999999999993</v>
      </c>
      <c r="AE41">
        <f>_xll.EQNXTDZ($A$1,$B41,AE$1,$B$1)</f>
        <v>7.5540000000000003</v>
      </c>
      <c r="AF41">
        <f>_xll.EQNXTDZ($A$1,$B41,AF$1,$B$1)</f>
        <v>7.8E-2</v>
      </c>
      <c r="AG41">
        <f>_xll.EQNXTDZ($A$1,$B41,AG$1,$B$1)</f>
        <v>3.1469999999999998</v>
      </c>
      <c r="AH41">
        <f>_xll.EQNXTDZ($A$1,$B41,AH$1,$B$1)</f>
        <v>20.771000000000001</v>
      </c>
      <c r="AI41">
        <f>_xll.EQNXTDZ($A$1,$B41,AI$1,$B$1)</f>
        <v>-9.4359999999999999</v>
      </c>
      <c r="AJ41">
        <f>_xll.EQNXTDZ($A$1,$B41,AJ$1,$B$1)</f>
        <v>1.5489999999999999</v>
      </c>
      <c r="AK41">
        <f>_xll.EQNXTDZ($A$1,$B41,AK$1,$B$1)</f>
        <v>2.5259999999999998</v>
      </c>
      <c r="AL41">
        <f>_xll.EQNXTDZ($A$1,$B41,AL$1,$B$1)</f>
        <v>6.0110000000000001</v>
      </c>
      <c r="AM41">
        <f>_xll.EQNXTDZ($A$1,$B41,AM$1,$B$1)</f>
        <v>-0.05</v>
      </c>
      <c r="AN41">
        <f>_xll.EQNXTDZ($A$1,$B41,AN$1,$B$1)</f>
        <v>0.44</v>
      </c>
      <c r="AO41">
        <f>_xll.EQNXTDZ($A$1,$B41,AO$1,$B$1)</f>
        <v>-26.01</v>
      </c>
      <c r="AP41">
        <f>_xll.EQNXTDZ($A$1,$B41,AP$1,$B$1)</f>
        <v>123.73</v>
      </c>
      <c r="AQ41">
        <f>_xll.EQNXTDZ($A$1,$B41,AQ$1,$B$1)</f>
        <v>-930.15</v>
      </c>
      <c r="AR41">
        <f>_xll.EQNXTDZ($A$1,$B41,AR$1,$B$1)</f>
        <v>142.88</v>
      </c>
      <c r="AS41">
        <f>_xll.EQNXTDZ($A$1,$B41,AS$1,$B$1)</f>
        <v>230.22</v>
      </c>
      <c r="AT41">
        <f>_xll.EQNXTDZ($A$1,$B41,AT$1,$B$1)</f>
        <v>270.56</v>
      </c>
      <c r="AU41">
        <f>_xll.EQNXTDZ($A$1,$B41,AU$1,$B$1)</f>
        <v>403.44</v>
      </c>
      <c r="AV41">
        <f>_xll.EQNXTDZ($A$1,$B41,AV$1,$B$1)</f>
        <v>231.44</v>
      </c>
      <c r="AW41">
        <f>_xll.EQNXTDZ($A$1,$B41,AW$1,$B$1)</f>
        <v>331.69</v>
      </c>
      <c r="AX41">
        <f>_xll.EQNXTDZ($A$1,$B41,AX$1,$B$1)</f>
        <v>279.11</v>
      </c>
      <c r="AY41">
        <f>_xll.EQNXTDZ($A$1,$B41,AY$1,$B$1)</f>
        <v>558.09</v>
      </c>
      <c r="AZ41">
        <f>_xll.EQNXTDZ($A$1,$B41,AZ$1,$B$1)</f>
        <v>302.01</v>
      </c>
      <c r="BA41">
        <f>_xll.EQNXTDZ($A$1,$B41,BA$1,$B$1)</f>
        <v>389.98</v>
      </c>
      <c r="BB41">
        <f>_xll.EQNXTDZ($A$1,$B41,BB$1,$B$1)</f>
        <v>199.12</v>
      </c>
      <c r="BC41">
        <f>_xll.EQNXTDZ($A$1,$B41,BC$1,$B$1)</f>
        <v>641.41999999999996</v>
      </c>
      <c r="BD41">
        <f>_xll.EQNXTDZ($A$1,$B41,BD$1,$B$1)</f>
        <v>582.16</v>
      </c>
      <c r="BE41">
        <f>_xll.EQNXTDZ($A$1,$B41,BE$1,$B$1)</f>
        <v>1042.22</v>
      </c>
      <c r="BF41">
        <f>_xll.EQNXTDZ($A$1,$B41,BF$1,$B$1)</f>
        <v>1485.41</v>
      </c>
      <c r="BG41">
        <f>_xll.EQNXTDZ($A$1,$B41,BG$1,$B$1)</f>
        <v>0</v>
      </c>
      <c r="BH41">
        <f>_xll.EQNXTDZ($A$1,$B41,BH$1,$B$1)</f>
        <v>0</v>
      </c>
      <c r="BI41">
        <f>_xll.EQNXTDZ($A$1,$B41,BI$1,$B$1)</f>
        <v>0</v>
      </c>
      <c r="BJ41">
        <f>_xll.EQNXTDZ($A$1,$B41,BJ$1,$B$1)</f>
        <v>0</v>
      </c>
      <c r="BK41">
        <f>_xll.EQNXTDZ($A$1,$B41,BK$1,$B$1)</f>
        <v>0</v>
      </c>
      <c r="BL41">
        <f>_xll.EQNXTDZ($A$1,$B41,BL$1,$B$1)</f>
        <v>0</v>
      </c>
      <c r="BM41">
        <f>_xll.EQNXTDZ($A$1,$B41,BM$1,$B$1)</f>
        <v>0</v>
      </c>
      <c r="BN41">
        <f>_xll.EQNXTDZ($A$1,$B41,BN$1,$B$1)</f>
        <v>0</v>
      </c>
      <c r="BO41">
        <f>_xll.EQNXTDZ($A$1,$B41,BO$1,$B$1)</f>
        <v>0</v>
      </c>
      <c r="BP41">
        <f>_xll.EQNXTDZ($A$1,$B41,BP$1,$B$1)</f>
        <v>0</v>
      </c>
      <c r="BQ41">
        <f>_xll.EQNXTDZ($A$1,$B41,BQ$1,$B$1)</f>
        <v>0</v>
      </c>
      <c r="BR41">
        <f>_xll.EQNXTDZ($A$1,$B41,BR$1,$B$1)</f>
        <v>0</v>
      </c>
      <c r="BS41">
        <f>_xll.EQNXTDZ($A$1,$B41,BS$1,$B$1)</f>
        <v>0</v>
      </c>
      <c r="BT41">
        <f>_xll.EQNXTDZ($A$1,$B41,BT$1,$B$1)</f>
        <v>0</v>
      </c>
      <c r="BU41">
        <f>_xll.EQNXTDZ($A$1,$B41,BU$1,$B$1)</f>
        <v>0</v>
      </c>
      <c r="BV41">
        <f>_xll.EQNXTDZ($A$1,$B41,BV$1,$B$1)</f>
        <v>0</v>
      </c>
    </row>
    <row r="42" spans="1:74" x14ac:dyDescent="0.25">
      <c r="A42" t="s">
        <v>312</v>
      </c>
      <c r="B42" t="s">
        <v>313</v>
      </c>
      <c r="C42">
        <f>_xll.EQNXTDZ($A$1,$B42,C$1,$B$1)</f>
        <v>1.5349999999999999</v>
      </c>
      <c r="D42">
        <f>_xll.EQNXTDZ($A$1,$B42,D$1,$B$1)</f>
        <v>-1.3480000000000001</v>
      </c>
      <c r="E42">
        <f>_xll.EQNXTDZ($A$1,$B42,E$1,$B$1)</f>
        <v>-6.2590000000000003</v>
      </c>
      <c r="F42">
        <f>_xll.EQNXTDZ($A$1,$B42,F$1,$B$1)</f>
        <v>7.9870000000000001</v>
      </c>
      <c r="G42">
        <f>_xll.EQNXTDZ($A$1,$B42,G$1,$B$1)</f>
        <v>-12.709</v>
      </c>
      <c r="H42">
        <f>_xll.EQNXTDZ($A$1,$B42,H$1,$B$1)</f>
        <v>-10.804</v>
      </c>
      <c r="I42">
        <f>_xll.EQNXTDZ($A$1,$B42,I$1,$B$1)</f>
        <v>-5.9130000000000003</v>
      </c>
      <c r="J42">
        <f>_xll.EQNXTDZ($A$1,$B42,J$1,$B$1)</f>
        <v>-13.02</v>
      </c>
      <c r="K42">
        <f>_xll.EQNXTDZ($A$1,$B42,K$1,$B$1)</f>
        <v>-8.5670000000000002</v>
      </c>
      <c r="L42">
        <f>_xll.EQNXTDZ($A$1,$B42,L$1,$B$1)</f>
        <v>-3.044</v>
      </c>
      <c r="M42">
        <f>_xll.EQNXTDZ($A$1,$B42,M$1,$B$1)</f>
        <v>-6.6449999999999996</v>
      </c>
      <c r="N42">
        <f>_xll.EQNXTDZ($A$1,$B42,N$1,$B$1)</f>
        <v>-2.5630000000000002</v>
      </c>
      <c r="O42">
        <f>_xll.EQNXTDZ($A$1,$B42,O$1,$B$1)</f>
        <v>2.7389999999999999</v>
      </c>
      <c r="P42">
        <f>_xll.EQNXTDZ($A$1,$B42,P$1,$B$1)</f>
        <v>0.36</v>
      </c>
      <c r="Q42">
        <f>_xll.EQNXTDZ($A$1,$B42,Q$1,$B$1)</f>
        <v>0.255</v>
      </c>
      <c r="R42">
        <f>_xll.EQNXTDZ($A$1,$B42,R$1,$B$1)</f>
        <v>-2.6309999999999998</v>
      </c>
      <c r="S42">
        <f>_xll.EQNXTDZ($A$1,$B42,S$1,$B$1)</f>
        <v>0.13800000000000001</v>
      </c>
      <c r="T42">
        <f>_xll.EQNXTDZ($A$1,$B42,T$1,$B$1)</f>
        <v>0.309</v>
      </c>
      <c r="U42">
        <f>_xll.EQNXTDZ($A$1,$B42,U$1,$B$1)</f>
        <v>0.42899999999999999</v>
      </c>
      <c r="V42">
        <f>_xll.EQNXTDZ($A$1,$B42,V$1,$B$1)</f>
        <v>4.6959999999999997</v>
      </c>
      <c r="W42">
        <f>_xll.EQNXTDZ($A$1,$B42,W$1,$B$1)</f>
        <v>5.282</v>
      </c>
      <c r="X42">
        <f>_xll.EQNXTDZ($A$1,$B42,X$1,$B$1)</f>
        <v>0.18099999999999999</v>
      </c>
      <c r="Y42">
        <f>_xll.EQNXTDZ($A$1,$B42,Y$1,$B$1)</f>
        <v>1.5740000000000001</v>
      </c>
      <c r="Z42">
        <f>_xll.EQNXTDZ($A$1,$B42,Z$1,$B$1)</f>
        <v>9.9969999999999999</v>
      </c>
      <c r="AA42">
        <f>_xll.EQNXTDZ($A$1,$B42,AA$1,$B$1)</f>
        <v>10.260999999999999</v>
      </c>
      <c r="AB42">
        <f>_xll.EQNXTDZ($A$1,$B42,AB$1,$B$1)</f>
        <v>0.70099999999997697</v>
      </c>
      <c r="AC42">
        <f>_xll.EQNXTDZ($A$1,$B42,AC$1,$B$1)</f>
        <v>1.8479999999999901</v>
      </c>
      <c r="AD42">
        <f>_xll.EQNXTDZ($A$1,$B42,AD$1,$B$1)</f>
        <v>7.8240000000000203</v>
      </c>
      <c r="AE42">
        <f>_xll.EQNXTDZ($A$1,$B42,AE$1,$B$1)</f>
        <v>7.4890000000000096</v>
      </c>
      <c r="AF42">
        <f>_xll.EQNXTDZ($A$1,$B42,AF$1,$B$1)</f>
        <v>1.4E-2</v>
      </c>
      <c r="AG42">
        <f>_xll.EQNXTDZ($A$1,$B42,AG$1,$B$1)</f>
        <v>3.0830000000000002</v>
      </c>
      <c r="AH42">
        <f>_xll.EQNXTDZ($A$1,$B42,AH$1,$B$1)</f>
        <v>21.239000000000001</v>
      </c>
      <c r="AI42">
        <f>_xll.EQNXTDZ($A$1,$B42,AI$1,$B$1)</f>
        <v>-9.4359999999999999</v>
      </c>
      <c r="AJ42">
        <f>_xll.EQNXTDZ($A$1,$B42,AJ$1,$B$1)</f>
        <v>1.6180000000000001</v>
      </c>
      <c r="AK42">
        <f>_xll.EQNXTDZ($A$1,$B42,AK$1,$B$1)</f>
        <v>2.5950000000000002</v>
      </c>
      <c r="AL42">
        <f>_xll.EQNXTDZ($A$1,$B42,AL$1,$B$1)</f>
        <v>5.3490000000000002</v>
      </c>
      <c r="AM42">
        <f>_xll.EQNXTDZ($A$1,$B42,AM$1,$B$1)</f>
        <v>-0.18</v>
      </c>
      <c r="AN42">
        <f>_xll.EQNXTDZ($A$1,$B42,AN$1,$B$1)</f>
        <v>0.31</v>
      </c>
      <c r="AO42">
        <f>_xll.EQNXTDZ($A$1,$B42,AO$1,$B$1)</f>
        <v>-26.14</v>
      </c>
      <c r="AP42">
        <f>_xll.EQNXTDZ($A$1,$B42,AP$1,$B$1)</f>
        <v>123.39</v>
      </c>
      <c r="AQ42">
        <f>_xll.EQNXTDZ($A$1,$B42,AQ$1,$B$1)</f>
        <v>-930.33</v>
      </c>
      <c r="AR42">
        <f>_xll.EQNXTDZ($A$1,$B42,AR$1,$B$1)</f>
        <v>142.69999999999999</v>
      </c>
      <c r="AS42">
        <f>_xll.EQNXTDZ($A$1,$B42,AS$1,$B$1)</f>
        <v>230.03</v>
      </c>
      <c r="AT42">
        <f>_xll.EQNXTDZ($A$1,$B42,AT$1,$B$1)</f>
        <v>269.04000000000002</v>
      </c>
      <c r="AU42">
        <f>_xll.EQNXTDZ($A$1,$B42,AU$1,$B$1)</f>
        <v>403.26</v>
      </c>
      <c r="AV42">
        <f>_xll.EQNXTDZ($A$1,$B42,AV$1,$B$1)</f>
        <v>231.26</v>
      </c>
      <c r="AW42">
        <f>_xll.EQNXTDZ($A$1,$B42,AW$1,$B$1)</f>
        <v>331.5</v>
      </c>
      <c r="AX42">
        <f>_xll.EQNXTDZ($A$1,$B42,AX$1,$B$1)</f>
        <v>276.91000000000003</v>
      </c>
      <c r="AY42">
        <f>_xll.EQNXTDZ($A$1,$B42,AY$1,$B$1)</f>
        <v>557.4</v>
      </c>
      <c r="AZ42">
        <f>_xll.EQNXTDZ($A$1,$B42,AZ$1,$B$1)</f>
        <v>301.32</v>
      </c>
      <c r="BA42">
        <f>_xll.EQNXTDZ($A$1,$B42,BA$1,$B$1)</f>
        <v>389.29</v>
      </c>
      <c r="BB42">
        <f>_xll.EQNXTDZ($A$1,$B42,BB$1,$B$1)</f>
        <v>201.88</v>
      </c>
      <c r="BC42">
        <f>_xll.EQNXTDZ($A$1,$B42,BC$1,$B$1)</f>
        <v>641.59</v>
      </c>
      <c r="BD42">
        <f>_xll.EQNXTDZ($A$1,$B42,BD$1,$B$1)</f>
        <v>572.36</v>
      </c>
      <c r="BE42">
        <f>_xll.EQNXTDZ($A$1,$B42,BE$1,$B$1)</f>
        <v>1047.3900000000001</v>
      </c>
      <c r="BF42">
        <f>_xll.EQNXTDZ($A$1,$B42,BF$1,$B$1)</f>
        <v>1419.5</v>
      </c>
      <c r="BG42">
        <f>_xll.EQNXTDZ($A$1,$B42,BG$1,$B$1)</f>
        <v>0</v>
      </c>
      <c r="BH42">
        <f>_xll.EQNXTDZ($A$1,$B42,BH$1,$B$1)</f>
        <v>0</v>
      </c>
      <c r="BI42">
        <f>_xll.EQNXTDZ($A$1,$B42,BI$1,$B$1)</f>
        <v>0</v>
      </c>
      <c r="BJ42">
        <f>_xll.EQNXTDZ($A$1,$B42,BJ$1,$B$1)</f>
        <v>0</v>
      </c>
      <c r="BK42">
        <f>_xll.EQNXTDZ($A$1,$B42,BK$1,$B$1)</f>
        <v>0</v>
      </c>
      <c r="BL42">
        <f>_xll.EQNXTDZ($A$1,$B42,BL$1,$B$1)</f>
        <v>0</v>
      </c>
      <c r="BM42">
        <f>_xll.EQNXTDZ($A$1,$B42,BM$1,$B$1)</f>
        <v>0</v>
      </c>
      <c r="BN42">
        <f>_xll.EQNXTDZ($A$1,$B42,BN$1,$B$1)</f>
        <v>0</v>
      </c>
      <c r="BO42">
        <f>_xll.EQNXTDZ($A$1,$B42,BO$1,$B$1)</f>
        <v>0</v>
      </c>
      <c r="BP42">
        <f>_xll.EQNXTDZ($A$1,$B42,BP$1,$B$1)</f>
        <v>0</v>
      </c>
      <c r="BQ42">
        <f>_xll.EQNXTDZ($A$1,$B42,BQ$1,$B$1)</f>
        <v>0</v>
      </c>
      <c r="BR42">
        <f>_xll.EQNXTDZ($A$1,$B42,BR$1,$B$1)</f>
        <v>0</v>
      </c>
      <c r="BS42">
        <f>_xll.EQNXTDZ($A$1,$B42,BS$1,$B$1)</f>
        <v>0</v>
      </c>
      <c r="BT42">
        <f>_xll.EQNXTDZ($A$1,$B42,BT$1,$B$1)</f>
        <v>0</v>
      </c>
      <c r="BU42">
        <f>_xll.EQNXTDZ($A$1,$B42,BU$1,$B$1)</f>
        <v>0</v>
      </c>
      <c r="BV42">
        <f>_xll.EQNXTDZ($A$1,$B42,BV$1,$B$1)</f>
        <v>0</v>
      </c>
    </row>
    <row r="44" spans="1:74" x14ac:dyDescent="0.25">
      <c r="A44" t="s">
        <v>110</v>
      </c>
      <c r="B44" t="s">
        <v>111</v>
      </c>
    </row>
    <row r="45" spans="1:74" x14ac:dyDescent="0.25">
      <c r="A45" t="s">
        <v>333</v>
      </c>
      <c r="B45" t="s">
        <v>334</v>
      </c>
      <c r="C45">
        <f>_xll.EQNXTDZ($A$1,$B45,C$1,$B$1)</f>
        <v>22.431000000000001</v>
      </c>
      <c r="D45">
        <f>_xll.EQNXTDZ($A$1,$B45,D$1,$B$1)</f>
        <v>22.431000000000001</v>
      </c>
      <c r="E45">
        <f>_xll.EQNXTDZ($A$1,$B45,E$1,$B$1)</f>
        <v>22.431000000000001</v>
      </c>
      <c r="F45">
        <f>_xll.EQNXTDZ($A$1,$B45,F$1,$B$1)</f>
        <v>22.431000000000001</v>
      </c>
      <c r="G45">
        <f>_xll.EQNXTDZ($A$1,$B45,G$1,$B$1)</f>
        <v>22.431000000000001</v>
      </c>
      <c r="H45">
        <f>_xll.EQNXTDZ($A$1,$B45,H$1,$B$1)</f>
        <v>22.431000000000001</v>
      </c>
      <c r="I45">
        <f>_xll.EQNXTDZ($A$1,$B45,I$1,$B$1)</f>
        <v>22.431000000000001</v>
      </c>
      <c r="J45">
        <f>_xll.EQNXTDZ($A$1,$B45,J$1,$B$1)</f>
        <v>22.431000000000001</v>
      </c>
      <c r="K45">
        <f>_xll.EQNXTDZ($A$1,$B45,K$1,$B$1)</f>
        <v>22.431000000000001</v>
      </c>
      <c r="L45">
        <f>_xll.EQNXTDZ($A$1,$B45,L$1,$B$1)</f>
        <v>22.431000000000001</v>
      </c>
      <c r="M45">
        <f>_xll.EQNXTDZ($A$1,$B45,M$1,$B$1)</f>
        <v>22.431000000000001</v>
      </c>
      <c r="N45">
        <f>_xll.EQNXTDZ($A$1,$B45,N$1,$B$1)</f>
        <v>22.431000000000001</v>
      </c>
      <c r="O45">
        <f>_xll.EQNXTDZ($A$1,$B45,O$1,$B$1)</f>
        <v>22.431000000000001</v>
      </c>
      <c r="P45">
        <f>_xll.EQNXTDZ($A$1,$B45,P$1,$B$1)</f>
        <v>22.431000000000001</v>
      </c>
      <c r="Q45">
        <f>_xll.EQNXTDZ($A$1,$B45,Q$1,$B$1)</f>
        <v>22.431000000000001</v>
      </c>
      <c r="R45">
        <f>_xll.EQNXTDZ($A$1,$B45,R$1,$B$1)</f>
        <v>22.431000000000001</v>
      </c>
      <c r="S45">
        <f>_xll.EQNXTDZ($A$1,$B45,S$1,$B$1)</f>
        <v>22.431000000000001</v>
      </c>
      <c r="T45">
        <f>_xll.EQNXTDZ($A$1,$B45,T$1,$B$1)</f>
        <v>22.431000000000001</v>
      </c>
      <c r="U45">
        <f>_xll.EQNXTDZ($A$1,$B45,U$1,$B$1)</f>
        <v>22.431000000000001</v>
      </c>
      <c r="V45">
        <f>_xll.EQNXTDZ($A$1,$B45,V$1,$B$1)</f>
        <v>22.431000000000001</v>
      </c>
      <c r="W45">
        <f>_xll.EQNXTDZ($A$1,$B45,W$1,$B$1)</f>
        <v>22.431000000000001</v>
      </c>
      <c r="X45">
        <f>_xll.EQNXTDZ($A$1,$B45,X$1,$B$1)</f>
        <v>22.431000000000001</v>
      </c>
      <c r="Y45">
        <f>_xll.EQNXTDZ($A$1,$B45,Y$1,$B$1)</f>
        <v>22.431000000000001</v>
      </c>
      <c r="Z45">
        <f>_xll.EQNXTDZ($A$1,$B45,Z$1,$B$1)</f>
        <v>22.431000000000001</v>
      </c>
      <c r="AA45">
        <f>_xll.EQNXTDZ($A$1,$B45,AA$1,$B$1)</f>
        <v>22.431000000000001</v>
      </c>
      <c r="AB45">
        <f>_xll.EQNXTDZ($A$1,$B45,AB$1,$B$1)</f>
        <v>22.431000000000001</v>
      </c>
      <c r="AC45">
        <f>_xll.EQNXTDZ($A$1,$B45,AC$1,$B$1)</f>
        <v>22.431000000000001</v>
      </c>
      <c r="AD45">
        <f>_xll.EQNXTDZ($A$1,$B45,AD$1,$B$1)</f>
        <v>22.431000000000001</v>
      </c>
      <c r="AE45">
        <f>_xll.EQNXTDZ($A$1,$B45,AE$1,$B$1)</f>
        <v>22.431000000000001</v>
      </c>
      <c r="AF45">
        <f>_xll.EQNXTDZ($A$1,$B45,AF$1,$B$1)</f>
        <v>22.69</v>
      </c>
      <c r="AG45">
        <f>_xll.EQNXTDZ($A$1,$B45,AG$1,$B$1)</f>
        <v>22.69</v>
      </c>
      <c r="AH45">
        <f>_xll.EQNXTDZ($A$1,$B45,AH$1,$B$1)</f>
        <v>22.69</v>
      </c>
      <c r="AI45">
        <f>_xll.EQNXTDZ($A$1,$B45,AI$1,$B$1)</f>
        <v>22.69</v>
      </c>
      <c r="AJ45">
        <f>_xll.EQNXTDZ($A$1,$B45,AJ$1,$B$1)</f>
        <v>25.347000000000001</v>
      </c>
      <c r="AK45">
        <f>_xll.EQNXTDZ($A$1,$B45,AK$1,$B$1)</f>
        <v>25.347000000000001</v>
      </c>
      <c r="AL45">
        <f>_xll.EQNXTDZ($A$1,$B45,AL$1,$B$1)</f>
        <v>25.347000000000001</v>
      </c>
      <c r="AM45">
        <f>_xll.EQNXTDZ($A$1,$B45,AM$1,$B$1)</f>
        <v>37.01</v>
      </c>
      <c r="AN45">
        <f>_xll.EQNXTDZ($A$1,$B45,AN$1,$B$1)</f>
        <v>37.04</v>
      </c>
      <c r="AO45">
        <f>_xll.EQNXTDZ($A$1,$B45,AO$1,$B$1)</f>
        <v>37.04</v>
      </c>
      <c r="AP45">
        <f>_xll.EQNXTDZ($A$1,$B45,AP$1,$B$1)</f>
        <v>37.04</v>
      </c>
      <c r="AQ45">
        <f>_xll.EQNXTDZ($A$1,$B45,AQ$1,$B$1)</f>
        <v>44.64</v>
      </c>
      <c r="AR45">
        <f>_xll.EQNXTDZ($A$1,$B45,AR$1,$B$1)</f>
        <v>44.64</v>
      </c>
      <c r="AS45">
        <f>_xll.EQNXTDZ($A$1,$B45,AS$1,$B$1)</f>
        <v>44.65</v>
      </c>
      <c r="AT45">
        <f>_xll.EQNXTDZ($A$1,$B45,AT$1,$B$1)</f>
        <v>50.48</v>
      </c>
      <c r="AU45">
        <f>_xll.EQNXTDZ($A$1,$B45,AU$1,$B$1)</f>
        <v>50.48</v>
      </c>
      <c r="AV45">
        <f>_xll.EQNXTDZ($A$1,$B45,AV$1,$B$1)</f>
        <v>50.48</v>
      </c>
      <c r="AW45">
        <f>_xll.EQNXTDZ($A$1,$B45,AW$1,$B$1)</f>
        <v>50.53</v>
      </c>
      <c r="AX45">
        <f>_xll.EQNXTDZ($A$1,$B45,AX$1,$B$1)</f>
        <v>50.53</v>
      </c>
      <c r="AY45">
        <f>_xll.EQNXTDZ($A$1,$B45,AY$1,$B$1)</f>
        <v>50.53</v>
      </c>
      <c r="AZ45">
        <f>_xll.EQNXTDZ($A$1,$B45,AZ$1,$B$1)</f>
        <v>52.28</v>
      </c>
      <c r="BA45">
        <f>_xll.EQNXTDZ($A$1,$B45,BA$1,$B$1)</f>
        <v>52.28</v>
      </c>
      <c r="BB45">
        <f>_xll.EQNXTDZ($A$1,$B45,BB$1,$B$1)</f>
        <v>52.32</v>
      </c>
      <c r="BC45">
        <f>_xll.EQNXTDZ($A$1,$B45,BC$1,$B$1)</f>
        <v>52.32</v>
      </c>
      <c r="BD45">
        <f>_xll.EQNXTDZ($A$1,$B45,BD$1,$B$1)</f>
        <v>52.64</v>
      </c>
      <c r="BE45">
        <f>_xll.EQNXTDZ($A$1,$B45,BE$1,$B$1)</f>
        <v>54.43</v>
      </c>
      <c r="BF45">
        <f>_xll.EQNXTDZ($A$1,$B45,BF$1,$B$1)</f>
        <v>56.28</v>
      </c>
      <c r="BG45">
        <f>_xll.EQNXTDZ($A$1,$B45,BG$1,$B$1)</f>
        <v>0</v>
      </c>
      <c r="BH45">
        <f>_xll.EQNXTDZ($A$1,$B45,BH$1,$B$1)</f>
        <v>0</v>
      </c>
      <c r="BI45">
        <f>_xll.EQNXTDZ($A$1,$B45,BI$1,$B$1)</f>
        <v>0</v>
      </c>
      <c r="BJ45">
        <f>_xll.EQNXTDZ($A$1,$B45,BJ$1,$B$1)</f>
        <v>0</v>
      </c>
      <c r="BK45">
        <f>_xll.EQNXTDZ($A$1,$B45,BK$1,$B$1)</f>
        <v>0</v>
      </c>
      <c r="BL45">
        <f>_xll.EQNXTDZ($A$1,$B45,BL$1,$B$1)</f>
        <v>0</v>
      </c>
      <c r="BM45">
        <f>_xll.EQNXTDZ($A$1,$B45,BM$1,$B$1)</f>
        <v>0</v>
      </c>
      <c r="BN45">
        <f>_xll.EQNXTDZ($A$1,$B45,BN$1,$B$1)</f>
        <v>0</v>
      </c>
      <c r="BO45">
        <f>_xll.EQNXTDZ($A$1,$B45,BO$1,$B$1)</f>
        <v>0</v>
      </c>
      <c r="BP45">
        <f>_xll.EQNXTDZ($A$1,$B45,BP$1,$B$1)</f>
        <v>0</v>
      </c>
      <c r="BQ45">
        <f>_xll.EQNXTDZ($A$1,$B45,BQ$1,$B$1)</f>
        <v>0</v>
      </c>
      <c r="BR45">
        <f>_xll.EQNXTDZ($A$1,$B45,BR$1,$B$1)</f>
        <v>0</v>
      </c>
      <c r="BS45">
        <f>_xll.EQNXTDZ($A$1,$B45,BS$1,$B$1)</f>
        <v>0</v>
      </c>
      <c r="BT45">
        <f>_xll.EQNXTDZ($A$1,$B45,BT$1,$B$1)</f>
        <v>0</v>
      </c>
      <c r="BU45">
        <f>_xll.EQNXTDZ($A$1,$B45,BU$1,$B$1)</f>
        <v>0</v>
      </c>
      <c r="BV45">
        <f>_xll.EQNXTDZ($A$1,$B45,BV$1,$B$1)</f>
        <v>0</v>
      </c>
    </row>
    <row r="46" spans="1:74" x14ac:dyDescent="0.25">
      <c r="A46" t="s">
        <v>315</v>
      </c>
      <c r="B46" t="s">
        <v>335</v>
      </c>
      <c r="C46">
        <f>_xll.EQNXTDZ($A$1,$B46,C$1,$B$1)</f>
        <v>2</v>
      </c>
      <c r="D46">
        <f>_xll.EQNXTDZ($A$1,$B46,D$1,$B$1)</f>
        <v>2</v>
      </c>
      <c r="E46">
        <f>_xll.EQNXTDZ($A$1,$B46,E$1,$B$1)</f>
        <v>2</v>
      </c>
      <c r="F46">
        <f>_xll.EQNXTDZ($A$1,$B46,F$1,$B$1)</f>
        <v>2</v>
      </c>
      <c r="G46">
        <f>_xll.EQNXTDZ($A$1,$B46,G$1,$B$1)</f>
        <v>2</v>
      </c>
      <c r="H46">
        <f>_xll.EQNXTDZ($A$1,$B46,H$1,$B$1)</f>
        <v>2</v>
      </c>
      <c r="I46">
        <f>_xll.EQNXTDZ($A$1,$B46,I$1,$B$1)</f>
        <v>2</v>
      </c>
      <c r="J46">
        <f>_xll.EQNXTDZ($A$1,$B46,J$1,$B$1)</f>
        <v>2</v>
      </c>
      <c r="K46">
        <f>_xll.EQNXTDZ($A$1,$B46,K$1,$B$1)</f>
        <v>2</v>
      </c>
      <c r="L46">
        <f>_xll.EQNXTDZ($A$1,$B46,L$1,$B$1)</f>
        <v>2</v>
      </c>
      <c r="M46">
        <f>_xll.EQNXTDZ($A$1,$B46,M$1,$B$1)</f>
        <v>2</v>
      </c>
      <c r="N46">
        <f>_xll.EQNXTDZ($A$1,$B46,N$1,$B$1)</f>
        <v>2</v>
      </c>
      <c r="O46">
        <f>_xll.EQNXTDZ($A$1,$B46,O$1,$B$1)</f>
        <v>2</v>
      </c>
      <c r="P46">
        <f>_xll.EQNXTDZ($A$1,$B46,P$1,$B$1)</f>
        <v>2</v>
      </c>
      <c r="Q46">
        <f>_xll.EQNXTDZ($A$1,$B46,Q$1,$B$1)</f>
        <v>2</v>
      </c>
      <c r="R46">
        <f>_xll.EQNXTDZ($A$1,$B46,R$1,$B$1)</f>
        <v>2</v>
      </c>
      <c r="S46">
        <f>_xll.EQNXTDZ($A$1,$B46,S$1,$B$1)</f>
        <v>2</v>
      </c>
      <c r="T46">
        <f>_xll.EQNXTDZ($A$1,$B46,T$1,$B$1)</f>
        <v>1</v>
      </c>
      <c r="U46">
        <f>_xll.EQNXTDZ($A$1,$B46,U$1,$B$1)</f>
        <v>1</v>
      </c>
      <c r="V46">
        <f>_xll.EQNXTDZ($A$1,$B46,V$1,$B$1)</f>
        <v>1</v>
      </c>
      <c r="W46">
        <f>_xll.EQNXTDZ($A$1,$B46,W$1,$B$1)</f>
        <v>1</v>
      </c>
      <c r="X46">
        <f>_xll.EQNXTDZ($A$1,$B46,X$1,$B$1)</f>
        <v>1</v>
      </c>
      <c r="Y46">
        <f>_xll.EQNXTDZ($A$1,$B46,Y$1,$B$1)</f>
        <v>1</v>
      </c>
      <c r="Z46">
        <f>_xll.EQNXTDZ($A$1,$B46,Z$1,$B$1)</f>
        <v>1</v>
      </c>
      <c r="AA46">
        <f>_xll.EQNXTDZ($A$1,$B46,AA$1,$B$1)</f>
        <v>1</v>
      </c>
      <c r="AB46">
        <f>_xll.EQNXTDZ($A$1,$B46,AB$1,$B$1)</f>
        <v>1</v>
      </c>
      <c r="AC46">
        <f>_xll.EQNXTDZ($A$1,$B46,AC$1,$B$1)</f>
        <v>1</v>
      </c>
      <c r="AD46">
        <f>_xll.EQNXTDZ($A$1,$B46,AD$1,$B$1)</f>
        <v>1</v>
      </c>
      <c r="AE46">
        <f>_xll.EQNXTDZ($A$1,$B46,AE$1,$B$1)</f>
        <v>1</v>
      </c>
      <c r="AF46">
        <f>_xll.EQNXTDZ($A$1,$B46,AF$1,$B$1)</f>
        <v>1</v>
      </c>
      <c r="AG46">
        <f>_xll.EQNXTDZ($A$1,$B46,AG$1,$B$1)</f>
        <v>1</v>
      </c>
      <c r="AH46">
        <f>_xll.EQNXTDZ($A$1,$B46,AH$1,$B$1)</f>
        <v>1</v>
      </c>
      <c r="AI46">
        <f>_xll.EQNXTDZ($A$1,$B46,AI$1,$B$1)</f>
        <v>1</v>
      </c>
      <c r="AJ46">
        <f>_xll.EQNXTDZ($A$1,$B46,AJ$1,$B$1)</f>
        <v>1</v>
      </c>
      <c r="AK46">
        <f>_xll.EQNXTDZ($A$1,$B46,AK$1,$B$1)</f>
        <v>1</v>
      </c>
      <c r="AL46">
        <f>_xll.EQNXTDZ($A$1,$B46,AL$1,$B$1)</f>
        <v>1</v>
      </c>
      <c r="AM46">
        <f>_xll.EQNXTDZ($A$1,$B46,AM$1,$B$1)</f>
        <v>1</v>
      </c>
      <c r="AN46">
        <f>_xll.EQNXTDZ($A$1,$B46,AN$1,$B$1)</f>
        <v>1</v>
      </c>
      <c r="AO46">
        <f>_xll.EQNXTDZ($A$1,$B46,AO$1,$B$1)</f>
        <v>1</v>
      </c>
      <c r="AP46">
        <f>_xll.EQNXTDZ($A$1,$B46,AP$1,$B$1)</f>
        <v>1</v>
      </c>
      <c r="AQ46">
        <f>_xll.EQNXTDZ($A$1,$B46,AQ$1,$B$1)</f>
        <v>1</v>
      </c>
      <c r="AR46">
        <f>_xll.EQNXTDZ($A$1,$B46,AR$1,$B$1)</f>
        <v>1</v>
      </c>
      <c r="AS46">
        <f>_xll.EQNXTDZ($A$1,$B46,AS$1,$B$1)</f>
        <v>1</v>
      </c>
      <c r="AT46">
        <f>_xll.EQNXTDZ($A$1,$B46,AT$1,$B$1)</f>
        <v>1</v>
      </c>
      <c r="AU46">
        <f>_xll.EQNXTDZ($A$1,$B46,AU$1,$B$1)</f>
        <v>1</v>
      </c>
      <c r="AV46">
        <f>_xll.EQNXTDZ($A$1,$B46,AV$1,$B$1)</f>
        <v>1</v>
      </c>
      <c r="AW46">
        <f>_xll.EQNXTDZ($A$1,$B46,AW$1,$B$1)</f>
        <v>1</v>
      </c>
      <c r="AX46">
        <f>_xll.EQNXTDZ($A$1,$B46,AX$1,$B$1)</f>
        <v>1</v>
      </c>
      <c r="AY46">
        <f>_xll.EQNXTDZ($A$1,$B46,AY$1,$B$1)</f>
        <v>1</v>
      </c>
      <c r="AZ46">
        <f>_xll.EQNXTDZ($A$1,$B46,AZ$1,$B$1)</f>
        <v>1</v>
      </c>
      <c r="BA46">
        <f>_xll.EQNXTDZ($A$1,$B46,BA$1,$B$1)</f>
        <v>1</v>
      </c>
      <c r="BB46">
        <f>_xll.EQNXTDZ($A$1,$B46,BB$1,$B$1)</f>
        <v>1</v>
      </c>
      <c r="BC46">
        <f>_xll.EQNXTDZ($A$1,$B46,BC$1,$B$1)</f>
        <v>1</v>
      </c>
      <c r="BD46">
        <f>_xll.EQNXTDZ($A$1,$B46,BD$1,$B$1)</f>
        <v>1</v>
      </c>
      <c r="BE46">
        <f>_xll.EQNXTDZ($A$1,$B46,BE$1,$B$1)</f>
        <v>1</v>
      </c>
      <c r="BF46">
        <f>_xll.EQNXTDZ($A$1,$B46,BF$1,$B$1)</f>
        <v>1</v>
      </c>
      <c r="BG46">
        <f>_xll.EQNXTDZ($A$1,$B46,BG$1,$B$1)</f>
        <v>0</v>
      </c>
      <c r="BH46">
        <f>_xll.EQNXTDZ($A$1,$B46,BH$1,$B$1)</f>
        <v>0</v>
      </c>
      <c r="BI46">
        <f>_xll.EQNXTDZ($A$1,$B46,BI$1,$B$1)</f>
        <v>0</v>
      </c>
      <c r="BJ46">
        <f>_xll.EQNXTDZ($A$1,$B46,BJ$1,$B$1)</f>
        <v>0</v>
      </c>
      <c r="BK46">
        <f>_xll.EQNXTDZ($A$1,$B46,BK$1,$B$1)</f>
        <v>0</v>
      </c>
      <c r="BL46">
        <f>_xll.EQNXTDZ($A$1,$B46,BL$1,$B$1)</f>
        <v>0</v>
      </c>
      <c r="BM46">
        <f>_xll.EQNXTDZ($A$1,$B46,BM$1,$B$1)</f>
        <v>0</v>
      </c>
      <c r="BN46">
        <f>_xll.EQNXTDZ($A$1,$B46,BN$1,$B$1)</f>
        <v>0</v>
      </c>
      <c r="BO46">
        <f>_xll.EQNXTDZ($A$1,$B46,BO$1,$B$1)</f>
        <v>0</v>
      </c>
      <c r="BP46">
        <f>_xll.EQNXTDZ($A$1,$B46,BP$1,$B$1)</f>
        <v>0</v>
      </c>
      <c r="BQ46">
        <f>_xll.EQNXTDZ($A$1,$B46,BQ$1,$B$1)</f>
        <v>0</v>
      </c>
      <c r="BR46">
        <f>_xll.EQNXTDZ($A$1,$B46,BR$1,$B$1)</f>
        <v>0</v>
      </c>
      <c r="BS46">
        <f>_xll.EQNXTDZ($A$1,$B46,BS$1,$B$1)</f>
        <v>0</v>
      </c>
      <c r="BT46">
        <f>_xll.EQNXTDZ($A$1,$B46,BT$1,$B$1)</f>
        <v>0</v>
      </c>
      <c r="BU46">
        <f>_xll.EQNXTDZ($A$1,$B46,BU$1,$B$1)</f>
        <v>0</v>
      </c>
      <c r="BV46">
        <f>_xll.EQNXTDZ($A$1,$B46,BV$1,$B$1)</f>
        <v>0</v>
      </c>
    </row>
    <row r="47" spans="1:74" x14ac:dyDescent="0.25">
      <c r="A47" t="s">
        <v>337</v>
      </c>
      <c r="B47" t="s">
        <v>338</v>
      </c>
      <c r="C47">
        <f>_xll.EQNXTDZ($A$1,$B47,C$5)</f>
        <v>201206</v>
      </c>
      <c r="D47">
        <f>_xll.EQNXTDZ($A$1,$B47,D$5)</f>
        <v>201209</v>
      </c>
      <c r="E47">
        <f>_xll.EQNXTDZ($A$1,$B47,E$5)</f>
        <v>201212</v>
      </c>
      <c r="F47">
        <f>_xll.EQNXTDZ($A$1,$B47,F$5)</f>
        <v>201303</v>
      </c>
      <c r="G47">
        <f>_xll.EQNXTDZ($A$1,$B47,G$5)</f>
        <v>201306</v>
      </c>
      <c r="H47">
        <f>_xll.EQNXTDZ($A$1,$B47,H$5)</f>
        <v>201309</v>
      </c>
      <c r="I47">
        <f>_xll.EQNXTDZ($A$1,$B47,I$5)</f>
        <v>201312</v>
      </c>
      <c r="J47">
        <f>_xll.EQNXTDZ($A$1,$B47,J$5)</f>
        <v>201403</v>
      </c>
      <c r="K47">
        <f>_xll.EQNXTDZ($A$1,$B47,K$5)</f>
        <v>201406</v>
      </c>
      <c r="L47">
        <f>_xll.EQNXTDZ($A$1,$B47,L$5)</f>
        <v>201409</v>
      </c>
      <c r="M47">
        <f>_xll.EQNXTDZ($A$1,$B47,M$5)</f>
        <v>201412</v>
      </c>
      <c r="N47">
        <f>_xll.EQNXTDZ($A$1,$B47,N$5)</f>
        <v>201503</v>
      </c>
      <c r="O47">
        <f>_xll.EQNXTDZ($A$1,$B47,O$5)</f>
        <v>201506</v>
      </c>
      <c r="P47">
        <f>_xll.EQNXTDZ($A$1,$B47,P$5)</f>
        <v>201509</v>
      </c>
      <c r="Q47">
        <f>_xll.EQNXTDZ($A$1,$B47,Q$5)</f>
        <v>201512</v>
      </c>
      <c r="R47">
        <f>_xll.EQNXTDZ($A$1,$B47,R$5)</f>
        <v>201603</v>
      </c>
      <c r="S47">
        <f>_xll.EQNXTDZ($A$1,$B47,S$5)</f>
        <v>201606</v>
      </c>
      <c r="T47">
        <f>_xll.EQNXTDZ($A$1,$B47,T$5)</f>
        <v>201609</v>
      </c>
      <c r="U47">
        <f>_xll.EQNXTDZ($A$1,$B47,U$5)</f>
        <v>201612</v>
      </c>
      <c r="V47">
        <f>_xll.EQNXTDZ($A$1,$B47,V$5)</f>
        <v>201703</v>
      </c>
      <c r="W47">
        <f>_xll.EQNXTDZ($A$1,$B47,W$5)</f>
        <v>201706</v>
      </c>
      <c r="X47">
        <f>_xll.EQNXTDZ($A$1,$B47,X$5)</f>
        <v>201709</v>
      </c>
      <c r="Y47">
        <f>_xll.EQNXTDZ($A$1,$B47,Y$5)</f>
        <v>201712</v>
      </c>
      <c r="Z47">
        <f>_xll.EQNXTDZ($A$1,$B47,Z$5)</f>
        <v>201803</v>
      </c>
      <c r="AA47">
        <f>_xll.EQNXTDZ($A$1,$B47,AA$5)</f>
        <v>201806</v>
      </c>
      <c r="AB47">
        <f>_xll.EQNXTDZ($A$1,$B47,AB$5)</f>
        <v>201809</v>
      </c>
      <c r="AC47">
        <f>_xll.EQNXTDZ($A$1,$B47,AC$5)</f>
        <v>201812</v>
      </c>
      <c r="AD47">
        <f>_xll.EQNXTDZ($A$1,$B47,AD$5)</f>
        <v>201903</v>
      </c>
      <c r="AE47">
        <f>_xll.EQNXTDZ($A$1,$B47,AE$5)</f>
        <v>201906</v>
      </c>
      <c r="AF47">
        <f>_xll.EQNXTDZ($A$1,$B47,AF$5)</f>
        <v>201909</v>
      </c>
      <c r="AG47">
        <f>_xll.EQNXTDZ($A$1,$B47,AG$5)</f>
        <v>201912</v>
      </c>
      <c r="AH47">
        <f>_xll.EQNXTDZ($A$1,$B47,AH$5)</f>
        <v>202003</v>
      </c>
      <c r="AI47">
        <f>_xll.EQNXTDZ($A$1,$B47,AI$5)</f>
        <v>202006</v>
      </c>
      <c r="AJ47">
        <f>_xll.EQNXTDZ($A$1,$B47,AJ$5)</f>
        <v>202009</v>
      </c>
      <c r="AK47">
        <f>_xll.EQNXTDZ($A$1,$B47,AK$5)</f>
        <v>202012</v>
      </c>
      <c r="AL47">
        <f>_xll.EQNXTDZ($A$1,$B47,AL$5)</f>
        <v>202103</v>
      </c>
      <c r="AM47">
        <f>_xll.EQNXTDZ($A$1,$B47,AM$5)</f>
        <v>202106</v>
      </c>
      <c r="AN47">
        <f>_xll.EQNXTDZ($A$1,$B47,AN$5)</f>
        <v>202109</v>
      </c>
      <c r="AO47">
        <f>_xll.EQNXTDZ($A$1,$B47,AO$5)</f>
        <v>202112</v>
      </c>
      <c r="AP47">
        <f>_xll.EQNXTDZ($A$1,$B47,AP$5)</f>
        <v>202203</v>
      </c>
      <c r="AQ47">
        <f>_xll.EQNXTDZ($A$1,$B47,AQ$5)</f>
        <v>202206</v>
      </c>
      <c r="AR47">
        <f>_xll.EQNXTDZ($A$1,$B47,AR$5)</f>
        <v>202209</v>
      </c>
      <c r="AS47">
        <f>_xll.EQNXTDZ($A$1,$B47,AS$5)</f>
        <v>202212</v>
      </c>
      <c r="AT47">
        <f>_xll.EQNXTDZ($A$1,$B47,AT$5)</f>
        <v>202303</v>
      </c>
      <c r="AU47">
        <f>_xll.EQNXTDZ($A$1,$B47,AU$5)</f>
        <v>202306</v>
      </c>
      <c r="AV47">
        <f>_xll.EQNXTDZ($A$1,$B47,AV$5)</f>
        <v>202309</v>
      </c>
      <c r="AW47">
        <f>_xll.EQNXTDZ($A$1,$B47,AW$5)</f>
        <v>202312</v>
      </c>
      <c r="AX47">
        <f>_xll.EQNXTDZ($A$1,$B47,AX$5)</f>
        <v>202403</v>
      </c>
      <c r="AY47">
        <f>_xll.EQNXTDZ($A$1,$B47,AY$5)</f>
        <v>202406</v>
      </c>
      <c r="AZ47">
        <f>_xll.EQNXTDZ($A$1,$B47,AZ$5)</f>
        <v>202409</v>
      </c>
      <c r="BA47">
        <f>_xll.EQNXTDZ($A$1,$B47,BA$5)</f>
        <v>202412</v>
      </c>
      <c r="BB47">
        <f>_xll.EQNXTDZ($A$1,$B47,BB$5)</f>
        <v>202503</v>
      </c>
      <c r="BC47">
        <f>_xll.EQNXTDZ($A$1,$B47,BC$5)</f>
        <v>202506</v>
      </c>
      <c r="BD47">
        <f>_xll.EQNXTDZ($A$1,$B47,BD$5)</f>
        <v>202509</v>
      </c>
      <c r="BE47">
        <f>_xll.EQNXTDZ($A$1,$B47,BE$5)</f>
        <v>202512</v>
      </c>
      <c r="BF47">
        <f>_xll.EQNXTDZ($A$1,$B47,BF$5)</f>
        <v>202603</v>
      </c>
      <c r="BG47">
        <f>_xll.EQNXTDZ($A$1,$B47,BG$5)</f>
        <v>0</v>
      </c>
      <c r="BH47">
        <f>_xll.EQNXTDZ($A$1,$B47,BH$5)</f>
        <v>0</v>
      </c>
      <c r="BI47">
        <f>_xll.EQNXTDZ($A$1,$B47,BI$5)</f>
        <v>0</v>
      </c>
      <c r="BJ47">
        <f>_xll.EQNXTDZ($A$1,$B47,BJ$5)</f>
        <v>0</v>
      </c>
      <c r="BK47">
        <f>_xll.EQNXTDZ($A$1,$B47,BK$5)</f>
        <v>0</v>
      </c>
      <c r="BL47">
        <f>_xll.EQNXTDZ($A$1,$B47,BL$5)</f>
        <v>0</v>
      </c>
      <c r="BM47">
        <f>_xll.EQNXTDZ($A$1,$B47,BM$5)</f>
        <v>0</v>
      </c>
      <c r="BN47">
        <f>_xll.EQNXTDZ($A$1,$B47,BN$5)</f>
        <v>0</v>
      </c>
      <c r="BO47">
        <f>_xll.EQNXTDZ($A$1,$B47,BO$5)</f>
        <v>0</v>
      </c>
      <c r="BP47">
        <f>_xll.EQNXTDZ($A$1,$B47,BP$5)</f>
        <v>0</v>
      </c>
      <c r="BQ47">
        <f>_xll.EQNXTDZ($A$1,$B47,BQ$5)</f>
        <v>0</v>
      </c>
      <c r="BR47">
        <f>_xll.EQNXTDZ($A$1,$B47,BR$5)</f>
        <v>0</v>
      </c>
      <c r="BS47">
        <f>_xll.EQNXTDZ($A$1,$B47,BS$5)</f>
        <v>0</v>
      </c>
      <c r="BT47">
        <f>_xll.EQNXTDZ($A$1,$B47,BT$5)</f>
        <v>0</v>
      </c>
      <c r="BU47">
        <f>_xll.EQNXTDZ($A$1,$B47,BU$5)</f>
        <v>0</v>
      </c>
      <c r="BV47">
        <f>_xll.EQNXTDZ($A$1,$B47,BV$5)</f>
        <v>0</v>
      </c>
    </row>
    <row r="48" spans="1:74" x14ac:dyDescent="0.25">
      <c r="A48" t="s">
        <v>37</v>
      </c>
      <c r="B48" t="s">
        <v>336</v>
      </c>
      <c r="C48" s="55">
        <f>_xll.EQNXTDZ($A$1,$B48,C$5)</f>
        <v>9.9749999999999996</v>
      </c>
      <c r="D48" s="55">
        <f>_xll.EQNXTDZ($A$1,$B48,D$5)</f>
        <v>8.1999999999999993</v>
      </c>
      <c r="E48" s="55">
        <f>_xll.EQNXTDZ($A$1,$B48,E$5)</f>
        <v>8.65</v>
      </c>
      <c r="F48" s="55">
        <f>_xll.EQNXTDZ($A$1,$B48,F$5)</f>
        <v>5.99</v>
      </c>
      <c r="G48" s="55">
        <f>_xll.EQNXTDZ($A$1,$B48,G$5)</f>
        <v>4.4550000000000001</v>
      </c>
      <c r="H48" s="55">
        <f>_xll.EQNXTDZ($A$1,$B48,H$5)</f>
        <v>8.65</v>
      </c>
      <c r="I48" s="55">
        <f>_xll.EQNXTDZ($A$1,$B48,I$5)</f>
        <v>4.96</v>
      </c>
      <c r="J48" s="55">
        <f>_xll.EQNXTDZ($A$1,$B48,J$5)</f>
        <v>3.9550000000000001</v>
      </c>
      <c r="K48" s="55">
        <f>_xll.EQNXTDZ($A$1,$B48,K$5)</f>
        <v>6.63</v>
      </c>
      <c r="L48" s="55">
        <f>_xll.EQNXTDZ($A$1,$B48,L$5)</f>
        <v>4.9000000000000004</v>
      </c>
      <c r="M48" s="55">
        <f>_xll.EQNXTDZ($A$1,$B48,M$5)</f>
        <v>4.9649999999999999</v>
      </c>
      <c r="N48" s="55">
        <f>_xll.EQNXTDZ($A$1,$B48,N$5)</f>
        <v>3.1949999999999998</v>
      </c>
      <c r="O48" s="55">
        <f>_xll.EQNXTDZ($A$1,$B48,O$5)</f>
        <v>2.94</v>
      </c>
      <c r="P48" s="55">
        <f>_xll.EQNXTDZ($A$1,$B48,P$5)</f>
        <v>3.7949999999999999</v>
      </c>
      <c r="Q48" s="55">
        <f>_xll.EQNXTDZ($A$1,$B48,Q$5)</f>
        <v>3.75</v>
      </c>
      <c r="R48" s="55">
        <f>_xll.EQNXTDZ($A$1,$B48,R$5)</f>
        <v>10.1</v>
      </c>
      <c r="S48" s="55">
        <f>_xll.EQNXTDZ($A$1,$B48,S$5)</f>
        <v>15.324999999999999</v>
      </c>
      <c r="T48" s="55">
        <f>_xll.EQNXTDZ($A$1,$B48,T$5)</f>
        <v>13.45</v>
      </c>
      <c r="U48" s="55">
        <f>_xll.EQNXTDZ($A$1,$B48,U$5)</f>
        <v>10.67</v>
      </c>
      <c r="V48" s="55">
        <f>_xll.EQNXTDZ($A$1,$B48,V$5)</f>
        <v>15.3</v>
      </c>
      <c r="W48" s="55">
        <f>_xll.EQNXTDZ($A$1,$B48,W$5)</f>
        <v>17.3</v>
      </c>
      <c r="X48" s="55">
        <f>_xll.EQNXTDZ($A$1,$B48,X$5)</f>
        <v>17.7</v>
      </c>
      <c r="Y48" s="55">
        <f>_xll.EQNXTDZ($A$1,$B48,Y$5)</f>
        <v>17.55</v>
      </c>
      <c r="Z48" s="55">
        <f>_xll.EQNXTDZ($A$1,$B48,Z$5)</f>
        <v>15.3</v>
      </c>
      <c r="AA48" s="55">
        <f>_xll.EQNXTDZ($A$1,$B48,AA$5)</f>
        <v>13.3</v>
      </c>
      <c r="AB48" s="55">
        <f>_xll.EQNXTDZ($A$1,$B48,AB$5)</f>
        <v>13.55</v>
      </c>
      <c r="AC48" s="55">
        <f>_xll.EQNXTDZ($A$1,$B48,AC$5)</f>
        <v>14.25</v>
      </c>
      <c r="AD48" s="55">
        <f>_xll.EQNXTDZ($A$1,$B48,AD$5)</f>
        <v>12.46</v>
      </c>
      <c r="AE48" s="55">
        <f>_xll.EQNXTDZ($A$1,$B48,AE$5)</f>
        <v>8.8699999999999992</v>
      </c>
      <c r="AF48" s="55">
        <f>_xll.EQNXTDZ($A$1,$B48,AF$5)</f>
        <v>10.4</v>
      </c>
      <c r="AG48" s="55">
        <f>_xll.EQNXTDZ($A$1,$B48,AG$5)</f>
        <v>7.57</v>
      </c>
      <c r="AH48" s="55">
        <f>_xll.EQNXTDZ($A$1,$B48,AH$5)</f>
        <v>5.76</v>
      </c>
      <c r="AI48" s="55">
        <f>_xll.EQNXTDZ($A$1,$B48,AI$5)</f>
        <v>10.56</v>
      </c>
      <c r="AJ48" s="55">
        <f>_xll.EQNXTDZ($A$1,$B48,AJ$5)</f>
        <v>11.65</v>
      </c>
      <c r="AK48" s="55">
        <f>_xll.EQNXTDZ($A$1,$B48,AK$5)</f>
        <v>10.07</v>
      </c>
      <c r="AL48" s="55">
        <f>_xll.EQNXTDZ($A$1,$B48,AL$5)</f>
        <v>11</v>
      </c>
      <c r="AM48" s="55">
        <f>_xll.EQNXTDZ($A$1,$B48,AM$5)</f>
        <v>50.8</v>
      </c>
      <c r="AN48" s="55">
        <f>_xll.EQNXTDZ($A$1,$B48,AN$5)</f>
        <v>91.1</v>
      </c>
      <c r="AO48" s="55">
        <f>_xll.EQNXTDZ($A$1,$B48,AO$5)</f>
        <v>100.4</v>
      </c>
      <c r="AP48" s="55">
        <f>_xll.EQNXTDZ($A$1,$B48,AP$5)</f>
        <v>132.65</v>
      </c>
      <c r="AQ48" s="55">
        <f>_xll.EQNXTDZ($A$1,$B48,AQ$5)</f>
        <v>139.9</v>
      </c>
      <c r="AR48" s="55">
        <f>_xll.EQNXTDZ($A$1,$B48,AR$5)</f>
        <v>178.1</v>
      </c>
      <c r="AS48" s="55">
        <f>_xll.EQNXTDZ($A$1,$B48,AS$5)</f>
        <v>245.3</v>
      </c>
      <c r="AT48" s="55">
        <f>_xll.EQNXTDZ($A$1,$B48,AT$5)</f>
        <v>284.7</v>
      </c>
      <c r="AU48" s="55">
        <f>_xll.EQNXTDZ($A$1,$B48,AU$5)</f>
        <v>395.7</v>
      </c>
      <c r="AV48" s="55">
        <f>_xll.EQNXTDZ($A$1,$B48,AV$5)</f>
        <v>536.6</v>
      </c>
      <c r="AW48" s="55">
        <f>_xll.EQNXTDZ($A$1,$B48,AW$5)</f>
        <v>599.20000000000005</v>
      </c>
      <c r="AX48" s="55">
        <f>_xll.EQNXTDZ($A$1,$B48,AX$5)</f>
        <v>602.95000000000005</v>
      </c>
      <c r="AY48" s="55">
        <f>_xll.EQNXTDZ($A$1,$B48,AY$5)</f>
        <v>732.25</v>
      </c>
      <c r="AZ48" s="55">
        <f>_xll.EQNXTDZ($A$1,$B48,AZ$5)</f>
        <v>948.65</v>
      </c>
      <c r="BA48" s="55">
        <f>_xll.EQNXTDZ($A$1,$B48,BA$5)</f>
        <v>1231.3</v>
      </c>
      <c r="BB48" s="55">
        <f>_xll.EQNXTDZ($A$1,$B48,BB$5)</f>
        <v>1285.5</v>
      </c>
      <c r="BC48" s="55">
        <f>_xll.EQNXTDZ($A$1,$B48,BC$5)</f>
        <v>1590.65</v>
      </c>
      <c r="BD48" s="55">
        <f>_xll.EQNXTDZ($A$1,$B48,BD$5)</f>
        <v>1226.5</v>
      </c>
      <c r="BE48" s="55">
        <f>_xll.EQNXTDZ($A$1,$B48,BE$5)</f>
        <v>1322</v>
      </c>
      <c r="BF48" s="55">
        <f>_xll.EQNXTDZ($A$1,$B48,BF$5)</f>
        <v>1270.7</v>
      </c>
      <c r="BG48" s="55">
        <f>_xll.EQNXTDZ($A$1,$B48,BG$5)</f>
        <v>0</v>
      </c>
      <c r="BH48" s="55">
        <f>_xll.EQNXTDZ($A$1,$B48,BH$5)</f>
        <v>0</v>
      </c>
      <c r="BI48" s="55">
        <f>_xll.EQNXTDZ($A$1,$B48,BI$5)</f>
        <v>0</v>
      </c>
      <c r="BJ48" s="55">
        <f>_xll.EQNXTDZ($A$1,$B48,BJ$5)</f>
        <v>0</v>
      </c>
      <c r="BK48" s="55">
        <f>_xll.EQNXTDZ($A$1,$B48,BK$5)</f>
        <v>0</v>
      </c>
      <c r="BL48" s="55">
        <f>_xll.EQNXTDZ($A$1,$B48,BL$5)</f>
        <v>0</v>
      </c>
      <c r="BM48" s="55">
        <f>_xll.EQNXTDZ($A$1,$B48,BM$5)</f>
        <v>0</v>
      </c>
      <c r="BN48" s="55">
        <f>_xll.EQNXTDZ($A$1,$B48,BN$5)</f>
        <v>0</v>
      </c>
      <c r="BO48" s="55">
        <f>_xll.EQNXTDZ($A$1,$B48,BO$5)</f>
        <v>0</v>
      </c>
      <c r="BP48" s="55">
        <f>_xll.EQNXTDZ($A$1,$B48,BP$5)</f>
        <v>0</v>
      </c>
      <c r="BQ48" s="55">
        <f>_xll.EQNXTDZ($A$1,$B48,BQ$5)</f>
        <v>0</v>
      </c>
      <c r="BR48" s="55">
        <f>_xll.EQNXTDZ($A$1,$B48,BR$5)</f>
        <v>0</v>
      </c>
      <c r="BS48" s="55">
        <f>_xll.EQNXTDZ($A$1,$B48,BS$5)</f>
        <v>0</v>
      </c>
      <c r="BT48" s="55">
        <f>_xll.EQNXTDZ($A$1,$B48,BT$5)</f>
        <v>0</v>
      </c>
      <c r="BU48" s="55">
        <f>_xll.EQNXTDZ($A$1,$B48,BU$5)</f>
        <v>0</v>
      </c>
      <c r="BV48" s="55">
        <f>_xll.EQNXTDZ($A$1,$B48,BV$5)</f>
        <v>0</v>
      </c>
    </row>
    <row r="49" spans="1:74" x14ac:dyDescent="0.25">
      <c r="A49" t="s">
        <v>327</v>
      </c>
      <c r="B49" t="s">
        <v>330</v>
      </c>
      <c r="C49" s="55">
        <f>_xll.EQNXTDZ($A$1,$B49,C$5)</f>
        <v>47.78</v>
      </c>
      <c r="D49" s="55">
        <f>_xll.EQNXTDZ($A$1,$B49,D$5)</f>
        <v>51.15</v>
      </c>
      <c r="E49" s="55">
        <f>_xll.EQNXTDZ($A$1,$B49,E$5)</f>
        <v>51.15</v>
      </c>
      <c r="F49" s="55">
        <f>_xll.EQNXTDZ($A$1,$B49,F$5)</f>
        <v>51.15</v>
      </c>
      <c r="G49" s="55">
        <f>_xll.EQNXTDZ($A$1,$B49,G$5)</f>
        <v>52.15</v>
      </c>
      <c r="H49" s="55">
        <f>_xll.EQNXTDZ($A$1,$B49,H$5)</f>
        <v>52.38</v>
      </c>
      <c r="I49" s="55">
        <f>_xll.EQNXTDZ($A$1,$B49,I$5)</f>
        <v>52.38</v>
      </c>
      <c r="J49" s="55">
        <f>_xll.EQNXTDZ($A$1,$B49,J$5)</f>
        <v>53.09</v>
      </c>
      <c r="K49" s="55">
        <f>_xll.EQNXTDZ($A$1,$B49,K$5)</f>
        <v>53.09</v>
      </c>
      <c r="L49" s="55">
        <f>_xll.EQNXTDZ($A$1,$B49,L$5)</f>
        <v>53.09</v>
      </c>
      <c r="M49" s="55">
        <f>_xll.EQNXTDZ($A$1,$B49,M$5)</f>
        <v>53.09</v>
      </c>
      <c r="N49" s="55">
        <f>_xll.EQNXTDZ($A$1,$B49,N$5)</f>
        <v>53.09</v>
      </c>
      <c r="O49" s="55">
        <f>_xll.EQNXTDZ($A$1,$B49,O$5)</f>
        <v>53.09</v>
      </c>
      <c r="P49" s="55">
        <f>_xll.EQNXTDZ($A$1,$B49,P$5)</f>
        <v>53.09</v>
      </c>
      <c r="Q49" s="55">
        <f>_xll.EQNXTDZ($A$1,$B49,Q$5)</f>
        <v>53.09</v>
      </c>
      <c r="R49" s="55">
        <f>_xll.EQNXTDZ($A$1,$B49,R$5)</f>
        <v>57.87</v>
      </c>
      <c r="S49" s="55">
        <f>_xll.EQNXTDZ($A$1,$B49,S$5)</f>
        <v>58.32</v>
      </c>
      <c r="T49" s="55">
        <f>_xll.EQNXTDZ($A$1,$B49,T$5)</f>
        <v>59.67</v>
      </c>
      <c r="U49" s="55">
        <f>_xll.EQNXTDZ($A$1,$B49,U$5)</f>
        <v>62.84</v>
      </c>
      <c r="V49" s="55">
        <f>_xll.EQNXTDZ($A$1,$B49,V$5)</f>
        <v>62.84</v>
      </c>
      <c r="W49" s="55">
        <f>_xll.EQNXTDZ($A$1,$B49,W$5)</f>
        <v>62.99</v>
      </c>
      <c r="X49" s="55">
        <f>_xll.EQNXTDZ($A$1,$B49,X$5)</f>
        <v>62.99</v>
      </c>
      <c r="Y49" s="55">
        <f>_xll.EQNXTDZ($A$1,$B49,Y$5)</f>
        <v>62.99</v>
      </c>
      <c r="Z49" s="55">
        <f>_xll.EQNXTDZ($A$1,$B49,Z$5)</f>
        <v>63.14</v>
      </c>
      <c r="AA49" s="55">
        <f>_xll.EQNXTDZ($A$1,$B49,AA$5)</f>
        <v>63.31</v>
      </c>
      <c r="AB49" s="55">
        <f>_xll.EQNXTDZ($A$1,$B49,AB$5)</f>
        <v>63.4</v>
      </c>
      <c r="AC49" s="55">
        <f>_xll.EQNXTDZ($A$1,$B49,AC$5)</f>
        <v>59.26</v>
      </c>
      <c r="AD49" s="55">
        <f>_xll.EQNXTDZ($A$1,$B49,AD$5)</f>
        <v>63.76</v>
      </c>
      <c r="AE49" s="55">
        <f>_xll.EQNXTDZ($A$1,$B49,AE$5)</f>
        <v>63.76</v>
      </c>
      <c r="AF49" s="55">
        <f>_xll.EQNXTDZ($A$1,$B49,AF$5)</f>
        <v>63.02</v>
      </c>
      <c r="AG49" s="55">
        <f>_xll.EQNXTDZ($A$1,$B49,AG$5)</f>
        <v>63.02</v>
      </c>
      <c r="AH49" s="55">
        <f>_xll.EQNXTDZ($A$1,$B49,AH$5)</f>
        <v>63.02</v>
      </c>
      <c r="AI49" s="55">
        <f>_xll.EQNXTDZ($A$1,$B49,AI$5)</f>
        <v>63.02</v>
      </c>
      <c r="AJ49" s="55">
        <f>_xll.EQNXTDZ($A$1,$B49,AJ$5)</f>
        <v>65.900000000000006</v>
      </c>
      <c r="AK49" s="55">
        <f>_xll.EQNXTDZ($A$1,$B49,AK$5)</f>
        <v>65.900000000000006</v>
      </c>
      <c r="AL49" s="55">
        <f>_xll.EQNXTDZ($A$1,$B49,AL$5)</f>
        <v>65.900000000000006</v>
      </c>
      <c r="AM49" s="55">
        <f>_xll.EQNXTDZ($A$1,$B49,AM$5)</f>
        <v>45.04</v>
      </c>
      <c r="AN49" s="55">
        <f>_xll.EQNXTDZ($A$1,$B49,AN$5)</f>
        <v>69.41</v>
      </c>
      <c r="AO49" s="55">
        <f>_xll.EQNXTDZ($A$1,$B49,AO$5)</f>
        <v>69.41</v>
      </c>
      <c r="AP49" s="55">
        <f>_xll.EQNXTDZ($A$1,$B49,AP$5)</f>
        <v>69.41</v>
      </c>
      <c r="AQ49" s="55">
        <f>_xll.EQNXTDZ($A$1,$B49,AQ$5)</f>
        <v>74.63</v>
      </c>
      <c r="AR49" s="55">
        <f>_xll.EQNXTDZ($A$1,$B49,AR$5)</f>
        <v>74.63</v>
      </c>
      <c r="AS49" s="55">
        <f>_xll.EQNXTDZ($A$1,$B49,AS$5)</f>
        <v>74.62</v>
      </c>
      <c r="AT49" s="55">
        <f>_xll.EQNXTDZ($A$1,$B49,AT$5)</f>
        <v>65.75</v>
      </c>
      <c r="AU49" s="55">
        <f>_xll.EQNXTDZ($A$1,$B49,AU$5)</f>
        <v>65.75</v>
      </c>
      <c r="AV49" s="55">
        <f>_xll.EQNXTDZ($A$1,$B49,AV$5)</f>
        <v>65.75</v>
      </c>
      <c r="AW49" s="55">
        <f>_xll.EQNXTDZ($A$1,$B49,AW$5)</f>
        <v>65.7</v>
      </c>
      <c r="AX49" s="55">
        <f>_xll.EQNXTDZ($A$1,$B49,AX$5)</f>
        <v>65.69</v>
      </c>
      <c r="AY49" s="55">
        <f>_xll.EQNXTDZ($A$1,$B49,AY$5)</f>
        <v>65.69</v>
      </c>
      <c r="AZ49" s="55">
        <f>_xll.EQNXTDZ($A$1,$B49,AZ$5)</f>
        <v>63.49</v>
      </c>
      <c r="BA49" s="55">
        <f>_xll.EQNXTDZ($A$1,$B49,BA$5)</f>
        <v>63.49</v>
      </c>
      <c r="BB49" s="55">
        <f>_xll.EQNXTDZ($A$1,$B49,BB$5)</f>
        <v>63.44</v>
      </c>
      <c r="BC49" s="55">
        <f>_xll.EQNXTDZ($A$1,$B49,BC$5)</f>
        <v>63.44</v>
      </c>
      <c r="BD49" s="55">
        <f>_xll.EQNXTDZ($A$1,$B49,BD$5)</f>
        <v>63.05</v>
      </c>
      <c r="BE49" s="55">
        <f>_xll.EQNXTDZ($A$1,$B49,BE$5)</f>
        <v>63.73</v>
      </c>
      <c r="BF49" s="55">
        <f>_xll.EQNXTDZ($A$1,$B49,BF$5)</f>
        <v>61.64</v>
      </c>
      <c r="BG49" s="55">
        <f>_xll.EQNXTDZ($A$1,$B49,BG$5)</f>
        <v>0</v>
      </c>
      <c r="BH49" s="55">
        <f>_xll.EQNXTDZ($A$1,$B49,BH$5)</f>
        <v>0</v>
      </c>
      <c r="BI49" s="55">
        <f>_xll.EQNXTDZ($A$1,$B49,BI$5)</f>
        <v>0</v>
      </c>
      <c r="BJ49" s="55">
        <f>_xll.EQNXTDZ($A$1,$B49,BJ$5)</f>
        <v>0</v>
      </c>
      <c r="BK49" s="55">
        <f>_xll.EQNXTDZ($A$1,$B49,BK$5)</f>
        <v>0</v>
      </c>
      <c r="BL49" s="55">
        <f>_xll.EQNXTDZ($A$1,$B49,BL$5)</f>
        <v>0</v>
      </c>
      <c r="BM49" s="55">
        <f>_xll.EQNXTDZ($A$1,$B49,BM$5)</f>
        <v>0</v>
      </c>
      <c r="BN49" s="55">
        <f>_xll.EQNXTDZ($A$1,$B49,BN$5)</f>
        <v>0</v>
      </c>
      <c r="BO49" s="55">
        <f>_xll.EQNXTDZ($A$1,$B49,BO$5)</f>
        <v>0</v>
      </c>
      <c r="BP49" s="55">
        <f>_xll.EQNXTDZ($A$1,$B49,BP$5)</f>
        <v>0</v>
      </c>
      <c r="BQ49" s="55">
        <f>_xll.EQNXTDZ($A$1,$B49,BQ$5)</f>
        <v>0</v>
      </c>
      <c r="BR49" s="55">
        <f>_xll.EQNXTDZ($A$1,$B49,BR$5)</f>
        <v>0</v>
      </c>
      <c r="BS49" s="55">
        <f>_xll.EQNXTDZ($A$1,$B49,BS$5)</f>
        <v>0</v>
      </c>
      <c r="BT49" s="55">
        <f>_xll.EQNXTDZ($A$1,$B49,BT$5)</f>
        <v>0</v>
      </c>
      <c r="BU49" s="55">
        <f>_xll.EQNXTDZ($A$1,$B49,BU$5)</f>
        <v>0</v>
      </c>
      <c r="BV49" s="55">
        <f>_xll.EQNXTDZ($A$1,$B49,BV$5)</f>
        <v>0</v>
      </c>
    </row>
    <row r="50" spans="1:74" x14ac:dyDescent="0.25">
      <c r="A50" t="s">
        <v>332</v>
      </c>
      <c r="B50" t="s">
        <v>331</v>
      </c>
      <c r="C50" s="55">
        <f>_xll.EQNXTDZ($A$1,$B50,C$5)</f>
        <v>38.5</v>
      </c>
      <c r="D50" s="55">
        <f>_xll.EQNXTDZ($A$1,$B50,D$5)</f>
        <v>35.97</v>
      </c>
      <c r="E50" s="55">
        <f>_xll.EQNXTDZ($A$1,$B50,E$5)</f>
        <v>35.97</v>
      </c>
      <c r="F50" s="55">
        <f>_xll.EQNXTDZ($A$1,$B50,F$5)</f>
        <v>35.97</v>
      </c>
      <c r="G50" s="55">
        <f>_xll.EQNXTDZ($A$1,$B50,G$5)</f>
        <v>35.270000000000003</v>
      </c>
      <c r="H50" s="55">
        <f>_xll.EQNXTDZ($A$1,$B50,H$5)</f>
        <v>35.119999999999997</v>
      </c>
      <c r="I50" s="55">
        <f>_xll.EQNXTDZ($A$1,$B50,I$5)</f>
        <v>35.119999999999997</v>
      </c>
      <c r="J50" s="55">
        <f>_xll.EQNXTDZ($A$1,$B50,J$5)</f>
        <v>34.65</v>
      </c>
      <c r="K50" s="55">
        <f>_xll.EQNXTDZ($A$1,$B50,K$5)</f>
        <v>34.65</v>
      </c>
      <c r="L50" s="55">
        <f>_xll.EQNXTDZ($A$1,$B50,L$5)</f>
        <v>34.65</v>
      </c>
      <c r="M50" s="55">
        <f>_xll.EQNXTDZ($A$1,$B50,M$5)</f>
        <v>34.65</v>
      </c>
      <c r="N50" s="55">
        <f>_xll.EQNXTDZ($A$1,$B50,N$5)</f>
        <v>9.6199999999999992</v>
      </c>
      <c r="O50" s="55">
        <f>_xll.EQNXTDZ($A$1,$B50,O$5)</f>
        <v>46.76</v>
      </c>
      <c r="P50" s="55">
        <f>_xll.EQNXTDZ($A$1,$B50,P$5)</f>
        <v>37.14</v>
      </c>
      <c r="Q50" s="55">
        <f>_xll.EQNXTDZ($A$1,$B50,Q$5)</f>
        <v>37.14</v>
      </c>
      <c r="R50" s="55">
        <f>_xll.EQNXTDZ($A$1,$B50,R$5)</f>
        <v>34.07</v>
      </c>
      <c r="S50" s="55">
        <f>_xll.EQNXTDZ($A$1,$B50,S$5)</f>
        <v>33.81</v>
      </c>
      <c r="T50" s="55">
        <f>_xll.EQNXTDZ($A$1,$B50,T$5)</f>
        <v>33.049999999999997</v>
      </c>
      <c r="U50" s="55">
        <f>_xll.EQNXTDZ($A$1,$B50,U$5)</f>
        <v>31.38</v>
      </c>
      <c r="V50" s="55">
        <f>_xll.EQNXTDZ($A$1,$B50,V$5)</f>
        <v>20.66</v>
      </c>
      <c r="W50" s="55">
        <f>_xll.EQNXTDZ($A$1,$B50,W$5)</f>
        <v>20.61</v>
      </c>
      <c r="X50" s="55">
        <f>_xll.EQNXTDZ($A$1,$B50,X$5)</f>
        <v>20.61</v>
      </c>
      <c r="Y50" s="55">
        <f>_xll.EQNXTDZ($A$1,$B50,Y$5)</f>
        <v>20.61</v>
      </c>
      <c r="Z50" s="55">
        <f>_xll.EQNXTDZ($A$1,$B50,Z$5)</f>
        <v>20.56</v>
      </c>
      <c r="AA50" s="55">
        <f>_xll.EQNXTDZ($A$1,$B50,AA$5)</f>
        <v>20.5</v>
      </c>
      <c r="AB50" s="55">
        <f>_xll.EQNXTDZ($A$1,$B50,AB$5)</f>
        <v>20.47</v>
      </c>
      <c r="AC50" s="55">
        <f>_xll.EQNXTDZ($A$1,$B50,AC$5)</f>
        <v>21.9</v>
      </c>
      <c r="AD50" s="55">
        <f>_xll.EQNXTDZ($A$1,$B50,AD$5)</f>
        <v>0</v>
      </c>
      <c r="AE50" s="55">
        <f>_xll.EQNXTDZ($A$1,$B50,AE$5)</f>
        <v>0</v>
      </c>
      <c r="AF50" s="55">
        <f>_xll.EQNXTDZ($A$1,$B50,AF$5)</f>
        <v>0</v>
      </c>
      <c r="AG50" s="55">
        <f>_xll.EQNXTDZ($A$1,$B50,AG$5)</f>
        <v>0</v>
      </c>
      <c r="AH50" s="55">
        <f>_xll.EQNXTDZ($A$1,$B50,AH$5)</f>
        <v>0</v>
      </c>
      <c r="AI50" s="55">
        <f>_xll.EQNXTDZ($A$1,$B50,AI$5)</f>
        <v>0</v>
      </c>
      <c r="AJ50" s="55">
        <f>_xll.EQNXTDZ($A$1,$B50,AJ$5)</f>
        <v>0</v>
      </c>
      <c r="AK50" s="55">
        <f>_xll.EQNXTDZ($A$1,$B50,AK$5)</f>
        <v>0</v>
      </c>
      <c r="AL50" s="55">
        <f>_xll.EQNXTDZ($A$1,$B50,AL$5)</f>
        <v>0</v>
      </c>
      <c r="AM50" s="55">
        <f>_xll.EQNXTDZ($A$1,$B50,AM$5)</f>
        <v>0</v>
      </c>
      <c r="AN50" s="55">
        <f>_xll.EQNXTDZ($A$1,$B50,AN$5)</f>
        <v>0</v>
      </c>
      <c r="AO50" s="55">
        <f>_xll.EQNXTDZ($A$1,$B50,AO$5)</f>
        <v>0</v>
      </c>
      <c r="AP50" s="55">
        <f>_xll.EQNXTDZ($A$1,$B50,AP$5)</f>
        <v>0</v>
      </c>
      <c r="AQ50" s="55">
        <f>_xll.EQNXTDZ($A$1,$B50,AQ$5)</f>
        <v>0</v>
      </c>
      <c r="AR50" s="55">
        <f>_xll.EQNXTDZ($A$1,$B50,AR$5)</f>
        <v>0</v>
      </c>
      <c r="AS50" s="55">
        <f>_xll.EQNXTDZ($A$1,$B50,AS$5)</f>
        <v>11.89</v>
      </c>
      <c r="AT50" s="55">
        <f>_xll.EQNXTDZ($A$1,$B50,AT$5)</f>
        <v>11.89</v>
      </c>
      <c r="AU50" s="55">
        <f>_xll.EQNXTDZ($A$1,$B50,AU$5)</f>
        <v>20.93</v>
      </c>
      <c r="AV50" s="55">
        <f>_xll.EQNXTDZ($A$1,$B50,AV$5)</f>
        <v>20.93</v>
      </c>
      <c r="AW50" s="55">
        <f>_xll.EQNXTDZ($A$1,$B50,AW$5)</f>
        <v>20.93</v>
      </c>
      <c r="AX50" s="55">
        <f>_xll.EQNXTDZ($A$1,$B50,AX$5)</f>
        <v>24.23</v>
      </c>
      <c r="AY50" s="55">
        <f>_xll.EQNXTDZ($A$1,$B50,AY$5)</f>
        <v>24.5</v>
      </c>
      <c r="AZ50" s="55">
        <f>_xll.EQNXTDZ($A$1,$B50,AZ$5)</f>
        <v>18.170000000000002</v>
      </c>
      <c r="BA50" s="55">
        <f>_xll.EQNXTDZ($A$1,$B50,BA$5)</f>
        <v>18.149999999999999</v>
      </c>
      <c r="BB50" s="55">
        <f>_xll.EQNXTDZ($A$1,$B50,BB$5)</f>
        <v>16.809999999999999</v>
      </c>
      <c r="BC50" s="55">
        <f>_xll.EQNXTDZ($A$1,$B50,BC$5)</f>
        <v>16.809999999999999</v>
      </c>
      <c r="BD50" s="55">
        <f>_xll.EQNXTDZ($A$1,$B50,BD$5)</f>
        <v>13.14</v>
      </c>
      <c r="BE50" s="55">
        <f>_xll.EQNXTDZ($A$1,$B50,BE$5)</f>
        <v>14.42</v>
      </c>
      <c r="BF50" s="55">
        <f>_xll.EQNXTDZ($A$1,$B50,BF$5)</f>
        <v>5.17</v>
      </c>
      <c r="BG50" s="55">
        <f>_xll.EQNXTDZ($A$1,$B50,BG$5)</f>
        <v>0</v>
      </c>
      <c r="BH50" s="55">
        <f>_xll.EQNXTDZ($A$1,$B50,BH$5)</f>
        <v>0</v>
      </c>
      <c r="BI50" s="55">
        <f>_xll.EQNXTDZ($A$1,$B50,BI$5)</f>
        <v>0</v>
      </c>
      <c r="BJ50" s="55">
        <f>_xll.EQNXTDZ($A$1,$B50,BJ$5)</f>
        <v>0</v>
      </c>
      <c r="BK50" s="55">
        <f>_xll.EQNXTDZ($A$1,$B50,BK$5)</f>
        <v>0</v>
      </c>
      <c r="BL50" s="55">
        <f>_xll.EQNXTDZ($A$1,$B50,BL$5)</f>
        <v>0</v>
      </c>
      <c r="BM50" s="55">
        <f>_xll.EQNXTDZ($A$1,$B50,BM$5)</f>
        <v>0</v>
      </c>
      <c r="BN50" s="55">
        <f>_xll.EQNXTDZ($A$1,$B50,BN$5)</f>
        <v>0</v>
      </c>
      <c r="BO50" s="55">
        <f>_xll.EQNXTDZ($A$1,$B50,BO$5)</f>
        <v>0</v>
      </c>
      <c r="BP50" s="55">
        <f>_xll.EQNXTDZ($A$1,$B50,BP$5)</f>
        <v>0</v>
      </c>
      <c r="BQ50" s="55">
        <f>_xll.EQNXTDZ($A$1,$B50,BQ$5)</f>
        <v>0</v>
      </c>
      <c r="BR50" s="55">
        <f>_xll.EQNXTDZ($A$1,$B50,BR$5)</f>
        <v>0</v>
      </c>
      <c r="BS50" s="55">
        <f>_xll.EQNXTDZ($A$1,$B50,BS$5)</f>
        <v>0</v>
      </c>
      <c r="BT50" s="55">
        <f>_xll.EQNXTDZ($A$1,$B50,BT$5)</f>
        <v>0</v>
      </c>
      <c r="BU50" s="55">
        <f>_xll.EQNXTDZ($A$1,$B50,BU$5)</f>
        <v>0</v>
      </c>
      <c r="BV50" s="55">
        <f>_xll.EQNXTDZ($A$1,$B50,BV$5)</f>
        <v>0</v>
      </c>
    </row>
    <row r="51" spans="1:74" x14ac:dyDescent="0.25">
      <c r="C51" s="55"/>
    </row>
    <row r="52" spans="1:74" x14ac:dyDescent="0.25">
      <c r="C52" s="55"/>
    </row>
    <row r="53" spans="1:74" x14ac:dyDescent="0.25">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c r="AO53" s="55"/>
      <c r="AP53" s="55"/>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c r="BQ53" s="55"/>
      <c r="BR53" s="55"/>
      <c r="BS53" s="55"/>
      <c r="BT53" s="55"/>
      <c r="BU53" s="55"/>
      <c r="BV53" s="55"/>
    </row>
    <row r="54" spans="1:74" x14ac:dyDescent="0.25">
      <c r="A54" t="s">
        <v>110</v>
      </c>
      <c r="B54" t="s">
        <v>111</v>
      </c>
      <c r="C54" s="55">
        <f>_xll.EQNXTDZ($A$1,$B54,C$5)</f>
        <v>0</v>
      </c>
      <c r="D54" s="55">
        <f>_xll.EQNXTDZ($A$1,$B54,D$5)</f>
        <v>0</v>
      </c>
      <c r="E54" s="55">
        <f>_xll.EQNXTDZ($A$1,$B54,E$5)</f>
        <v>0</v>
      </c>
      <c r="F54" s="55">
        <f>_xll.EQNXTDZ($A$1,$B54,F$5)</f>
        <v>0</v>
      </c>
      <c r="G54" s="55">
        <f>_xll.EQNXTDZ($A$1,$B54,G$5)</f>
        <v>0</v>
      </c>
      <c r="H54" s="55">
        <f>_xll.EQNXTDZ($A$1,$B54,H$5)</f>
        <v>0</v>
      </c>
      <c r="I54" s="55">
        <f>_xll.EQNXTDZ($A$1,$B54,I$5)</f>
        <v>0</v>
      </c>
      <c r="J54" s="55">
        <f>_xll.EQNXTDZ($A$1,$B54,J$5)</f>
        <v>0</v>
      </c>
      <c r="K54" s="55">
        <f>_xll.EQNXTDZ($A$1,$B54,K$5)</f>
        <v>0</v>
      </c>
      <c r="L54" s="55">
        <f>_xll.EQNXTDZ($A$1,$B54,L$5)</f>
        <v>0</v>
      </c>
      <c r="M54" s="55">
        <f>_xll.EQNXTDZ($A$1,$B54,M$5)</f>
        <v>0</v>
      </c>
      <c r="N54" s="55">
        <f>_xll.EQNXTDZ($A$1,$B54,N$5)</f>
        <v>0</v>
      </c>
      <c r="O54" s="55">
        <f>_xll.EQNXTDZ($A$1,$B54,O$5)</f>
        <v>0</v>
      </c>
      <c r="P54" s="55">
        <f>_xll.EQNXTDZ($A$1,$B54,P$5)</f>
        <v>0</v>
      </c>
      <c r="Q54" s="55">
        <f>_xll.EQNXTDZ($A$1,$B54,Q$5)</f>
        <v>0</v>
      </c>
      <c r="R54" s="55">
        <f>_xll.EQNXTDZ($A$1,$B54,R$5)</f>
        <v>0</v>
      </c>
      <c r="S54" s="55">
        <f>_xll.EQNXTDZ($A$1,$B54,S$5)</f>
        <v>0</v>
      </c>
      <c r="T54" s="55">
        <f>_xll.EQNXTDZ($A$1,$B54,T$5)</f>
        <v>0</v>
      </c>
      <c r="U54" s="55">
        <f>_xll.EQNXTDZ($A$1,$B54,U$5)</f>
        <v>0</v>
      </c>
      <c r="V54" s="55">
        <f>_xll.EQNXTDZ($A$1,$B54,V$5)</f>
        <v>0</v>
      </c>
      <c r="W54" s="55">
        <f>_xll.EQNXTDZ($A$1,$B54,W$5)</f>
        <v>0</v>
      </c>
      <c r="X54" s="55">
        <f>_xll.EQNXTDZ($A$1,$B54,X$5)</f>
        <v>0</v>
      </c>
      <c r="Y54" s="55">
        <f>_xll.EQNXTDZ($A$1,$B54,Y$5)</f>
        <v>0</v>
      </c>
      <c r="Z54" s="55">
        <f>_xll.EQNXTDZ($A$1,$B54,Z$5)</f>
        <v>0</v>
      </c>
      <c r="AA54" s="55">
        <f>_xll.EQNXTDZ($A$1,$B54,AA$5)</f>
        <v>0</v>
      </c>
      <c r="AB54" s="55">
        <f>_xll.EQNXTDZ($A$1,$B54,AB$5)</f>
        <v>0</v>
      </c>
      <c r="AC54" s="55">
        <f>_xll.EQNXTDZ($A$1,$B54,AC$5)</f>
        <v>0</v>
      </c>
      <c r="AD54" s="55">
        <f>_xll.EQNXTDZ($A$1,$B54,AD$5)</f>
        <v>0</v>
      </c>
      <c r="AE54" s="55">
        <f>_xll.EQNXTDZ($A$1,$B54,AE$5)</f>
        <v>0</v>
      </c>
      <c r="AF54" s="55">
        <f>_xll.EQNXTDZ($A$1,$B54,AF$5)</f>
        <v>0</v>
      </c>
      <c r="AG54" s="55">
        <f>_xll.EQNXTDZ($A$1,$B54,AG$5)</f>
        <v>0</v>
      </c>
      <c r="AH54" s="55">
        <f>_xll.EQNXTDZ($A$1,$B54,AH$5)</f>
        <v>0</v>
      </c>
      <c r="AI54" s="55">
        <f>_xll.EQNXTDZ($A$1,$B54,AI$5)</f>
        <v>0</v>
      </c>
      <c r="AJ54" s="55">
        <f>_xll.EQNXTDZ($A$1,$B54,AJ$5)</f>
        <v>0</v>
      </c>
      <c r="AK54" s="55">
        <f>_xll.EQNXTDZ($A$1,$B54,AK$5)</f>
        <v>0</v>
      </c>
      <c r="AL54" s="55">
        <f>_xll.EQNXTDZ($A$1,$B54,AL$5)</f>
        <v>0</v>
      </c>
      <c r="AM54" s="55">
        <f>_xll.EQNXTDZ($A$1,$B54,AM$5)</f>
        <v>0</v>
      </c>
      <c r="AN54" s="55">
        <f>_xll.EQNXTDZ($A$1,$B54,AN$5)</f>
        <v>0</v>
      </c>
      <c r="AO54" s="55">
        <f>_xll.EQNXTDZ($A$1,$B54,AO$5)</f>
        <v>0</v>
      </c>
      <c r="AP54" s="55">
        <f>_xll.EQNXTDZ($A$1,$B54,AP$5)</f>
        <v>0</v>
      </c>
      <c r="AQ54" s="55">
        <f>_xll.EQNXTDZ($A$1,$B54,AQ$5)</f>
        <v>0</v>
      </c>
      <c r="AR54" s="55">
        <f>_xll.EQNXTDZ($A$1,$B54,AR$5)</f>
        <v>0</v>
      </c>
      <c r="AS54" s="55">
        <f>_xll.EQNXTDZ($A$1,$B54,AS$5)</f>
        <v>0</v>
      </c>
      <c r="AT54" s="55">
        <f>_xll.EQNXTDZ($A$1,$B54,AT$5)</f>
        <v>0</v>
      </c>
      <c r="AU54" s="55">
        <f>_xll.EQNXTDZ($A$1,$B54,AU$5)</f>
        <v>0</v>
      </c>
      <c r="AV54" s="55">
        <f>_xll.EQNXTDZ($A$1,$B54,AV$5)</f>
        <v>0</v>
      </c>
      <c r="AW54" s="55">
        <f>_xll.EQNXTDZ($A$1,$B54,AW$5)</f>
        <v>0</v>
      </c>
      <c r="AX54" s="55">
        <f>_xll.EQNXTDZ($A$1,$B54,AX$5)</f>
        <v>0</v>
      </c>
      <c r="AY54" s="55">
        <f>_xll.EQNXTDZ($A$1,$B54,AY$5)</f>
        <v>0</v>
      </c>
      <c r="AZ54" s="55">
        <f>_xll.EQNXTDZ($A$1,$B54,AZ$5)</f>
        <v>0</v>
      </c>
      <c r="BA54" s="55">
        <f>_xll.EQNXTDZ($A$1,$B54,BA$5)</f>
        <v>0</v>
      </c>
      <c r="BB54" s="55">
        <f>_xll.EQNXTDZ($A$1,$B54,BB$5)</f>
        <v>0</v>
      </c>
      <c r="BC54" s="55">
        <f>_xll.EQNXTDZ($A$1,$B54,BC$5)</f>
        <v>0</v>
      </c>
      <c r="BD54" s="55">
        <f>_xll.EQNXTDZ($A$1,$B54,BD$5)</f>
        <v>0</v>
      </c>
      <c r="BE54" s="55">
        <f>_xll.EQNXTDZ($A$1,$B54,BE$5)</f>
        <v>0</v>
      </c>
      <c r="BF54" s="55">
        <f>_xll.EQNXTDZ($A$1,$B54,BF$5)</f>
        <v>0</v>
      </c>
      <c r="BG54" s="55">
        <f>_xll.EQNXTDZ($A$1,$B54,BG$5)</f>
        <v>0</v>
      </c>
      <c r="BH54" s="55">
        <f>_xll.EQNXTDZ($A$1,$B54,BH$5)</f>
        <v>0</v>
      </c>
      <c r="BI54" s="55">
        <f>_xll.EQNXTDZ($A$1,$B54,BI$5)</f>
        <v>0</v>
      </c>
      <c r="BJ54" s="55">
        <f>_xll.EQNXTDZ($A$1,$B54,BJ$5)</f>
        <v>0</v>
      </c>
      <c r="BK54" s="55">
        <f>_xll.EQNXTDZ($A$1,$B54,BK$5)</f>
        <v>0</v>
      </c>
      <c r="BL54" s="55">
        <f>_xll.EQNXTDZ($A$1,$B54,BL$5)</f>
        <v>0</v>
      </c>
      <c r="BM54" s="55">
        <f>_xll.EQNXTDZ($A$1,$B54,BM$5)</f>
        <v>0</v>
      </c>
      <c r="BN54" s="55">
        <f>_xll.EQNXTDZ($A$1,$B54,BN$5)</f>
        <v>0</v>
      </c>
      <c r="BO54" s="55">
        <f>_xll.EQNXTDZ($A$1,$B54,BO$5)</f>
        <v>0</v>
      </c>
      <c r="BP54" s="55">
        <f>_xll.EQNXTDZ($A$1,$B54,BP$5)</f>
        <v>0</v>
      </c>
      <c r="BQ54" s="55">
        <f>_xll.EQNXTDZ($A$1,$B54,BQ$5)</f>
        <v>0</v>
      </c>
      <c r="BR54" s="55">
        <f>_xll.EQNXTDZ($A$1,$B54,BR$5)</f>
        <v>0</v>
      </c>
      <c r="BS54" s="55">
        <f>_xll.EQNXTDZ($A$1,$B54,BS$5)</f>
        <v>0</v>
      </c>
      <c r="BT54" s="55">
        <f>_xll.EQNXTDZ($A$1,$B54,BT$5)</f>
        <v>0</v>
      </c>
      <c r="BU54" s="55">
        <f>_xll.EQNXTDZ($A$1,$B54,BU$5)</f>
        <v>0</v>
      </c>
      <c r="BV54" s="55">
        <f>_xll.EQNXTDZ($A$1,$B54,BV$5)</f>
        <v>0</v>
      </c>
    </row>
    <row r="55" spans="1:74" s="56" customFormat="1" x14ac:dyDescent="0.25">
      <c r="A55" s="56" t="s">
        <v>113</v>
      </c>
      <c r="B55" s="56" t="s">
        <v>371</v>
      </c>
      <c r="C55" s="56">
        <f>_xll.EQNXTDZ($A$1,$B55,C$5,$B$1)</f>
        <v>0</v>
      </c>
      <c r="D55" s="56">
        <f>_xll.EQNXTDZ($A$1,$B55,D$5,$B$1)</f>
        <v>201209</v>
      </c>
      <c r="E55" s="56">
        <f>_xll.EQNXTDZ($A$1,$B55,E$5,$B$1)</f>
        <v>0</v>
      </c>
      <c r="F55" s="56">
        <f>_xll.EQNXTDZ($A$1,$B55,F$5,$B$1)</f>
        <v>201303</v>
      </c>
      <c r="G55" s="56">
        <f>_xll.EQNXTDZ($A$1,$B55,G$5,$B$1)</f>
        <v>0</v>
      </c>
      <c r="H55" s="56">
        <f>_xll.EQNXTDZ($A$1,$B55,H$5,$B$1)</f>
        <v>201309</v>
      </c>
      <c r="I55" s="56">
        <f>_xll.EQNXTDZ($A$1,$B55,I$5,$B$1)</f>
        <v>0</v>
      </c>
      <c r="J55" s="56">
        <f>_xll.EQNXTDZ($A$1,$B55,J$5,$B$1)</f>
        <v>201403</v>
      </c>
      <c r="K55" s="56">
        <f>_xll.EQNXTDZ($A$1,$B55,K$5,$B$1)</f>
        <v>0</v>
      </c>
      <c r="L55" s="56">
        <f>_xll.EQNXTDZ($A$1,$B55,L$5,$B$1)</f>
        <v>201409</v>
      </c>
      <c r="M55" s="56">
        <f>_xll.EQNXTDZ($A$1,$B55,M$5,$B$1)</f>
        <v>0</v>
      </c>
      <c r="N55" s="56">
        <f>_xll.EQNXTDZ($A$1,$B55,N$5,$B$1)</f>
        <v>201503</v>
      </c>
      <c r="O55" s="56">
        <f>_xll.EQNXTDZ($A$1,$B55,O$5,$B$1)</f>
        <v>0</v>
      </c>
      <c r="P55" s="56">
        <f>_xll.EQNXTDZ($A$1,$B55,P$5,$B$1)</f>
        <v>201509</v>
      </c>
      <c r="Q55" s="56">
        <f>_xll.EQNXTDZ($A$1,$B55,Q$5,$B$1)</f>
        <v>0</v>
      </c>
      <c r="R55" s="56">
        <f>_xll.EQNXTDZ($A$1,$B55,R$5,$B$1)</f>
        <v>201603</v>
      </c>
      <c r="S55" s="56">
        <f>_xll.EQNXTDZ($A$1,$B55,S$5,$B$1)</f>
        <v>0</v>
      </c>
      <c r="T55" s="56">
        <f>_xll.EQNXTDZ($A$1,$B55,T$5,$B$1)</f>
        <v>201609</v>
      </c>
      <c r="U55" s="56">
        <f>_xll.EQNXTDZ($A$1,$B55,U$5,$B$1)</f>
        <v>0</v>
      </c>
      <c r="V55" s="56">
        <f>_xll.EQNXTDZ($A$1,$B55,V$5,$B$1)</f>
        <v>201703</v>
      </c>
      <c r="W55" s="56">
        <f>_xll.EQNXTDZ($A$1,$B55,W$5,$B$1)</f>
        <v>0</v>
      </c>
      <c r="X55" s="56">
        <f>_xll.EQNXTDZ($A$1,$B55,X$5,$B$1)</f>
        <v>201709</v>
      </c>
      <c r="Y55" s="56">
        <f>_xll.EQNXTDZ($A$1,$B55,Y$5,$B$1)</f>
        <v>0</v>
      </c>
      <c r="Z55" s="56">
        <f>_xll.EQNXTDZ($A$1,$B55,Z$5,$B$1)</f>
        <v>201803</v>
      </c>
      <c r="AA55" s="56">
        <f>_xll.EQNXTDZ($A$1,$B55,AA$5,$B$1)</f>
        <v>0</v>
      </c>
      <c r="AB55" s="56">
        <f>_xll.EQNXTDZ($A$1,$B55,AB$5,$B$1)</f>
        <v>201809</v>
      </c>
      <c r="AC55" s="56">
        <f>_xll.EQNXTDZ($A$1,$B55,AC$5,$B$1)</f>
        <v>0</v>
      </c>
      <c r="AD55" s="56">
        <f>_xll.EQNXTDZ($A$1,$B55,AD$5,$B$1)</f>
        <v>201903</v>
      </c>
      <c r="AE55" s="56">
        <f>_xll.EQNXTDZ($A$1,$B55,AE$5,$B$1)</f>
        <v>0</v>
      </c>
      <c r="AF55" s="56">
        <f>_xll.EQNXTDZ($A$1,$B55,AF$5,$B$1)</f>
        <v>201909</v>
      </c>
      <c r="AG55" s="56">
        <f>_xll.EQNXTDZ($A$1,$B55,AG$5,$B$1)</f>
        <v>0</v>
      </c>
      <c r="AH55" s="56">
        <f>_xll.EQNXTDZ($A$1,$B55,AH$5,$B$1)</f>
        <v>202003</v>
      </c>
      <c r="AI55" s="56">
        <f>_xll.EQNXTDZ($A$1,$B55,AI$5,$B$1)</f>
        <v>0</v>
      </c>
      <c r="AJ55" s="56">
        <f>_xll.EQNXTDZ($A$1,$B55,AJ$5,$B$1)</f>
        <v>202009</v>
      </c>
      <c r="AK55" s="56">
        <f>_xll.EQNXTDZ($A$1,$B55,AK$5,$B$1)</f>
        <v>0</v>
      </c>
      <c r="AL55" s="56">
        <f>_xll.EQNXTDZ($A$1,$B55,AL$5,$B$1)</f>
        <v>202103</v>
      </c>
      <c r="AM55" s="56">
        <f>_xll.EQNXTDZ($A$1,$B55,AM$5,$B$1)</f>
        <v>0</v>
      </c>
      <c r="AN55" s="56">
        <f>_xll.EQNXTDZ($A$1,$B55,AN$5,$B$1)</f>
        <v>202109</v>
      </c>
      <c r="AO55" s="56">
        <f>_xll.EQNXTDZ($A$1,$B55,AO$5,$B$1)</f>
        <v>0</v>
      </c>
      <c r="AP55" s="56">
        <f>_xll.EQNXTDZ($A$1,$B55,AP$5,$B$1)</f>
        <v>202203</v>
      </c>
      <c r="AQ55" s="56">
        <f>_xll.EQNXTDZ($A$1,$B55,AQ$5,$B$1)</f>
        <v>0</v>
      </c>
      <c r="AR55" s="56">
        <f>_xll.EQNXTDZ($A$1,$B55,AR$5,$B$1)</f>
        <v>202209</v>
      </c>
      <c r="AS55" s="56">
        <f>_xll.EQNXTDZ($A$1,$B55,AS$5,$B$1)</f>
        <v>0</v>
      </c>
      <c r="AT55" s="56">
        <f>_xll.EQNXTDZ($A$1,$B55,AT$5,$B$1)</f>
        <v>202303</v>
      </c>
      <c r="AU55" s="56">
        <f>_xll.EQNXTDZ($A$1,$B55,AU$5,$B$1)</f>
        <v>0</v>
      </c>
      <c r="AV55" s="56">
        <f>_xll.EQNXTDZ($A$1,$B55,AV$5,$B$1)</f>
        <v>202309</v>
      </c>
      <c r="AW55" s="56">
        <f>_xll.EQNXTDZ($A$1,$B55,AW$5,$B$1)</f>
        <v>0</v>
      </c>
      <c r="AX55" s="56">
        <f>_xll.EQNXTDZ($A$1,$B55,AX$5,$B$1)</f>
        <v>202403</v>
      </c>
      <c r="AY55" s="56">
        <f>_xll.EQNXTDZ($A$1,$B55,AY$5,$B$1)</f>
        <v>0</v>
      </c>
      <c r="AZ55" s="56">
        <f>_xll.EQNXTDZ($A$1,$B55,AZ$5,$B$1)</f>
        <v>202409</v>
      </c>
      <c r="BA55" s="56">
        <f>_xll.EQNXTDZ($A$1,$B55,BA$5,$B$1)</f>
        <v>0</v>
      </c>
      <c r="BB55" s="56">
        <f>_xll.EQNXTDZ($A$1,$B55,BB$5,$B$1)</f>
        <v>202503</v>
      </c>
      <c r="BC55" s="56">
        <f>_xll.EQNXTDZ($A$1,$B55,BC$5,$B$1)</f>
        <v>0</v>
      </c>
      <c r="BD55" s="56">
        <f>_xll.EQNXTDZ($A$1,$B55,BD$5,$B$1)</f>
        <v>202509</v>
      </c>
      <c r="BE55" s="56">
        <f>_xll.EQNXTDZ($A$1,$B55,BE$5,$B$1)</f>
        <v>0</v>
      </c>
      <c r="BF55" s="56">
        <f>_xll.EQNXTDZ($A$1,$B55,BF$5,$B$1)</f>
        <v>202603</v>
      </c>
      <c r="BG55" s="56">
        <f>_xll.EQNXTDZ($A$1,$B55,BG$5,$B$1)</f>
        <v>0</v>
      </c>
      <c r="BH55" s="56">
        <f>_xll.EQNXTDZ($A$1,$B55,BH$5,$B$1)</f>
        <v>0</v>
      </c>
      <c r="BI55" s="56">
        <f>_xll.EQNXTDZ($A$1,$B55,BI$5,$B$1)</f>
        <v>0</v>
      </c>
      <c r="BJ55" s="56">
        <f>_xll.EQNXTDZ($A$1,$B55,BJ$5,$B$1)</f>
        <v>0</v>
      </c>
      <c r="BK55" s="56">
        <f>_xll.EQNXTDZ($A$1,$B55,BK$5,$B$1)</f>
        <v>0</v>
      </c>
      <c r="BL55" s="56">
        <f>_xll.EQNXTDZ($A$1,$B55,BL$5,$B$1)</f>
        <v>0</v>
      </c>
      <c r="BM55" s="56">
        <f>_xll.EQNXTDZ($A$1,$B55,BM$5,$B$1)</f>
        <v>0</v>
      </c>
      <c r="BN55" s="56">
        <f>_xll.EQNXTDZ($A$1,$B55,BN$5,$B$1)</f>
        <v>0</v>
      </c>
      <c r="BO55" s="56">
        <f>_xll.EQNXTDZ($A$1,$B55,BO$5,$B$1)</f>
        <v>0</v>
      </c>
      <c r="BP55" s="56">
        <f>_xll.EQNXTDZ($A$1,$B55,BP$5,$B$1)</f>
        <v>0</v>
      </c>
      <c r="BQ55" s="56">
        <f>_xll.EQNXTDZ($A$1,$B55,BQ$5,$B$1)</f>
        <v>0</v>
      </c>
      <c r="BR55" s="56">
        <f>_xll.EQNXTDZ($A$1,$B55,BR$5,$B$1)</f>
        <v>0</v>
      </c>
      <c r="BS55" s="56">
        <f>_xll.EQNXTDZ($A$1,$B55,BS$5,$B$1)</f>
        <v>0</v>
      </c>
      <c r="BT55" s="56">
        <f>_xll.EQNXTDZ($A$1,$B55,BT$5,$B$1)</f>
        <v>0</v>
      </c>
      <c r="BU55" s="56">
        <f>_xll.EQNXTDZ($A$1,$B55,BU$5,$B$1)</f>
        <v>0</v>
      </c>
      <c r="BV55" s="56">
        <f>_xll.EQNXTDZ($A$1,$B55,BV$5,$B$1)</f>
        <v>0</v>
      </c>
    </row>
    <row r="56" spans="1:74" x14ac:dyDescent="0.25">
      <c r="A56" t="s">
        <v>41</v>
      </c>
      <c r="B56" t="s">
        <v>372</v>
      </c>
      <c r="C56" s="55">
        <f>_xll.EQNXTDZ($A$1,$B56,C$5,$B$1)</f>
        <v>0</v>
      </c>
      <c r="D56" s="55">
        <f>_xll.EQNXTDZ($A$1,$B56,D$5,$B$1)</f>
        <v>22.431000000000001</v>
      </c>
      <c r="E56" s="55">
        <f>_xll.EQNXTDZ($A$1,$B56,E$5,$B$1)</f>
        <v>0</v>
      </c>
      <c r="F56" s="55">
        <f>_xll.EQNXTDZ($A$1,$B56,F$5,$B$1)</f>
        <v>22.431000000000001</v>
      </c>
      <c r="G56" s="55">
        <f>_xll.EQNXTDZ($A$1,$B56,G$5,$B$1)</f>
        <v>0</v>
      </c>
      <c r="H56" s="55">
        <f>_xll.EQNXTDZ($A$1,$B56,H$5,$B$1)</f>
        <v>22.431000000000001</v>
      </c>
      <c r="I56" s="55">
        <f>_xll.EQNXTDZ($A$1,$B56,I$5,$B$1)</f>
        <v>0</v>
      </c>
      <c r="J56" s="55">
        <f>_xll.EQNXTDZ($A$1,$B56,J$5,$B$1)</f>
        <v>22.431000000000001</v>
      </c>
      <c r="K56" s="55">
        <f>_xll.EQNXTDZ($A$1,$B56,K$5,$B$1)</f>
        <v>0</v>
      </c>
      <c r="L56" s="55">
        <f>_xll.EQNXTDZ($A$1,$B56,L$5,$B$1)</f>
        <v>22.431000000000001</v>
      </c>
      <c r="M56" s="55">
        <f>_xll.EQNXTDZ($A$1,$B56,M$5,$B$1)</f>
        <v>0</v>
      </c>
      <c r="N56" s="55">
        <f>_xll.EQNXTDZ($A$1,$B56,N$5,$B$1)</f>
        <v>22.431000000000001</v>
      </c>
      <c r="O56" s="55">
        <f>_xll.EQNXTDZ($A$1,$B56,O$5,$B$1)</f>
        <v>0</v>
      </c>
      <c r="P56" s="55">
        <f>_xll.EQNXTDZ($A$1,$B56,P$5,$B$1)</f>
        <v>22.431000000000001</v>
      </c>
      <c r="Q56" s="55">
        <f>_xll.EQNXTDZ($A$1,$B56,Q$5,$B$1)</f>
        <v>0</v>
      </c>
      <c r="R56" s="55">
        <f>_xll.EQNXTDZ($A$1,$B56,R$5,$B$1)</f>
        <v>22.431000000000001</v>
      </c>
      <c r="S56" s="55">
        <f>_xll.EQNXTDZ($A$1,$B56,S$5,$B$1)</f>
        <v>0</v>
      </c>
      <c r="T56" s="55">
        <f>_xll.EQNXTDZ($A$1,$B56,T$5,$B$1)</f>
        <v>22.431000000000001</v>
      </c>
      <c r="U56" s="55">
        <f>_xll.EQNXTDZ($A$1,$B56,U$5,$B$1)</f>
        <v>0</v>
      </c>
      <c r="V56" s="55">
        <f>_xll.EQNXTDZ($A$1,$B56,V$5,$B$1)</f>
        <v>22.431000000000001</v>
      </c>
      <c r="W56" s="55">
        <f>_xll.EQNXTDZ($A$1,$B56,W$5,$B$1)</f>
        <v>0</v>
      </c>
      <c r="X56" s="55">
        <f>_xll.EQNXTDZ($A$1,$B56,X$5,$B$1)</f>
        <v>22.431000000000001</v>
      </c>
      <c r="Y56" s="55">
        <f>_xll.EQNXTDZ($A$1,$B56,Y$5,$B$1)</f>
        <v>0</v>
      </c>
      <c r="Z56" s="55">
        <f>_xll.EQNXTDZ($A$1,$B56,Z$5,$B$1)</f>
        <v>22.431000000000001</v>
      </c>
      <c r="AA56" s="55">
        <f>_xll.EQNXTDZ($A$1,$B56,AA$5,$B$1)</f>
        <v>0</v>
      </c>
      <c r="AB56" s="55">
        <f>_xll.EQNXTDZ($A$1,$B56,AB$5,$B$1)</f>
        <v>22.431000000000001</v>
      </c>
      <c r="AC56" s="55">
        <f>_xll.EQNXTDZ($A$1,$B56,AC$5,$B$1)</f>
        <v>0</v>
      </c>
      <c r="AD56" s="55">
        <f>_xll.EQNXTDZ($A$1,$B56,AD$5,$B$1)</f>
        <v>22.431000000000001</v>
      </c>
      <c r="AE56" s="55">
        <f>_xll.EQNXTDZ($A$1,$B56,AE$5,$B$1)</f>
        <v>0</v>
      </c>
      <c r="AF56" s="55">
        <f>_xll.EQNXTDZ($A$1,$B56,AF$5,$B$1)</f>
        <v>22.69</v>
      </c>
      <c r="AG56" s="55">
        <f>_xll.EQNXTDZ($A$1,$B56,AG$5,$B$1)</f>
        <v>0</v>
      </c>
      <c r="AH56" s="55">
        <f>_xll.EQNXTDZ($A$1,$B56,AH$5,$B$1)</f>
        <v>22.69</v>
      </c>
      <c r="AI56" s="55">
        <f>_xll.EQNXTDZ($A$1,$B56,AI$5,$B$1)</f>
        <v>0</v>
      </c>
      <c r="AJ56" s="55">
        <f>_xll.EQNXTDZ($A$1,$B56,AJ$5,$B$1)</f>
        <v>25.347000000000001</v>
      </c>
      <c r="AK56" s="55">
        <f>_xll.EQNXTDZ($A$1,$B56,AK$5,$B$1)</f>
        <v>0</v>
      </c>
      <c r="AL56" s="55">
        <f>_xll.EQNXTDZ($A$1,$B56,AL$5,$B$1)</f>
        <v>25.347000000000001</v>
      </c>
      <c r="AM56" s="55">
        <f>_xll.EQNXTDZ($A$1,$B56,AM$5,$B$1)</f>
        <v>0</v>
      </c>
      <c r="AN56" s="55">
        <f>_xll.EQNXTDZ($A$1,$B56,AN$5,$B$1)</f>
        <v>37.043999999999997</v>
      </c>
      <c r="AO56" s="55">
        <f>_xll.EQNXTDZ($A$1,$B56,AO$5,$B$1)</f>
        <v>0</v>
      </c>
      <c r="AP56" s="55">
        <f>_xll.EQNXTDZ($A$1,$B56,AP$5,$B$1)</f>
        <v>37.04</v>
      </c>
      <c r="AQ56" s="55">
        <f>_xll.EQNXTDZ($A$1,$B56,AQ$5,$B$1)</f>
        <v>0</v>
      </c>
      <c r="AR56" s="55">
        <f>_xll.EQNXTDZ($A$1,$B56,AR$5,$B$1)</f>
        <v>44.64</v>
      </c>
      <c r="AS56" s="55">
        <f>_xll.EQNXTDZ($A$1,$B56,AS$5,$B$1)</f>
        <v>0</v>
      </c>
      <c r="AT56" s="55">
        <f>_xll.EQNXTDZ($A$1,$B56,AT$5,$B$1)</f>
        <v>50.48</v>
      </c>
      <c r="AU56" s="55">
        <f>_xll.EQNXTDZ($A$1,$B56,AU$5,$B$1)</f>
        <v>0</v>
      </c>
      <c r="AV56" s="55">
        <f>_xll.EQNXTDZ($A$1,$B56,AV$5,$B$1)</f>
        <v>50.48</v>
      </c>
      <c r="AW56" s="55">
        <f>_xll.EQNXTDZ($A$1,$B56,AW$5,$B$1)</f>
        <v>0</v>
      </c>
      <c r="AX56" s="55">
        <f>_xll.EQNXTDZ($A$1,$B56,AX$5,$B$1)</f>
        <v>50.53</v>
      </c>
      <c r="AY56" s="55">
        <f>_xll.EQNXTDZ($A$1,$B56,AY$5,$B$1)</f>
        <v>0</v>
      </c>
      <c r="AZ56" s="55">
        <f>_xll.EQNXTDZ($A$1,$B56,AZ$5,$B$1)</f>
        <v>52.28</v>
      </c>
      <c r="BA56" s="55">
        <f>_xll.EQNXTDZ($A$1,$B56,BA$5,$B$1)</f>
        <v>0</v>
      </c>
      <c r="BB56" s="55">
        <f>_xll.EQNXTDZ($A$1,$B56,BB$5,$B$1)</f>
        <v>52.32</v>
      </c>
      <c r="BC56" s="55">
        <f>_xll.EQNXTDZ($A$1,$B56,BC$5,$B$1)</f>
        <v>0</v>
      </c>
      <c r="BD56" s="55">
        <f>_xll.EQNXTDZ($A$1,$B56,BD$5,$B$1)</f>
        <v>52.64</v>
      </c>
      <c r="BE56" s="55">
        <f>_xll.EQNXTDZ($A$1,$B56,BE$5,$B$1)</f>
        <v>0</v>
      </c>
      <c r="BF56" s="55">
        <f>_xll.EQNXTDZ($A$1,$B56,BF$5,$B$1)</f>
        <v>56.28</v>
      </c>
      <c r="BG56" s="55">
        <f>_xll.EQNXTDZ($A$1,$B56,BG$5,$B$1)</f>
        <v>0</v>
      </c>
      <c r="BH56" s="55">
        <f>_xll.EQNXTDZ($A$1,$B56,BH$5,$B$1)</f>
        <v>0</v>
      </c>
      <c r="BI56" s="55">
        <f>_xll.EQNXTDZ($A$1,$B56,BI$5,$B$1)</f>
        <v>0</v>
      </c>
      <c r="BJ56" s="55">
        <f>_xll.EQNXTDZ($A$1,$B56,BJ$5,$B$1)</f>
        <v>0</v>
      </c>
      <c r="BK56" s="55">
        <f>_xll.EQNXTDZ($A$1,$B56,BK$5,$B$1)</f>
        <v>0</v>
      </c>
      <c r="BL56" s="55">
        <f>_xll.EQNXTDZ($A$1,$B56,BL$5,$B$1)</f>
        <v>0</v>
      </c>
      <c r="BM56" s="55">
        <f>_xll.EQNXTDZ($A$1,$B56,BM$5,$B$1)</f>
        <v>0</v>
      </c>
      <c r="BN56" s="55">
        <f>_xll.EQNXTDZ($A$1,$B56,BN$5,$B$1)</f>
        <v>0</v>
      </c>
      <c r="BO56" s="55">
        <f>_xll.EQNXTDZ($A$1,$B56,BO$5,$B$1)</f>
        <v>0</v>
      </c>
      <c r="BP56" s="55">
        <f>_xll.EQNXTDZ($A$1,$B56,BP$5,$B$1)</f>
        <v>0</v>
      </c>
      <c r="BQ56" s="55">
        <f>_xll.EQNXTDZ($A$1,$B56,BQ$5,$B$1)</f>
        <v>0</v>
      </c>
      <c r="BR56" s="55">
        <f>_xll.EQNXTDZ($A$1,$B56,BR$5,$B$1)</f>
        <v>0</v>
      </c>
      <c r="BS56" s="55">
        <f>_xll.EQNXTDZ($A$1,$B56,BS$5,$B$1)</f>
        <v>0</v>
      </c>
      <c r="BT56" s="55">
        <f>_xll.EQNXTDZ($A$1,$B56,BT$5,$B$1)</f>
        <v>0</v>
      </c>
      <c r="BU56" s="55">
        <f>_xll.EQNXTDZ($A$1,$B56,BU$5,$B$1)</f>
        <v>0</v>
      </c>
      <c r="BV56" s="55">
        <f>_xll.EQNXTDZ($A$1,$B56,BV$5,$B$1)</f>
        <v>0</v>
      </c>
    </row>
    <row r="57" spans="1:74" x14ac:dyDescent="0.25">
      <c r="A57" t="s">
        <v>353</v>
      </c>
      <c r="B57" t="s">
        <v>373</v>
      </c>
      <c r="C57" s="55">
        <f>_xll.EQNXTDZ($A$1,$B57,C$5,$B$1)</f>
        <v>0</v>
      </c>
      <c r="D57" s="55">
        <f>_xll.EQNXTDZ($A$1,$B57,D$5,$B$1)</f>
        <v>0</v>
      </c>
      <c r="E57" s="55">
        <f>_xll.EQNXTDZ($A$1,$B57,E$5,$B$1)</f>
        <v>0</v>
      </c>
      <c r="F57" s="55">
        <f>_xll.EQNXTDZ($A$1,$B57,F$5,$B$1)</f>
        <v>0</v>
      </c>
      <c r="G57" s="55">
        <f>_xll.EQNXTDZ($A$1,$B57,G$5,$B$1)</f>
        <v>0</v>
      </c>
      <c r="H57" s="55">
        <f>_xll.EQNXTDZ($A$1,$B57,H$5,$B$1)</f>
        <v>0</v>
      </c>
      <c r="I57" s="55">
        <f>_xll.EQNXTDZ($A$1,$B57,I$5,$B$1)</f>
        <v>0</v>
      </c>
      <c r="J57" s="55">
        <f>_xll.EQNXTDZ($A$1,$B57,J$5,$B$1)</f>
        <v>0</v>
      </c>
      <c r="K57" s="55">
        <f>_xll.EQNXTDZ($A$1,$B57,K$5,$B$1)</f>
        <v>0</v>
      </c>
      <c r="L57" s="55">
        <f>_xll.EQNXTDZ($A$1,$B57,L$5,$B$1)</f>
        <v>0</v>
      </c>
      <c r="M57" s="55">
        <f>_xll.EQNXTDZ($A$1,$B57,M$5,$B$1)</f>
        <v>0</v>
      </c>
      <c r="N57" s="55">
        <f>_xll.EQNXTDZ($A$1,$B57,N$5,$B$1)</f>
        <v>0</v>
      </c>
      <c r="O57" s="55">
        <f>_xll.EQNXTDZ($A$1,$B57,O$5,$B$1)</f>
        <v>0</v>
      </c>
      <c r="P57" s="55">
        <f>_xll.EQNXTDZ($A$1,$B57,P$5,$B$1)</f>
        <v>0</v>
      </c>
      <c r="Q57" s="55">
        <f>_xll.EQNXTDZ($A$1,$B57,Q$5,$B$1)</f>
        <v>0</v>
      </c>
      <c r="R57" s="55">
        <f>_xll.EQNXTDZ($A$1,$B57,R$5,$B$1)</f>
        <v>0</v>
      </c>
      <c r="S57" s="55">
        <f>_xll.EQNXTDZ($A$1,$B57,S$5,$B$1)</f>
        <v>0</v>
      </c>
      <c r="T57" s="55">
        <f>_xll.EQNXTDZ($A$1,$B57,T$5,$B$1)</f>
        <v>0</v>
      </c>
      <c r="U57" s="55">
        <f>_xll.EQNXTDZ($A$1,$B57,U$5,$B$1)</f>
        <v>0</v>
      </c>
      <c r="V57" s="55">
        <f>_xll.EQNXTDZ($A$1,$B57,V$5,$B$1)</f>
        <v>0</v>
      </c>
      <c r="W57" s="55">
        <f>_xll.EQNXTDZ($A$1,$B57,W$5,$B$1)</f>
        <v>0</v>
      </c>
      <c r="X57" s="55">
        <f>_xll.EQNXTDZ($A$1,$B57,X$5,$B$1)</f>
        <v>0</v>
      </c>
      <c r="Y57" s="55">
        <f>_xll.EQNXTDZ($A$1,$B57,Y$5,$B$1)</f>
        <v>0</v>
      </c>
      <c r="Z57" s="55">
        <f>_xll.EQNXTDZ($A$1,$B57,Z$5,$B$1)</f>
        <v>0</v>
      </c>
      <c r="AA57" s="55">
        <f>_xll.EQNXTDZ($A$1,$B57,AA$5,$B$1)</f>
        <v>0</v>
      </c>
      <c r="AB57" s="55">
        <f>_xll.EQNXTDZ($A$1,$B57,AB$5,$B$1)</f>
        <v>0</v>
      </c>
      <c r="AC57" s="55">
        <f>_xll.EQNXTDZ($A$1,$B57,AC$5,$B$1)</f>
        <v>0</v>
      </c>
      <c r="AD57" s="55">
        <f>_xll.EQNXTDZ($A$1,$B57,AD$5,$B$1)</f>
        <v>0</v>
      </c>
      <c r="AE57" s="55">
        <f>_xll.EQNXTDZ($A$1,$B57,AE$5,$B$1)</f>
        <v>0</v>
      </c>
      <c r="AF57" s="55">
        <f>_xll.EQNXTDZ($A$1,$B57,AF$5,$B$1)</f>
        <v>0</v>
      </c>
      <c r="AG57" s="55">
        <f>_xll.EQNXTDZ($A$1,$B57,AG$5,$B$1)</f>
        <v>0</v>
      </c>
      <c r="AH57" s="55">
        <f>_xll.EQNXTDZ($A$1,$B57,AH$5,$B$1)</f>
        <v>0</v>
      </c>
      <c r="AI57" s="55">
        <f>_xll.EQNXTDZ($A$1,$B57,AI$5,$B$1)</f>
        <v>0</v>
      </c>
      <c r="AJ57" s="55">
        <f>_xll.EQNXTDZ($A$1,$B57,AJ$5,$B$1)</f>
        <v>0</v>
      </c>
      <c r="AK57" s="55">
        <f>_xll.EQNXTDZ($A$1,$B57,AK$5,$B$1)</f>
        <v>0</v>
      </c>
      <c r="AL57" s="55">
        <f>_xll.EQNXTDZ($A$1,$B57,AL$5,$B$1)</f>
        <v>0</v>
      </c>
      <c r="AM57" s="55">
        <f>_xll.EQNXTDZ($A$1,$B57,AM$5,$B$1)</f>
        <v>0</v>
      </c>
      <c r="AN57" s="55">
        <f>_xll.EQNXTDZ($A$1,$B57,AN$5,$B$1)</f>
        <v>0</v>
      </c>
      <c r="AO57" s="55">
        <f>_xll.EQNXTDZ($A$1,$B57,AO$5,$B$1)</f>
        <v>0</v>
      </c>
      <c r="AP57" s="55">
        <f>_xll.EQNXTDZ($A$1,$B57,AP$5,$B$1)</f>
        <v>0</v>
      </c>
      <c r="AQ57" s="55">
        <f>_xll.EQNXTDZ($A$1,$B57,AQ$5,$B$1)</f>
        <v>0</v>
      </c>
      <c r="AR57" s="55">
        <f>_xll.EQNXTDZ($A$1,$B57,AR$5,$B$1)</f>
        <v>0</v>
      </c>
      <c r="AS57" s="55">
        <f>_xll.EQNXTDZ($A$1,$B57,AS$5,$B$1)</f>
        <v>0</v>
      </c>
      <c r="AT57" s="55">
        <f>_xll.EQNXTDZ($A$1,$B57,AT$5,$B$1)</f>
        <v>0</v>
      </c>
      <c r="AU57" s="55">
        <f>_xll.EQNXTDZ($A$1,$B57,AU$5,$B$1)</f>
        <v>0</v>
      </c>
      <c r="AV57" s="55">
        <f>_xll.EQNXTDZ($A$1,$B57,AV$5,$B$1)</f>
        <v>0</v>
      </c>
      <c r="AW57" s="55">
        <f>_xll.EQNXTDZ($A$1,$B57,AW$5,$B$1)</f>
        <v>0</v>
      </c>
      <c r="AX57" s="55">
        <f>_xll.EQNXTDZ($A$1,$B57,AX$5,$B$1)</f>
        <v>0</v>
      </c>
      <c r="AY57" s="55">
        <f>_xll.EQNXTDZ($A$1,$B57,AY$5,$B$1)</f>
        <v>0</v>
      </c>
      <c r="AZ57" s="55">
        <f>_xll.EQNXTDZ($A$1,$B57,AZ$5,$B$1)</f>
        <v>0</v>
      </c>
      <c r="BA57" s="55">
        <f>_xll.EQNXTDZ($A$1,$B57,BA$5,$B$1)</f>
        <v>0</v>
      </c>
      <c r="BB57" s="55">
        <f>_xll.EQNXTDZ($A$1,$B57,BB$5,$B$1)</f>
        <v>0</v>
      </c>
      <c r="BC57" s="55">
        <f>_xll.EQNXTDZ($A$1,$B57,BC$5,$B$1)</f>
        <v>0</v>
      </c>
      <c r="BD57" s="55">
        <f>_xll.EQNXTDZ($A$1,$B57,BD$5,$B$1)</f>
        <v>0</v>
      </c>
      <c r="BE57" s="55">
        <f>_xll.EQNXTDZ($A$1,$B57,BE$5,$B$1)</f>
        <v>0</v>
      </c>
      <c r="BF57" s="55">
        <f>_xll.EQNXTDZ($A$1,$B57,BF$5,$B$1)</f>
        <v>0</v>
      </c>
      <c r="BG57" s="55">
        <f>_xll.EQNXTDZ($A$1,$B57,BG$5,$B$1)</f>
        <v>0</v>
      </c>
      <c r="BH57" s="55">
        <f>_xll.EQNXTDZ($A$1,$B57,BH$5,$B$1)</f>
        <v>0</v>
      </c>
      <c r="BI57" s="55">
        <f>_xll.EQNXTDZ($A$1,$B57,BI$5,$B$1)</f>
        <v>0</v>
      </c>
      <c r="BJ57" s="55">
        <f>_xll.EQNXTDZ($A$1,$B57,BJ$5,$B$1)</f>
        <v>0</v>
      </c>
      <c r="BK57" s="55">
        <f>_xll.EQNXTDZ($A$1,$B57,BK$5,$B$1)</f>
        <v>0</v>
      </c>
      <c r="BL57" s="55">
        <f>_xll.EQNXTDZ($A$1,$B57,BL$5,$B$1)</f>
        <v>0</v>
      </c>
      <c r="BM57" s="55">
        <f>_xll.EQNXTDZ($A$1,$B57,BM$5,$B$1)</f>
        <v>0</v>
      </c>
      <c r="BN57" s="55">
        <f>_xll.EQNXTDZ($A$1,$B57,BN$5,$B$1)</f>
        <v>0</v>
      </c>
      <c r="BO57" s="55">
        <f>_xll.EQNXTDZ($A$1,$B57,BO$5,$B$1)</f>
        <v>0</v>
      </c>
      <c r="BP57" s="55">
        <f>_xll.EQNXTDZ($A$1,$B57,BP$5,$B$1)</f>
        <v>0</v>
      </c>
      <c r="BQ57" s="55">
        <f>_xll.EQNXTDZ($A$1,$B57,BQ$5,$B$1)</f>
        <v>0</v>
      </c>
      <c r="BR57" s="55">
        <f>_xll.EQNXTDZ($A$1,$B57,BR$5,$B$1)</f>
        <v>0</v>
      </c>
      <c r="BS57" s="55">
        <f>_xll.EQNXTDZ($A$1,$B57,BS$5,$B$1)</f>
        <v>0</v>
      </c>
      <c r="BT57" s="55">
        <f>_xll.EQNXTDZ($A$1,$B57,BT$5,$B$1)</f>
        <v>0</v>
      </c>
      <c r="BU57" s="55">
        <f>_xll.EQNXTDZ($A$1,$B57,BU$5,$B$1)</f>
        <v>0</v>
      </c>
      <c r="BV57" s="55">
        <f>_xll.EQNXTDZ($A$1,$B57,BV$5,$B$1)</f>
        <v>0</v>
      </c>
    </row>
    <row r="58" spans="1:74" x14ac:dyDescent="0.25">
      <c r="A58" t="s">
        <v>354</v>
      </c>
      <c r="B58" t="s">
        <v>374</v>
      </c>
      <c r="C58" s="55">
        <f>_xll.EQNXTDZ($A$1,$B58,C$5,$B$1)</f>
        <v>0</v>
      </c>
      <c r="D58" s="55">
        <f>_xll.EQNXTDZ($A$1,$B58,D$5,$B$1)</f>
        <v>100.69</v>
      </c>
      <c r="E58" s="55">
        <f>_xll.EQNXTDZ($A$1,$B58,E$5,$B$1)</f>
        <v>0</v>
      </c>
      <c r="F58" s="55">
        <f>_xll.EQNXTDZ($A$1,$B58,F$5,$B$1)</f>
        <v>102.41800000000001</v>
      </c>
      <c r="G58" s="55">
        <f>_xll.EQNXTDZ($A$1,$B58,G$5,$B$1)</f>
        <v>0</v>
      </c>
      <c r="H58" s="55">
        <f>_xll.EQNXTDZ($A$1,$B58,H$5,$B$1)</f>
        <v>78.906000000000006</v>
      </c>
      <c r="I58" s="55">
        <f>_xll.EQNXTDZ($A$1,$B58,I$5,$B$1)</f>
        <v>0</v>
      </c>
      <c r="J58" s="55">
        <f>_xll.EQNXTDZ($A$1,$B58,J$5,$B$1)</f>
        <v>59.972999999999999</v>
      </c>
      <c r="K58" s="55">
        <f>_xll.EQNXTDZ($A$1,$B58,K$5,$B$1)</f>
        <v>0</v>
      </c>
      <c r="L58" s="55">
        <f>_xll.EQNXTDZ($A$1,$B58,L$5,$B$1)</f>
        <v>48.027000000000001</v>
      </c>
      <c r="M58" s="55">
        <f>_xll.EQNXTDZ($A$1,$B58,M$5,$B$1)</f>
        <v>0</v>
      </c>
      <c r="N58" s="55">
        <f>_xll.EQNXTDZ($A$1,$B58,N$5,$B$1)</f>
        <v>38.819000000000003</v>
      </c>
      <c r="O58" s="55">
        <f>_xll.EQNXTDZ($A$1,$B58,O$5,$B$1)</f>
        <v>0</v>
      </c>
      <c r="P58" s="55">
        <f>_xll.EQNXTDZ($A$1,$B58,P$5,$B$1)</f>
        <v>41.915999999999997</v>
      </c>
      <c r="Q58" s="55">
        <f>_xll.EQNXTDZ($A$1,$B58,Q$5,$B$1)</f>
        <v>0</v>
      </c>
      <c r="R58" s="55">
        <f>_xll.EQNXTDZ($A$1,$B58,R$5,$B$1)</f>
        <v>39.54</v>
      </c>
      <c r="S58" s="55">
        <f>_xll.EQNXTDZ($A$1,$B58,S$5,$B$1)</f>
        <v>0</v>
      </c>
      <c r="T58" s="55">
        <f>_xll.EQNXTDZ($A$1,$B58,T$5,$B$1)</f>
        <v>39.988</v>
      </c>
      <c r="U58" s="55">
        <f>_xll.EQNXTDZ($A$1,$B58,U$5,$B$1)</f>
        <v>0</v>
      </c>
      <c r="V58" s="55">
        <f>_xll.EQNXTDZ($A$1,$B58,V$5,$B$1)</f>
        <v>45.192999999999998</v>
      </c>
      <c r="W58" s="55">
        <f>_xll.EQNXTDZ($A$1,$B58,W$5,$B$1)</f>
        <v>0</v>
      </c>
      <c r="X58" s="55">
        <f>_xll.EQNXTDZ($A$1,$B58,X$5,$B$1)</f>
        <v>51.113</v>
      </c>
      <c r="Y58" s="55">
        <f>_xll.EQNXTDZ($A$1,$B58,Y$5,$B$1)</f>
        <v>0</v>
      </c>
      <c r="Z58" s="55">
        <f>_xll.EQNXTDZ($A$1,$B58,Z$5,$B$1)</f>
        <v>62.003999999999998</v>
      </c>
      <c r="AA58" s="55">
        <f>_xll.EQNXTDZ($A$1,$B58,AA$5,$B$1)</f>
        <v>0</v>
      </c>
      <c r="AB58" s="55">
        <f>_xll.EQNXTDZ($A$1,$B58,AB$5,$B$1)</f>
        <v>72.853999999999999</v>
      </c>
      <c r="AC58" s="55">
        <f>_xll.EQNXTDZ($A$1,$B58,AC$5,$B$1)</f>
        <v>0</v>
      </c>
      <c r="AD58" s="55">
        <f>_xll.EQNXTDZ($A$1,$B58,AD$5,$B$1)</f>
        <v>85.822999999999993</v>
      </c>
      <c r="AE58" s="55">
        <f>_xll.EQNXTDZ($A$1,$B58,AE$5,$B$1)</f>
        <v>0</v>
      </c>
      <c r="AF58" s="55">
        <f>_xll.EQNXTDZ($A$1,$B58,AF$5,$B$1)</f>
        <v>96.858999999999995</v>
      </c>
      <c r="AG58" s="55">
        <f>_xll.EQNXTDZ($A$1,$B58,AG$5,$B$1)</f>
        <v>0</v>
      </c>
      <c r="AH58" s="55">
        <f>_xll.EQNXTDZ($A$1,$B58,AH$5,$B$1)</f>
        <v>121.715</v>
      </c>
      <c r="AI58" s="55">
        <f>_xll.EQNXTDZ($A$1,$B58,AI$5,$B$1)</f>
        <v>0</v>
      </c>
      <c r="AJ58" s="55">
        <f>_xll.EQNXTDZ($A$1,$B58,AJ$5,$B$1)</f>
        <v>132.447</v>
      </c>
      <c r="AK58" s="55">
        <f>_xll.EQNXTDZ($A$1,$B58,AK$5,$B$1)</f>
        <v>0</v>
      </c>
      <c r="AL58" s="55">
        <f>_xll.EQNXTDZ($A$1,$B58,AL$5,$B$1)</f>
        <v>156.75800000000001</v>
      </c>
      <c r="AM58" s="55">
        <f>_xll.EQNXTDZ($A$1,$B58,AM$5,$B$1)</f>
        <v>0</v>
      </c>
      <c r="AN58" s="55">
        <f>_xll.EQNXTDZ($A$1,$B58,AN$5,$B$1)</f>
        <v>346.83</v>
      </c>
      <c r="AO58" s="55">
        <f>_xll.EQNXTDZ($A$1,$B58,AO$5,$B$1)</f>
        <v>0</v>
      </c>
      <c r="AP58" s="55">
        <f>_xll.EQNXTDZ($A$1,$B58,AP$5,$B$1)</f>
        <v>444.54</v>
      </c>
      <c r="AQ58" s="55">
        <f>_xll.EQNXTDZ($A$1,$B58,AQ$5,$B$1)</f>
        <v>0</v>
      </c>
      <c r="AR58" s="55">
        <f>_xll.EQNXTDZ($A$1,$B58,AR$5,$B$1)</f>
        <v>131.76</v>
      </c>
      <c r="AS58" s="55">
        <f>_xll.EQNXTDZ($A$1,$B58,AS$5,$B$1)</f>
        <v>0</v>
      </c>
      <c r="AT58" s="55">
        <f>_xll.EQNXTDZ($A$1,$B58,AT$5,$B$1)</f>
        <v>1478.47</v>
      </c>
      <c r="AU58" s="55">
        <f>_xll.EQNXTDZ($A$1,$B58,AU$5,$B$1)</f>
        <v>0</v>
      </c>
      <c r="AV58" s="55">
        <f>_xll.EQNXTDZ($A$1,$B58,AV$5,$B$1)</f>
        <v>2130.5</v>
      </c>
      <c r="AW58" s="55">
        <f>_xll.EQNXTDZ($A$1,$B58,AW$5,$B$1)</f>
        <v>0</v>
      </c>
      <c r="AX58" s="55">
        <f>_xll.EQNXTDZ($A$1,$B58,AX$5,$B$1)</f>
        <v>2760.34</v>
      </c>
      <c r="AY58" s="55">
        <f>_xll.EQNXTDZ($A$1,$B58,AY$5,$B$1)</f>
        <v>0</v>
      </c>
      <c r="AZ58" s="55">
        <f>_xll.EQNXTDZ($A$1,$B58,AZ$5,$B$1)</f>
        <v>5733.32</v>
      </c>
      <c r="BA58" s="55">
        <f>_xll.EQNXTDZ($A$1,$B58,BA$5,$B$1)</f>
        <v>0</v>
      </c>
      <c r="BB58" s="55">
        <f>_xll.EQNXTDZ($A$1,$B58,BB$5,$B$1)</f>
        <v>6407.76</v>
      </c>
      <c r="BC58" s="55">
        <f>_xll.EQNXTDZ($A$1,$B58,BC$5,$B$1)</f>
        <v>0</v>
      </c>
      <c r="BD58" s="55">
        <f>_xll.EQNXTDZ($A$1,$B58,BD$5,$B$1)</f>
        <v>7652.6</v>
      </c>
      <c r="BE58" s="55">
        <f>_xll.EQNXTDZ($A$1,$B58,BE$5,$B$1)</f>
        <v>0</v>
      </c>
      <c r="BF58" s="55">
        <f>_xll.EQNXTDZ($A$1,$B58,BF$5,$B$1)</f>
        <v>13814.61</v>
      </c>
      <c r="BG58" s="55">
        <f>_xll.EQNXTDZ($A$1,$B58,BG$5,$B$1)</f>
        <v>0</v>
      </c>
      <c r="BH58" s="55">
        <f>_xll.EQNXTDZ($A$1,$B58,BH$5,$B$1)</f>
        <v>0</v>
      </c>
      <c r="BI58" s="55">
        <f>_xll.EQNXTDZ($A$1,$B58,BI$5,$B$1)</f>
        <v>0</v>
      </c>
      <c r="BJ58" s="55">
        <f>_xll.EQNXTDZ($A$1,$B58,BJ$5,$B$1)</f>
        <v>0</v>
      </c>
      <c r="BK58" s="55">
        <f>_xll.EQNXTDZ($A$1,$B58,BK$5,$B$1)</f>
        <v>0</v>
      </c>
      <c r="BL58" s="55">
        <f>_xll.EQNXTDZ($A$1,$B58,BL$5,$B$1)</f>
        <v>0</v>
      </c>
      <c r="BM58" s="55">
        <f>_xll.EQNXTDZ($A$1,$B58,BM$5,$B$1)</f>
        <v>0</v>
      </c>
      <c r="BN58" s="55">
        <f>_xll.EQNXTDZ($A$1,$B58,BN$5,$B$1)</f>
        <v>0</v>
      </c>
      <c r="BO58" s="55">
        <f>_xll.EQNXTDZ($A$1,$B58,BO$5,$B$1)</f>
        <v>0</v>
      </c>
      <c r="BP58" s="55">
        <f>_xll.EQNXTDZ($A$1,$B58,BP$5,$B$1)</f>
        <v>0</v>
      </c>
      <c r="BQ58" s="55">
        <f>_xll.EQNXTDZ($A$1,$B58,BQ$5,$B$1)</f>
        <v>0</v>
      </c>
      <c r="BR58" s="55">
        <f>_xll.EQNXTDZ($A$1,$B58,BR$5,$B$1)</f>
        <v>0</v>
      </c>
      <c r="BS58" s="55">
        <f>_xll.EQNXTDZ($A$1,$B58,BS$5,$B$1)</f>
        <v>0</v>
      </c>
      <c r="BT58" s="55">
        <f>_xll.EQNXTDZ($A$1,$B58,BT$5,$B$1)</f>
        <v>0</v>
      </c>
      <c r="BU58" s="55">
        <f>_xll.EQNXTDZ($A$1,$B58,BU$5,$B$1)</f>
        <v>0</v>
      </c>
      <c r="BV58" s="55">
        <f>_xll.EQNXTDZ($A$1,$B58,BV$5,$B$1)</f>
        <v>0</v>
      </c>
    </row>
    <row r="59" spans="1:74" x14ac:dyDescent="0.25">
      <c r="A59" t="s">
        <v>44</v>
      </c>
      <c r="B59" t="s">
        <v>375</v>
      </c>
      <c r="C59" s="55">
        <f>_xll.EQNXTDZ($A$1,$B59,C$5,$B$1)</f>
        <v>0</v>
      </c>
      <c r="D59" s="55">
        <f>_xll.EQNXTDZ($A$1,$B59,D$5,$B$1)</f>
        <v>123.121</v>
      </c>
      <c r="E59" s="55">
        <f>_xll.EQNXTDZ($A$1,$B59,E$5,$B$1)</f>
        <v>0</v>
      </c>
      <c r="F59" s="55">
        <f>_xll.EQNXTDZ($A$1,$B59,F$5,$B$1)</f>
        <v>124.849</v>
      </c>
      <c r="G59" s="55">
        <f>_xll.EQNXTDZ($A$1,$B59,G$5,$B$1)</f>
        <v>0</v>
      </c>
      <c r="H59" s="55">
        <f>_xll.EQNXTDZ($A$1,$B59,H$5,$B$1)</f>
        <v>101.337</v>
      </c>
      <c r="I59" s="55">
        <f>_xll.EQNXTDZ($A$1,$B59,I$5,$B$1)</f>
        <v>0</v>
      </c>
      <c r="J59" s="55">
        <f>_xll.EQNXTDZ($A$1,$B59,J$5,$B$1)</f>
        <v>82.403999999999996</v>
      </c>
      <c r="K59" s="55">
        <f>_xll.EQNXTDZ($A$1,$B59,K$5,$B$1)</f>
        <v>0</v>
      </c>
      <c r="L59" s="55">
        <f>_xll.EQNXTDZ($A$1,$B59,L$5,$B$1)</f>
        <v>70.457999999999998</v>
      </c>
      <c r="M59" s="55">
        <f>_xll.EQNXTDZ($A$1,$B59,M$5,$B$1)</f>
        <v>0</v>
      </c>
      <c r="N59" s="55">
        <f>_xll.EQNXTDZ($A$1,$B59,N$5,$B$1)</f>
        <v>61.25</v>
      </c>
      <c r="O59" s="55">
        <f>_xll.EQNXTDZ($A$1,$B59,O$5,$B$1)</f>
        <v>0</v>
      </c>
      <c r="P59" s="55">
        <f>_xll.EQNXTDZ($A$1,$B59,P$5,$B$1)</f>
        <v>64.346999999999994</v>
      </c>
      <c r="Q59" s="55">
        <f>_xll.EQNXTDZ($A$1,$B59,Q$5,$B$1)</f>
        <v>0</v>
      </c>
      <c r="R59" s="55">
        <f>_xll.EQNXTDZ($A$1,$B59,R$5,$B$1)</f>
        <v>61.970999999999997</v>
      </c>
      <c r="S59" s="55">
        <f>_xll.EQNXTDZ($A$1,$B59,S$5,$B$1)</f>
        <v>0</v>
      </c>
      <c r="T59" s="55">
        <f>_xll.EQNXTDZ($A$1,$B59,T$5,$B$1)</f>
        <v>62.418999999999997</v>
      </c>
      <c r="U59" s="55">
        <f>_xll.EQNXTDZ($A$1,$B59,U$5,$B$1)</f>
        <v>0</v>
      </c>
      <c r="V59" s="55">
        <f>_xll.EQNXTDZ($A$1,$B59,V$5,$B$1)</f>
        <v>67.623999999999995</v>
      </c>
      <c r="W59" s="55">
        <f>_xll.EQNXTDZ($A$1,$B59,W$5,$B$1)</f>
        <v>0</v>
      </c>
      <c r="X59" s="55">
        <f>_xll.EQNXTDZ($A$1,$B59,X$5,$B$1)</f>
        <v>73.543999999999997</v>
      </c>
      <c r="Y59" s="55">
        <f>_xll.EQNXTDZ($A$1,$B59,Y$5,$B$1)</f>
        <v>0</v>
      </c>
      <c r="Z59" s="55">
        <f>_xll.EQNXTDZ($A$1,$B59,Z$5,$B$1)</f>
        <v>84.435000000000002</v>
      </c>
      <c r="AA59" s="55">
        <f>_xll.EQNXTDZ($A$1,$B59,AA$5,$B$1)</f>
        <v>0</v>
      </c>
      <c r="AB59" s="55">
        <f>_xll.EQNXTDZ($A$1,$B59,AB$5,$B$1)</f>
        <v>95.284999999999997</v>
      </c>
      <c r="AC59" s="55">
        <f>_xll.EQNXTDZ($A$1,$B59,AC$5,$B$1)</f>
        <v>0</v>
      </c>
      <c r="AD59" s="55">
        <f>_xll.EQNXTDZ($A$1,$B59,AD$5,$B$1)</f>
        <v>108.254</v>
      </c>
      <c r="AE59" s="55">
        <f>_xll.EQNXTDZ($A$1,$B59,AE$5,$B$1)</f>
        <v>0</v>
      </c>
      <c r="AF59" s="55">
        <f>_xll.EQNXTDZ($A$1,$B59,AF$5,$B$1)</f>
        <v>119.54900000000001</v>
      </c>
      <c r="AG59" s="55">
        <f>_xll.EQNXTDZ($A$1,$B59,AG$5,$B$1)</f>
        <v>0</v>
      </c>
      <c r="AH59" s="55">
        <f>_xll.EQNXTDZ($A$1,$B59,AH$5,$B$1)</f>
        <v>144.405</v>
      </c>
      <c r="AI59" s="55">
        <f>_xll.EQNXTDZ($A$1,$B59,AI$5,$B$1)</f>
        <v>0</v>
      </c>
      <c r="AJ59" s="55">
        <f>_xll.EQNXTDZ($A$1,$B59,AJ$5,$B$1)</f>
        <v>157.79400000000001</v>
      </c>
      <c r="AK59" s="55">
        <f>_xll.EQNXTDZ($A$1,$B59,AK$5,$B$1)</f>
        <v>0</v>
      </c>
      <c r="AL59" s="55">
        <f>_xll.EQNXTDZ($A$1,$B59,AL$5,$B$1)</f>
        <v>182.10499999999999</v>
      </c>
      <c r="AM59" s="55">
        <f>_xll.EQNXTDZ($A$1,$B59,AM$5,$B$1)</f>
        <v>0</v>
      </c>
      <c r="AN59" s="55">
        <f>_xll.EQNXTDZ($A$1,$B59,AN$5,$B$1)</f>
        <v>383.87400000000002</v>
      </c>
      <c r="AO59" s="55">
        <f>_xll.EQNXTDZ($A$1,$B59,AO$5,$B$1)</f>
        <v>0</v>
      </c>
      <c r="AP59" s="55">
        <f>_xll.EQNXTDZ($A$1,$B59,AP$5,$B$1)</f>
        <v>481.58</v>
      </c>
      <c r="AQ59" s="55">
        <f>_xll.EQNXTDZ($A$1,$B59,AQ$5,$B$1)</f>
        <v>0</v>
      </c>
      <c r="AR59" s="55">
        <f>_xll.EQNXTDZ($A$1,$B59,AR$5,$B$1)</f>
        <v>176.4</v>
      </c>
      <c r="AS59" s="55">
        <f>_xll.EQNXTDZ($A$1,$B59,AS$5,$B$1)</f>
        <v>0</v>
      </c>
      <c r="AT59" s="55">
        <f>_xll.EQNXTDZ($A$1,$B59,AT$5,$B$1)</f>
        <v>1528.95</v>
      </c>
      <c r="AU59" s="55">
        <f>_xll.EQNXTDZ($A$1,$B59,AU$5,$B$1)</f>
        <v>0</v>
      </c>
      <c r="AV59" s="55">
        <f>_xll.EQNXTDZ($A$1,$B59,AV$5,$B$1)</f>
        <v>2180.98</v>
      </c>
      <c r="AW59" s="55">
        <f>_xll.EQNXTDZ($A$1,$B59,AW$5,$B$1)</f>
        <v>0</v>
      </c>
      <c r="AX59" s="55">
        <f>_xll.EQNXTDZ($A$1,$B59,AX$5,$B$1)</f>
        <v>2810.87</v>
      </c>
      <c r="AY59" s="55">
        <f>_xll.EQNXTDZ($A$1,$B59,AY$5,$B$1)</f>
        <v>0</v>
      </c>
      <c r="AZ59" s="55">
        <f>_xll.EQNXTDZ($A$1,$B59,AZ$5,$B$1)</f>
        <v>5785.6</v>
      </c>
      <c r="BA59" s="55">
        <f>_xll.EQNXTDZ($A$1,$B59,BA$5,$B$1)</f>
        <v>0</v>
      </c>
      <c r="BB59" s="55">
        <f>_xll.EQNXTDZ($A$1,$B59,BB$5,$B$1)</f>
        <v>6460.08</v>
      </c>
      <c r="BC59" s="55">
        <f>_xll.EQNXTDZ($A$1,$B59,BC$5,$B$1)</f>
        <v>0</v>
      </c>
      <c r="BD59" s="55">
        <f>_xll.EQNXTDZ($A$1,$B59,BD$5,$B$1)</f>
        <v>7705.24</v>
      </c>
      <c r="BE59" s="55">
        <f>_xll.EQNXTDZ($A$1,$B59,BE$5,$B$1)</f>
        <v>0</v>
      </c>
      <c r="BF59" s="55">
        <f>_xll.EQNXTDZ($A$1,$B59,BF$5,$B$1)</f>
        <v>13870.89</v>
      </c>
      <c r="BG59" s="55">
        <f>_xll.EQNXTDZ($A$1,$B59,BG$5,$B$1)</f>
        <v>0</v>
      </c>
      <c r="BH59" s="55">
        <f>_xll.EQNXTDZ($A$1,$B59,BH$5,$B$1)</f>
        <v>0</v>
      </c>
      <c r="BI59" s="55">
        <f>_xll.EQNXTDZ($A$1,$B59,BI$5,$B$1)</f>
        <v>0</v>
      </c>
      <c r="BJ59" s="55">
        <f>_xll.EQNXTDZ($A$1,$B59,BJ$5,$B$1)</f>
        <v>0</v>
      </c>
      <c r="BK59" s="55">
        <f>_xll.EQNXTDZ($A$1,$B59,BK$5,$B$1)</f>
        <v>0</v>
      </c>
      <c r="BL59" s="55">
        <f>_xll.EQNXTDZ($A$1,$B59,BL$5,$B$1)</f>
        <v>0</v>
      </c>
      <c r="BM59" s="55">
        <f>_xll.EQNXTDZ($A$1,$B59,BM$5,$B$1)</f>
        <v>0</v>
      </c>
      <c r="BN59" s="55">
        <f>_xll.EQNXTDZ($A$1,$B59,BN$5,$B$1)</f>
        <v>0</v>
      </c>
      <c r="BO59" s="55">
        <f>_xll.EQNXTDZ($A$1,$B59,BO$5,$B$1)</f>
        <v>0</v>
      </c>
      <c r="BP59" s="55">
        <f>_xll.EQNXTDZ($A$1,$B59,BP$5,$B$1)</f>
        <v>0</v>
      </c>
      <c r="BQ59" s="55">
        <f>_xll.EQNXTDZ($A$1,$B59,BQ$5,$B$1)</f>
        <v>0</v>
      </c>
      <c r="BR59" s="55">
        <f>_xll.EQNXTDZ($A$1,$B59,BR$5,$B$1)</f>
        <v>0</v>
      </c>
      <c r="BS59" s="55">
        <f>_xll.EQNXTDZ($A$1,$B59,BS$5,$B$1)</f>
        <v>0</v>
      </c>
      <c r="BT59" s="55">
        <f>_xll.EQNXTDZ($A$1,$B59,BT$5,$B$1)</f>
        <v>0</v>
      </c>
      <c r="BU59" s="55">
        <f>_xll.EQNXTDZ($A$1,$B59,BU$5,$B$1)</f>
        <v>0</v>
      </c>
      <c r="BV59" s="55">
        <f>_xll.EQNXTDZ($A$1,$B59,BV$5,$B$1)</f>
        <v>0</v>
      </c>
    </row>
    <row r="60" spans="1:74" x14ac:dyDescent="0.25">
      <c r="A60" t="s">
        <v>23</v>
      </c>
      <c r="B60" t="s">
        <v>376</v>
      </c>
      <c r="C60" s="55">
        <f>_xll.EQNXTDZ($A$1,$B60,C$5,$B$1)</f>
        <v>0</v>
      </c>
      <c r="D60" s="55">
        <f>_xll.EQNXTDZ($A$1,$B60,D$5,$B$1)</f>
        <v>0</v>
      </c>
      <c r="E60" s="55">
        <f>_xll.EQNXTDZ($A$1,$B60,E$5,$B$1)</f>
        <v>0</v>
      </c>
      <c r="F60" s="55">
        <f>_xll.EQNXTDZ($A$1,$B60,F$5,$B$1)</f>
        <v>0</v>
      </c>
      <c r="G60" s="55">
        <f>_xll.EQNXTDZ($A$1,$B60,G$5,$B$1)</f>
        <v>0</v>
      </c>
      <c r="H60" s="55">
        <f>_xll.EQNXTDZ($A$1,$B60,H$5,$B$1)</f>
        <v>0</v>
      </c>
      <c r="I60" s="55">
        <f>_xll.EQNXTDZ($A$1,$B60,I$5,$B$1)</f>
        <v>0</v>
      </c>
      <c r="J60" s="55">
        <f>_xll.EQNXTDZ($A$1,$B60,J$5,$B$1)</f>
        <v>0</v>
      </c>
      <c r="K60" s="55">
        <f>_xll.EQNXTDZ($A$1,$B60,K$5,$B$1)</f>
        <v>0</v>
      </c>
      <c r="L60" s="55">
        <f>_xll.EQNXTDZ($A$1,$B60,L$5,$B$1)</f>
        <v>0</v>
      </c>
      <c r="M60" s="55">
        <f>_xll.EQNXTDZ($A$1,$B60,M$5,$B$1)</f>
        <v>0</v>
      </c>
      <c r="N60" s="55">
        <f>_xll.EQNXTDZ($A$1,$B60,N$5,$B$1)</f>
        <v>0</v>
      </c>
      <c r="O60" s="55">
        <f>_xll.EQNXTDZ($A$1,$B60,O$5,$B$1)</f>
        <v>0</v>
      </c>
      <c r="P60" s="55">
        <f>_xll.EQNXTDZ($A$1,$B60,P$5,$B$1)</f>
        <v>0</v>
      </c>
      <c r="Q60" s="55">
        <f>_xll.EQNXTDZ($A$1,$B60,Q$5,$B$1)</f>
        <v>0</v>
      </c>
      <c r="R60" s="55">
        <f>_xll.EQNXTDZ($A$1,$B60,R$5,$B$1)</f>
        <v>0</v>
      </c>
      <c r="S60" s="55">
        <f>_xll.EQNXTDZ($A$1,$B60,S$5,$B$1)</f>
        <v>0</v>
      </c>
      <c r="T60" s="55">
        <f>_xll.EQNXTDZ($A$1,$B60,T$5,$B$1)</f>
        <v>0</v>
      </c>
      <c r="U60" s="55">
        <f>_xll.EQNXTDZ($A$1,$B60,U$5,$B$1)</f>
        <v>0</v>
      </c>
      <c r="V60" s="55">
        <f>_xll.EQNXTDZ($A$1,$B60,V$5,$B$1)</f>
        <v>0</v>
      </c>
      <c r="W60" s="55">
        <f>_xll.EQNXTDZ($A$1,$B60,W$5,$B$1)</f>
        <v>0</v>
      </c>
      <c r="X60" s="55">
        <f>_xll.EQNXTDZ($A$1,$B60,X$5,$B$1)</f>
        <v>0</v>
      </c>
      <c r="Y60" s="55">
        <f>_xll.EQNXTDZ($A$1,$B60,Y$5,$B$1)</f>
        <v>0</v>
      </c>
      <c r="Z60" s="55">
        <f>_xll.EQNXTDZ($A$1,$B60,Z$5,$B$1)</f>
        <v>0</v>
      </c>
      <c r="AA60" s="55">
        <f>_xll.EQNXTDZ($A$1,$B60,AA$5,$B$1)</f>
        <v>0</v>
      </c>
      <c r="AB60" s="55">
        <f>_xll.EQNXTDZ($A$1,$B60,AB$5,$B$1)</f>
        <v>0</v>
      </c>
      <c r="AC60" s="55">
        <f>_xll.EQNXTDZ($A$1,$B60,AC$5,$B$1)</f>
        <v>0</v>
      </c>
      <c r="AD60" s="55">
        <f>_xll.EQNXTDZ($A$1,$B60,AD$5,$B$1)</f>
        <v>0</v>
      </c>
      <c r="AE60" s="55">
        <f>_xll.EQNXTDZ($A$1,$B60,AE$5,$B$1)</f>
        <v>0</v>
      </c>
      <c r="AF60" s="55">
        <f>_xll.EQNXTDZ($A$1,$B60,AF$5,$B$1)</f>
        <v>0</v>
      </c>
      <c r="AG60" s="55">
        <f>_xll.EQNXTDZ($A$1,$B60,AG$5,$B$1)</f>
        <v>0</v>
      </c>
      <c r="AH60" s="55">
        <f>_xll.EQNXTDZ($A$1,$B60,AH$5,$B$1)</f>
        <v>0</v>
      </c>
      <c r="AI60" s="55">
        <f>_xll.EQNXTDZ($A$1,$B60,AI$5,$B$1)</f>
        <v>0</v>
      </c>
      <c r="AJ60" s="55">
        <f>_xll.EQNXTDZ($A$1,$B60,AJ$5,$B$1)</f>
        <v>0</v>
      </c>
      <c r="AK60" s="55">
        <f>_xll.EQNXTDZ($A$1,$B60,AK$5,$B$1)</f>
        <v>0</v>
      </c>
      <c r="AL60" s="55">
        <f>_xll.EQNXTDZ($A$1,$B60,AL$5,$B$1)</f>
        <v>0</v>
      </c>
      <c r="AM60" s="55">
        <f>_xll.EQNXTDZ($A$1,$B60,AM$5,$B$1)</f>
        <v>0</v>
      </c>
      <c r="AN60" s="55">
        <f>_xll.EQNXTDZ($A$1,$B60,AN$5,$B$1)</f>
        <v>0</v>
      </c>
      <c r="AO60" s="55">
        <f>_xll.EQNXTDZ($A$1,$B60,AO$5,$B$1)</f>
        <v>0</v>
      </c>
      <c r="AP60" s="55">
        <f>_xll.EQNXTDZ($A$1,$B60,AP$5,$B$1)</f>
        <v>0</v>
      </c>
      <c r="AQ60" s="55">
        <f>_xll.EQNXTDZ($A$1,$B60,AQ$5,$B$1)</f>
        <v>0</v>
      </c>
      <c r="AR60" s="55">
        <f>_xll.EQNXTDZ($A$1,$B60,AR$5,$B$1)</f>
        <v>0</v>
      </c>
      <c r="AS60" s="55">
        <f>_xll.EQNXTDZ($A$1,$B60,AS$5,$B$1)</f>
        <v>0</v>
      </c>
      <c r="AT60" s="55">
        <f>_xll.EQNXTDZ($A$1,$B60,AT$5,$B$1)</f>
        <v>0</v>
      </c>
      <c r="AU60" s="55">
        <f>_xll.EQNXTDZ($A$1,$B60,AU$5,$B$1)</f>
        <v>0</v>
      </c>
      <c r="AV60" s="55">
        <f>_xll.EQNXTDZ($A$1,$B60,AV$5,$B$1)</f>
        <v>0</v>
      </c>
      <c r="AW60" s="55">
        <f>_xll.EQNXTDZ($A$1,$B60,AW$5,$B$1)</f>
        <v>0</v>
      </c>
      <c r="AX60" s="55">
        <f>_xll.EQNXTDZ($A$1,$B60,AX$5,$B$1)</f>
        <v>0</v>
      </c>
      <c r="AY60" s="55">
        <f>_xll.EQNXTDZ($A$1,$B60,AY$5,$B$1)</f>
        <v>0</v>
      </c>
      <c r="AZ60" s="55">
        <f>_xll.EQNXTDZ($A$1,$B60,AZ$5,$B$1)</f>
        <v>0</v>
      </c>
      <c r="BA60" s="55">
        <f>_xll.EQNXTDZ($A$1,$B60,BA$5,$B$1)</f>
        <v>0</v>
      </c>
      <c r="BB60" s="55">
        <f>_xll.EQNXTDZ($A$1,$B60,BB$5,$B$1)</f>
        <v>0</v>
      </c>
      <c r="BC60" s="55">
        <f>_xll.EQNXTDZ($A$1,$B60,BC$5,$B$1)</f>
        <v>0</v>
      </c>
      <c r="BD60" s="55">
        <f>_xll.EQNXTDZ($A$1,$B60,BD$5,$B$1)</f>
        <v>453.83</v>
      </c>
      <c r="BE60" s="55">
        <f>_xll.EQNXTDZ($A$1,$B60,BE$5,$B$1)</f>
        <v>0</v>
      </c>
      <c r="BF60" s="55">
        <f>_xll.EQNXTDZ($A$1,$B60,BF$5,$B$1)</f>
        <v>395.16</v>
      </c>
      <c r="BG60" s="55">
        <f>_xll.EQNXTDZ($A$1,$B60,BG$5,$B$1)</f>
        <v>0</v>
      </c>
      <c r="BH60" s="55">
        <f>_xll.EQNXTDZ($A$1,$B60,BH$5,$B$1)</f>
        <v>0</v>
      </c>
      <c r="BI60" s="55">
        <f>_xll.EQNXTDZ($A$1,$B60,BI$5,$B$1)</f>
        <v>0</v>
      </c>
      <c r="BJ60" s="55">
        <f>_xll.EQNXTDZ($A$1,$B60,BJ$5,$B$1)</f>
        <v>0</v>
      </c>
      <c r="BK60" s="55">
        <f>_xll.EQNXTDZ($A$1,$B60,BK$5,$B$1)</f>
        <v>0</v>
      </c>
      <c r="BL60" s="55">
        <f>_xll.EQNXTDZ($A$1,$B60,BL$5,$B$1)</f>
        <v>0</v>
      </c>
      <c r="BM60" s="55">
        <f>_xll.EQNXTDZ($A$1,$B60,BM$5,$B$1)</f>
        <v>0</v>
      </c>
      <c r="BN60" s="55">
        <f>_xll.EQNXTDZ($A$1,$B60,BN$5,$B$1)</f>
        <v>0</v>
      </c>
      <c r="BO60" s="55">
        <f>_xll.EQNXTDZ($A$1,$B60,BO$5,$B$1)</f>
        <v>0</v>
      </c>
      <c r="BP60" s="55">
        <f>_xll.EQNXTDZ($A$1,$B60,BP$5,$B$1)</f>
        <v>0</v>
      </c>
      <c r="BQ60" s="55">
        <f>_xll.EQNXTDZ($A$1,$B60,BQ$5,$B$1)</f>
        <v>0</v>
      </c>
      <c r="BR60" s="55">
        <f>_xll.EQNXTDZ($A$1,$B60,BR$5,$B$1)</f>
        <v>0</v>
      </c>
      <c r="BS60" s="55">
        <f>_xll.EQNXTDZ($A$1,$B60,BS$5,$B$1)</f>
        <v>0</v>
      </c>
      <c r="BT60" s="55">
        <f>_xll.EQNXTDZ($A$1,$B60,BT$5,$B$1)</f>
        <v>0</v>
      </c>
      <c r="BU60" s="55">
        <f>_xll.EQNXTDZ($A$1,$B60,BU$5,$B$1)</f>
        <v>0</v>
      </c>
      <c r="BV60" s="55">
        <f>_xll.EQNXTDZ($A$1,$B60,BV$5,$B$1)</f>
        <v>0</v>
      </c>
    </row>
    <row r="61" spans="1:74" x14ac:dyDescent="0.25">
      <c r="A61" t="s">
        <v>355</v>
      </c>
      <c r="B61" t="s">
        <v>377</v>
      </c>
      <c r="C61" s="55">
        <f>_xll.EQNXTDZ($A$1,$B61,C$5,$B$1)</f>
        <v>0</v>
      </c>
      <c r="D61" s="55">
        <f>_xll.EQNXTDZ($A$1,$B61,D$5,$B$1)</f>
        <v>26.696999999999999</v>
      </c>
      <c r="E61" s="55">
        <f>_xll.EQNXTDZ($A$1,$B61,E$5,$B$1)</f>
        <v>0</v>
      </c>
      <c r="F61" s="55">
        <f>_xll.EQNXTDZ($A$1,$B61,F$5,$B$1)</f>
        <v>20.585000000000001</v>
      </c>
      <c r="G61" s="55">
        <f>_xll.EQNXTDZ($A$1,$B61,G$5,$B$1)</f>
        <v>0</v>
      </c>
      <c r="H61" s="55">
        <f>_xll.EQNXTDZ($A$1,$B61,H$5,$B$1)</f>
        <v>18.123999999999999</v>
      </c>
      <c r="I61" s="55">
        <f>_xll.EQNXTDZ($A$1,$B61,I$5,$B$1)</f>
        <v>0</v>
      </c>
      <c r="J61" s="55">
        <f>_xll.EQNXTDZ($A$1,$B61,J$5,$B$1)</f>
        <v>15.663</v>
      </c>
      <c r="K61" s="55">
        <f>_xll.EQNXTDZ($A$1,$B61,K$5,$B$1)</f>
        <v>0</v>
      </c>
      <c r="L61" s="55">
        <f>_xll.EQNXTDZ($A$1,$B61,L$5,$B$1)</f>
        <v>12.747</v>
      </c>
      <c r="M61" s="55">
        <f>_xll.EQNXTDZ($A$1,$B61,M$5,$B$1)</f>
        <v>0</v>
      </c>
      <c r="N61" s="55">
        <f>_xll.EQNXTDZ($A$1,$B61,N$5,$B$1)</f>
        <v>10.233000000000001</v>
      </c>
      <c r="O61" s="55">
        <f>_xll.EQNXTDZ($A$1,$B61,O$5,$B$1)</f>
        <v>0</v>
      </c>
      <c r="P61" s="55">
        <f>_xll.EQNXTDZ($A$1,$B61,P$5,$B$1)</f>
        <v>10.14</v>
      </c>
      <c r="Q61" s="55">
        <f>_xll.EQNXTDZ($A$1,$B61,Q$5,$B$1)</f>
        <v>0</v>
      </c>
      <c r="R61" s="55">
        <f>_xll.EQNXTDZ($A$1,$B61,R$5,$B$1)</f>
        <v>10.044</v>
      </c>
      <c r="S61" s="55">
        <f>_xll.EQNXTDZ($A$1,$B61,S$5,$B$1)</f>
        <v>0</v>
      </c>
      <c r="T61" s="55">
        <f>_xll.EQNXTDZ($A$1,$B61,T$5,$B$1)</f>
        <v>9.4</v>
      </c>
      <c r="U61" s="55">
        <f>_xll.EQNXTDZ($A$1,$B61,U$5,$B$1)</f>
        <v>0</v>
      </c>
      <c r="V61" s="55">
        <f>_xll.EQNXTDZ($A$1,$B61,V$5,$B$1)</f>
        <v>9.2910000000000004</v>
      </c>
      <c r="W61" s="55">
        <f>_xll.EQNXTDZ($A$1,$B61,W$5,$B$1)</f>
        <v>0</v>
      </c>
      <c r="X61" s="55">
        <f>_xll.EQNXTDZ($A$1,$B61,X$5,$B$1)</f>
        <v>7.3390000000000004</v>
      </c>
      <c r="Y61" s="55">
        <f>_xll.EQNXTDZ($A$1,$B61,Y$5,$B$1)</f>
        <v>0</v>
      </c>
      <c r="Z61" s="55">
        <f>_xll.EQNXTDZ($A$1,$B61,Z$5,$B$1)</f>
        <v>10.034000000000001</v>
      </c>
      <c r="AA61" s="55">
        <f>_xll.EQNXTDZ($A$1,$B61,AA$5,$B$1)</f>
        <v>0</v>
      </c>
      <c r="AB61" s="55">
        <f>_xll.EQNXTDZ($A$1,$B61,AB$5,$B$1)</f>
        <v>8.7479999999999993</v>
      </c>
      <c r="AC61" s="55">
        <f>_xll.EQNXTDZ($A$1,$B61,AC$5,$B$1)</f>
        <v>0</v>
      </c>
      <c r="AD61" s="55">
        <f>_xll.EQNXTDZ($A$1,$B61,AD$5,$B$1)</f>
        <v>82.617999999999995</v>
      </c>
      <c r="AE61" s="55">
        <f>_xll.EQNXTDZ($A$1,$B61,AE$5,$B$1)</f>
        <v>0</v>
      </c>
      <c r="AF61" s="55">
        <f>_xll.EQNXTDZ($A$1,$B61,AF$5,$B$1)</f>
        <v>85.432000000000002</v>
      </c>
      <c r="AG61" s="55">
        <f>_xll.EQNXTDZ($A$1,$B61,AG$5,$B$1)</f>
        <v>0</v>
      </c>
      <c r="AH61" s="55">
        <f>_xll.EQNXTDZ($A$1,$B61,AH$5,$B$1)</f>
        <v>80.896000000000001</v>
      </c>
      <c r="AI61" s="55">
        <f>_xll.EQNXTDZ($A$1,$B61,AI$5,$B$1)</f>
        <v>0</v>
      </c>
      <c r="AJ61" s="55">
        <f>_xll.EQNXTDZ($A$1,$B61,AJ$5,$B$1)</f>
        <v>95.317999999999998</v>
      </c>
      <c r="AK61" s="55">
        <f>_xll.EQNXTDZ($A$1,$B61,AK$5,$B$1)</f>
        <v>0</v>
      </c>
      <c r="AL61" s="55">
        <f>_xll.EQNXTDZ($A$1,$B61,AL$5,$B$1)</f>
        <v>93.165999999999997</v>
      </c>
      <c r="AM61" s="55">
        <f>_xll.EQNXTDZ($A$1,$B61,AM$5,$B$1)</f>
        <v>0</v>
      </c>
      <c r="AN61" s="55">
        <f>_xll.EQNXTDZ($A$1,$B61,AN$5,$B$1)</f>
        <v>76.432000000000002</v>
      </c>
      <c r="AO61" s="55">
        <f>_xll.EQNXTDZ($A$1,$B61,AO$5,$B$1)</f>
        <v>0</v>
      </c>
      <c r="AP61" s="55">
        <f>_xll.EQNXTDZ($A$1,$B61,AP$5,$B$1)</f>
        <v>56.72</v>
      </c>
      <c r="AQ61" s="55">
        <f>_xll.EQNXTDZ($A$1,$B61,AQ$5,$B$1)</f>
        <v>0</v>
      </c>
      <c r="AR61" s="55">
        <f>_xll.EQNXTDZ($A$1,$B61,AR$5,$B$1)</f>
        <v>50.2</v>
      </c>
      <c r="AS61" s="55">
        <f>_xll.EQNXTDZ($A$1,$B61,AS$5,$B$1)</f>
        <v>0</v>
      </c>
      <c r="AT61" s="55">
        <f>_xll.EQNXTDZ($A$1,$B61,AT$5,$B$1)</f>
        <v>0</v>
      </c>
      <c r="AU61" s="55">
        <f>_xll.EQNXTDZ($A$1,$B61,AU$5,$B$1)</f>
        <v>0</v>
      </c>
      <c r="AV61" s="55">
        <f>_xll.EQNXTDZ($A$1,$B61,AV$5,$B$1)</f>
        <v>0</v>
      </c>
      <c r="AW61" s="55">
        <f>_xll.EQNXTDZ($A$1,$B61,AW$5,$B$1)</f>
        <v>0</v>
      </c>
      <c r="AX61" s="55">
        <f>_xll.EQNXTDZ($A$1,$B61,AX$5,$B$1)</f>
        <v>0</v>
      </c>
      <c r="AY61" s="55">
        <f>_xll.EQNXTDZ($A$1,$B61,AY$5,$B$1)</f>
        <v>0</v>
      </c>
      <c r="AZ61" s="55">
        <f>_xll.EQNXTDZ($A$1,$B61,AZ$5,$B$1)</f>
        <v>0</v>
      </c>
      <c r="BA61" s="55">
        <f>_xll.EQNXTDZ($A$1,$B61,BA$5,$B$1)</f>
        <v>0</v>
      </c>
      <c r="BB61" s="55">
        <f>_xll.EQNXTDZ($A$1,$B61,BB$5,$B$1)</f>
        <v>753.91</v>
      </c>
      <c r="BC61" s="55">
        <f>_xll.EQNXTDZ($A$1,$B61,BC$5,$B$1)</f>
        <v>0</v>
      </c>
      <c r="BD61" s="55">
        <f>_xll.EQNXTDZ($A$1,$B61,BD$5,$B$1)</f>
        <v>5462.96</v>
      </c>
      <c r="BE61" s="55">
        <f>_xll.EQNXTDZ($A$1,$B61,BE$5,$B$1)</f>
        <v>0</v>
      </c>
      <c r="BF61" s="55">
        <f>_xll.EQNXTDZ($A$1,$B61,BF$5,$B$1)</f>
        <v>13849.25</v>
      </c>
      <c r="BG61" s="55">
        <f>_xll.EQNXTDZ($A$1,$B61,BG$5,$B$1)</f>
        <v>0</v>
      </c>
      <c r="BH61" s="55">
        <f>_xll.EQNXTDZ($A$1,$B61,BH$5,$B$1)</f>
        <v>0</v>
      </c>
      <c r="BI61" s="55">
        <f>_xll.EQNXTDZ($A$1,$B61,BI$5,$B$1)</f>
        <v>0</v>
      </c>
      <c r="BJ61" s="55">
        <f>_xll.EQNXTDZ($A$1,$B61,BJ$5,$B$1)</f>
        <v>0</v>
      </c>
      <c r="BK61" s="55">
        <f>_xll.EQNXTDZ($A$1,$B61,BK$5,$B$1)</f>
        <v>0</v>
      </c>
      <c r="BL61" s="55">
        <f>_xll.EQNXTDZ($A$1,$B61,BL$5,$B$1)</f>
        <v>0</v>
      </c>
      <c r="BM61" s="55">
        <f>_xll.EQNXTDZ($A$1,$B61,BM$5,$B$1)</f>
        <v>0</v>
      </c>
      <c r="BN61" s="55">
        <f>_xll.EQNXTDZ($A$1,$B61,BN$5,$B$1)</f>
        <v>0</v>
      </c>
      <c r="BO61" s="55">
        <f>_xll.EQNXTDZ($A$1,$B61,BO$5,$B$1)</f>
        <v>0</v>
      </c>
      <c r="BP61" s="55">
        <f>_xll.EQNXTDZ($A$1,$B61,BP$5,$B$1)</f>
        <v>0</v>
      </c>
      <c r="BQ61" s="55">
        <f>_xll.EQNXTDZ($A$1,$B61,BQ$5,$B$1)</f>
        <v>0</v>
      </c>
      <c r="BR61" s="55">
        <f>_xll.EQNXTDZ($A$1,$B61,BR$5,$B$1)</f>
        <v>0</v>
      </c>
      <c r="BS61" s="55">
        <f>_xll.EQNXTDZ($A$1,$B61,BS$5,$B$1)</f>
        <v>0</v>
      </c>
      <c r="BT61" s="55">
        <f>_xll.EQNXTDZ($A$1,$B61,BT$5,$B$1)</f>
        <v>0</v>
      </c>
      <c r="BU61" s="55">
        <f>_xll.EQNXTDZ($A$1,$B61,BU$5,$B$1)</f>
        <v>0</v>
      </c>
      <c r="BV61" s="55">
        <f>_xll.EQNXTDZ($A$1,$B61,BV$5,$B$1)</f>
        <v>0</v>
      </c>
    </row>
    <row r="62" spans="1:74" x14ac:dyDescent="0.25">
      <c r="A62" t="s">
        <v>356</v>
      </c>
      <c r="B62" t="s">
        <v>378</v>
      </c>
      <c r="C62" s="55">
        <f>_xll.EQNXTDZ($A$1,$B62,C$5,$B$1)</f>
        <v>0</v>
      </c>
      <c r="D62" s="55">
        <f>_xll.EQNXTDZ($A$1,$B62,D$5,$B$1)</f>
        <v>0</v>
      </c>
      <c r="E62" s="55">
        <f>_xll.EQNXTDZ($A$1,$B62,E$5,$B$1)</f>
        <v>0</v>
      </c>
      <c r="F62" s="55">
        <f>_xll.EQNXTDZ($A$1,$B62,F$5,$B$1)</f>
        <v>0</v>
      </c>
      <c r="G62" s="55">
        <f>_xll.EQNXTDZ($A$1,$B62,G$5,$B$1)</f>
        <v>0</v>
      </c>
      <c r="H62" s="55">
        <f>_xll.EQNXTDZ($A$1,$B62,H$5,$B$1)</f>
        <v>0</v>
      </c>
      <c r="I62" s="55">
        <f>_xll.EQNXTDZ($A$1,$B62,I$5,$B$1)</f>
        <v>0</v>
      </c>
      <c r="J62" s="55">
        <f>_xll.EQNXTDZ($A$1,$B62,J$5,$B$1)</f>
        <v>0</v>
      </c>
      <c r="K62" s="55">
        <f>_xll.EQNXTDZ($A$1,$B62,K$5,$B$1)</f>
        <v>0</v>
      </c>
      <c r="L62" s="55">
        <f>_xll.EQNXTDZ($A$1,$B62,L$5,$B$1)</f>
        <v>0</v>
      </c>
      <c r="M62" s="55">
        <f>_xll.EQNXTDZ($A$1,$B62,M$5,$B$1)</f>
        <v>0</v>
      </c>
      <c r="N62" s="55">
        <f>_xll.EQNXTDZ($A$1,$B62,N$5,$B$1)</f>
        <v>0</v>
      </c>
      <c r="O62" s="55">
        <f>_xll.EQNXTDZ($A$1,$B62,O$5,$B$1)</f>
        <v>0</v>
      </c>
      <c r="P62" s="55">
        <f>_xll.EQNXTDZ($A$1,$B62,P$5,$B$1)</f>
        <v>0</v>
      </c>
      <c r="Q62" s="55">
        <f>_xll.EQNXTDZ($A$1,$B62,Q$5,$B$1)</f>
        <v>0</v>
      </c>
      <c r="R62" s="55">
        <f>_xll.EQNXTDZ($A$1,$B62,R$5,$B$1)</f>
        <v>0</v>
      </c>
      <c r="S62" s="55">
        <f>_xll.EQNXTDZ($A$1,$B62,S$5,$B$1)</f>
        <v>0</v>
      </c>
      <c r="T62" s="55">
        <f>_xll.EQNXTDZ($A$1,$B62,T$5,$B$1)</f>
        <v>0</v>
      </c>
      <c r="U62" s="55">
        <f>_xll.EQNXTDZ($A$1,$B62,U$5,$B$1)</f>
        <v>0</v>
      </c>
      <c r="V62" s="55">
        <f>_xll.EQNXTDZ($A$1,$B62,V$5,$B$1)</f>
        <v>0</v>
      </c>
      <c r="W62" s="55">
        <f>_xll.EQNXTDZ($A$1,$B62,W$5,$B$1)</f>
        <v>0</v>
      </c>
      <c r="X62" s="55">
        <f>_xll.EQNXTDZ($A$1,$B62,X$5,$B$1)</f>
        <v>0</v>
      </c>
      <c r="Y62" s="55">
        <f>_xll.EQNXTDZ($A$1,$B62,Y$5,$B$1)</f>
        <v>0</v>
      </c>
      <c r="Z62" s="55">
        <f>_xll.EQNXTDZ($A$1,$B62,Z$5,$B$1)</f>
        <v>0</v>
      </c>
      <c r="AA62" s="55">
        <f>_xll.EQNXTDZ($A$1,$B62,AA$5,$B$1)</f>
        <v>0</v>
      </c>
      <c r="AB62" s="55">
        <f>_xll.EQNXTDZ($A$1,$B62,AB$5,$B$1)</f>
        <v>0</v>
      </c>
      <c r="AC62" s="55">
        <f>_xll.EQNXTDZ($A$1,$B62,AC$5,$B$1)</f>
        <v>0</v>
      </c>
      <c r="AD62" s="55">
        <f>_xll.EQNXTDZ($A$1,$B62,AD$5,$B$1)</f>
        <v>0</v>
      </c>
      <c r="AE62" s="55">
        <f>_xll.EQNXTDZ($A$1,$B62,AE$5,$B$1)</f>
        <v>0</v>
      </c>
      <c r="AF62" s="55">
        <f>_xll.EQNXTDZ($A$1,$B62,AF$5,$B$1)</f>
        <v>0</v>
      </c>
      <c r="AG62" s="55">
        <f>_xll.EQNXTDZ($A$1,$B62,AG$5,$B$1)</f>
        <v>0</v>
      </c>
      <c r="AH62" s="55">
        <f>_xll.EQNXTDZ($A$1,$B62,AH$5,$B$1)</f>
        <v>0</v>
      </c>
      <c r="AI62" s="55">
        <f>_xll.EQNXTDZ($A$1,$B62,AI$5,$B$1)</f>
        <v>0</v>
      </c>
      <c r="AJ62" s="55">
        <f>_xll.EQNXTDZ($A$1,$B62,AJ$5,$B$1)</f>
        <v>0</v>
      </c>
      <c r="AK62" s="55">
        <f>_xll.EQNXTDZ($A$1,$B62,AK$5,$B$1)</f>
        <v>0</v>
      </c>
      <c r="AL62" s="55">
        <f>_xll.EQNXTDZ($A$1,$B62,AL$5,$B$1)</f>
        <v>0</v>
      </c>
      <c r="AM62" s="55">
        <f>_xll.EQNXTDZ($A$1,$B62,AM$5,$B$1)</f>
        <v>0</v>
      </c>
      <c r="AN62" s="55">
        <f>_xll.EQNXTDZ($A$1,$B62,AN$5,$B$1)</f>
        <v>0</v>
      </c>
      <c r="AO62" s="55">
        <f>_xll.EQNXTDZ($A$1,$B62,AO$5,$B$1)</f>
        <v>0</v>
      </c>
      <c r="AP62" s="55">
        <f>_xll.EQNXTDZ($A$1,$B62,AP$5,$B$1)</f>
        <v>0</v>
      </c>
      <c r="AQ62" s="55">
        <f>_xll.EQNXTDZ($A$1,$B62,AQ$5,$B$1)</f>
        <v>0</v>
      </c>
      <c r="AR62" s="55">
        <f>_xll.EQNXTDZ($A$1,$B62,AR$5,$B$1)</f>
        <v>0</v>
      </c>
      <c r="AS62" s="55">
        <f>_xll.EQNXTDZ($A$1,$B62,AS$5,$B$1)</f>
        <v>0</v>
      </c>
      <c r="AT62" s="55">
        <f>_xll.EQNXTDZ($A$1,$B62,AT$5,$B$1)</f>
        <v>0</v>
      </c>
      <c r="AU62" s="55">
        <f>_xll.EQNXTDZ($A$1,$B62,AU$5,$B$1)</f>
        <v>0</v>
      </c>
      <c r="AV62" s="55">
        <f>_xll.EQNXTDZ($A$1,$B62,AV$5,$B$1)</f>
        <v>0</v>
      </c>
      <c r="AW62" s="55">
        <f>_xll.EQNXTDZ($A$1,$B62,AW$5,$B$1)</f>
        <v>0</v>
      </c>
      <c r="AX62" s="55">
        <f>_xll.EQNXTDZ($A$1,$B62,AX$5,$B$1)</f>
        <v>0</v>
      </c>
      <c r="AY62" s="55">
        <f>_xll.EQNXTDZ($A$1,$B62,AY$5,$B$1)</f>
        <v>0</v>
      </c>
      <c r="AZ62" s="55">
        <f>_xll.EQNXTDZ($A$1,$B62,AZ$5,$B$1)</f>
        <v>0</v>
      </c>
      <c r="BA62" s="55">
        <f>_xll.EQNXTDZ($A$1,$B62,BA$5,$B$1)</f>
        <v>0</v>
      </c>
      <c r="BB62" s="55">
        <f>_xll.EQNXTDZ($A$1,$B62,BB$5,$B$1)</f>
        <v>0</v>
      </c>
      <c r="BC62" s="55">
        <f>_xll.EQNXTDZ($A$1,$B62,BC$5,$B$1)</f>
        <v>0</v>
      </c>
      <c r="BD62" s="55">
        <f>_xll.EQNXTDZ($A$1,$B62,BD$5,$B$1)</f>
        <v>0</v>
      </c>
      <c r="BE62" s="55">
        <f>_xll.EQNXTDZ($A$1,$B62,BE$5,$B$1)</f>
        <v>0</v>
      </c>
      <c r="BF62" s="55">
        <f>_xll.EQNXTDZ($A$1,$B62,BF$5,$B$1)</f>
        <v>0</v>
      </c>
      <c r="BG62" s="55">
        <f>_xll.EQNXTDZ($A$1,$B62,BG$5,$B$1)</f>
        <v>0</v>
      </c>
      <c r="BH62" s="55">
        <f>_xll.EQNXTDZ($A$1,$B62,BH$5,$B$1)</f>
        <v>0</v>
      </c>
      <c r="BI62" s="55">
        <f>_xll.EQNXTDZ($A$1,$B62,BI$5,$B$1)</f>
        <v>0</v>
      </c>
      <c r="BJ62" s="55">
        <f>_xll.EQNXTDZ($A$1,$B62,BJ$5,$B$1)</f>
        <v>0</v>
      </c>
      <c r="BK62" s="55">
        <f>_xll.EQNXTDZ($A$1,$B62,BK$5,$B$1)</f>
        <v>0</v>
      </c>
      <c r="BL62" s="55">
        <f>_xll.EQNXTDZ($A$1,$B62,BL$5,$B$1)</f>
        <v>0</v>
      </c>
      <c r="BM62" s="55">
        <f>_xll.EQNXTDZ($A$1,$B62,BM$5,$B$1)</f>
        <v>0</v>
      </c>
      <c r="BN62" s="55">
        <f>_xll.EQNXTDZ($A$1,$B62,BN$5,$B$1)</f>
        <v>0</v>
      </c>
      <c r="BO62" s="55">
        <f>_xll.EQNXTDZ($A$1,$B62,BO$5,$B$1)</f>
        <v>0</v>
      </c>
      <c r="BP62" s="55">
        <f>_xll.EQNXTDZ($A$1,$B62,BP$5,$B$1)</f>
        <v>0</v>
      </c>
      <c r="BQ62" s="55">
        <f>_xll.EQNXTDZ($A$1,$B62,BQ$5,$B$1)</f>
        <v>0</v>
      </c>
      <c r="BR62" s="55">
        <f>_xll.EQNXTDZ($A$1,$B62,BR$5,$B$1)</f>
        <v>0</v>
      </c>
      <c r="BS62" s="55">
        <f>_xll.EQNXTDZ($A$1,$B62,BS$5,$B$1)</f>
        <v>0</v>
      </c>
      <c r="BT62" s="55">
        <f>_xll.EQNXTDZ($A$1,$B62,BT$5,$B$1)</f>
        <v>0</v>
      </c>
      <c r="BU62" s="55">
        <f>_xll.EQNXTDZ($A$1,$B62,BU$5,$B$1)</f>
        <v>0</v>
      </c>
      <c r="BV62" s="55">
        <f>_xll.EQNXTDZ($A$1,$B62,BV$5,$B$1)</f>
        <v>0</v>
      </c>
    </row>
    <row r="63" spans="1:74" x14ac:dyDescent="0.25">
      <c r="A63" t="s">
        <v>46</v>
      </c>
      <c r="B63" t="s">
        <v>379</v>
      </c>
      <c r="C63" s="55">
        <f>_xll.EQNXTDZ($A$1,$B63,C$5,$B$1)</f>
        <v>0</v>
      </c>
      <c r="D63" s="55">
        <f>_xll.EQNXTDZ($A$1,$B63,D$5,$B$1)</f>
        <v>26.696999999999999</v>
      </c>
      <c r="E63" s="55">
        <f>_xll.EQNXTDZ($A$1,$B63,E$5,$B$1)</f>
        <v>0</v>
      </c>
      <c r="F63" s="55">
        <f>_xll.EQNXTDZ($A$1,$B63,F$5,$B$1)</f>
        <v>20.585000000000001</v>
      </c>
      <c r="G63" s="55">
        <f>_xll.EQNXTDZ($A$1,$B63,G$5,$B$1)</f>
        <v>0</v>
      </c>
      <c r="H63" s="55">
        <f>_xll.EQNXTDZ($A$1,$B63,H$5,$B$1)</f>
        <v>18.123999999999999</v>
      </c>
      <c r="I63" s="55">
        <f>_xll.EQNXTDZ($A$1,$B63,I$5,$B$1)</f>
        <v>0</v>
      </c>
      <c r="J63" s="55">
        <f>_xll.EQNXTDZ($A$1,$B63,J$5,$B$1)</f>
        <v>15.663</v>
      </c>
      <c r="K63" s="55">
        <f>_xll.EQNXTDZ($A$1,$B63,K$5,$B$1)</f>
        <v>0</v>
      </c>
      <c r="L63" s="55">
        <f>_xll.EQNXTDZ($A$1,$B63,L$5,$B$1)</f>
        <v>12.747</v>
      </c>
      <c r="M63" s="55">
        <f>_xll.EQNXTDZ($A$1,$B63,M$5,$B$1)</f>
        <v>0</v>
      </c>
      <c r="N63" s="55">
        <f>_xll.EQNXTDZ($A$1,$B63,N$5,$B$1)</f>
        <v>10.233000000000001</v>
      </c>
      <c r="O63" s="55">
        <f>_xll.EQNXTDZ($A$1,$B63,O$5,$B$1)</f>
        <v>0</v>
      </c>
      <c r="P63" s="55">
        <f>_xll.EQNXTDZ($A$1,$B63,P$5,$B$1)</f>
        <v>10.14</v>
      </c>
      <c r="Q63" s="55">
        <f>_xll.EQNXTDZ($A$1,$B63,Q$5,$B$1)</f>
        <v>0</v>
      </c>
      <c r="R63" s="55">
        <f>_xll.EQNXTDZ($A$1,$B63,R$5,$B$1)</f>
        <v>10.044</v>
      </c>
      <c r="S63" s="55">
        <f>_xll.EQNXTDZ($A$1,$B63,S$5,$B$1)</f>
        <v>0</v>
      </c>
      <c r="T63" s="55">
        <f>_xll.EQNXTDZ($A$1,$B63,T$5,$B$1)</f>
        <v>9.4</v>
      </c>
      <c r="U63" s="55">
        <f>_xll.EQNXTDZ($A$1,$B63,U$5,$B$1)</f>
        <v>0</v>
      </c>
      <c r="V63" s="55">
        <f>_xll.EQNXTDZ($A$1,$B63,V$5,$B$1)</f>
        <v>9.2910000000000004</v>
      </c>
      <c r="W63" s="55">
        <f>_xll.EQNXTDZ($A$1,$B63,W$5,$B$1)</f>
        <v>0</v>
      </c>
      <c r="X63" s="55">
        <f>_xll.EQNXTDZ($A$1,$B63,X$5,$B$1)</f>
        <v>7.3390000000000004</v>
      </c>
      <c r="Y63" s="55">
        <f>_xll.EQNXTDZ($A$1,$B63,Y$5,$B$1)</f>
        <v>0</v>
      </c>
      <c r="Z63" s="55">
        <f>_xll.EQNXTDZ($A$1,$B63,Z$5,$B$1)</f>
        <v>10.034000000000001</v>
      </c>
      <c r="AA63" s="55">
        <f>_xll.EQNXTDZ($A$1,$B63,AA$5,$B$1)</f>
        <v>0</v>
      </c>
      <c r="AB63" s="55">
        <f>_xll.EQNXTDZ($A$1,$B63,AB$5,$B$1)</f>
        <v>8.7479999999999993</v>
      </c>
      <c r="AC63" s="55">
        <f>_xll.EQNXTDZ($A$1,$B63,AC$5,$B$1)</f>
        <v>0</v>
      </c>
      <c r="AD63" s="55">
        <f>_xll.EQNXTDZ($A$1,$B63,AD$5,$B$1)</f>
        <v>82.617999999999995</v>
      </c>
      <c r="AE63" s="55">
        <f>_xll.EQNXTDZ($A$1,$B63,AE$5,$B$1)</f>
        <v>0</v>
      </c>
      <c r="AF63" s="55">
        <f>_xll.EQNXTDZ($A$1,$B63,AF$5,$B$1)</f>
        <v>85.432000000000002</v>
      </c>
      <c r="AG63" s="55">
        <f>_xll.EQNXTDZ($A$1,$B63,AG$5,$B$1)</f>
        <v>0</v>
      </c>
      <c r="AH63" s="55">
        <f>_xll.EQNXTDZ($A$1,$B63,AH$5,$B$1)</f>
        <v>80.896000000000001</v>
      </c>
      <c r="AI63" s="55">
        <f>_xll.EQNXTDZ($A$1,$B63,AI$5,$B$1)</f>
        <v>0</v>
      </c>
      <c r="AJ63" s="55">
        <f>_xll.EQNXTDZ($A$1,$B63,AJ$5,$B$1)</f>
        <v>95.317999999999998</v>
      </c>
      <c r="AK63" s="55">
        <f>_xll.EQNXTDZ($A$1,$B63,AK$5,$B$1)</f>
        <v>0</v>
      </c>
      <c r="AL63" s="55">
        <f>_xll.EQNXTDZ($A$1,$B63,AL$5,$B$1)</f>
        <v>93.165999999999997</v>
      </c>
      <c r="AM63" s="55">
        <f>_xll.EQNXTDZ($A$1,$B63,AM$5,$B$1)</f>
        <v>0</v>
      </c>
      <c r="AN63" s="55">
        <f>_xll.EQNXTDZ($A$1,$B63,AN$5,$B$1)</f>
        <v>76.432000000000002</v>
      </c>
      <c r="AO63" s="55">
        <f>_xll.EQNXTDZ($A$1,$B63,AO$5,$B$1)</f>
        <v>0</v>
      </c>
      <c r="AP63" s="55">
        <f>_xll.EQNXTDZ($A$1,$B63,AP$5,$B$1)</f>
        <v>56.72</v>
      </c>
      <c r="AQ63" s="55">
        <f>_xll.EQNXTDZ($A$1,$B63,AQ$5,$B$1)</f>
        <v>0</v>
      </c>
      <c r="AR63" s="55">
        <f>_xll.EQNXTDZ($A$1,$B63,AR$5,$B$1)</f>
        <v>50.2</v>
      </c>
      <c r="AS63" s="55">
        <f>_xll.EQNXTDZ($A$1,$B63,AS$5,$B$1)</f>
        <v>0</v>
      </c>
      <c r="AT63" s="55">
        <f>_xll.EQNXTDZ($A$1,$B63,AT$5,$B$1)</f>
        <v>0</v>
      </c>
      <c r="AU63" s="55">
        <f>_xll.EQNXTDZ($A$1,$B63,AU$5,$B$1)</f>
        <v>0</v>
      </c>
      <c r="AV63" s="55">
        <f>_xll.EQNXTDZ($A$1,$B63,AV$5,$B$1)</f>
        <v>0</v>
      </c>
      <c r="AW63" s="55">
        <f>_xll.EQNXTDZ($A$1,$B63,AW$5,$B$1)</f>
        <v>0</v>
      </c>
      <c r="AX63" s="55">
        <f>_xll.EQNXTDZ($A$1,$B63,AX$5,$B$1)</f>
        <v>0</v>
      </c>
      <c r="AY63" s="55">
        <f>_xll.EQNXTDZ($A$1,$B63,AY$5,$B$1)</f>
        <v>0</v>
      </c>
      <c r="AZ63" s="55">
        <f>_xll.EQNXTDZ($A$1,$B63,AZ$5,$B$1)</f>
        <v>0</v>
      </c>
      <c r="BA63" s="55">
        <f>_xll.EQNXTDZ($A$1,$B63,BA$5,$B$1)</f>
        <v>0</v>
      </c>
      <c r="BB63" s="55">
        <f>_xll.EQNXTDZ($A$1,$B63,BB$5,$B$1)</f>
        <v>753.91</v>
      </c>
      <c r="BC63" s="55">
        <f>_xll.EQNXTDZ($A$1,$B63,BC$5,$B$1)</f>
        <v>0</v>
      </c>
      <c r="BD63" s="55">
        <f>_xll.EQNXTDZ($A$1,$B63,BD$5,$B$1)</f>
        <v>5462.96</v>
      </c>
      <c r="BE63" s="55">
        <f>_xll.EQNXTDZ($A$1,$B63,BE$5,$B$1)</f>
        <v>0</v>
      </c>
      <c r="BF63" s="55">
        <f>_xll.EQNXTDZ($A$1,$B63,BF$5,$B$1)</f>
        <v>13849.25</v>
      </c>
      <c r="BG63" s="55">
        <f>_xll.EQNXTDZ($A$1,$B63,BG$5,$B$1)</f>
        <v>0</v>
      </c>
      <c r="BH63" s="55">
        <f>_xll.EQNXTDZ($A$1,$B63,BH$5,$B$1)</f>
        <v>0</v>
      </c>
      <c r="BI63" s="55">
        <f>_xll.EQNXTDZ($A$1,$B63,BI$5,$B$1)</f>
        <v>0</v>
      </c>
      <c r="BJ63" s="55">
        <f>_xll.EQNXTDZ($A$1,$B63,BJ$5,$B$1)</f>
        <v>0</v>
      </c>
      <c r="BK63" s="55">
        <f>_xll.EQNXTDZ($A$1,$B63,BK$5,$B$1)</f>
        <v>0</v>
      </c>
      <c r="BL63" s="55">
        <f>_xll.EQNXTDZ($A$1,$B63,BL$5,$B$1)</f>
        <v>0</v>
      </c>
      <c r="BM63" s="55">
        <f>_xll.EQNXTDZ($A$1,$B63,BM$5,$B$1)</f>
        <v>0</v>
      </c>
      <c r="BN63" s="55">
        <f>_xll.EQNXTDZ($A$1,$B63,BN$5,$B$1)</f>
        <v>0</v>
      </c>
      <c r="BO63" s="55">
        <f>_xll.EQNXTDZ($A$1,$B63,BO$5,$B$1)</f>
        <v>0</v>
      </c>
      <c r="BP63" s="55">
        <f>_xll.EQNXTDZ($A$1,$B63,BP$5,$B$1)</f>
        <v>0</v>
      </c>
      <c r="BQ63" s="55">
        <f>_xll.EQNXTDZ($A$1,$B63,BQ$5,$B$1)</f>
        <v>0</v>
      </c>
      <c r="BR63" s="55">
        <f>_xll.EQNXTDZ($A$1,$B63,BR$5,$B$1)</f>
        <v>0</v>
      </c>
      <c r="BS63" s="55">
        <f>_xll.EQNXTDZ($A$1,$B63,BS$5,$B$1)</f>
        <v>0</v>
      </c>
      <c r="BT63" s="55">
        <f>_xll.EQNXTDZ($A$1,$B63,BT$5,$B$1)</f>
        <v>0</v>
      </c>
      <c r="BU63" s="55">
        <f>_xll.EQNXTDZ($A$1,$B63,BU$5,$B$1)</f>
        <v>0</v>
      </c>
      <c r="BV63" s="55">
        <f>_xll.EQNXTDZ($A$1,$B63,BV$5,$B$1)</f>
        <v>0</v>
      </c>
    </row>
    <row r="64" spans="1:74" x14ac:dyDescent="0.25">
      <c r="A64" t="s">
        <v>66</v>
      </c>
      <c r="B64" t="s">
        <v>380</v>
      </c>
      <c r="C64" s="55">
        <f>_xll.EQNXTDZ($A$1,$B64,C$5,$B$1)</f>
        <v>0</v>
      </c>
      <c r="D64" s="55">
        <f>_xll.EQNXTDZ($A$1,$B64,D$5,$B$1)</f>
        <v>0</v>
      </c>
      <c r="E64" s="55">
        <f>_xll.EQNXTDZ($A$1,$B64,E$5,$B$1)</f>
        <v>0</v>
      </c>
      <c r="F64" s="55">
        <f>_xll.EQNXTDZ($A$1,$B64,F$5,$B$1)</f>
        <v>0</v>
      </c>
      <c r="G64" s="55">
        <f>_xll.EQNXTDZ($A$1,$B64,G$5,$B$1)</f>
        <v>0</v>
      </c>
      <c r="H64" s="55">
        <f>_xll.EQNXTDZ($A$1,$B64,H$5,$B$1)</f>
        <v>0</v>
      </c>
      <c r="I64" s="55">
        <f>_xll.EQNXTDZ($A$1,$B64,I$5,$B$1)</f>
        <v>0</v>
      </c>
      <c r="J64" s="55">
        <f>_xll.EQNXTDZ($A$1,$B64,J$5,$B$1)</f>
        <v>158.995</v>
      </c>
      <c r="K64" s="55">
        <f>_xll.EQNXTDZ($A$1,$B64,K$5,$B$1)</f>
        <v>0</v>
      </c>
      <c r="L64" s="55">
        <f>_xll.EQNXTDZ($A$1,$B64,L$5,$B$1)</f>
        <v>0</v>
      </c>
      <c r="M64" s="55">
        <f>_xll.EQNXTDZ($A$1,$B64,M$5,$B$1)</f>
        <v>0</v>
      </c>
      <c r="N64" s="55">
        <f>_xll.EQNXTDZ($A$1,$B64,N$5,$B$1)</f>
        <v>272.23200000000003</v>
      </c>
      <c r="O64" s="55">
        <f>_xll.EQNXTDZ($A$1,$B64,O$5,$B$1)</f>
        <v>0</v>
      </c>
      <c r="P64" s="55">
        <f>_xll.EQNXTDZ($A$1,$B64,P$5,$B$1)</f>
        <v>268.13200000000001</v>
      </c>
      <c r="Q64" s="55">
        <f>_xll.EQNXTDZ($A$1,$B64,Q$5,$B$1)</f>
        <v>0</v>
      </c>
      <c r="R64" s="55">
        <f>_xll.EQNXTDZ($A$1,$B64,R$5,$B$1)</f>
        <v>316.42</v>
      </c>
      <c r="S64" s="55">
        <f>_xll.EQNXTDZ($A$1,$B64,S$5,$B$1)</f>
        <v>0</v>
      </c>
      <c r="T64" s="55">
        <f>_xll.EQNXTDZ($A$1,$B64,T$5,$B$1)</f>
        <v>320.30399999999997</v>
      </c>
      <c r="U64" s="55">
        <f>_xll.EQNXTDZ($A$1,$B64,U$5,$B$1)</f>
        <v>0</v>
      </c>
      <c r="V64" s="55">
        <f>_xll.EQNXTDZ($A$1,$B64,V$5,$B$1)</f>
        <v>277.245</v>
      </c>
      <c r="W64" s="55">
        <f>_xll.EQNXTDZ($A$1,$B64,W$5,$B$1)</f>
        <v>0</v>
      </c>
      <c r="X64" s="55">
        <f>_xll.EQNXTDZ($A$1,$B64,X$5,$B$1)</f>
        <v>275.142</v>
      </c>
      <c r="Y64" s="55">
        <f>_xll.EQNXTDZ($A$1,$B64,Y$5,$B$1)</f>
        <v>0</v>
      </c>
      <c r="Z64" s="55">
        <f>_xll.EQNXTDZ($A$1,$B64,Z$5,$B$1)</f>
        <v>363.005</v>
      </c>
      <c r="AA64" s="55">
        <f>_xll.EQNXTDZ($A$1,$B64,AA$5,$B$1)</f>
        <v>0</v>
      </c>
      <c r="AB64" s="55">
        <f>_xll.EQNXTDZ($A$1,$B64,AB$5,$B$1)</f>
        <v>311.30599999999998</v>
      </c>
      <c r="AC64" s="55">
        <f>_xll.EQNXTDZ($A$1,$B64,AC$5,$B$1)</f>
        <v>0</v>
      </c>
      <c r="AD64" s="55">
        <f>_xll.EQNXTDZ($A$1,$B64,AD$5,$B$1)</f>
        <v>304.947</v>
      </c>
      <c r="AE64" s="55">
        <f>_xll.EQNXTDZ($A$1,$B64,AE$5,$B$1)</f>
        <v>0</v>
      </c>
      <c r="AF64" s="55">
        <f>_xll.EQNXTDZ($A$1,$B64,AF$5,$B$1)</f>
        <v>263.791</v>
      </c>
      <c r="AG64" s="55">
        <f>_xll.EQNXTDZ($A$1,$B64,AG$5,$B$1)</f>
        <v>0</v>
      </c>
      <c r="AH64" s="55">
        <f>_xll.EQNXTDZ($A$1,$B64,AH$5,$B$1)</f>
        <v>278.23</v>
      </c>
      <c r="AI64" s="55">
        <f>_xll.EQNXTDZ($A$1,$B64,AI$5,$B$1)</f>
        <v>0</v>
      </c>
      <c r="AJ64" s="55">
        <f>_xll.EQNXTDZ($A$1,$B64,AJ$5,$B$1)</f>
        <v>258.649</v>
      </c>
      <c r="AK64" s="55">
        <f>_xll.EQNXTDZ($A$1,$B64,AK$5,$B$1)</f>
        <v>0</v>
      </c>
      <c r="AL64" s="55">
        <f>_xll.EQNXTDZ($A$1,$B64,AL$5,$B$1)</f>
        <v>282.81099999999998</v>
      </c>
      <c r="AM64" s="55">
        <f>_xll.EQNXTDZ($A$1,$B64,AM$5,$B$1)</f>
        <v>0</v>
      </c>
      <c r="AN64" s="55">
        <f>_xll.EQNXTDZ($A$1,$B64,AN$5,$B$1)</f>
        <v>195.49</v>
      </c>
      <c r="AO64" s="55">
        <f>_xll.EQNXTDZ($A$1,$B64,AO$5,$B$1)</f>
        <v>0</v>
      </c>
      <c r="AP64" s="55">
        <f>_xll.EQNXTDZ($A$1,$B64,AP$5,$B$1)</f>
        <v>161.87</v>
      </c>
      <c r="AQ64" s="55">
        <f>_xll.EQNXTDZ($A$1,$B64,AQ$5,$B$1)</f>
        <v>0</v>
      </c>
      <c r="AR64" s="55">
        <f>_xll.EQNXTDZ($A$1,$B64,AR$5,$B$1)</f>
        <v>14.08</v>
      </c>
      <c r="AS64" s="55">
        <f>_xll.EQNXTDZ($A$1,$B64,AS$5,$B$1)</f>
        <v>0</v>
      </c>
      <c r="AT64" s="55">
        <f>_xll.EQNXTDZ($A$1,$B64,AT$5,$B$1)</f>
        <v>2.19</v>
      </c>
      <c r="AU64" s="55">
        <f>_xll.EQNXTDZ($A$1,$B64,AU$5,$B$1)</f>
        <v>0</v>
      </c>
      <c r="AV64" s="55">
        <f>_xll.EQNXTDZ($A$1,$B64,AV$5,$B$1)</f>
        <v>16.02</v>
      </c>
      <c r="AW64" s="55">
        <f>_xll.EQNXTDZ($A$1,$B64,AW$5,$B$1)</f>
        <v>0</v>
      </c>
      <c r="AX64" s="55">
        <f>_xll.EQNXTDZ($A$1,$B64,AX$5,$B$1)</f>
        <v>29.44</v>
      </c>
      <c r="AY64" s="55">
        <f>_xll.EQNXTDZ($A$1,$B64,AY$5,$B$1)</f>
        <v>0</v>
      </c>
      <c r="AZ64" s="55">
        <f>_xll.EQNXTDZ($A$1,$B64,AZ$5,$B$1)</f>
        <v>33.4</v>
      </c>
      <c r="BA64" s="55">
        <f>_xll.EQNXTDZ($A$1,$B64,BA$5,$B$1)</f>
        <v>0</v>
      </c>
      <c r="BB64" s="55">
        <f>_xll.EQNXTDZ($A$1,$B64,BB$5,$B$1)</f>
        <v>35.92</v>
      </c>
      <c r="BC64" s="55">
        <f>_xll.EQNXTDZ($A$1,$B64,BC$5,$B$1)</f>
        <v>0</v>
      </c>
      <c r="BD64" s="55">
        <f>_xll.EQNXTDZ($A$1,$B64,BD$5,$B$1)</f>
        <v>182.35</v>
      </c>
      <c r="BE64" s="55">
        <f>_xll.EQNXTDZ($A$1,$B64,BE$5,$B$1)</f>
        <v>0</v>
      </c>
      <c r="BF64" s="55">
        <f>_xll.EQNXTDZ($A$1,$B64,BF$5,$B$1)</f>
        <v>1114.68</v>
      </c>
      <c r="BG64" s="55">
        <f>_xll.EQNXTDZ($A$1,$B64,BG$5,$B$1)</f>
        <v>0</v>
      </c>
      <c r="BH64" s="55">
        <f>_xll.EQNXTDZ($A$1,$B64,BH$5,$B$1)</f>
        <v>0</v>
      </c>
      <c r="BI64" s="55">
        <f>_xll.EQNXTDZ($A$1,$B64,BI$5,$B$1)</f>
        <v>0</v>
      </c>
      <c r="BJ64" s="55">
        <f>_xll.EQNXTDZ($A$1,$B64,BJ$5,$B$1)</f>
        <v>0</v>
      </c>
      <c r="BK64" s="55">
        <f>_xll.EQNXTDZ($A$1,$B64,BK$5,$B$1)</f>
        <v>0</v>
      </c>
      <c r="BL64" s="55">
        <f>_xll.EQNXTDZ($A$1,$B64,BL$5,$B$1)</f>
        <v>0</v>
      </c>
      <c r="BM64" s="55">
        <f>_xll.EQNXTDZ($A$1,$B64,BM$5,$B$1)</f>
        <v>0</v>
      </c>
      <c r="BN64" s="55">
        <f>_xll.EQNXTDZ($A$1,$B64,BN$5,$B$1)</f>
        <v>0</v>
      </c>
      <c r="BO64" s="55">
        <f>_xll.EQNXTDZ($A$1,$B64,BO$5,$B$1)</f>
        <v>0</v>
      </c>
      <c r="BP64" s="55">
        <f>_xll.EQNXTDZ($A$1,$B64,BP$5,$B$1)</f>
        <v>0</v>
      </c>
      <c r="BQ64" s="55">
        <f>_xll.EQNXTDZ($A$1,$B64,BQ$5,$B$1)</f>
        <v>0</v>
      </c>
      <c r="BR64" s="55">
        <f>_xll.EQNXTDZ($A$1,$B64,BR$5,$B$1)</f>
        <v>0</v>
      </c>
      <c r="BS64" s="55">
        <f>_xll.EQNXTDZ($A$1,$B64,BS$5,$B$1)</f>
        <v>0</v>
      </c>
      <c r="BT64" s="55">
        <f>_xll.EQNXTDZ($A$1,$B64,BT$5,$B$1)</f>
        <v>0</v>
      </c>
      <c r="BU64" s="55">
        <f>_xll.EQNXTDZ($A$1,$B64,BU$5,$B$1)</f>
        <v>0</v>
      </c>
      <c r="BV64" s="55">
        <f>_xll.EQNXTDZ($A$1,$B64,BV$5,$B$1)</f>
        <v>0</v>
      </c>
    </row>
    <row r="65" spans="1:74" x14ac:dyDescent="0.25">
      <c r="A65" t="s">
        <v>161</v>
      </c>
      <c r="B65" t="s">
        <v>381</v>
      </c>
      <c r="C65" s="55">
        <f>_xll.EQNXTDZ($A$1,$B65,C$5,$B$1)</f>
        <v>0</v>
      </c>
      <c r="D65" s="55">
        <f>_xll.EQNXTDZ($A$1,$B65,D$5,$B$1)</f>
        <v>0</v>
      </c>
      <c r="E65" s="55">
        <f>_xll.EQNXTDZ($A$1,$B65,E$5,$B$1)</f>
        <v>0</v>
      </c>
      <c r="F65" s="55">
        <f>_xll.EQNXTDZ($A$1,$B65,F$5,$B$1)</f>
        <v>0</v>
      </c>
      <c r="G65" s="55">
        <f>_xll.EQNXTDZ($A$1,$B65,G$5,$B$1)</f>
        <v>0</v>
      </c>
      <c r="H65" s="55">
        <f>_xll.EQNXTDZ($A$1,$B65,H$5,$B$1)</f>
        <v>0</v>
      </c>
      <c r="I65" s="55">
        <f>_xll.EQNXTDZ($A$1,$B65,I$5,$B$1)</f>
        <v>0</v>
      </c>
      <c r="J65" s="55">
        <f>_xll.EQNXTDZ($A$1,$B65,J$5,$B$1)</f>
        <v>0</v>
      </c>
      <c r="K65" s="55">
        <f>_xll.EQNXTDZ($A$1,$B65,K$5,$B$1)</f>
        <v>0</v>
      </c>
      <c r="L65" s="55">
        <f>_xll.EQNXTDZ($A$1,$B65,L$5,$B$1)</f>
        <v>0</v>
      </c>
      <c r="M65" s="55">
        <f>_xll.EQNXTDZ($A$1,$B65,M$5,$B$1)</f>
        <v>0</v>
      </c>
      <c r="N65" s="55">
        <f>_xll.EQNXTDZ($A$1,$B65,N$5,$B$1)</f>
        <v>0</v>
      </c>
      <c r="O65" s="55">
        <f>_xll.EQNXTDZ($A$1,$B65,O$5,$B$1)</f>
        <v>0</v>
      </c>
      <c r="P65" s="55">
        <f>_xll.EQNXTDZ($A$1,$B65,P$5,$B$1)</f>
        <v>0</v>
      </c>
      <c r="Q65" s="55">
        <f>_xll.EQNXTDZ($A$1,$B65,Q$5,$B$1)</f>
        <v>0</v>
      </c>
      <c r="R65" s="55">
        <f>_xll.EQNXTDZ($A$1,$B65,R$5,$B$1)</f>
        <v>0</v>
      </c>
      <c r="S65" s="55">
        <f>_xll.EQNXTDZ($A$1,$B65,S$5,$B$1)</f>
        <v>0</v>
      </c>
      <c r="T65" s="55">
        <f>_xll.EQNXTDZ($A$1,$B65,T$5,$B$1)</f>
        <v>0</v>
      </c>
      <c r="U65" s="55">
        <f>_xll.EQNXTDZ($A$1,$B65,U$5,$B$1)</f>
        <v>0</v>
      </c>
      <c r="V65" s="55">
        <f>_xll.EQNXTDZ($A$1,$B65,V$5,$B$1)</f>
        <v>53.92</v>
      </c>
      <c r="W65" s="55">
        <f>_xll.EQNXTDZ($A$1,$B65,W$5,$B$1)</f>
        <v>0</v>
      </c>
      <c r="X65" s="55">
        <f>_xll.EQNXTDZ($A$1,$B65,X$5,$B$1)</f>
        <v>53.917000000000002</v>
      </c>
      <c r="Y65" s="55">
        <f>_xll.EQNXTDZ($A$1,$B65,Y$5,$B$1)</f>
        <v>0</v>
      </c>
      <c r="Z65" s="55">
        <f>_xll.EQNXTDZ($A$1,$B65,Z$5,$B$1)</f>
        <v>0</v>
      </c>
      <c r="AA65" s="55">
        <f>_xll.EQNXTDZ($A$1,$B65,AA$5,$B$1)</f>
        <v>0</v>
      </c>
      <c r="AB65" s="55">
        <f>_xll.EQNXTDZ($A$1,$B65,AB$5,$B$1)</f>
        <v>51.228000000000002</v>
      </c>
      <c r="AC65" s="55">
        <f>_xll.EQNXTDZ($A$1,$B65,AC$5,$B$1)</f>
        <v>0</v>
      </c>
      <c r="AD65" s="55">
        <f>_xll.EQNXTDZ($A$1,$B65,AD$5,$B$1)</f>
        <v>0</v>
      </c>
      <c r="AE65" s="55">
        <f>_xll.EQNXTDZ($A$1,$B65,AE$5,$B$1)</f>
        <v>0</v>
      </c>
      <c r="AF65" s="55">
        <f>_xll.EQNXTDZ($A$1,$B65,AF$5,$B$1)</f>
        <v>0</v>
      </c>
      <c r="AG65" s="55">
        <f>_xll.EQNXTDZ($A$1,$B65,AG$5,$B$1)</f>
        <v>0</v>
      </c>
      <c r="AH65" s="55">
        <f>_xll.EQNXTDZ($A$1,$B65,AH$5,$B$1)</f>
        <v>0</v>
      </c>
      <c r="AI65" s="55">
        <f>_xll.EQNXTDZ($A$1,$B65,AI$5,$B$1)</f>
        <v>0</v>
      </c>
      <c r="AJ65" s="55">
        <f>_xll.EQNXTDZ($A$1,$B65,AJ$5,$B$1)</f>
        <v>0</v>
      </c>
      <c r="AK65" s="55">
        <f>_xll.EQNXTDZ($A$1,$B65,AK$5,$B$1)</f>
        <v>0</v>
      </c>
      <c r="AL65" s="55">
        <f>_xll.EQNXTDZ($A$1,$B65,AL$5,$B$1)</f>
        <v>0</v>
      </c>
      <c r="AM65" s="55">
        <f>_xll.EQNXTDZ($A$1,$B65,AM$5,$B$1)</f>
        <v>0</v>
      </c>
      <c r="AN65" s="55">
        <f>_xll.EQNXTDZ($A$1,$B65,AN$5,$B$1)</f>
        <v>0</v>
      </c>
      <c r="AO65" s="55">
        <f>_xll.EQNXTDZ($A$1,$B65,AO$5,$B$1)</f>
        <v>0</v>
      </c>
      <c r="AP65" s="55">
        <f>_xll.EQNXTDZ($A$1,$B65,AP$5,$B$1)</f>
        <v>0</v>
      </c>
      <c r="AQ65" s="55">
        <f>_xll.EQNXTDZ($A$1,$B65,AQ$5,$B$1)</f>
        <v>0</v>
      </c>
      <c r="AR65" s="55">
        <f>_xll.EQNXTDZ($A$1,$B65,AR$5,$B$1)</f>
        <v>0</v>
      </c>
      <c r="AS65" s="55">
        <f>_xll.EQNXTDZ($A$1,$B65,AS$5,$B$1)</f>
        <v>0</v>
      </c>
      <c r="AT65" s="55">
        <f>_xll.EQNXTDZ($A$1,$B65,AT$5,$B$1)</f>
        <v>0</v>
      </c>
      <c r="AU65" s="55">
        <f>_xll.EQNXTDZ($A$1,$B65,AU$5,$B$1)</f>
        <v>0</v>
      </c>
      <c r="AV65" s="55">
        <f>_xll.EQNXTDZ($A$1,$B65,AV$5,$B$1)</f>
        <v>0</v>
      </c>
      <c r="AW65" s="55">
        <f>_xll.EQNXTDZ($A$1,$B65,AW$5,$B$1)</f>
        <v>0</v>
      </c>
      <c r="AX65" s="55">
        <f>_xll.EQNXTDZ($A$1,$B65,AX$5,$B$1)</f>
        <v>0</v>
      </c>
      <c r="AY65" s="55">
        <f>_xll.EQNXTDZ($A$1,$B65,AY$5,$B$1)</f>
        <v>0</v>
      </c>
      <c r="AZ65" s="55">
        <f>_xll.EQNXTDZ($A$1,$B65,AZ$5,$B$1)</f>
        <v>0</v>
      </c>
      <c r="BA65" s="55">
        <f>_xll.EQNXTDZ($A$1,$B65,BA$5,$B$1)</f>
        <v>0</v>
      </c>
      <c r="BB65" s="55">
        <f>_xll.EQNXTDZ($A$1,$B65,BB$5,$B$1)</f>
        <v>0</v>
      </c>
      <c r="BC65" s="55">
        <f>_xll.EQNXTDZ($A$1,$B65,BC$5,$B$1)</f>
        <v>0</v>
      </c>
      <c r="BD65" s="55">
        <f>_xll.EQNXTDZ($A$1,$B65,BD$5,$B$1)</f>
        <v>0</v>
      </c>
      <c r="BE65" s="55">
        <f>_xll.EQNXTDZ($A$1,$B65,BE$5,$B$1)</f>
        <v>0</v>
      </c>
      <c r="BF65" s="55">
        <f>_xll.EQNXTDZ($A$1,$B65,BF$5,$B$1)</f>
        <v>0</v>
      </c>
      <c r="BG65" s="55">
        <f>_xll.EQNXTDZ($A$1,$B65,BG$5,$B$1)</f>
        <v>0</v>
      </c>
      <c r="BH65" s="55">
        <f>_xll.EQNXTDZ($A$1,$B65,BH$5,$B$1)</f>
        <v>0</v>
      </c>
      <c r="BI65" s="55">
        <f>_xll.EQNXTDZ($A$1,$B65,BI$5,$B$1)</f>
        <v>0</v>
      </c>
      <c r="BJ65" s="55">
        <f>_xll.EQNXTDZ($A$1,$B65,BJ$5,$B$1)</f>
        <v>0</v>
      </c>
      <c r="BK65" s="55">
        <f>_xll.EQNXTDZ($A$1,$B65,BK$5,$B$1)</f>
        <v>0</v>
      </c>
      <c r="BL65" s="55">
        <f>_xll.EQNXTDZ($A$1,$B65,BL$5,$B$1)</f>
        <v>0</v>
      </c>
      <c r="BM65" s="55">
        <f>_xll.EQNXTDZ($A$1,$B65,BM$5,$B$1)</f>
        <v>0</v>
      </c>
      <c r="BN65" s="55">
        <f>_xll.EQNXTDZ($A$1,$B65,BN$5,$B$1)</f>
        <v>0</v>
      </c>
      <c r="BO65" s="55">
        <f>_xll.EQNXTDZ($A$1,$B65,BO$5,$B$1)</f>
        <v>0</v>
      </c>
      <c r="BP65" s="55">
        <f>_xll.EQNXTDZ($A$1,$B65,BP$5,$B$1)</f>
        <v>0</v>
      </c>
      <c r="BQ65" s="55">
        <f>_xll.EQNXTDZ($A$1,$B65,BQ$5,$B$1)</f>
        <v>0</v>
      </c>
      <c r="BR65" s="55">
        <f>_xll.EQNXTDZ($A$1,$B65,BR$5,$B$1)</f>
        <v>0</v>
      </c>
      <c r="BS65" s="55">
        <f>_xll.EQNXTDZ($A$1,$B65,BS$5,$B$1)</f>
        <v>0</v>
      </c>
      <c r="BT65" s="55">
        <f>_xll.EQNXTDZ($A$1,$B65,BT$5,$B$1)</f>
        <v>0</v>
      </c>
      <c r="BU65" s="55">
        <f>_xll.EQNXTDZ($A$1,$B65,BU$5,$B$1)</f>
        <v>0</v>
      </c>
      <c r="BV65" s="55">
        <f>_xll.EQNXTDZ($A$1,$B65,BV$5,$B$1)</f>
        <v>0</v>
      </c>
    </row>
    <row r="66" spans="1:74" x14ac:dyDescent="0.25">
      <c r="A66" t="s">
        <v>357</v>
      </c>
      <c r="B66" t="s">
        <v>382</v>
      </c>
      <c r="C66" s="55">
        <f>_xll.EQNXTDZ($A$1,$B66,C$5,$B$1)</f>
        <v>0</v>
      </c>
      <c r="D66" s="55">
        <f>_xll.EQNXTDZ($A$1,$B66,D$5,$B$1)</f>
        <v>3.2090000000000001</v>
      </c>
      <c r="E66" s="55">
        <f>_xll.EQNXTDZ($A$1,$B66,E$5,$B$1)</f>
        <v>0</v>
      </c>
      <c r="F66" s="55">
        <f>_xll.EQNXTDZ($A$1,$B66,F$5,$B$1)</f>
        <v>3.1890000000000001</v>
      </c>
      <c r="G66" s="55">
        <f>_xll.EQNXTDZ($A$1,$B66,G$5,$B$1)</f>
        <v>0</v>
      </c>
      <c r="H66" s="55">
        <f>_xll.EQNXTDZ($A$1,$B66,H$5,$B$1)</f>
        <v>3.3250000000000002</v>
      </c>
      <c r="I66" s="55">
        <f>_xll.EQNXTDZ($A$1,$B66,I$5,$B$1)</f>
        <v>0</v>
      </c>
      <c r="J66" s="55">
        <f>_xll.EQNXTDZ($A$1,$B66,J$5,$B$1)</f>
        <v>3.5510000000000002</v>
      </c>
      <c r="K66" s="55">
        <f>_xll.EQNXTDZ($A$1,$B66,K$5,$B$1)</f>
        <v>0</v>
      </c>
      <c r="L66" s="55">
        <f>_xll.EQNXTDZ($A$1,$B66,L$5,$B$1)</f>
        <v>3.5510000000000002</v>
      </c>
      <c r="M66" s="55">
        <f>_xll.EQNXTDZ($A$1,$B66,M$5,$B$1)</f>
        <v>0</v>
      </c>
      <c r="N66" s="55">
        <f>_xll.EQNXTDZ($A$1,$B66,N$5,$B$1)</f>
        <v>4.1349999999999998</v>
      </c>
      <c r="O66" s="55">
        <f>_xll.EQNXTDZ($A$1,$B66,O$5,$B$1)</f>
        <v>0</v>
      </c>
      <c r="P66" s="55">
        <f>_xll.EQNXTDZ($A$1,$B66,P$5,$B$1)</f>
        <v>4.1349999999999998</v>
      </c>
      <c r="Q66" s="55">
        <f>_xll.EQNXTDZ($A$1,$B66,Q$5,$B$1)</f>
        <v>0</v>
      </c>
      <c r="R66" s="55">
        <f>_xll.EQNXTDZ($A$1,$B66,R$5,$B$1)</f>
        <v>3.8730000000000002</v>
      </c>
      <c r="S66" s="55">
        <f>_xll.EQNXTDZ($A$1,$B66,S$5,$B$1)</f>
        <v>0</v>
      </c>
      <c r="T66" s="55">
        <f>_xll.EQNXTDZ($A$1,$B66,T$5,$B$1)</f>
        <v>3.8730000000000002</v>
      </c>
      <c r="U66" s="55">
        <f>_xll.EQNXTDZ($A$1,$B66,U$5,$B$1)</f>
        <v>0</v>
      </c>
      <c r="V66" s="55">
        <f>_xll.EQNXTDZ($A$1,$B66,V$5,$B$1)</f>
        <v>3.9620000000000002</v>
      </c>
      <c r="W66" s="55">
        <f>_xll.EQNXTDZ($A$1,$B66,W$5,$B$1)</f>
        <v>0</v>
      </c>
      <c r="X66" s="55">
        <f>_xll.EQNXTDZ($A$1,$B66,X$5,$B$1)</f>
        <v>0</v>
      </c>
      <c r="Y66" s="55">
        <f>_xll.EQNXTDZ($A$1,$B66,Y$5,$B$1)</f>
        <v>0</v>
      </c>
      <c r="Z66" s="55">
        <f>_xll.EQNXTDZ($A$1,$B66,Z$5,$B$1)</f>
        <v>4.3479999999999999</v>
      </c>
      <c r="AA66" s="55">
        <f>_xll.EQNXTDZ($A$1,$B66,AA$5,$B$1)</f>
        <v>0</v>
      </c>
      <c r="AB66" s="55">
        <f>_xll.EQNXTDZ($A$1,$B66,AB$5,$B$1)</f>
        <v>4.9489999999999998</v>
      </c>
      <c r="AC66" s="55">
        <f>_xll.EQNXTDZ($A$1,$B66,AC$5,$B$1)</f>
        <v>0</v>
      </c>
      <c r="AD66" s="55">
        <f>_xll.EQNXTDZ($A$1,$B66,AD$5,$B$1)</f>
        <v>5.0869999999999997</v>
      </c>
      <c r="AE66" s="55">
        <f>_xll.EQNXTDZ($A$1,$B66,AE$5,$B$1)</f>
        <v>0</v>
      </c>
      <c r="AF66" s="55">
        <f>_xll.EQNXTDZ($A$1,$B66,AF$5,$B$1)</f>
        <v>5.4939999999999998</v>
      </c>
      <c r="AG66" s="55">
        <f>_xll.EQNXTDZ($A$1,$B66,AG$5,$B$1)</f>
        <v>0</v>
      </c>
      <c r="AH66" s="55">
        <f>_xll.EQNXTDZ($A$1,$B66,AH$5,$B$1)</f>
        <v>5.7309999999999999</v>
      </c>
      <c r="AI66" s="55">
        <f>_xll.EQNXTDZ($A$1,$B66,AI$5,$B$1)</f>
        <v>0</v>
      </c>
      <c r="AJ66" s="55">
        <f>_xll.EQNXTDZ($A$1,$B66,AJ$5,$B$1)</f>
        <v>6.1719999999999997</v>
      </c>
      <c r="AK66" s="55">
        <f>_xll.EQNXTDZ($A$1,$B66,AK$5,$B$1)</f>
        <v>0</v>
      </c>
      <c r="AL66" s="55">
        <f>_xll.EQNXTDZ($A$1,$B66,AL$5,$B$1)</f>
        <v>5.7370000000000001</v>
      </c>
      <c r="AM66" s="55">
        <f>_xll.EQNXTDZ($A$1,$B66,AM$5,$B$1)</f>
        <v>0</v>
      </c>
      <c r="AN66" s="55">
        <f>_xll.EQNXTDZ($A$1,$B66,AN$5,$B$1)</f>
        <v>5.9820000000000002</v>
      </c>
      <c r="AO66" s="55">
        <f>_xll.EQNXTDZ($A$1,$B66,AO$5,$B$1)</f>
        <v>0</v>
      </c>
      <c r="AP66" s="55">
        <f>_xll.EQNXTDZ($A$1,$B66,AP$5,$B$1)</f>
        <v>5.36</v>
      </c>
      <c r="AQ66" s="55">
        <f>_xll.EQNXTDZ($A$1,$B66,AQ$5,$B$1)</f>
        <v>0</v>
      </c>
      <c r="AR66" s="55">
        <f>_xll.EQNXTDZ($A$1,$B66,AR$5,$B$1)</f>
        <v>5.49</v>
      </c>
      <c r="AS66" s="55">
        <f>_xll.EQNXTDZ($A$1,$B66,AS$5,$B$1)</f>
        <v>0</v>
      </c>
      <c r="AT66" s="55">
        <f>_xll.EQNXTDZ($A$1,$B66,AT$5,$B$1)</f>
        <v>22.56</v>
      </c>
      <c r="AU66" s="55">
        <f>_xll.EQNXTDZ($A$1,$B66,AU$5,$B$1)</f>
        <v>0</v>
      </c>
      <c r="AV66" s="55">
        <f>_xll.EQNXTDZ($A$1,$B66,AV$5,$B$1)</f>
        <v>23.16</v>
      </c>
      <c r="AW66" s="55">
        <f>_xll.EQNXTDZ($A$1,$B66,AW$5,$B$1)</f>
        <v>0</v>
      </c>
      <c r="AX66" s="55">
        <f>_xll.EQNXTDZ($A$1,$B66,AX$5,$B$1)</f>
        <v>24.89</v>
      </c>
      <c r="AY66" s="55">
        <f>_xll.EQNXTDZ($A$1,$B66,AY$5,$B$1)</f>
        <v>0</v>
      </c>
      <c r="AZ66" s="55">
        <f>_xll.EQNXTDZ($A$1,$B66,AZ$5,$B$1)</f>
        <v>25.9</v>
      </c>
      <c r="BA66" s="55">
        <f>_xll.EQNXTDZ($A$1,$B66,BA$5,$B$1)</f>
        <v>0</v>
      </c>
      <c r="BB66" s="55">
        <f>_xll.EQNXTDZ($A$1,$B66,BB$5,$B$1)</f>
        <v>28.76</v>
      </c>
      <c r="BC66" s="55">
        <f>_xll.EQNXTDZ($A$1,$B66,BC$5,$B$1)</f>
        <v>0</v>
      </c>
      <c r="BD66" s="55">
        <f>_xll.EQNXTDZ($A$1,$B66,BD$5,$B$1)</f>
        <v>132.55000000000001</v>
      </c>
      <c r="BE66" s="55">
        <f>_xll.EQNXTDZ($A$1,$B66,BE$5,$B$1)</f>
        <v>0</v>
      </c>
      <c r="BF66" s="55">
        <f>_xll.EQNXTDZ($A$1,$B66,BF$5,$B$1)</f>
        <v>120.28</v>
      </c>
      <c r="BG66" s="55">
        <f>_xll.EQNXTDZ($A$1,$B66,BG$5,$B$1)</f>
        <v>0</v>
      </c>
      <c r="BH66" s="55">
        <f>_xll.EQNXTDZ($A$1,$B66,BH$5,$B$1)</f>
        <v>0</v>
      </c>
      <c r="BI66" s="55">
        <f>_xll.EQNXTDZ($A$1,$B66,BI$5,$B$1)</f>
        <v>0</v>
      </c>
      <c r="BJ66" s="55">
        <f>_xll.EQNXTDZ($A$1,$B66,BJ$5,$B$1)</f>
        <v>0</v>
      </c>
      <c r="BK66" s="55">
        <f>_xll.EQNXTDZ($A$1,$B66,BK$5,$B$1)</f>
        <v>0</v>
      </c>
      <c r="BL66" s="55">
        <f>_xll.EQNXTDZ($A$1,$B66,BL$5,$B$1)</f>
        <v>0</v>
      </c>
      <c r="BM66" s="55">
        <f>_xll.EQNXTDZ($A$1,$B66,BM$5,$B$1)</f>
        <v>0</v>
      </c>
      <c r="BN66" s="55">
        <f>_xll.EQNXTDZ($A$1,$B66,BN$5,$B$1)</f>
        <v>0</v>
      </c>
      <c r="BO66" s="55">
        <f>_xll.EQNXTDZ($A$1,$B66,BO$5,$B$1)</f>
        <v>0</v>
      </c>
      <c r="BP66" s="55">
        <f>_xll.EQNXTDZ($A$1,$B66,BP$5,$B$1)</f>
        <v>0</v>
      </c>
      <c r="BQ66" s="55">
        <f>_xll.EQNXTDZ($A$1,$B66,BQ$5,$B$1)</f>
        <v>0</v>
      </c>
      <c r="BR66" s="55">
        <f>_xll.EQNXTDZ($A$1,$B66,BR$5,$B$1)</f>
        <v>0</v>
      </c>
      <c r="BS66" s="55">
        <f>_xll.EQNXTDZ($A$1,$B66,BS$5,$B$1)</f>
        <v>0</v>
      </c>
      <c r="BT66" s="55">
        <f>_xll.EQNXTDZ($A$1,$B66,BT$5,$B$1)</f>
        <v>0</v>
      </c>
      <c r="BU66" s="55">
        <f>_xll.EQNXTDZ($A$1,$B66,BU$5,$B$1)</f>
        <v>0</v>
      </c>
      <c r="BV66" s="55">
        <f>_xll.EQNXTDZ($A$1,$B66,BV$5,$B$1)</f>
        <v>0</v>
      </c>
    </row>
    <row r="67" spans="1:74" x14ac:dyDescent="0.25">
      <c r="A67" t="s">
        <v>165</v>
      </c>
      <c r="B67" t="s">
        <v>383</v>
      </c>
      <c r="C67" s="55">
        <f>_xll.EQNXTDZ($A$1,$B67,C$5,$B$1)</f>
        <v>0</v>
      </c>
      <c r="D67" s="55">
        <f>_xll.EQNXTDZ($A$1,$B67,D$5,$B$1)</f>
        <v>153.02699999999999</v>
      </c>
      <c r="E67" s="55">
        <f>_xll.EQNXTDZ($A$1,$B67,E$5,$B$1)</f>
        <v>0</v>
      </c>
      <c r="F67" s="55">
        <f>_xll.EQNXTDZ($A$1,$B67,F$5,$B$1)</f>
        <v>148.62299999999999</v>
      </c>
      <c r="G67" s="55">
        <f>_xll.EQNXTDZ($A$1,$B67,G$5,$B$1)</f>
        <v>0</v>
      </c>
      <c r="H67" s="55">
        <f>_xll.EQNXTDZ($A$1,$B67,H$5,$B$1)</f>
        <v>122.786</v>
      </c>
      <c r="I67" s="55">
        <f>_xll.EQNXTDZ($A$1,$B67,I$5,$B$1)</f>
        <v>0</v>
      </c>
      <c r="J67" s="55">
        <f>_xll.EQNXTDZ($A$1,$B67,J$5,$B$1)</f>
        <v>260.613</v>
      </c>
      <c r="K67" s="55">
        <f>_xll.EQNXTDZ($A$1,$B67,K$5,$B$1)</f>
        <v>0</v>
      </c>
      <c r="L67" s="55">
        <f>_xll.EQNXTDZ($A$1,$B67,L$5,$B$1)</f>
        <v>86.756</v>
      </c>
      <c r="M67" s="55">
        <f>_xll.EQNXTDZ($A$1,$B67,M$5,$B$1)</f>
        <v>0</v>
      </c>
      <c r="N67" s="55">
        <f>_xll.EQNXTDZ($A$1,$B67,N$5,$B$1)</f>
        <v>347.85</v>
      </c>
      <c r="O67" s="55">
        <f>_xll.EQNXTDZ($A$1,$B67,O$5,$B$1)</f>
        <v>0</v>
      </c>
      <c r="P67" s="55">
        <f>_xll.EQNXTDZ($A$1,$B67,P$5,$B$1)</f>
        <v>346.75400000000002</v>
      </c>
      <c r="Q67" s="55">
        <f>_xll.EQNXTDZ($A$1,$B67,Q$5,$B$1)</f>
        <v>0</v>
      </c>
      <c r="R67" s="55">
        <f>_xll.EQNXTDZ($A$1,$B67,R$5,$B$1)</f>
        <v>392.30799999999999</v>
      </c>
      <c r="S67" s="55">
        <f>_xll.EQNXTDZ($A$1,$B67,S$5,$B$1)</f>
        <v>0</v>
      </c>
      <c r="T67" s="55">
        <f>_xll.EQNXTDZ($A$1,$B67,T$5,$B$1)</f>
        <v>395.99599999999998</v>
      </c>
      <c r="U67" s="55">
        <f>_xll.EQNXTDZ($A$1,$B67,U$5,$B$1)</f>
        <v>0</v>
      </c>
      <c r="V67" s="55">
        <f>_xll.EQNXTDZ($A$1,$B67,V$5,$B$1)</f>
        <v>412.04199999999997</v>
      </c>
      <c r="W67" s="55">
        <f>_xll.EQNXTDZ($A$1,$B67,W$5,$B$1)</f>
        <v>0</v>
      </c>
      <c r="X67" s="55">
        <f>_xll.EQNXTDZ($A$1,$B67,X$5,$B$1)</f>
        <v>409.94200000000001</v>
      </c>
      <c r="Y67" s="55">
        <f>_xll.EQNXTDZ($A$1,$B67,Y$5,$B$1)</f>
        <v>0</v>
      </c>
      <c r="Z67" s="55">
        <f>_xll.EQNXTDZ($A$1,$B67,Z$5,$B$1)</f>
        <v>461.822</v>
      </c>
      <c r="AA67" s="55">
        <f>_xll.EQNXTDZ($A$1,$B67,AA$5,$B$1)</f>
        <v>0</v>
      </c>
      <c r="AB67" s="55">
        <f>_xll.EQNXTDZ($A$1,$B67,AB$5,$B$1)</f>
        <v>471.51600000000002</v>
      </c>
      <c r="AC67" s="55">
        <f>_xll.EQNXTDZ($A$1,$B67,AC$5,$B$1)</f>
        <v>0</v>
      </c>
      <c r="AD67" s="55">
        <f>_xll.EQNXTDZ($A$1,$B67,AD$5,$B$1)</f>
        <v>500.90600000000001</v>
      </c>
      <c r="AE67" s="55">
        <f>_xll.EQNXTDZ($A$1,$B67,AE$5,$B$1)</f>
        <v>0</v>
      </c>
      <c r="AF67" s="55">
        <f>_xll.EQNXTDZ($A$1,$B67,AF$5,$B$1)</f>
        <v>474.26600000000002</v>
      </c>
      <c r="AG67" s="55">
        <f>_xll.EQNXTDZ($A$1,$B67,AG$5,$B$1)</f>
        <v>0</v>
      </c>
      <c r="AH67" s="55">
        <f>_xll.EQNXTDZ($A$1,$B67,AH$5,$B$1)</f>
        <v>509.262</v>
      </c>
      <c r="AI67" s="55">
        <f>_xll.EQNXTDZ($A$1,$B67,AI$5,$B$1)</f>
        <v>0</v>
      </c>
      <c r="AJ67" s="55">
        <f>_xll.EQNXTDZ($A$1,$B67,AJ$5,$B$1)</f>
        <v>517.93299999999999</v>
      </c>
      <c r="AK67" s="55">
        <f>_xll.EQNXTDZ($A$1,$B67,AK$5,$B$1)</f>
        <v>0</v>
      </c>
      <c r="AL67" s="55">
        <f>_xll.EQNXTDZ($A$1,$B67,AL$5,$B$1)</f>
        <v>563.81899999999996</v>
      </c>
      <c r="AM67" s="55">
        <f>_xll.EQNXTDZ($A$1,$B67,AM$5,$B$1)</f>
        <v>0</v>
      </c>
      <c r="AN67" s="55">
        <f>_xll.EQNXTDZ($A$1,$B67,AN$5,$B$1)</f>
        <v>661.77800000000002</v>
      </c>
      <c r="AO67" s="55">
        <f>_xll.EQNXTDZ($A$1,$B67,AO$5,$B$1)</f>
        <v>0</v>
      </c>
      <c r="AP67" s="55">
        <f>_xll.EQNXTDZ($A$1,$B67,AP$5,$B$1)</f>
        <v>705.53</v>
      </c>
      <c r="AQ67" s="55">
        <f>_xll.EQNXTDZ($A$1,$B67,AQ$5,$B$1)</f>
        <v>0</v>
      </c>
      <c r="AR67" s="55">
        <f>_xll.EQNXTDZ($A$1,$B67,AR$5,$B$1)</f>
        <v>246.17</v>
      </c>
      <c r="AS67" s="55">
        <f>_xll.EQNXTDZ($A$1,$B67,AS$5,$B$1)</f>
        <v>0</v>
      </c>
      <c r="AT67" s="55">
        <f>_xll.EQNXTDZ($A$1,$B67,AT$5,$B$1)</f>
        <v>1553.7</v>
      </c>
      <c r="AU67" s="55">
        <f>_xll.EQNXTDZ($A$1,$B67,AU$5,$B$1)</f>
        <v>0</v>
      </c>
      <c r="AV67" s="55">
        <f>_xll.EQNXTDZ($A$1,$B67,AV$5,$B$1)</f>
        <v>2220.16</v>
      </c>
      <c r="AW67" s="55">
        <f>_xll.EQNXTDZ($A$1,$B67,AW$5,$B$1)</f>
        <v>0</v>
      </c>
      <c r="AX67" s="55">
        <f>_xll.EQNXTDZ($A$1,$B67,AX$5,$B$1)</f>
        <v>2865.2</v>
      </c>
      <c r="AY67" s="55">
        <f>_xll.EQNXTDZ($A$1,$B67,AY$5,$B$1)</f>
        <v>0</v>
      </c>
      <c r="AZ67" s="55">
        <f>_xll.EQNXTDZ($A$1,$B67,AZ$5,$B$1)</f>
        <v>5844.9</v>
      </c>
      <c r="BA67" s="55">
        <f>_xll.EQNXTDZ($A$1,$B67,BA$5,$B$1)</f>
        <v>0</v>
      </c>
      <c r="BB67" s="55">
        <f>_xll.EQNXTDZ($A$1,$B67,BB$5,$B$1)</f>
        <v>7278.67</v>
      </c>
      <c r="BC67" s="55">
        <f>_xll.EQNXTDZ($A$1,$B67,BC$5,$B$1)</f>
        <v>0</v>
      </c>
      <c r="BD67" s="55">
        <f>_xll.EQNXTDZ($A$1,$B67,BD$5,$B$1)</f>
        <v>13936.93</v>
      </c>
      <c r="BE67" s="55">
        <f>_xll.EQNXTDZ($A$1,$B67,BE$5,$B$1)</f>
        <v>0</v>
      </c>
      <c r="BF67" s="55">
        <f>_xll.EQNXTDZ($A$1,$B67,BF$5,$B$1)</f>
        <v>29350.26</v>
      </c>
      <c r="BG67" s="55">
        <f>_xll.EQNXTDZ($A$1,$B67,BG$5,$B$1)</f>
        <v>0</v>
      </c>
      <c r="BH67" s="55">
        <f>_xll.EQNXTDZ($A$1,$B67,BH$5,$B$1)</f>
        <v>0</v>
      </c>
      <c r="BI67" s="55">
        <f>_xll.EQNXTDZ($A$1,$B67,BI$5,$B$1)</f>
        <v>0</v>
      </c>
      <c r="BJ67" s="55">
        <f>_xll.EQNXTDZ($A$1,$B67,BJ$5,$B$1)</f>
        <v>0</v>
      </c>
      <c r="BK67" s="55">
        <f>_xll.EQNXTDZ($A$1,$B67,BK$5,$B$1)</f>
        <v>0</v>
      </c>
      <c r="BL67" s="55">
        <f>_xll.EQNXTDZ($A$1,$B67,BL$5,$B$1)</f>
        <v>0</v>
      </c>
      <c r="BM67" s="55">
        <f>_xll.EQNXTDZ($A$1,$B67,BM$5,$B$1)</f>
        <v>0</v>
      </c>
      <c r="BN67" s="55">
        <f>_xll.EQNXTDZ($A$1,$B67,BN$5,$B$1)</f>
        <v>0</v>
      </c>
      <c r="BO67" s="55">
        <f>_xll.EQNXTDZ($A$1,$B67,BO$5,$B$1)</f>
        <v>0</v>
      </c>
      <c r="BP67" s="55">
        <f>_xll.EQNXTDZ($A$1,$B67,BP$5,$B$1)</f>
        <v>0</v>
      </c>
      <c r="BQ67" s="55">
        <f>_xll.EQNXTDZ($A$1,$B67,BQ$5,$B$1)</f>
        <v>0</v>
      </c>
      <c r="BR67" s="55">
        <f>_xll.EQNXTDZ($A$1,$B67,BR$5,$B$1)</f>
        <v>0</v>
      </c>
      <c r="BS67" s="55">
        <f>_xll.EQNXTDZ($A$1,$B67,BS$5,$B$1)</f>
        <v>0</v>
      </c>
      <c r="BT67" s="55">
        <f>_xll.EQNXTDZ($A$1,$B67,BT$5,$B$1)</f>
        <v>0</v>
      </c>
      <c r="BU67" s="55">
        <f>_xll.EQNXTDZ($A$1,$B67,BU$5,$B$1)</f>
        <v>0</v>
      </c>
      <c r="BV67" s="55">
        <f>_xll.EQNXTDZ($A$1,$B67,BV$5,$B$1)</f>
        <v>0</v>
      </c>
    </row>
    <row r="68" spans="1:74" x14ac:dyDescent="0.25">
      <c r="A68" t="s">
        <v>358</v>
      </c>
      <c r="B68" t="s">
        <v>384</v>
      </c>
      <c r="C68" s="55">
        <f>_xll.EQNXTDZ($A$1,$B68,C$5,$B$1)</f>
        <v>0</v>
      </c>
      <c r="D68" s="55">
        <f>_xll.EQNXTDZ($A$1,$B68,D$5,$B$1)</f>
        <v>307.09300000000002</v>
      </c>
      <c r="E68" s="55">
        <f>_xll.EQNXTDZ($A$1,$B68,E$5,$B$1)</f>
        <v>0</v>
      </c>
      <c r="F68" s="55">
        <f>_xll.EQNXTDZ($A$1,$B68,F$5,$B$1)</f>
        <v>298.85300000000001</v>
      </c>
      <c r="G68" s="55">
        <f>_xll.EQNXTDZ($A$1,$B68,G$5,$B$1)</f>
        <v>0</v>
      </c>
      <c r="H68" s="55">
        <f>_xll.EQNXTDZ($A$1,$B68,H$5,$B$1)</f>
        <v>290.08300000000003</v>
      </c>
      <c r="I68" s="55">
        <f>_xll.EQNXTDZ($A$1,$B68,I$5,$B$1)</f>
        <v>0</v>
      </c>
      <c r="J68" s="55">
        <f>_xll.EQNXTDZ($A$1,$B68,J$5,$B$1)</f>
        <v>280.06299999999999</v>
      </c>
      <c r="K68" s="55">
        <f>_xll.EQNXTDZ($A$1,$B68,K$5,$B$1)</f>
        <v>0</v>
      </c>
      <c r="L68" s="55">
        <f>_xll.EQNXTDZ($A$1,$B68,L$5,$B$1)</f>
        <v>281.29300000000001</v>
      </c>
      <c r="M68" s="55">
        <f>_xll.EQNXTDZ($A$1,$B68,M$5,$B$1)</f>
        <v>0</v>
      </c>
      <c r="N68" s="55">
        <f>_xll.EQNXTDZ($A$1,$B68,N$5,$B$1)</f>
        <v>276.42500000000001</v>
      </c>
      <c r="O68" s="55">
        <f>_xll.EQNXTDZ($A$1,$B68,O$5,$B$1)</f>
        <v>0</v>
      </c>
      <c r="P68" s="55">
        <f>_xll.EQNXTDZ($A$1,$B68,P$5,$B$1)</f>
        <v>283.125</v>
      </c>
      <c r="Q68" s="55">
        <f>_xll.EQNXTDZ($A$1,$B68,Q$5,$B$1)</f>
        <v>0</v>
      </c>
      <c r="R68" s="55">
        <f>_xll.EQNXTDZ($A$1,$B68,R$5,$B$1)</f>
        <v>292.65899999999999</v>
      </c>
      <c r="S68" s="55">
        <f>_xll.EQNXTDZ($A$1,$B68,S$5,$B$1)</f>
        <v>0</v>
      </c>
      <c r="T68" s="55">
        <f>_xll.EQNXTDZ($A$1,$B68,T$5,$B$1)</f>
        <v>295.14</v>
      </c>
      <c r="U68" s="55">
        <f>_xll.EQNXTDZ($A$1,$B68,U$5,$B$1)</f>
        <v>0</v>
      </c>
      <c r="V68" s="55">
        <f>_xll.EQNXTDZ($A$1,$B68,V$5,$B$1)</f>
        <v>319.88799999999998</v>
      </c>
      <c r="W68" s="55">
        <f>_xll.EQNXTDZ($A$1,$B68,W$5,$B$1)</f>
        <v>0</v>
      </c>
      <c r="X68" s="55">
        <f>_xll.EQNXTDZ($A$1,$B68,X$5,$B$1)</f>
        <v>314.45999999999998</v>
      </c>
      <c r="Y68" s="55">
        <f>_xll.EQNXTDZ($A$1,$B68,Y$5,$B$1)</f>
        <v>0</v>
      </c>
      <c r="Z68" s="55">
        <f>_xll.EQNXTDZ($A$1,$B68,Z$5,$B$1)</f>
        <v>348.23500000000001</v>
      </c>
      <c r="AA68" s="55">
        <f>_xll.EQNXTDZ($A$1,$B68,AA$5,$B$1)</f>
        <v>0</v>
      </c>
      <c r="AB68" s="55">
        <f>_xll.EQNXTDZ($A$1,$B68,AB$5,$B$1)</f>
        <v>379.16899999999998</v>
      </c>
      <c r="AC68" s="55">
        <f>_xll.EQNXTDZ($A$1,$B68,AC$5,$B$1)</f>
        <v>0</v>
      </c>
      <c r="AD68" s="55">
        <f>_xll.EQNXTDZ($A$1,$B68,AD$5,$B$1)</f>
        <v>358.17700000000002</v>
      </c>
      <c r="AE68" s="55">
        <f>_xll.EQNXTDZ($A$1,$B68,AE$5,$B$1)</f>
        <v>0</v>
      </c>
      <c r="AF68" s="55">
        <f>_xll.EQNXTDZ($A$1,$B68,AF$5,$B$1)</f>
        <v>370.24599999999998</v>
      </c>
      <c r="AG68" s="55">
        <f>_xll.EQNXTDZ($A$1,$B68,AG$5,$B$1)</f>
        <v>0</v>
      </c>
      <c r="AH68" s="55">
        <f>_xll.EQNXTDZ($A$1,$B68,AH$5,$B$1)</f>
        <v>370.94600000000003</v>
      </c>
      <c r="AI68" s="55">
        <f>_xll.EQNXTDZ($A$1,$B68,AI$5,$B$1)</f>
        <v>0</v>
      </c>
      <c r="AJ68" s="55">
        <f>_xll.EQNXTDZ($A$1,$B68,AJ$5,$B$1)</f>
        <v>366.46199999999999</v>
      </c>
      <c r="AK68" s="55">
        <f>_xll.EQNXTDZ($A$1,$B68,AK$5,$B$1)</f>
        <v>0</v>
      </c>
      <c r="AL68" s="55">
        <f>_xll.EQNXTDZ($A$1,$B68,AL$5,$B$1)</f>
        <v>360.88600000000002</v>
      </c>
      <c r="AM68" s="55">
        <f>_xll.EQNXTDZ($A$1,$B68,AM$5,$B$1)</f>
        <v>0</v>
      </c>
      <c r="AN68" s="55">
        <f>_xll.EQNXTDZ($A$1,$B68,AN$5,$B$1)</f>
        <v>355.02699999999999</v>
      </c>
      <c r="AO68" s="55">
        <f>_xll.EQNXTDZ($A$1,$B68,AO$5,$B$1)</f>
        <v>0</v>
      </c>
      <c r="AP68" s="55">
        <f>_xll.EQNXTDZ($A$1,$B68,AP$5,$B$1)</f>
        <v>399.06</v>
      </c>
      <c r="AQ68" s="55">
        <f>_xll.EQNXTDZ($A$1,$B68,AQ$5,$B$1)</f>
        <v>0</v>
      </c>
      <c r="AR68" s="55">
        <f>_xll.EQNXTDZ($A$1,$B68,AR$5,$B$1)</f>
        <v>403.57</v>
      </c>
      <c r="AS68" s="55">
        <f>_xll.EQNXTDZ($A$1,$B68,AS$5,$B$1)</f>
        <v>0</v>
      </c>
      <c r="AT68" s="55">
        <f>_xll.EQNXTDZ($A$1,$B68,AT$5,$B$1)</f>
        <v>481.74</v>
      </c>
      <c r="AU68" s="55">
        <f>_xll.EQNXTDZ($A$1,$B68,AU$5,$B$1)</f>
        <v>0</v>
      </c>
      <c r="AV68" s="55">
        <f>_xll.EQNXTDZ($A$1,$B68,AV$5,$B$1)</f>
        <v>897.33</v>
      </c>
      <c r="AW68" s="55">
        <f>_xll.EQNXTDZ($A$1,$B68,AW$5,$B$1)</f>
        <v>0</v>
      </c>
      <c r="AX68" s="55">
        <f>_xll.EQNXTDZ($A$1,$B68,AX$5,$B$1)</f>
        <v>1156.75</v>
      </c>
      <c r="AY68" s="55">
        <f>_xll.EQNXTDZ($A$1,$B68,AY$5,$B$1)</f>
        <v>0</v>
      </c>
      <c r="AZ68" s="55">
        <f>_xll.EQNXTDZ($A$1,$B68,AZ$5,$B$1)</f>
        <v>1447.77</v>
      </c>
      <c r="BA68" s="55">
        <f>_xll.EQNXTDZ($A$1,$B68,BA$5,$B$1)</f>
        <v>0</v>
      </c>
      <c r="BB68" s="55">
        <f>_xll.EQNXTDZ($A$1,$B68,BB$5,$B$1)</f>
        <v>1607.81</v>
      </c>
      <c r="BC68" s="55">
        <f>_xll.EQNXTDZ($A$1,$B68,BC$5,$B$1)</f>
        <v>0</v>
      </c>
      <c r="BD68" s="55">
        <f>_xll.EQNXTDZ($A$1,$B68,BD$5,$B$1)</f>
        <v>6436.05</v>
      </c>
      <c r="BE68" s="55">
        <f>_xll.EQNXTDZ($A$1,$B68,BE$5,$B$1)</f>
        <v>0</v>
      </c>
      <c r="BF68" s="55">
        <f>_xll.EQNXTDZ($A$1,$B68,BF$5,$B$1)</f>
        <v>11085.71</v>
      </c>
      <c r="BG68" s="55">
        <f>_xll.EQNXTDZ($A$1,$B68,BG$5,$B$1)</f>
        <v>0</v>
      </c>
      <c r="BH68" s="55">
        <f>_xll.EQNXTDZ($A$1,$B68,BH$5,$B$1)</f>
        <v>0</v>
      </c>
      <c r="BI68" s="55">
        <f>_xll.EQNXTDZ($A$1,$B68,BI$5,$B$1)</f>
        <v>0</v>
      </c>
      <c r="BJ68" s="55">
        <f>_xll.EQNXTDZ($A$1,$B68,BJ$5,$B$1)</f>
        <v>0</v>
      </c>
      <c r="BK68" s="55">
        <f>_xll.EQNXTDZ($A$1,$B68,BK$5,$B$1)</f>
        <v>0</v>
      </c>
      <c r="BL68" s="55">
        <f>_xll.EQNXTDZ($A$1,$B68,BL$5,$B$1)</f>
        <v>0</v>
      </c>
      <c r="BM68" s="55">
        <f>_xll.EQNXTDZ($A$1,$B68,BM$5,$B$1)</f>
        <v>0</v>
      </c>
      <c r="BN68" s="55">
        <f>_xll.EQNXTDZ($A$1,$B68,BN$5,$B$1)</f>
        <v>0</v>
      </c>
      <c r="BO68" s="55">
        <f>_xll.EQNXTDZ($A$1,$B68,BO$5,$B$1)</f>
        <v>0</v>
      </c>
      <c r="BP68" s="55">
        <f>_xll.EQNXTDZ($A$1,$B68,BP$5,$B$1)</f>
        <v>0</v>
      </c>
      <c r="BQ68" s="55">
        <f>_xll.EQNXTDZ($A$1,$B68,BQ$5,$B$1)</f>
        <v>0</v>
      </c>
      <c r="BR68" s="55">
        <f>_xll.EQNXTDZ($A$1,$B68,BR$5,$B$1)</f>
        <v>0</v>
      </c>
      <c r="BS68" s="55">
        <f>_xll.EQNXTDZ($A$1,$B68,BS$5,$B$1)</f>
        <v>0</v>
      </c>
      <c r="BT68" s="55">
        <f>_xll.EQNXTDZ($A$1,$B68,BT$5,$B$1)</f>
        <v>0</v>
      </c>
      <c r="BU68" s="55">
        <f>_xll.EQNXTDZ($A$1,$B68,BU$5,$B$1)</f>
        <v>0</v>
      </c>
      <c r="BV68" s="55">
        <f>_xll.EQNXTDZ($A$1,$B68,BV$5,$B$1)</f>
        <v>0</v>
      </c>
    </row>
    <row r="69" spans="1:74" x14ac:dyDescent="0.25">
      <c r="A69" t="s">
        <v>51</v>
      </c>
      <c r="B69" t="s">
        <v>385</v>
      </c>
      <c r="C69" s="55">
        <f>_xll.EQNXTDZ($A$1,$B69,C$5,$B$1)</f>
        <v>0</v>
      </c>
      <c r="D69" s="55">
        <f>_xll.EQNXTDZ($A$1,$B69,D$5,$B$1)</f>
        <v>0</v>
      </c>
      <c r="E69" s="55">
        <f>_xll.EQNXTDZ($A$1,$B69,E$5,$B$1)</f>
        <v>0</v>
      </c>
      <c r="F69" s="55">
        <f>_xll.EQNXTDZ($A$1,$B69,F$5,$B$1)</f>
        <v>0</v>
      </c>
      <c r="G69" s="55">
        <f>_xll.EQNXTDZ($A$1,$B69,G$5,$B$1)</f>
        <v>0</v>
      </c>
      <c r="H69" s="55">
        <f>_xll.EQNXTDZ($A$1,$B69,H$5,$B$1)</f>
        <v>0</v>
      </c>
      <c r="I69" s="55">
        <f>_xll.EQNXTDZ($A$1,$B69,I$5,$B$1)</f>
        <v>0</v>
      </c>
      <c r="J69" s="55">
        <f>_xll.EQNXTDZ($A$1,$B69,J$5,$B$1)</f>
        <v>0</v>
      </c>
      <c r="K69" s="55">
        <f>_xll.EQNXTDZ($A$1,$B69,K$5,$B$1)</f>
        <v>0</v>
      </c>
      <c r="L69" s="55">
        <f>_xll.EQNXTDZ($A$1,$B69,L$5,$B$1)</f>
        <v>0</v>
      </c>
      <c r="M69" s="55">
        <f>_xll.EQNXTDZ($A$1,$B69,M$5,$B$1)</f>
        <v>0</v>
      </c>
      <c r="N69" s="55">
        <f>_xll.EQNXTDZ($A$1,$B69,N$5,$B$1)</f>
        <v>0</v>
      </c>
      <c r="O69" s="55">
        <f>_xll.EQNXTDZ($A$1,$B69,O$5,$B$1)</f>
        <v>0</v>
      </c>
      <c r="P69" s="55">
        <f>_xll.EQNXTDZ($A$1,$B69,P$5,$B$1)</f>
        <v>0</v>
      </c>
      <c r="Q69" s="55">
        <f>_xll.EQNXTDZ($A$1,$B69,Q$5,$B$1)</f>
        <v>0</v>
      </c>
      <c r="R69" s="55">
        <f>_xll.EQNXTDZ($A$1,$B69,R$5,$B$1)</f>
        <v>0</v>
      </c>
      <c r="S69" s="55">
        <f>_xll.EQNXTDZ($A$1,$B69,S$5,$B$1)</f>
        <v>0</v>
      </c>
      <c r="T69" s="55">
        <f>_xll.EQNXTDZ($A$1,$B69,T$5,$B$1)</f>
        <v>0</v>
      </c>
      <c r="U69" s="55">
        <f>_xll.EQNXTDZ($A$1,$B69,U$5,$B$1)</f>
        <v>0</v>
      </c>
      <c r="V69" s="55">
        <f>_xll.EQNXTDZ($A$1,$B69,V$5,$B$1)</f>
        <v>0</v>
      </c>
      <c r="W69" s="55">
        <f>_xll.EQNXTDZ($A$1,$B69,W$5,$B$1)</f>
        <v>0</v>
      </c>
      <c r="X69" s="55">
        <f>_xll.EQNXTDZ($A$1,$B69,X$5,$B$1)</f>
        <v>0</v>
      </c>
      <c r="Y69" s="55">
        <f>_xll.EQNXTDZ($A$1,$B69,Y$5,$B$1)</f>
        <v>0</v>
      </c>
      <c r="Z69" s="55">
        <f>_xll.EQNXTDZ($A$1,$B69,Z$5,$B$1)</f>
        <v>0</v>
      </c>
      <c r="AA69" s="55">
        <f>_xll.EQNXTDZ($A$1,$B69,AA$5,$B$1)</f>
        <v>0</v>
      </c>
      <c r="AB69" s="55">
        <f>_xll.EQNXTDZ($A$1,$B69,AB$5,$B$1)</f>
        <v>0</v>
      </c>
      <c r="AC69" s="55">
        <f>_xll.EQNXTDZ($A$1,$B69,AC$5,$B$1)</f>
        <v>0</v>
      </c>
      <c r="AD69" s="55">
        <f>_xll.EQNXTDZ($A$1,$B69,AD$5,$B$1)</f>
        <v>0</v>
      </c>
      <c r="AE69" s="55">
        <f>_xll.EQNXTDZ($A$1,$B69,AE$5,$B$1)</f>
        <v>0</v>
      </c>
      <c r="AF69" s="55">
        <f>_xll.EQNXTDZ($A$1,$B69,AF$5,$B$1)</f>
        <v>0</v>
      </c>
      <c r="AG69" s="55">
        <f>_xll.EQNXTDZ($A$1,$B69,AG$5,$B$1)</f>
        <v>0</v>
      </c>
      <c r="AH69" s="55">
        <f>_xll.EQNXTDZ($A$1,$B69,AH$5,$B$1)</f>
        <v>0</v>
      </c>
      <c r="AI69" s="55">
        <f>_xll.EQNXTDZ($A$1,$B69,AI$5,$B$1)</f>
        <v>0</v>
      </c>
      <c r="AJ69" s="55">
        <f>_xll.EQNXTDZ($A$1,$B69,AJ$5,$B$1)</f>
        <v>0</v>
      </c>
      <c r="AK69" s="55">
        <f>_xll.EQNXTDZ($A$1,$B69,AK$5,$B$1)</f>
        <v>0</v>
      </c>
      <c r="AL69" s="55">
        <f>_xll.EQNXTDZ($A$1,$B69,AL$5,$B$1)</f>
        <v>0</v>
      </c>
      <c r="AM69" s="55">
        <f>_xll.EQNXTDZ($A$1,$B69,AM$5,$B$1)</f>
        <v>0</v>
      </c>
      <c r="AN69" s="55">
        <f>_xll.EQNXTDZ($A$1,$B69,AN$5,$B$1)</f>
        <v>0</v>
      </c>
      <c r="AO69" s="55">
        <f>_xll.EQNXTDZ($A$1,$B69,AO$5,$B$1)</f>
        <v>0</v>
      </c>
      <c r="AP69" s="55">
        <f>_xll.EQNXTDZ($A$1,$B69,AP$5,$B$1)</f>
        <v>0</v>
      </c>
      <c r="AQ69" s="55">
        <f>_xll.EQNXTDZ($A$1,$B69,AQ$5,$B$1)</f>
        <v>0</v>
      </c>
      <c r="AR69" s="55">
        <f>_xll.EQNXTDZ($A$1,$B69,AR$5,$B$1)</f>
        <v>0</v>
      </c>
      <c r="AS69" s="55">
        <f>_xll.EQNXTDZ($A$1,$B69,AS$5,$B$1)</f>
        <v>0</v>
      </c>
      <c r="AT69" s="55">
        <f>_xll.EQNXTDZ($A$1,$B69,AT$5,$B$1)</f>
        <v>0</v>
      </c>
      <c r="AU69" s="55">
        <f>_xll.EQNXTDZ($A$1,$B69,AU$5,$B$1)</f>
        <v>0</v>
      </c>
      <c r="AV69" s="55">
        <f>_xll.EQNXTDZ($A$1,$B69,AV$5,$B$1)</f>
        <v>0</v>
      </c>
      <c r="AW69" s="55">
        <f>_xll.EQNXTDZ($A$1,$B69,AW$5,$B$1)</f>
        <v>0</v>
      </c>
      <c r="AX69" s="55">
        <f>_xll.EQNXTDZ($A$1,$B69,AX$5,$B$1)</f>
        <v>0</v>
      </c>
      <c r="AY69" s="55">
        <f>_xll.EQNXTDZ($A$1,$B69,AY$5,$B$1)</f>
        <v>0</v>
      </c>
      <c r="AZ69" s="55">
        <f>_xll.EQNXTDZ($A$1,$B69,AZ$5,$B$1)</f>
        <v>0</v>
      </c>
      <c r="BA69" s="55">
        <f>_xll.EQNXTDZ($A$1,$B69,BA$5,$B$1)</f>
        <v>0</v>
      </c>
      <c r="BB69" s="55">
        <f>_xll.EQNXTDZ($A$1,$B69,BB$5,$B$1)</f>
        <v>0</v>
      </c>
      <c r="BC69" s="55">
        <f>_xll.EQNXTDZ($A$1,$B69,BC$5,$B$1)</f>
        <v>0</v>
      </c>
      <c r="BD69" s="55">
        <f>_xll.EQNXTDZ($A$1,$B69,BD$5,$B$1)</f>
        <v>0</v>
      </c>
      <c r="BE69" s="55">
        <f>_xll.EQNXTDZ($A$1,$B69,BE$5,$B$1)</f>
        <v>0</v>
      </c>
      <c r="BF69" s="55">
        <f>_xll.EQNXTDZ($A$1,$B69,BF$5,$B$1)</f>
        <v>0</v>
      </c>
      <c r="BG69" s="55">
        <f>_xll.EQNXTDZ($A$1,$B69,BG$5,$B$1)</f>
        <v>0</v>
      </c>
      <c r="BH69" s="55">
        <f>_xll.EQNXTDZ($A$1,$B69,BH$5,$B$1)</f>
        <v>0</v>
      </c>
      <c r="BI69" s="55">
        <f>_xll.EQNXTDZ($A$1,$B69,BI$5,$B$1)</f>
        <v>0</v>
      </c>
      <c r="BJ69" s="55">
        <f>_xll.EQNXTDZ($A$1,$B69,BJ$5,$B$1)</f>
        <v>0</v>
      </c>
      <c r="BK69" s="55">
        <f>_xll.EQNXTDZ($A$1,$B69,BK$5,$B$1)</f>
        <v>0</v>
      </c>
      <c r="BL69" s="55">
        <f>_xll.EQNXTDZ($A$1,$B69,BL$5,$B$1)</f>
        <v>0</v>
      </c>
      <c r="BM69" s="55">
        <f>_xll.EQNXTDZ($A$1,$B69,BM$5,$B$1)</f>
        <v>0</v>
      </c>
      <c r="BN69" s="55">
        <f>_xll.EQNXTDZ($A$1,$B69,BN$5,$B$1)</f>
        <v>0</v>
      </c>
      <c r="BO69" s="55">
        <f>_xll.EQNXTDZ($A$1,$B69,BO$5,$B$1)</f>
        <v>0</v>
      </c>
      <c r="BP69" s="55">
        <f>_xll.EQNXTDZ($A$1,$B69,BP$5,$B$1)</f>
        <v>0</v>
      </c>
      <c r="BQ69" s="55">
        <f>_xll.EQNXTDZ($A$1,$B69,BQ$5,$B$1)</f>
        <v>0</v>
      </c>
      <c r="BR69" s="55">
        <f>_xll.EQNXTDZ($A$1,$B69,BR$5,$B$1)</f>
        <v>0</v>
      </c>
      <c r="BS69" s="55">
        <f>_xll.EQNXTDZ($A$1,$B69,BS$5,$B$1)</f>
        <v>0</v>
      </c>
      <c r="BT69" s="55">
        <f>_xll.EQNXTDZ($A$1,$B69,BT$5,$B$1)</f>
        <v>0</v>
      </c>
      <c r="BU69" s="55">
        <f>_xll.EQNXTDZ($A$1,$B69,BU$5,$B$1)</f>
        <v>0</v>
      </c>
      <c r="BV69" s="55">
        <f>_xll.EQNXTDZ($A$1,$B69,BV$5,$B$1)</f>
        <v>0</v>
      </c>
    </row>
    <row r="70" spans="1:74" x14ac:dyDescent="0.25">
      <c r="A70" t="s">
        <v>52</v>
      </c>
      <c r="B70" t="s">
        <v>386</v>
      </c>
      <c r="C70" s="55">
        <f>_xll.EQNXTDZ($A$1,$B70,C$5,$B$1)</f>
        <v>0</v>
      </c>
      <c r="D70" s="55">
        <f>_xll.EQNXTDZ($A$1,$B70,D$5,$B$1)</f>
        <v>0</v>
      </c>
      <c r="E70" s="55">
        <f>_xll.EQNXTDZ($A$1,$B70,E$5,$B$1)</f>
        <v>0</v>
      </c>
      <c r="F70" s="55">
        <f>_xll.EQNXTDZ($A$1,$B70,F$5,$B$1)</f>
        <v>0</v>
      </c>
      <c r="G70" s="55">
        <f>_xll.EQNXTDZ($A$1,$B70,G$5,$B$1)</f>
        <v>0</v>
      </c>
      <c r="H70" s="55">
        <f>_xll.EQNXTDZ($A$1,$B70,H$5,$B$1)</f>
        <v>0</v>
      </c>
      <c r="I70" s="55">
        <f>_xll.EQNXTDZ($A$1,$B70,I$5,$B$1)</f>
        <v>0</v>
      </c>
      <c r="J70" s="55">
        <f>_xll.EQNXTDZ($A$1,$B70,J$5,$B$1)</f>
        <v>0</v>
      </c>
      <c r="K70" s="55">
        <f>_xll.EQNXTDZ($A$1,$B70,K$5,$B$1)</f>
        <v>0</v>
      </c>
      <c r="L70" s="55">
        <f>_xll.EQNXTDZ($A$1,$B70,L$5,$B$1)</f>
        <v>0</v>
      </c>
      <c r="M70" s="55">
        <f>_xll.EQNXTDZ($A$1,$B70,M$5,$B$1)</f>
        <v>0</v>
      </c>
      <c r="N70" s="55">
        <f>_xll.EQNXTDZ($A$1,$B70,N$5,$B$1)</f>
        <v>0</v>
      </c>
      <c r="O70" s="55">
        <f>_xll.EQNXTDZ($A$1,$B70,O$5,$B$1)</f>
        <v>0</v>
      </c>
      <c r="P70" s="55">
        <f>_xll.EQNXTDZ($A$1,$B70,P$5,$B$1)</f>
        <v>0</v>
      </c>
      <c r="Q70" s="55">
        <f>_xll.EQNXTDZ($A$1,$B70,Q$5,$B$1)</f>
        <v>0</v>
      </c>
      <c r="R70" s="55">
        <f>_xll.EQNXTDZ($A$1,$B70,R$5,$B$1)</f>
        <v>0</v>
      </c>
      <c r="S70" s="55">
        <f>_xll.EQNXTDZ($A$1,$B70,S$5,$B$1)</f>
        <v>0</v>
      </c>
      <c r="T70" s="55">
        <f>_xll.EQNXTDZ($A$1,$B70,T$5,$B$1)</f>
        <v>0</v>
      </c>
      <c r="U70" s="55">
        <f>_xll.EQNXTDZ($A$1,$B70,U$5,$B$1)</f>
        <v>0</v>
      </c>
      <c r="V70" s="55">
        <f>_xll.EQNXTDZ($A$1,$B70,V$5,$B$1)</f>
        <v>0</v>
      </c>
      <c r="W70" s="55">
        <f>_xll.EQNXTDZ($A$1,$B70,W$5,$B$1)</f>
        <v>0</v>
      </c>
      <c r="X70" s="55">
        <f>_xll.EQNXTDZ($A$1,$B70,X$5,$B$1)</f>
        <v>0</v>
      </c>
      <c r="Y70" s="55">
        <f>_xll.EQNXTDZ($A$1,$B70,Y$5,$B$1)</f>
        <v>0</v>
      </c>
      <c r="Z70" s="55">
        <f>_xll.EQNXTDZ($A$1,$B70,Z$5,$B$1)</f>
        <v>0</v>
      </c>
      <c r="AA70" s="55">
        <f>_xll.EQNXTDZ($A$1,$B70,AA$5,$B$1)</f>
        <v>0</v>
      </c>
      <c r="AB70" s="55">
        <f>_xll.EQNXTDZ($A$1,$B70,AB$5,$B$1)</f>
        <v>0</v>
      </c>
      <c r="AC70" s="55">
        <f>_xll.EQNXTDZ($A$1,$B70,AC$5,$B$1)</f>
        <v>0</v>
      </c>
      <c r="AD70" s="55">
        <f>_xll.EQNXTDZ($A$1,$B70,AD$5,$B$1)</f>
        <v>0</v>
      </c>
      <c r="AE70" s="55">
        <f>_xll.EQNXTDZ($A$1,$B70,AE$5,$B$1)</f>
        <v>0</v>
      </c>
      <c r="AF70" s="55">
        <f>_xll.EQNXTDZ($A$1,$B70,AF$5,$B$1)</f>
        <v>0</v>
      </c>
      <c r="AG70" s="55">
        <f>_xll.EQNXTDZ($A$1,$B70,AG$5,$B$1)</f>
        <v>0</v>
      </c>
      <c r="AH70" s="55">
        <f>_xll.EQNXTDZ($A$1,$B70,AH$5,$B$1)</f>
        <v>0</v>
      </c>
      <c r="AI70" s="55">
        <f>_xll.EQNXTDZ($A$1,$B70,AI$5,$B$1)</f>
        <v>0</v>
      </c>
      <c r="AJ70" s="55">
        <f>_xll.EQNXTDZ($A$1,$B70,AJ$5,$B$1)</f>
        <v>0</v>
      </c>
      <c r="AK70" s="55">
        <f>_xll.EQNXTDZ($A$1,$B70,AK$5,$B$1)</f>
        <v>0</v>
      </c>
      <c r="AL70" s="55">
        <f>_xll.EQNXTDZ($A$1,$B70,AL$5,$B$1)</f>
        <v>0</v>
      </c>
      <c r="AM70" s="55">
        <f>_xll.EQNXTDZ($A$1,$B70,AM$5,$B$1)</f>
        <v>0</v>
      </c>
      <c r="AN70" s="55">
        <f>_xll.EQNXTDZ($A$1,$B70,AN$5,$B$1)</f>
        <v>0</v>
      </c>
      <c r="AO70" s="55">
        <f>_xll.EQNXTDZ($A$1,$B70,AO$5,$B$1)</f>
        <v>0</v>
      </c>
      <c r="AP70" s="55">
        <f>_xll.EQNXTDZ($A$1,$B70,AP$5,$B$1)</f>
        <v>0</v>
      </c>
      <c r="AQ70" s="55">
        <f>_xll.EQNXTDZ($A$1,$B70,AQ$5,$B$1)</f>
        <v>0</v>
      </c>
      <c r="AR70" s="55">
        <f>_xll.EQNXTDZ($A$1,$B70,AR$5,$B$1)</f>
        <v>0</v>
      </c>
      <c r="AS70" s="55">
        <f>_xll.EQNXTDZ($A$1,$B70,AS$5,$B$1)</f>
        <v>0</v>
      </c>
      <c r="AT70" s="55">
        <f>_xll.EQNXTDZ($A$1,$B70,AT$5,$B$1)</f>
        <v>0</v>
      </c>
      <c r="AU70" s="55">
        <f>_xll.EQNXTDZ($A$1,$B70,AU$5,$B$1)</f>
        <v>0</v>
      </c>
      <c r="AV70" s="55">
        <f>_xll.EQNXTDZ($A$1,$B70,AV$5,$B$1)</f>
        <v>0</v>
      </c>
      <c r="AW70" s="55">
        <f>_xll.EQNXTDZ($A$1,$B70,AW$5,$B$1)</f>
        <v>0</v>
      </c>
      <c r="AX70" s="55">
        <f>_xll.EQNXTDZ($A$1,$B70,AX$5,$B$1)</f>
        <v>0</v>
      </c>
      <c r="AY70" s="55">
        <f>_xll.EQNXTDZ($A$1,$B70,AY$5,$B$1)</f>
        <v>0</v>
      </c>
      <c r="AZ70" s="55">
        <f>_xll.EQNXTDZ($A$1,$B70,AZ$5,$B$1)</f>
        <v>0</v>
      </c>
      <c r="BA70" s="55">
        <f>_xll.EQNXTDZ($A$1,$B70,BA$5,$B$1)</f>
        <v>0</v>
      </c>
      <c r="BB70" s="55">
        <f>_xll.EQNXTDZ($A$1,$B70,BB$5,$B$1)</f>
        <v>0</v>
      </c>
      <c r="BC70" s="55">
        <f>_xll.EQNXTDZ($A$1,$B70,BC$5,$B$1)</f>
        <v>0</v>
      </c>
      <c r="BD70" s="55">
        <f>_xll.EQNXTDZ($A$1,$B70,BD$5,$B$1)</f>
        <v>0</v>
      </c>
      <c r="BE70" s="55">
        <f>_xll.EQNXTDZ($A$1,$B70,BE$5,$B$1)</f>
        <v>0</v>
      </c>
      <c r="BF70" s="55">
        <f>_xll.EQNXTDZ($A$1,$B70,BF$5,$B$1)</f>
        <v>0</v>
      </c>
      <c r="BG70" s="55">
        <f>_xll.EQNXTDZ($A$1,$B70,BG$5,$B$1)</f>
        <v>0</v>
      </c>
      <c r="BH70" s="55">
        <f>_xll.EQNXTDZ($A$1,$B70,BH$5,$B$1)</f>
        <v>0</v>
      </c>
      <c r="BI70" s="55">
        <f>_xll.EQNXTDZ($A$1,$B70,BI$5,$B$1)</f>
        <v>0</v>
      </c>
      <c r="BJ70" s="55">
        <f>_xll.EQNXTDZ($A$1,$B70,BJ$5,$B$1)</f>
        <v>0</v>
      </c>
      <c r="BK70" s="55">
        <f>_xll.EQNXTDZ($A$1,$B70,BK$5,$B$1)</f>
        <v>0</v>
      </c>
      <c r="BL70" s="55">
        <f>_xll.EQNXTDZ($A$1,$B70,BL$5,$B$1)</f>
        <v>0</v>
      </c>
      <c r="BM70" s="55">
        <f>_xll.EQNXTDZ($A$1,$B70,BM$5,$B$1)</f>
        <v>0</v>
      </c>
      <c r="BN70" s="55">
        <f>_xll.EQNXTDZ($A$1,$B70,BN$5,$B$1)</f>
        <v>0</v>
      </c>
      <c r="BO70" s="55">
        <f>_xll.EQNXTDZ($A$1,$B70,BO$5,$B$1)</f>
        <v>0</v>
      </c>
      <c r="BP70" s="55">
        <f>_xll.EQNXTDZ($A$1,$B70,BP$5,$B$1)</f>
        <v>0</v>
      </c>
      <c r="BQ70" s="55">
        <f>_xll.EQNXTDZ($A$1,$B70,BQ$5,$B$1)</f>
        <v>0</v>
      </c>
      <c r="BR70" s="55">
        <f>_xll.EQNXTDZ($A$1,$B70,BR$5,$B$1)</f>
        <v>0</v>
      </c>
      <c r="BS70" s="55">
        <f>_xll.EQNXTDZ($A$1,$B70,BS$5,$B$1)</f>
        <v>0</v>
      </c>
      <c r="BT70" s="55">
        <f>_xll.EQNXTDZ($A$1,$B70,BT$5,$B$1)</f>
        <v>0</v>
      </c>
      <c r="BU70" s="55">
        <f>_xll.EQNXTDZ($A$1,$B70,BU$5,$B$1)</f>
        <v>0</v>
      </c>
      <c r="BV70" s="55">
        <f>_xll.EQNXTDZ($A$1,$B70,BV$5,$B$1)</f>
        <v>0</v>
      </c>
    </row>
    <row r="71" spans="1:74" x14ac:dyDescent="0.25">
      <c r="A71" t="s">
        <v>359</v>
      </c>
      <c r="B71" t="s">
        <v>387</v>
      </c>
      <c r="C71" s="55">
        <f>_xll.EQNXTDZ($A$1,$B71,C$5,$B$1)</f>
        <v>0</v>
      </c>
      <c r="D71" s="55">
        <f>_xll.EQNXTDZ($A$1,$B71,D$5,$B$1)</f>
        <v>307.09300000000002</v>
      </c>
      <c r="E71" s="55">
        <f>_xll.EQNXTDZ($A$1,$B71,E$5,$B$1)</f>
        <v>0</v>
      </c>
      <c r="F71" s="55">
        <f>_xll.EQNXTDZ($A$1,$B71,F$5,$B$1)</f>
        <v>298.85300000000001</v>
      </c>
      <c r="G71" s="55">
        <f>_xll.EQNXTDZ($A$1,$B71,G$5,$B$1)</f>
        <v>0</v>
      </c>
      <c r="H71" s="55">
        <f>_xll.EQNXTDZ($A$1,$B71,H$5,$B$1)</f>
        <v>290.08300000000003</v>
      </c>
      <c r="I71" s="55">
        <f>_xll.EQNXTDZ($A$1,$B71,I$5,$B$1)</f>
        <v>0</v>
      </c>
      <c r="J71" s="55">
        <f>_xll.EQNXTDZ($A$1,$B71,J$5,$B$1)</f>
        <v>280.06299999999999</v>
      </c>
      <c r="K71" s="55">
        <f>_xll.EQNXTDZ($A$1,$B71,K$5,$B$1)</f>
        <v>0</v>
      </c>
      <c r="L71" s="55">
        <f>_xll.EQNXTDZ($A$1,$B71,L$5,$B$1)</f>
        <v>281.29300000000001</v>
      </c>
      <c r="M71" s="55">
        <f>_xll.EQNXTDZ($A$1,$B71,M$5,$B$1)</f>
        <v>0</v>
      </c>
      <c r="N71" s="55">
        <f>_xll.EQNXTDZ($A$1,$B71,N$5,$B$1)</f>
        <v>276.42500000000001</v>
      </c>
      <c r="O71" s="55">
        <f>_xll.EQNXTDZ($A$1,$B71,O$5,$B$1)</f>
        <v>0</v>
      </c>
      <c r="P71" s="55">
        <f>_xll.EQNXTDZ($A$1,$B71,P$5,$B$1)</f>
        <v>283.125</v>
      </c>
      <c r="Q71" s="55">
        <f>_xll.EQNXTDZ($A$1,$B71,Q$5,$B$1)</f>
        <v>0</v>
      </c>
      <c r="R71" s="55">
        <f>_xll.EQNXTDZ($A$1,$B71,R$5,$B$1)</f>
        <v>292.65899999999999</v>
      </c>
      <c r="S71" s="55">
        <f>_xll.EQNXTDZ($A$1,$B71,S$5,$B$1)</f>
        <v>0</v>
      </c>
      <c r="T71" s="55">
        <f>_xll.EQNXTDZ($A$1,$B71,T$5,$B$1)</f>
        <v>295.14</v>
      </c>
      <c r="U71" s="55">
        <f>_xll.EQNXTDZ($A$1,$B71,U$5,$B$1)</f>
        <v>0</v>
      </c>
      <c r="V71" s="55">
        <f>_xll.EQNXTDZ($A$1,$B71,V$5,$B$1)</f>
        <v>319.88799999999998</v>
      </c>
      <c r="W71" s="55">
        <f>_xll.EQNXTDZ($A$1,$B71,W$5,$B$1)</f>
        <v>0</v>
      </c>
      <c r="X71" s="55">
        <f>_xll.EQNXTDZ($A$1,$B71,X$5,$B$1)</f>
        <v>314.45999999999998</v>
      </c>
      <c r="Y71" s="55">
        <f>_xll.EQNXTDZ($A$1,$B71,Y$5,$B$1)</f>
        <v>0</v>
      </c>
      <c r="Z71" s="55">
        <f>_xll.EQNXTDZ($A$1,$B71,Z$5,$B$1)</f>
        <v>348.23500000000001</v>
      </c>
      <c r="AA71" s="55">
        <f>_xll.EQNXTDZ($A$1,$B71,AA$5,$B$1)</f>
        <v>0</v>
      </c>
      <c r="AB71" s="55">
        <f>_xll.EQNXTDZ($A$1,$B71,AB$5,$B$1)</f>
        <v>379.16899999999998</v>
      </c>
      <c r="AC71" s="55">
        <f>_xll.EQNXTDZ($A$1,$B71,AC$5,$B$1)</f>
        <v>0</v>
      </c>
      <c r="AD71" s="55">
        <f>_xll.EQNXTDZ($A$1,$B71,AD$5,$B$1)</f>
        <v>358.17700000000002</v>
      </c>
      <c r="AE71" s="55">
        <f>_xll.EQNXTDZ($A$1,$B71,AE$5,$B$1)</f>
        <v>0</v>
      </c>
      <c r="AF71" s="55">
        <f>_xll.EQNXTDZ($A$1,$B71,AF$5,$B$1)</f>
        <v>370.24599999999998</v>
      </c>
      <c r="AG71" s="55">
        <f>_xll.EQNXTDZ($A$1,$B71,AG$5,$B$1)</f>
        <v>0</v>
      </c>
      <c r="AH71" s="55">
        <f>_xll.EQNXTDZ($A$1,$B71,AH$5,$B$1)</f>
        <v>370.94600000000003</v>
      </c>
      <c r="AI71" s="55">
        <f>_xll.EQNXTDZ($A$1,$B71,AI$5,$B$1)</f>
        <v>0</v>
      </c>
      <c r="AJ71" s="55">
        <f>_xll.EQNXTDZ($A$1,$B71,AJ$5,$B$1)</f>
        <v>366.46199999999999</v>
      </c>
      <c r="AK71" s="55">
        <f>_xll.EQNXTDZ($A$1,$B71,AK$5,$B$1)</f>
        <v>0</v>
      </c>
      <c r="AL71" s="55">
        <f>_xll.EQNXTDZ($A$1,$B71,AL$5,$B$1)</f>
        <v>360.88600000000002</v>
      </c>
      <c r="AM71" s="55">
        <f>_xll.EQNXTDZ($A$1,$B71,AM$5,$B$1)</f>
        <v>0</v>
      </c>
      <c r="AN71" s="55">
        <f>_xll.EQNXTDZ($A$1,$B71,AN$5,$B$1)</f>
        <v>355.02699999999999</v>
      </c>
      <c r="AO71" s="55">
        <f>_xll.EQNXTDZ($A$1,$B71,AO$5,$B$1)</f>
        <v>0</v>
      </c>
      <c r="AP71" s="55">
        <f>_xll.EQNXTDZ($A$1,$B71,AP$5,$B$1)</f>
        <v>399.06</v>
      </c>
      <c r="AQ71" s="55">
        <f>_xll.EQNXTDZ($A$1,$B71,AQ$5,$B$1)</f>
        <v>0</v>
      </c>
      <c r="AR71" s="55">
        <f>_xll.EQNXTDZ($A$1,$B71,AR$5,$B$1)</f>
        <v>403.57</v>
      </c>
      <c r="AS71" s="55">
        <f>_xll.EQNXTDZ($A$1,$B71,AS$5,$B$1)</f>
        <v>0</v>
      </c>
      <c r="AT71" s="55">
        <f>_xll.EQNXTDZ($A$1,$B71,AT$5,$B$1)</f>
        <v>481.74</v>
      </c>
      <c r="AU71" s="55">
        <f>_xll.EQNXTDZ($A$1,$B71,AU$5,$B$1)</f>
        <v>0</v>
      </c>
      <c r="AV71" s="55">
        <f>_xll.EQNXTDZ($A$1,$B71,AV$5,$B$1)</f>
        <v>897.33</v>
      </c>
      <c r="AW71" s="55">
        <f>_xll.EQNXTDZ($A$1,$B71,AW$5,$B$1)</f>
        <v>0</v>
      </c>
      <c r="AX71" s="55">
        <f>_xll.EQNXTDZ($A$1,$B71,AX$5,$B$1)</f>
        <v>1156.75</v>
      </c>
      <c r="AY71" s="55">
        <f>_xll.EQNXTDZ($A$1,$B71,AY$5,$B$1)</f>
        <v>0</v>
      </c>
      <c r="AZ71" s="55">
        <f>_xll.EQNXTDZ($A$1,$B71,AZ$5,$B$1)</f>
        <v>1447.77</v>
      </c>
      <c r="BA71" s="55">
        <f>_xll.EQNXTDZ($A$1,$B71,BA$5,$B$1)</f>
        <v>0</v>
      </c>
      <c r="BB71" s="55">
        <f>_xll.EQNXTDZ($A$1,$B71,BB$5,$B$1)</f>
        <v>1607.81</v>
      </c>
      <c r="BC71" s="55">
        <f>_xll.EQNXTDZ($A$1,$B71,BC$5,$B$1)</f>
        <v>0</v>
      </c>
      <c r="BD71" s="55">
        <f>_xll.EQNXTDZ($A$1,$B71,BD$5,$B$1)</f>
        <v>6436.05</v>
      </c>
      <c r="BE71" s="55">
        <f>_xll.EQNXTDZ($A$1,$B71,BE$5,$B$1)</f>
        <v>0</v>
      </c>
      <c r="BF71" s="55">
        <f>_xll.EQNXTDZ($A$1,$B71,BF$5,$B$1)</f>
        <v>11085.71</v>
      </c>
      <c r="BG71" s="55">
        <f>_xll.EQNXTDZ($A$1,$B71,BG$5,$B$1)</f>
        <v>0</v>
      </c>
      <c r="BH71" s="55">
        <f>_xll.EQNXTDZ($A$1,$B71,BH$5,$B$1)</f>
        <v>0</v>
      </c>
      <c r="BI71" s="55">
        <f>_xll.EQNXTDZ($A$1,$B71,BI$5,$B$1)</f>
        <v>0</v>
      </c>
      <c r="BJ71" s="55">
        <f>_xll.EQNXTDZ($A$1,$B71,BJ$5,$B$1)</f>
        <v>0</v>
      </c>
      <c r="BK71" s="55">
        <f>_xll.EQNXTDZ($A$1,$B71,BK$5,$B$1)</f>
        <v>0</v>
      </c>
      <c r="BL71" s="55">
        <f>_xll.EQNXTDZ($A$1,$B71,BL$5,$B$1)</f>
        <v>0</v>
      </c>
      <c r="BM71" s="55">
        <f>_xll.EQNXTDZ($A$1,$B71,BM$5,$B$1)</f>
        <v>0</v>
      </c>
      <c r="BN71" s="55">
        <f>_xll.EQNXTDZ($A$1,$B71,BN$5,$B$1)</f>
        <v>0</v>
      </c>
      <c r="BO71" s="55">
        <f>_xll.EQNXTDZ($A$1,$B71,BO$5,$B$1)</f>
        <v>0</v>
      </c>
      <c r="BP71" s="55">
        <f>_xll.EQNXTDZ($A$1,$B71,BP$5,$B$1)</f>
        <v>0</v>
      </c>
      <c r="BQ71" s="55">
        <f>_xll.EQNXTDZ($A$1,$B71,BQ$5,$B$1)</f>
        <v>0</v>
      </c>
      <c r="BR71" s="55">
        <f>_xll.EQNXTDZ($A$1,$B71,BR$5,$B$1)</f>
        <v>0</v>
      </c>
      <c r="BS71" s="55">
        <f>_xll.EQNXTDZ($A$1,$B71,BS$5,$B$1)</f>
        <v>0</v>
      </c>
      <c r="BT71" s="55">
        <f>_xll.EQNXTDZ($A$1,$B71,BT$5,$B$1)</f>
        <v>0</v>
      </c>
      <c r="BU71" s="55">
        <f>_xll.EQNXTDZ($A$1,$B71,BU$5,$B$1)</f>
        <v>0</v>
      </c>
      <c r="BV71" s="55">
        <f>_xll.EQNXTDZ($A$1,$B71,BV$5,$B$1)</f>
        <v>0</v>
      </c>
    </row>
    <row r="72" spans="1:74" x14ac:dyDescent="0.25">
      <c r="A72" t="s">
        <v>360</v>
      </c>
      <c r="B72" t="s">
        <v>388</v>
      </c>
      <c r="C72" s="55">
        <f>_xll.EQNXTDZ($A$1,$B72,C$5,$B$1)</f>
        <v>0</v>
      </c>
      <c r="D72" s="55">
        <f>_xll.EQNXTDZ($A$1,$B72,D$5,$B$1)</f>
        <v>0</v>
      </c>
      <c r="E72" s="55">
        <f>_xll.EQNXTDZ($A$1,$B72,E$5,$B$1)</f>
        <v>0</v>
      </c>
      <c r="F72" s="55">
        <f>_xll.EQNXTDZ($A$1,$B72,F$5,$B$1)</f>
        <v>0</v>
      </c>
      <c r="G72" s="55">
        <f>_xll.EQNXTDZ($A$1,$B72,G$5,$B$1)</f>
        <v>0</v>
      </c>
      <c r="H72" s="55">
        <f>_xll.EQNXTDZ($A$1,$B72,H$5,$B$1)</f>
        <v>0</v>
      </c>
      <c r="I72" s="55">
        <f>_xll.EQNXTDZ($A$1,$B72,I$5,$B$1)</f>
        <v>0</v>
      </c>
      <c r="J72" s="55">
        <f>_xll.EQNXTDZ($A$1,$B72,J$5,$B$1)</f>
        <v>0</v>
      </c>
      <c r="K72" s="55">
        <f>_xll.EQNXTDZ($A$1,$B72,K$5,$B$1)</f>
        <v>0</v>
      </c>
      <c r="L72" s="55">
        <f>_xll.EQNXTDZ($A$1,$B72,L$5,$B$1)</f>
        <v>0</v>
      </c>
      <c r="M72" s="55">
        <f>_xll.EQNXTDZ($A$1,$B72,M$5,$B$1)</f>
        <v>0</v>
      </c>
      <c r="N72" s="55">
        <f>_xll.EQNXTDZ($A$1,$B72,N$5,$B$1)</f>
        <v>0</v>
      </c>
      <c r="O72" s="55">
        <f>_xll.EQNXTDZ($A$1,$B72,O$5,$B$1)</f>
        <v>0</v>
      </c>
      <c r="P72" s="55">
        <f>_xll.EQNXTDZ($A$1,$B72,P$5,$B$1)</f>
        <v>0</v>
      </c>
      <c r="Q72" s="55">
        <f>_xll.EQNXTDZ($A$1,$B72,Q$5,$B$1)</f>
        <v>0</v>
      </c>
      <c r="R72" s="55">
        <f>_xll.EQNXTDZ($A$1,$B72,R$5,$B$1)</f>
        <v>0</v>
      </c>
      <c r="S72" s="55">
        <f>_xll.EQNXTDZ($A$1,$B72,S$5,$B$1)</f>
        <v>0</v>
      </c>
      <c r="T72" s="55">
        <f>_xll.EQNXTDZ($A$1,$B72,T$5,$B$1)</f>
        <v>0</v>
      </c>
      <c r="U72" s="55">
        <f>_xll.EQNXTDZ($A$1,$B72,U$5,$B$1)</f>
        <v>0</v>
      </c>
      <c r="V72" s="55">
        <f>_xll.EQNXTDZ($A$1,$B72,V$5,$B$1)</f>
        <v>0</v>
      </c>
      <c r="W72" s="55">
        <f>_xll.EQNXTDZ($A$1,$B72,W$5,$B$1)</f>
        <v>0</v>
      </c>
      <c r="X72" s="55">
        <f>_xll.EQNXTDZ($A$1,$B72,X$5,$B$1)</f>
        <v>0</v>
      </c>
      <c r="Y72" s="55">
        <f>_xll.EQNXTDZ($A$1,$B72,Y$5,$B$1)</f>
        <v>0</v>
      </c>
      <c r="Z72" s="55">
        <f>_xll.EQNXTDZ($A$1,$B72,Z$5,$B$1)</f>
        <v>0</v>
      </c>
      <c r="AA72" s="55">
        <f>_xll.EQNXTDZ($A$1,$B72,AA$5,$B$1)</f>
        <v>0</v>
      </c>
      <c r="AB72" s="55">
        <f>_xll.EQNXTDZ($A$1,$B72,AB$5,$B$1)</f>
        <v>0</v>
      </c>
      <c r="AC72" s="55">
        <f>_xll.EQNXTDZ($A$1,$B72,AC$5,$B$1)</f>
        <v>0</v>
      </c>
      <c r="AD72" s="55">
        <f>_xll.EQNXTDZ($A$1,$B72,AD$5,$B$1)</f>
        <v>0</v>
      </c>
      <c r="AE72" s="55">
        <f>_xll.EQNXTDZ($A$1,$B72,AE$5,$B$1)</f>
        <v>0</v>
      </c>
      <c r="AF72" s="55">
        <f>_xll.EQNXTDZ($A$1,$B72,AF$5,$B$1)</f>
        <v>0</v>
      </c>
      <c r="AG72" s="55">
        <f>_xll.EQNXTDZ($A$1,$B72,AG$5,$B$1)</f>
        <v>0</v>
      </c>
      <c r="AH72" s="55">
        <f>_xll.EQNXTDZ($A$1,$B72,AH$5,$B$1)</f>
        <v>0</v>
      </c>
      <c r="AI72" s="55">
        <f>_xll.EQNXTDZ($A$1,$B72,AI$5,$B$1)</f>
        <v>0</v>
      </c>
      <c r="AJ72" s="55">
        <f>_xll.EQNXTDZ($A$1,$B72,AJ$5,$B$1)</f>
        <v>0</v>
      </c>
      <c r="AK72" s="55">
        <f>_xll.EQNXTDZ($A$1,$B72,AK$5,$B$1)</f>
        <v>0</v>
      </c>
      <c r="AL72" s="55">
        <f>_xll.EQNXTDZ($A$1,$B72,AL$5,$B$1)</f>
        <v>0</v>
      </c>
      <c r="AM72" s="55">
        <f>_xll.EQNXTDZ($A$1,$B72,AM$5,$B$1)</f>
        <v>0</v>
      </c>
      <c r="AN72" s="55">
        <f>_xll.EQNXTDZ($A$1,$B72,AN$5,$B$1)</f>
        <v>0</v>
      </c>
      <c r="AO72" s="55">
        <f>_xll.EQNXTDZ($A$1,$B72,AO$5,$B$1)</f>
        <v>0</v>
      </c>
      <c r="AP72" s="55">
        <f>_xll.EQNXTDZ($A$1,$B72,AP$5,$B$1)</f>
        <v>0</v>
      </c>
      <c r="AQ72" s="55">
        <f>_xll.EQNXTDZ($A$1,$B72,AQ$5,$B$1)</f>
        <v>0</v>
      </c>
      <c r="AR72" s="55">
        <f>_xll.EQNXTDZ($A$1,$B72,AR$5,$B$1)</f>
        <v>0</v>
      </c>
      <c r="AS72" s="55">
        <f>_xll.EQNXTDZ($A$1,$B72,AS$5,$B$1)</f>
        <v>0</v>
      </c>
      <c r="AT72" s="55">
        <f>_xll.EQNXTDZ($A$1,$B72,AT$5,$B$1)</f>
        <v>0</v>
      </c>
      <c r="AU72" s="55">
        <f>_xll.EQNXTDZ($A$1,$B72,AU$5,$B$1)</f>
        <v>0</v>
      </c>
      <c r="AV72" s="55">
        <f>_xll.EQNXTDZ($A$1,$B72,AV$5,$B$1)</f>
        <v>0</v>
      </c>
      <c r="AW72" s="55">
        <f>_xll.EQNXTDZ($A$1,$B72,AW$5,$B$1)</f>
        <v>0</v>
      </c>
      <c r="AX72" s="55">
        <f>_xll.EQNXTDZ($A$1,$B72,AX$5,$B$1)</f>
        <v>0</v>
      </c>
      <c r="AY72" s="55">
        <f>_xll.EQNXTDZ($A$1,$B72,AY$5,$B$1)</f>
        <v>0</v>
      </c>
      <c r="AZ72" s="55">
        <f>_xll.EQNXTDZ($A$1,$B72,AZ$5,$B$1)</f>
        <v>0</v>
      </c>
      <c r="BA72" s="55">
        <f>_xll.EQNXTDZ($A$1,$B72,BA$5,$B$1)</f>
        <v>0</v>
      </c>
      <c r="BB72" s="55">
        <f>_xll.EQNXTDZ($A$1,$B72,BB$5,$B$1)</f>
        <v>0</v>
      </c>
      <c r="BC72" s="55">
        <f>_xll.EQNXTDZ($A$1,$B72,BC$5,$B$1)</f>
        <v>0</v>
      </c>
      <c r="BD72" s="55">
        <f>_xll.EQNXTDZ($A$1,$B72,BD$5,$B$1)</f>
        <v>1175.1400000000001</v>
      </c>
      <c r="BE72" s="55">
        <f>_xll.EQNXTDZ($A$1,$B72,BE$5,$B$1)</f>
        <v>0</v>
      </c>
      <c r="BF72" s="55">
        <f>_xll.EQNXTDZ($A$1,$B72,BF$5,$B$1)</f>
        <v>1695.1</v>
      </c>
      <c r="BG72" s="55">
        <f>_xll.EQNXTDZ($A$1,$B72,BG$5,$B$1)</f>
        <v>0</v>
      </c>
      <c r="BH72" s="55">
        <f>_xll.EQNXTDZ($A$1,$B72,BH$5,$B$1)</f>
        <v>0</v>
      </c>
      <c r="BI72" s="55">
        <f>_xll.EQNXTDZ($A$1,$B72,BI$5,$B$1)</f>
        <v>0</v>
      </c>
      <c r="BJ72" s="55">
        <f>_xll.EQNXTDZ($A$1,$B72,BJ$5,$B$1)</f>
        <v>0</v>
      </c>
      <c r="BK72" s="55">
        <f>_xll.EQNXTDZ($A$1,$B72,BK$5,$B$1)</f>
        <v>0</v>
      </c>
      <c r="BL72" s="55">
        <f>_xll.EQNXTDZ($A$1,$B72,BL$5,$B$1)</f>
        <v>0</v>
      </c>
      <c r="BM72" s="55">
        <f>_xll.EQNXTDZ($A$1,$B72,BM$5,$B$1)</f>
        <v>0</v>
      </c>
      <c r="BN72" s="55">
        <f>_xll.EQNXTDZ($A$1,$B72,BN$5,$B$1)</f>
        <v>0</v>
      </c>
      <c r="BO72" s="55">
        <f>_xll.EQNXTDZ($A$1,$B72,BO$5,$B$1)</f>
        <v>0</v>
      </c>
      <c r="BP72" s="55">
        <f>_xll.EQNXTDZ($A$1,$B72,BP$5,$B$1)</f>
        <v>0</v>
      </c>
      <c r="BQ72" s="55">
        <f>_xll.EQNXTDZ($A$1,$B72,BQ$5,$B$1)</f>
        <v>0</v>
      </c>
      <c r="BR72" s="55">
        <f>_xll.EQNXTDZ($A$1,$B72,BR$5,$B$1)</f>
        <v>0</v>
      </c>
      <c r="BS72" s="55">
        <f>_xll.EQNXTDZ($A$1,$B72,BS$5,$B$1)</f>
        <v>0</v>
      </c>
      <c r="BT72" s="55">
        <f>_xll.EQNXTDZ($A$1,$B72,BT$5,$B$1)</f>
        <v>0</v>
      </c>
      <c r="BU72" s="55">
        <f>_xll.EQNXTDZ($A$1,$B72,BU$5,$B$1)</f>
        <v>0</v>
      </c>
      <c r="BV72" s="55">
        <f>_xll.EQNXTDZ($A$1,$B72,BV$5,$B$1)</f>
        <v>0</v>
      </c>
    </row>
    <row r="73" spans="1:74" x14ac:dyDescent="0.25">
      <c r="A73" t="s">
        <v>361</v>
      </c>
      <c r="B73" t="s">
        <v>389</v>
      </c>
      <c r="C73" s="55">
        <f>_xll.EQNXTDZ($A$1,$B73,C$5,$B$1)</f>
        <v>0</v>
      </c>
      <c r="D73" s="55">
        <f>_xll.EQNXTDZ($A$1,$B73,D$5,$B$1)</f>
        <v>0</v>
      </c>
      <c r="E73" s="55">
        <f>_xll.EQNXTDZ($A$1,$B73,E$5,$B$1)</f>
        <v>0</v>
      </c>
      <c r="F73" s="55">
        <f>_xll.EQNXTDZ($A$1,$B73,F$5,$B$1)</f>
        <v>0</v>
      </c>
      <c r="G73" s="55">
        <f>_xll.EQNXTDZ($A$1,$B73,G$5,$B$1)</f>
        <v>0</v>
      </c>
      <c r="H73" s="55">
        <f>_xll.EQNXTDZ($A$1,$B73,H$5,$B$1)</f>
        <v>0</v>
      </c>
      <c r="I73" s="55">
        <f>_xll.EQNXTDZ($A$1,$B73,I$5,$B$1)</f>
        <v>0</v>
      </c>
      <c r="J73" s="55">
        <f>_xll.EQNXTDZ($A$1,$B73,J$5,$B$1)</f>
        <v>0</v>
      </c>
      <c r="K73" s="55">
        <f>_xll.EQNXTDZ($A$1,$B73,K$5,$B$1)</f>
        <v>0</v>
      </c>
      <c r="L73" s="55">
        <f>_xll.EQNXTDZ($A$1,$B73,L$5,$B$1)</f>
        <v>0</v>
      </c>
      <c r="M73" s="55">
        <f>_xll.EQNXTDZ($A$1,$B73,M$5,$B$1)</f>
        <v>0</v>
      </c>
      <c r="N73" s="55">
        <f>_xll.EQNXTDZ($A$1,$B73,N$5,$B$1)</f>
        <v>0</v>
      </c>
      <c r="O73" s="55">
        <f>_xll.EQNXTDZ($A$1,$B73,O$5,$B$1)</f>
        <v>0</v>
      </c>
      <c r="P73" s="55">
        <f>_xll.EQNXTDZ($A$1,$B73,P$5,$B$1)</f>
        <v>0</v>
      </c>
      <c r="Q73" s="55">
        <f>_xll.EQNXTDZ($A$1,$B73,Q$5,$B$1)</f>
        <v>0</v>
      </c>
      <c r="R73" s="55">
        <f>_xll.EQNXTDZ($A$1,$B73,R$5,$B$1)</f>
        <v>0</v>
      </c>
      <c r="S73" s="55">
        <f>_xll.EQNXTDZ($A$1,$B73,S$5,$B$1)</f>
        <v>0</v>
      </c>
      <c r="T73" s="55">
        <f>_xll.EQNXTDZ($A$1,$B73,T$5,$B$1)</f>
        <v>0</v>
      </c>
      <c r="U73" s="55">
        <f>_xll.EQNXTDZ($A$1,$B73,U$5,$B$1)</f>
        <v>0</v>
      </c>
      <c r="V73" s="55">
        <f>_xll.EQNXTDZ($A$1,$B73,V$5,$B$1)</f>
        <v>0</v>
      </c>
      <c r="W73" s="55">
        <f>_xll.EQNXTDZ($A$1,$B73,W$5,$B$1)</f>
        <v>0</v>
      </c>
      <c r="X73" s="55">
        <f>_xll.EQNXTDZ($A$1,$B73,X$5,$B$1)</f>
        <v>0</v>
      </c>
      <c r="Y73" s="55">
        <f>_xll.EQNXTDZ($A$1,$B73,Y$5,$B$1)</f>
        <v>0</v>
      </c>
      <c r="Z73" s="55">
        <f>_xll.EQNXTDZ($A$1,$B73,Z$5,$B$1)</f>
        <v>0</v>
      </c>
      <c r="AA73" s="55">
        <f>_xll.EQNXTDZ($A$1,$B73,AA$5,$B$1)</f>
        <v>0</v>
      </c>
      <c r="AB73" s="55">
        <f>_xll.EQNXTDZ($A$1,$B73,AB$5,$B$1)</f>
        <v>0</v>
      </c>
      <c r="AC73" s="55">
        <f>_xll.EQNXTDZ($A$1,$B73,AC$5,$B$1)</f>
        <v>0</v>
      </c>
      <c r="AD73" s="55">
        <f>_xll.EQNXTDZ($A$1,$B73,AD$5,$B$1)</f>
        <v>0</v>
      </c>
      <c r="AE73" s="55">
        <f>_xll.EQNXTDZ($A$1,$B73,AE$5,$B$1)</f>
        <v>0</v>
      </c>
      <c r="AF73" s="55">
        <f>_xll.EQNXTDZ($A$1,$B73,AF$5,$B$1)</f>
        <v>0</v>
      </c>
      <c r="AG73" s="55">
        <f>_xll.EQNXTDZ($A$1,$B73,AG$5,$B$1)</f>
        <v>0</v>
      </c>
      <c r="AH73" s="55">
        <f>_xll.EQNXTDZ($A$1,$B73,AH$5,$B$1)</f>
        <v>0</v>
      </c>
      <c r="AI73" s="55">
        <f>_xll.EQNXTDZ($A$1,$B73,AI$5,$B$1)</f>
        <v>0</v>
      </c>
      <c r="AJ73" s="55">
        <f>_xll.EQNXTDZ($A$1,$B73,AJ$5,$B$1)</f>
        <v>0</v>
      </c>
      <c r="AK73" s="55">
        <f>_xll.EQNXTDZ($A$1,$B73,AK$5,$B$1)</f>
        <v>0</v>
      </c>
      <c r="AL73" s="55">
        <f>_xll.EQNXTDZ($A$1,$B73,AL$5,$B$1)</f>
        <v>0</v>
      </c>
      <c r="AM73" s="55">
        <f>_xll.EQNXTDZ($A$1,$B73,AM$5,$B$1)</f>
        <v>0</v>
      </c>
      <c r="AN73" s="55">
        <f>_xll.EQNXTDZ($A$1,$B73,AN$5,$B$1)</f>
        <v>0</v>
      </c>
      <c r="AO73" s="55">
        <f>_xll.EQNXTDZ($A$1,$B73,AO$5,$B$1)</f>
        <v>0</v>
      </c>
      <c r="AP73" s="55">
        <f>_xll.EQNXTDZ($A$1,$B73,AP$5,$B$1)</f>
        <v>0</v>
      </c>
      <c r="AQ73" s="55">
        <f>_xll.EQNXTDZ($A$1,$B73,AQ$5,$B$1)</f>
        <v>0</v>
      </c>
      <c r="AR73" s="55">
        <f>_xll.EQNXTDZ($A$1,$B73,AR$5,$B$1)</f>
        <v>0</v>
      </c>
      <c r="AS73" s="55">
        <f>_xll.EQNXTDZ($A$1,$B73,AS$5,$B$1)</f>
        <v>0</v>
      </c>
      <c r="AT73" s="55">
        <f>_xll.EQNXTDZ($A$1,$B73,AT$5,$B$1)</f>
        <v>0</v>
      </c>
      <c r="AU73" s="55">
        <f>_xll.EQNXTDZ($A$1,$B73,AU$5,$B$1)</f>
        <v>0</v>
      </c>
      <c r="AV73" s="55">
        <f>_xll.EQNXTDZ($A$1,$B73,AV$5,$B$1)</f>
        <v>0</v>
      </c>
      <c r="AW73" s="55">
        <f>_xll.EQNXTDZ($A$1,$B73,AW$5,$B$1)</f>
        <v>0</v>
      </c>
      <c r="AX73" s="55">
        <f>_xll.EQNXTDZ($A$1,$B73,AX$5,$B$1)</f>
        <v>0</v>
      </c>
      <c r="AY73" s="55">
        <f>_xll.EQNXTDZ($A$1,$B73,AY$5,$B$1)</f>
        <v>0</v>
      </c>
      <c r="AZ73" s="55">
        <f>_xll.EQNXTDZ($A$1,$B73,AZ$5,$B$1)</f>
        <v>0</v>
      </c>
      <c r="BA73" s="55">
        <f>_xll.EQNXTDZ($A$1,$B73,BA$5,$B$1)</f>
        <v>0</v>
      </c>
      <c r="BB73" s="55">
        <f>_xll.EQNXTDZ($A$1,$B73,BB$5,$B$1)</f>
        <v>0</v>
      </c>
      <c r="BC73" s="55">
        <f>_xll.EQNXTDZ($A$1,$B73,BC$5,$B$1)</f>
        <v>0</v>
      </c>
      <c r="BD73" s="55">
        <f>_xll.EQNXTDZ($A$1,$B73,BD$5,$B$1)</f>
        <v>0</v>
      </c>
      <c r="BE73" s="55">
        <f>_xll.EQNXTDZ($A$1,$B73,BE$5,$B$1)</f>
        <v>0</v>
      </c>
      <c r="BF73" s="55">
        <f>_xll.EQNXTDZ($A$1,$B73,BF$5,$B$1)</f>
        <v>0</v>
      </c>
      <c r="BG73" s="55">
        <f>_xll.EQNXTDZ($A$1,$B73,BG$5,$B$1)</f>
        <v>0</v>
      </c>
      <c r="BH73" s="55">
        <f>_xll.EQNXTDZ($A$1,$B73,BH$5,$B$1)</f>
        <v>0</v>
      </c>
      <c r="BI73" s="55">
        <f>_xll.EQNXTDZ($A$1,$B73,BI$5,$B$1)</f>
        <v>0</v>
      </c>
      <c r="BJ73" s="55">
        <f>_xll.EQNXTDZ($A$1,$B73,BJ$5,$B$1)</f>
        <v>0</v>
      </c>
      <c r="BK73" s="55">
        <f>_xll.EQNXTDZ($A$1,$B73,BK$5,$B$1)</f>
        <v>0</v>
      </c>
      <c r="BL73" s="55">
        <f>_xll.EQNXTDZ($A$1,$B73,BL$5,$B$1)</f>
        <v>0</v>
      </c>
      <c r="BM73" s="55">
        <f>_xll.EQNXTDZ($A$1,$B73,BM$5,$B$1)</f>
        <v>0</v>
      </c>
      <c r="BN73" s="55">
        <f>_xll.EQNXTDZ($A$1,$B73,BN$5,$B$1)</f>
        <v>0</v>
      </c>
      <c r="BO73" s="55">
        <f>_xll.EQNXTDZ($A$1,$B73,BO$5,$B$1)</f>
        <v>0</v>
      </c>
      <c r="BP73" s="55">
        <f>_xll.EQNXTDZ($A$1,$B73,BP$5,$B$1)</f>
        <v>0</v>
      </c>
      <c r="BQ73" s="55">
        <f>_xll.EQNXTDZ($A$1,$B73,BQ$5,$B$1)</f>
        <v>0</v>
      </c>
      <c r="BR73" s="55">
        <f>_xll.EQNXTDZ($A$1,$B73,BR$5,$B$1)</f>
        <v>0</v>
      </c>
      <c r="BS73" s="55">
        <f>_xll.EQNXTDZ($A$1,$B73,BS$5,$B$1)</f>
        <v>0</v>
      </c>
      <c r="BT73" s="55">
        <f>_xll.EQNXTDZ($A$1,$B73,BT$5,$B$1)</f>
        <v>0</v>
      </c>
      <c r="BU73" s="55">
        <f>_xll.EQNXTDZ($A$1,$B73,BU$5,$B$1)</f>
        <v>0</v>
      </c>
      <c r="BV73" s="55">
        <f>_xll.EQNXTDZ($A$1,$B73,BV$5,$B$1)</f>
        <v>0</v>
      </c>
    </row>
    <row r="74" spans="1:74" x14ac:dyDescent="0.25">
      <c r="A74" t="s">
        <v>362</v>
      </c>
      <c r="B74" t="s">
        <v>390</v>
      </c>
      <c r="C74" s="55">
        <f>_xll.EQNXTDZ($A$1,$B74,C$5,$B$1)</f>
        <v>0</v>
      </c>
      <c r="D74" s="55">
        <f>_xll.EQNXTDZ($A$1,$B74,D$5,$B$1)</f>
        <v>0</v>
      </c>
      <c r="E74" s="55">
        <f>_xll.EQNXTDZ($A$1,$B74,E$5,$B$1)</f>
        <v>0</v>
      </c>
      <c r="F74" s="55">
        <f>_xll.EQNXTDZ($A$1,$B74,F$5,$B$1)</f>
        <v>0</v>
      </c>
      <c r="G74" s="55">
        <f>_xll.EQNXTDZ($A$1,$B74,G$5,$B$1)</f>
        <v>0</v>
      </c>
      <c r="H74" s="55">
        <f>_xll.EQNXTDZ($A$1,$B74,H$5,$B$1)</f>
        <v>0</v>
      </c>
      <c r="I74" s="55">
        <f>_xll.EQNXTDZ($A$1,$B74,I$5,$B$1)</f>
        <v>0</v>
      </c>
      <c r="J74" s="55">
        <f>_xll.EQNXTDZ($A$1,$B74,J$5,$B$1)</f>
        <v>0</v>
      </c>
      <c r="K74" s="55">
        <f>_xll.EQNXTDZ($A$1,$B74,K$5,$B$1)</f>
        <v>0</v>
      </c>
      <c r="L74" s="55">
        <f>_xll.EQNXTDZ($A$1,$B74,L$5,$B$1)</f>
        <v>0</v>
      </c>
      <c r="M74" s="55">
        <f>_xll.EQNXTDZ($A$1,$B74,M$5,$B$1)</f>
        <v>0</v>
      </c>
      <c r="N74" s="55">
        <f>_xll.EQNXTDZ($A$1,$B74,N$5,$B$1)</f>
        <v>0</v>
      </c>
      <c r="O74" s="55">
        <f>_xll.EQNXTDZ($A$1,$B74,O$5,$B$1)</f>
        <v>0</v>
      </c>
      <c r="P74" s="55">
        <f>_xll.EQNXTDZ($A$1,$B74,P$5,$B$1)</f>
        <v>0</v>
      </c>
      <c r="Q74" s="55">
        <f>_xll.EQNXTDZ($A$1,$B74,Q$5,$B$1)</f>
        <v>0</v>
      </c>
      <c r="R74" s="55">
        <f>_xll.EQNXTDZ($A$1,$B74,R$5,$B$1)</f>
        <v>7.2560000000000002</v>
      </c>
      <c r="S74" s="55">
        <f>_xll.EQNXTDZ($A$1,$B74,S$5,$B$1)</f>
        <v>0</v>
      </c>
      <c r="T74" s="55">
        <f>_xll.EQNXTDZ($A$1,$B74,T$5,$B$1)</f>
        <v>0</v>
      </c>
      <c r="U74" s="55">
        <f>_xll.EQNXTDZ($A$1,$B74,U$5,$B$1)</f>
        <v>0</v>
      </c>
      <c r="V74" s="55">
        <f>_xll.EQNXTDZ($A$1,$B74,V$5,$B$1)</f>
        <v>8.4589999999999996</v>
      </c>
      <c r="W74" s="55">
        <f>_xll.EQNXTDZ($A$1,$B74,W$5,$B$1)</f>
        <v>0</v>
      </c>
      <c r="X74" s="55">
        <f>_xll.EQNXTDZ($A$1,$B74,X$5,$B$1)</f>
        <v>14.723000000000001</v>
      </c>
      <c r="Y74" s="55">
        <f>_xll.EQNXTDZ($A$1,$B74,Y$5,$B$1)</f>
        <v>0</v>
      </c>
      <c r="Z74" s="55">
        <f>_xll.EQNXTDZ($A$1,$B74,Z$5,$B$1)</f>
        <v>22.992000000000001</v>
      </c>
      <c r="AA74" s="55">
        <f>_xll.EQNXTDZ($A$1,$B74,AA$5,$B$1)</f>
        <v>0</v>
      </c>
      <c r="AB74" s="55">
        <f>_xll.EQNXTDZ($A$1,$B74,AB$5,$B$1)</f>
        <v>28.331</v>
      </c>
      <c r="AC74" s="55">
        <f>_xll.EQNXTDZ($A$1,$B74,AC$5,$B$1)</f>
        <v>0</v>
      </c>
      <c r="AD74" s="55">
        <f>_xll.EQNXTDZ($A$1,$B74,AD$5,$B$1)</f>
        <v>36.197000000000003</v>
      </c>
      <c r="AE74" s="55">
        <f>_xll.EQNXTDZ($A$1,$B74,AE$5,$B$1)</f>
        <v>0</v>
      </c>
      <c r="AF74" s="55">
        <f>_xll.EQNXTDZ($A$1,$B74,AF$5,$B$1)</f>
        <v>40.079000000000001</v>
      </c>
      <c r="AG74" s="55">
        <f>_xll.EQNXTDZ($A$1,$B74,AG$5,$B$1)</f>
        <v>0</v>
      </c>
      <c r="AH74" s="55">
        <f>_xll.EQNXTDZ($A$1,$B74,AH$5,$B$1)</f>
        <v>42.366</v>
      </c>
      <c r="AI74" s="55">
        <f>_xll.EQNXTDZ($A$1,$B74,AI$5,$B$1)</f>
        <v>0</v>
      </c>
      <c r="AJ74" s="55">
        <f>_xll.EQNXTDZ($A$1,$B74,AJ$5,$B$1)</f>
        <v>43.353000000000002</v>
      </c>
      <c r="AK74" s="55">
        <f>_xll.EQNXTDZ($A$1,$B74,AK$5,$B$1)</f>
        <v>0</v>
      </c>
      <c r="AL74" s="55">
        <f>_xll.EQNXTDZ($A$1,$B74,AL$5,$B$1)</f>
        <v>84.71</v>
      </c>
      <c r="AM74" s="55">
        <f>_xll.EQNXTDZ($A$1,$B74,AM$5,$B$1)</f>
        <v>0</v>
      </c>
      <c r="AN74" s="55">
        <f>_xll.EQNXTDZ($A$1,$B74,AN$5,$B$1)</f>
        <v>97.911000000000001</v>
      </c>
      <c r="AO74" s="55">
        <f>_xll.EQNXTDZ($A$1,$B74,AO$5,$B$1)</f>
        <v>0</v>
      </c>
      <c r="AP74" s="55">
        <f>_xll.EQNXTDZ($A$1,$B74,AP$5,$B$1)</f>
        <v>85.88</v>
      </c>
      <c r="AQ74" s="55">
        <f>_xll.EQNXTDZ($A$1,$B74,AQ$5,$B$1)</f>
        <v>0</v>
      </c>
      <c r="AR74" s="55">
        <f>_xll.EQNXTDZ($A$1,$B74,AR$5,$B$1)</f>
        <v>253.4</v>
      </c>
      <c r="AS74" s="55">
        <f>_xll.EQNXTDZ($A$1,$B74,AS$5,$B$1)</f>
        <v>0</v>
      </c>
      <c r="AT74" s="55">
        <f>_xll.EQNXTDZ($A$1,$B74,AT$5,$B$1)</f>
        <v>297.87</v>
      </c>
      <c r="AU74" s="55">
        <f>_xll.EQNXTDZ($A$1,$B74,AU$5,$B$1)</f>
        <v>0</v>
      </c>
      <c r="AV74" s="55">
        <f>_xll.EQNXTDZ($A$1,$B74,AV$5,$B$1)</f>
        <v>432.69</v>
      </c>
      <c r="AW74" s="55">
        <f>_xll.EQNXTDZ($A$1,$B74,AW$5,$B$1)</f>
        <v>0</v>
      </c>
      <c r="AX74" s="55">
        <f>_xll.EQNXTDZ($A$1,$B74,AX$5,$B$1)</f>
        <v>1268.1500000000001</v>
      </c>
      <c r="AY74" s="55">
        <f>_xll.EQNXTDZ($A$1,$B74,AY$5,$B$1)</f>
        <v>0</v>
      </c>
      <c r="AZ74" s="55">
        <f>_xll.EQNXTDZ($A$1,$B74,AZ$5,$B$1)</f>
        <v>2119.29</v>
      </c>
      <c r="BA74" s="55">
        <f>_xll.EQNXTDZ($A$1,$B74,BA$5,$B$1)</f>
        <v>0</v>
      </c>
      <c r="BB74" s="55">
        <f>_xll.EQNXTDZ($A$1,$B74,BB$5,$B$1)</f>
        <v>4267.26</v>
      </c>
      <c r="BC74" s="55">
        <f>_xll.EQNXTDZ($A$1,$B74,BC$5,$B$1)</f>
        <v>0</v>
      </c>
      <c r="BD74" s="55">
        <f>_xll.EQNXTDZ($A$1,$B74,BD$5,$B$1)</f>
        <v>3539.07</v>
      </c>
      <c r="BE74" s="55">
        <f>_xll.EQNXTDZ($A$1,$B74,BE$5,$B$1)</f>
        <v>0</v>
      </c>
      <c r="BF74" s="55">
        <f>_xll.EQNXTDZ($A$1,$B74,BF$5,$B$1)</f>
        <v>13946.08</v>
      </c>
      <c r="BG74" s="55">
        <f>_xll.EQNXTDZ($A$1,$B74,BG$5,$B$1)</f>
        <v>0</v>
      </c>
      <c r="BH74" s="55">
        <f>_xll.EQNXTDZ($A$1,$B74,BH$5,$B$1)</f>
        <v>0</v>
      </c>
      <c r="BI74" s="55">
        <f>_xll.EQNXTDZ($A$1,$B74,BI$5,$B$1)</f>
        <v>0</v>
      </c>
      <c r="BJ74" s="55">
        <f>_xll.EQNXTDZ($A$1,$B74,BJ$5,$B$1)</f>
        <v>0</v>
      </c>
      <c r="BK74" s="55">
        <f>_xll.EQNXTDZ($A$1,$B74,BK$5,$B$1)</f>
        <v>0</v>
      </c>
      <c r="BL74" s="55">
        <f>_xll.EQNXTDZ($A$1,$B74,BL$5,$B$1)</f>
        <v>0</v>
      </c>
      <c r="BM74" s="55">
        <f>_xll.EQNXTDZ($A$1,$B74,BM$5,$B$1)</f>
        <v>0</v>
      </c>
      <c r="BN74" s="55">
        <f>_xll.EQNXTDZ($A$1,$B74,BN$5,$B$1)</f>
        <v>0</v>
      </c>
      <c r="BO74" s="55">
        <f>_xll.EQNXTDZ($A$1,$B74,BO$5,$B$1)</f>
        <v>0</v>
      </c>
      <c r="BP74" s="55">
        <f>_xll.EQNXTDZ($A$1,$B74,BP$5,$B$1)</f>
        <v>0</v>
      </c>
      <c r="BQ74" s="55">
        <f>_xll.EQNXTDZ($A$1,$B74,BQ$5,$B$1)</f>
        <v>0</v>
      </c>
      <c r="BR74" s="55">
        <f>_xll.EQNXTDZ($A$1,$B74,BR$5,$B$1)</f>
        <v>0</v>
      </c>
      <c r="BS74" s="55">
        <f>_xll.EQNXTDZ($A$1,$B74,BS$5,$B$1)</f>
        <v>0</v>
      </c>
      <c r="BT74" s="55">
        <f>_xll.EQNXTDZ($A$1,$B74,BT$5,$B$1)</f>
        <v>0</v>
      </c>
      <c r="BU74" s="55">
        <f>_xll.EQNXTDZ($A$1,$B74,BU$5,$B$1)</f>
        <v>0</v>
      </c>
      <c r="BV74" s="55">
        <f>_xll.EQNXTDZ($A$1,$B74,BV$5,$B$1)</f>
        <v>0</v>
      </c>
    </row>
    <row r="75" spans="1:74" x14ac:dyDescent="0.25">
      <c r="A75" t="s">
        <v>363</v>
      </c>
      <c r="B75" t="s">
        <v>391</v>
      </c>
      <c r="C75" s="55">
        <f>_xll.EQNXTDZ($A$1,$B75,C$5,$B$1)</f>
        <v>0</v>
      </c>
      <c r="D75" s="55">
        <f>_xll.EQNXTDZ($A$1,$B75,D$5,$B$1)</f>
        <v>0</v>
      </c>
      <c r="E75" s="55">
        <f>_xll.EQNXTDZ($A$1,$B75,E$5,$B$1)</f>
        <v>0</v>
      </c>
      <c r="F75" s="55">
        <f>_xll.EQNXTDZ($A$1,$B75,F$5,$B$1)</f>
        <v>0</v>
      </c>
      <c r="G75" s="55">
        <f>_xll.EQNXTDZ($A$1,$B75,G$5,$B$1)</f>
        <v>0</v>
      </c>
      <c r="H75" s="55">
        <f>_xll.EQNXTDZ($A$1,$B75,H$5,$B$1)</f>
        <v>0</v>
      </c>
      <c r="I75" s="55">
        <f>_xll.EQNXTDZ($A$1,$B75,I$5,$B$1)</f>
        <v>0</v>
      </c>
      <c r="J75" s="55">
        <f>_xll.EQNXTDZ($A$1,$B75,J$5,$B$1)</f>
        <v>0</v>
      </c>
      <c r="K75" s="55">
        <f>_xll.EQNXTDZ($A$1,$B75,K$5,$B$1)</f>
        <v>0</v>
      </c>
      <c r="L75" s="55">
        <f>_xll.EQNXTDZ($A$1,$B75,L$5,$B$1)</f>
        <v>0</v>
      </c>
      <c r="M75" s="55">
        <f>_xll.EQNXTDZ($A$1,$B75,M$5,$B$1)</f>
        <v>0</v>
      </c>
      <c r="N75" s="55">
        <f>_xll.EQNXTDZ($A$1,$B75,N$5,$B$1)</f>
        <v>0</v>
      </c>
      <c r="O75" s="55">
        <f>_xll.EQNXTDZ($A$1,$B75,O$5,$B$1)</f>
        <v>0</v>
      </c>
      <c r="P75" s="55">
        <f>_xll.EQNXTDZ($A$1,$B75,P$5,$B$1)</f>
        <v>0</v>
      </c>
      <c r="Q75" s="55">
        <f>_xll.EQNXTDZ($A$1,$B75,Q$5,$B$1)</f>
        <v>0</v>
      </c>
      <c r="R75" s="55">
        <f>_xll.EQNXTDZ($A$1,$B75,R$5,$B$1)</f>
        <v>0</v>
      </c>
      <c r="S75" s="55">
        <f>_xll.EQNXTDZ($A$1,$B75,S$5,$B$1)</f>
        <v>0</v>
      </c>
      <c r="T75" s="55">
        <f>_xll.EQNXTDZ($A$1,$B75,T$5,$B$1)</f>
        <v>0</v>
      </c>
      <c r="U75" s="55">
        <f>_xll.EQNXTDZ($A$1,$B75,U$5,$B$1)</f>
        <v>0</v>
      </c>
      <c r="V75" s="55">
        <f>_xll.EQNXTDZ($A$1,$B75,V$5,$B$1)</f>
        <v>0</v>
      </c>
      <c r="W75" s="55">
        <f>_xll.EQNXTDZ($A$1,$B75,W$5,$B$1)</f>
        <v>0</v>
      </c>
      <c r="X75" s="55">
        <f>_xll.EQNXTDZ($A$1,$B75,X$5,$B$1)</f>
        <v>0</v>
      </c>
      <c r="Y75" s="55">
        <f>_xll.EQNXTDZ($A$1,$B75,Y$5,$B$1)</f>
        <v>0</v>
      </c>
      <c r="Z75" s="55">
        <f>_xll.EQNXTDZ($A$1,$B75,Z$5,$B$1)</f>
        <v>0</v>
      </c>
      <c r="AA75" s="55">
        <f>_xll.EQNXTDZ($A$1,$B75,AA$5,$B$1)</f>
        <v>0</v>
      </c>
      <c r="AB75" s="55">
        <f>_xll.EQNXTDZ($A$1,$B75,AB$5,$B$1)</f>
        <v>0</v>
      </c>
      <c r="AC75" s="55">
        <f>_xll.EQNXTDZ($A$1,$B75,AC$5,$B$1)</f>
        <v>0</v>
      </c>
      <c r="AD75" s="55">
        <f>_xll.EQNXTDZ($A$1,$B75,AD$5,$B$1)</f>
        <v>0</v>
      </c>
      <c r="AE75" s="55">
        <f>_xll.EQNXTDZ($A$1,$B75,AE$5,$B$1)</f>
        <v>0</v>
      </c>
      <c r="AF75" s="55">
        <f>_xll.EQNXTDZ($A$1,$B75,AF$5,$B$1)</f>
        <v>0</v>
      </c>
      <c r="AG75" s="55">
        <f>_xll.EQNXTDZ($A$1,$B75,AG$5,$B$1)</f>
        <v>0</v>
      </c>
      <c r="AH75" s="55">
        <f>_xll.EQNXTDZ($A$1,$B75,AH$5,$B$1)</f>
        <v>0</v>
      </c>
      <c r="AI75" s="55">
        <f>_xll.EQNXTDZ($A$1,$B75,AI$5,$B$1)</f>
        <v>0</v>
      </c>
      <c r="AJ75" s="55">
        <f>_xll.EQNXTDZ($A$1,$B75,AJ$5,$B$1)</f>
        <v>0</v>
      </c>
      <c r="AK75" s="55">
        <f>_xll.EQNXTDZ($A$1,$B75,AK$5,$B$1)</f>
        <v>0</v>
      </c>
      <c r="AL75" s="55">
        <f>_xll.EQNXTDZ($A$1,$B75,AL$5,$B$1)</f>
        <v>0</v>
      </c>
      <c r="AM75" s="55">
        <f>_xll.EQNXTDZ($A$1,$B75,AM$5,$B$1)</f>
        <v>0</v>
      </c>
      <c r="AN75" s="55">
        <f>_xll.EQNXTDZ($A$1,$B75,AN$5,$B$1)</f>
        <v>0</v>
      </c>
      <c r="AO75" s="55">
        <f>_xll.EQNXTDZ($A$1,$B75,AO$5,$B$1)</f>
        <v>0</v>
      </c>
      <c r="AP75" s="55">
        <f>_xll.EQNXTDZ($A$1,$B75,AP$5,$B$1)</f>
        <v>0</v>
      </c>
      <c r="AQ75" s="55">
        <f>_xll.EQNXTDZ($A$1,$B75,AQ$5,$B$1)</f>
        <v>0</v>
      </c>
      <c r="AR75" s="55">
        <f>_xll.EQNXTDZ($A$1,$B75,AR$5,$B$1)</f>
        <v>0</v>
      </c>
      <c r="AS75" s="55">
        <f>_xll.EQNXTDZ($A$1,$B75,AS$5,$B$1)</f>
        <v>0</v>
      </c>
      <c r="AT75" s="55">
        <f>_xll.EQNXTDZ($A$1,$B75,AT$5,$B$1)</f>
        <v>0</v>
      </c>
      <c r="AU75" s="55">
        <f>_xll.EQNXTDZ($A$1,$B75,AU$5,$B$1)</f>
        <v>0</v>
      </c>
      <c r="AV75" s="55">
        <f>_xll.EQNXTDZ($A$1,$B75,AV$5,$B$1)</f>
        <v>0</v>
      </c>
      <c r="AW75" s="55">
        <f>_xll.EQNXTDZ($A$1,$B75,AW$5,$B$1)</f>
        <v>0</v>
      </c>
      <c r="AX75" s="55">
        <f>_xll.EQNXTDZ($A$1,$B75,AX$5,$B$1)</f>
        <v>0</v>
      </c>
      <c r="AY75" s="55">
        <f>_xll.EQNXTDZ($A$1,$B75,AY$5,$B$1)</f>
        <v>0</v>
      </c>
      <c r="AZ75" s="55">
        <f>_xll.EQNXTDZ($A$1,$B75,AZ$5,$B$1)</f>
        <v>0</v>
      </c>
      <c r="BA75" s="55">
        <f>_xll.EQNXTDZ($A$1,$B75,BA$5,$B$1)</f>
        <v>0</v>
      </c>
      <c r="BB75" s="55">
        <f>_xll.EQNXTDZ($A$1,$B75,BB$5,$B$1)</f>
        <v>0</v>
      </c>
      <c r="BC75" s="55">
        <f>_xll.EQNXTDZ($A$1,$B75,BC$5,$B$1)</f>
        <v>0</v>
      </c>
      <c r="BD75" s="55">
        <f>_xll.EQNXTDZ($A$1,$B75,BD$5,$B$1)</f>
        <v>0</v>
      </c>
      <c r="BE75" s="55">
        <f>_xll.EQNXTDZ($A$1,$B75,BE$5,$B$1)</f>
        <v>0</v>
      </c>
      <c r="BF75" s="55">
        <f>_xll.EQNXTDZ($A$1,$B75,BF$5,$B$1)</f>
        <v>0</v>
      </c>
      <c r="BG75" s="55">
        <f>_xll.EQNXTDZ($A$1,$B75,BG$5,$B$1)</f>
        <v>0</v>
      </c>
      <c r="BH75" s="55">
        <f>_xll.EQNXTDZ($A$1,$B75,BH$5,$B$1)</f>
        <v>0</v>
      </c>
      <c r="BI75" s="55">
        <f>_xll.EQNXTDZ($A$1,$B75,BI$5,$B$1)</f>
        <v>0</v>
      </c>
      <c r="BJ75" s="55">
        <f>_xll.EQNXTDZ($A$1,$B75,BJ$5,$B$1)</f>
        <v>0</v>
      </c>
      <c r="BK75" s="55">
        <f>_xll.EQNXTDZ($A$1,$B75,BK$5,$B$1)</f>
        <v>0</v>
      </c>
      <c r="BL75" s="55">
        <f>_xll.EQNXTDZ($A$1,$B75,BL$5,$B$1)</f>
        <v>0</v>
      </c>
      <c r="BM75" s="55">
        <f>_xll.EQNXTDZ($A$1,$B75,BM$5,$B$1)</f>
        <v>0</v>
      </c>
      <c r="BN75" s="55">
        <f>_xll.EQNXTDZ($A$1,$B75,BN$5,$B$1)</f>
        <v>0</v>
      </c>
      <c r="BO75" s="55">
        <f>_xll.EQNXTDZ($A$1,$B75,BO$5,$B$1)</f>
        <v>0</v>
      </c>
      <c r="BP75" s="55">
        <f>_xll.EQNXTDZ($A$1,$B75,BP$5,$B$1)</f>
        <v>0</v>
      </c>
      <c r="BQ75" s="55">
        <f>_xll.EQNXTDZ($A$1,$B75,BQ$5,$B$1)</f>
        <v>0</v>
      </c>
      <c r="BR75" s="55">
        <f>_xll.EQNXTDZ($A$1,$B75,BR$5,$B$1)</f>
        <v>0</v>
      </c>
      <c r="BS75" s="55">
        <f>_xll.EQNXTDZ($A$1,$B75,BS$5,$B$1)</f>
        <v>0</v>
      </c>
      <c r="BT75" s="55">
        <f>_xll.EQNXTDZ($A$1,$B75,BT$5,$B$1)</f>
        <v>0</v>
      </c>
      <c r="BU75" s="55">
        <f>_xll.EQNXTDZ($A$1,$B75,BU$5,$B$1)</f>
        <v>0</v>
      </c>
      <c r="BV75" s="55">
        <f>_xll.EQNXTDZ($A$1,$B75,BV$5,$B$1)</f>
        <v>0</v>
      </c>
    </row>
    <row r="76" spans="1:74" x14ac:dyDescent="0.25">
      <c r="A76" t="s">
        <v>364</v>
      </c>
      <c r="B76" t="s">
        <v>392</v>
      </c>
      <c r="C76" s="55">
        <f>_xll.EQNXTDZ($A$1,$B76,C$5,$B$1)</f>
        <v>0</v>
      </c>
      <c r="D76" s="55">
        <f>_xll.EQNXTDZ($A$1,$B76,D$5,$B$1)</f>
        <v>0</v>
      </c>
      <c r="E76" s="55">
        <f>_xll.EQNXTDZ($A$1,$B76,E$5,$B$1)</f>
        <v>0</v>
      </c>
      <c r="F76" s="55">
        <f>_xll.EQNXTDZ($A$1,$B76,F$5,$B$1)</f>
        <v>0</v>
      </c>
      <c r="G76" s="55">
        <f>_xll.EQNXTDZ($A$1,$B76,G$5,$B$1)</f>
        <v>0</v>
      </c>
      <c r="H76" s="55">
        <f>_xll.EQNXTDZ($A$1,$B76,H$5,$B$1)</f>
        <v>0</v>
      </c>
      <c r="I76" s="55">
        <f>_xll.EQNXTDZ($A$1,$B76,I$5,$B$1)</f>
        <v>0</v>
      </c>
      <c r="J76" s="55">
        <f>_xll.EQNXTDZ($A$1,$B76,J$5,$B$1)</f>
        <v>0</v>
      </c>
      <c r="K76" s="55">
        <f>_xll.EQNXTDZ($A$1,$B76,K$5,$B$1)</f>
        <v>0</v>
      </c>
      <c r="L76" s="55">
        <f>_xll.EQNXTDZ($A$1,$B76,L$5,$B$1)</f>
        <v>0</v>
      </c>
      <c r="M76" s="55">
        <f>_xll.EQNXTDZ($A$1,$B76,M$5,$B$1)</f>
        <v>0</v>
      </c>
      <c r="N76" s="55">
        <f>_xll.EQNXTDZ($A$1,$B76,N$5,$B$1)</f>
        <v>0</v>
      </c>
      <c r="O76" s="55">
        <f>_xll.EQNXTDZ($A$1,$B76,O$5,$B$1)</f>
        <v>0</v>
      </c>
      <c r="P76" s="55">
        <f>_xll.EQNXTDZ($A$1,$B76,P$5,$B$1)</f>
        <v>0</v>
      </c>
      <c r="Q76" s="55">
        <f>_xll.EQNXTDZ($A$1,$B76,Q$5,$B$1)</f>
        <v>0</v>
      </c>
      <c r="R76" s="55">
        <f>_xll.EQNXTDZ($A$1,$B76,R$5,$B$1)</f>
        <v>0</v>
      </c>
      <c r="S76" s="55">
        <f>_xll.EQNXTDZ($A$1,$B76,S$5,$B$1)</f>
        <v>0</v>
      </c>
      <c r="T76" s="55">
        <f>_xll.EQNXTDZ($A$1,$B76,T$5,$B$1)</f>
        <v>0</v>
      </c>
      <c r="U76" s="55">
        <f>_xll.EQNXTDZ($A$1,$B76,U$5,$B$1)</f>
        <v>0</v>
      </c>
      <c r="V76" s="55">
        <f>_xll.EQNXTDZ($A$1,$B76,V$5,$B$1)</f>
        <v>0</v>
      </c>
      <c r="W76" s="55">
        <f>_xll.EQNXTDZ($A$1,$B76,W$5,$B$1)</f>
        <v>0</v>
      </c>
      <c r="X76" s="55">
        <f>_xll.EQNXTDZ($A$1,$B76,X$5,$B$1)</f>
        <v>0</v>
      </c>
      <c r="Y76" s="55">
        <f>_xll.EQNXTDZ($A$1,$B76,Y$5,$B$1)</f>
        <v>0</v>
      </c>
      <c r="Z76" s="55">
        <f>_xll.EQNXTDZ($A$1,$B76,Z$5,$B$1)</f>
        <v>0</v>
      </c>
      <c r="AA76" s="55">
        <f>_xll.EQNXTDZ($A$1,$B76,AA$5,$B$1)</f>
        <v>0</v>
      </c>
      <c r="AB76" s="55">
        <f>_xll.EQNXTDZ($A$1,$B76,AB$5,$B$1)</f>
        <v>0</v>
      </c>
      <c r="AC76" s="55">
        <f>_xll.EQNXTDZ($A$1,$B76,AC$5,$B$1)</f>
        <v>0</v>
      </c>
      <c r="AD76" s="55">
        <f>_xll.EQNXTDZ($A$1,$B76,AD$5,$B$1)</f>
        <v>0</v>
      </c>
      <c r="AE76" s="55">
        <f>_xll.EQNXTDZ($A$1,$B76,AE$5,$B$1)</f>
        <v>0</v>
      </c>
      <c r="AF76" s="55">
        <f>_xll.EQNXTDZ($A$1,$B76,AF$5,$B$1)</f>
        <v>0</v>
      </c>
      <c r="AG76" s="55">
        <f>_xll.EQNXTDZ($A$1,$B76,AG$5,$B$1)</f>
        <v>0</v>
      </c>
      <c r="AH76" s="55">
        <f>_xll.EQNXTDZ($A$1,$B76,AH$5,$B$1)</f>
        <v>0</v>
      </c>
      <c r="AI76" s="55">
        <f>_xll.EQNXTDZ($A$1,$B76,AI$5,$B$1)</f>
        <v>0</v>
      </c>
      <c r="AJ76" s="55">
        <f>_xll.EQNXTDZ($A$1,$B76,AJ$5,$B$1)</f>
        <v>0</v>
      </c>
      <c r="AK76" s="55">
        <f>_xll.EQNXTDZ($A$1,$B76,AK$5,$B$1)</f>
        <v>0</v>
      </c>
      <c r="AL76" s="55">
        <f>_xll.EQNXTDZ($A$1,$B76,AL$5,$B$1)</f>
        <v>0</v>
      </c>
      <c r="AM76" s="55">
        <f>_xll.EQNXTDZ($A$1,$B76,AM$5,$B$1)</f>
        <v>0</v>
      </c>
      <c r="AN76" s="55">
        <f>_xll.EQNXTDZ($A$1,$B76,AN$5,$B$1)</f>
        <v>0</v>
      </c>
      <c r="AO76" s="55">
        <f>_xll.EQNXTDZ($A$1,$B76,AO$5,$B$1)</f>
        <v>0</v>
      </c>
      <c r="AP76" s="55">
        <f>_xll.EQNXTDZ($A$1,$B76,AP$5,$B$1)</f>
        <v>0</v>
      </c>
      <c r="AQ76" s="55">
        <f>_xll.EQNXTDZ($A$1,$B76,AQ$5,$B$1)</f>
        <v>0</v>
      </c>
      <c r="AR76" s="55">
        <f>_xll.EQNXTDZ($A$1,$B76,AR$5,$B$1)</f>
        <v>0</v>
      </c>
      <c r="AS76" s="55">
        <f>_xll.EQNXTDZ($A$1,$B76,AS$5,$B$1)</f>
        <v>0</v>
      </c>
      <c r="AT76" s="55">
        <f>_xll.EQNXTDZ($A$1,$B76,AT$5,$B$1)</f>
        <v>0</v>
      </c>
      <c r="AU76" s="55">
        <f>_xll.EQNXTDZ($A$1,$B76,AU$5,$B$1)</f>
        <v>0</v>
      </c>
      <c r="AV76" s="55">
        <f>_xll.EQNXTDZ($A$1,$B76,AV$5,$B$1)</f>
        <v>0</v>
      </c>
      <c r="AW76" s="55">
        <f>_xll.EQNXTDZ($A$1,$B76,AW$5,$B$1)</f>
        <v>0</v>
      </c>
      <c r="AX76" s="55">
        <f>_xll.EQNXTDZ($A$1,$B76,AX$5,$B$1)</f>
        <v>0</v>
      </c>
      <c r="AY76" s="55">
        <f>_xll.EQNXTDZ($A$1,$B76,AY$5,$B$1)</f>
        <v>0</v>
      </c>
      <c r="AZ76" s="55">
        <f>_xll.EQNXTDZ($A$1,$B76,AZ$5,$B$1)</f>
        <v>0</v>
      </c>
      <c r="BA76" s="55">
        <f>_xll.EQNXTDZ($A$1,$B76,BA$5,$B$1)</f>
        <v>0</v>
      </c>
      <c r="BB76" s="55">
        <f>_xll.EQNXTDZ($A$1,$B76,BB$5,$B$1)</f>
        <v>0</v>
      </c>
      <c r="BC76" s="55">
        <f>_xll.EQNXTDZ($A$1,$B76,BC$5,$B$1)</f>
        <v>0</v>
      </c>
      <c r="BD76" s="55">
        <f>_xll.EQNXTDZ($A$1,$B76,BD$5,$B$1)</f>
        <v>0</v>
      </c>
      <c r="BE76" s="55">
        <f>_xll.EQNXTDZ($A$1,$B76,BE$5,$B$1)</f>
        <v>0</v>
      </c>
      <c r="BF76" s="55">
        <f>_xll.EQNXTDZ($A$1,$B76,BF$5,$B$1)</f>
        <v>0</v>
      </c>
      <c r="BG76" s="55">
        <f>_xll.EQNXTDZ($A$1,$B76,BG$5,$B$1)</f>
        <v>0</v>
      </c>
      <c r="BH76" s="55">
        <f>_xll.EQNXTDZ($A$1,$B76,BH$5,$B$1)</f>
        <v>0</v>
      </c>
      <c r="BI76" s="55">
        <f>_xll.EQNXTDZ($A$1,$B76,BI$5,$B$1)</f>
        <v>0</v>
      </c>
      <c r="BJ76" s="55">
        <f>_xll.EQNXTDZ($A$1,$B76,BJ$5,$B$1)</f>
        <v>0</v>
      </c>
      <c r="BK76" s="55">
        <f>_xll.EQNXTDZ($A$1,$B76,BK$5,$B$1)</f>
        <v>0</v>
      </c>
      <c r="BL76" s="55">
        <f>_xll.EQNXTDZ($A$1,$B76,BL$5,$B$1)</f>
        <v>0</v>
      </c>
      <c r="BM76" s="55">
        <f>_xll.EQNXTDZ($A$1,$B76,BM$5,$B$1)</f>
        <v>0</v>
      </c>
      <c r="BN76" s="55">
        <f>_xll.EQNXTDZ($A$1,$B76,BN$5,$B$1)</f>
        <v>0</v>
      </c>
      <c r="BO76" s="55">
        <f>_xll.EQNXTDZ($A$1,$B76,BO$5,$B$1)</f>
        <v>0</v>
      </c>
      <c r="BP76" s="55">
        <f>_xll.EQNXTDZ($A$1,$B76,BP$5,$B$1)</f>
        <v>0</v>
      </c>
      <c r="BQ76" s="55">
        <f>_xll.EQNXTDZ($A$1,$B76,BQ$5,$B$1)</f>
        <v>0</v>
      </c>
      <c r="BR76" s="55">
        <f>_xll.EQNXTDZ($A$1,$B76,BR$5,$B$1)</f>
        <v>0</v>
      </c>
      <c r="BS76" s="55">
        <f>_xll.EQNXTDZ($A$1,$B76,BS$5,$B$1)</f>
        <v>0</v>
      </c>
      <c r="BT76" s="55">
        <f>_xll.EQNXTDZ($A$1,$B76,BT$5,$B$1)</f>
        <v>0</v>
      </c>
      <c r="BU76" s="55">
        <f>_xll.EQNXTDZ($A$1,$B76,BU$5,$B$1)</f>
        <v>0</v>
      </c>
      <c r="BV76" s="55">
        <f>_xll.EQNXTDZ($A$1,$B76,BV$5,$B$1)</f>
        <v>0</v>
      </c>
    </row>
    <row r="77" spans="1:74" x14ac:dyDescent="0.25">
      <c r="A77" t="s">
        <v>365</v>
      </c>
      <c r="B77" t="s">
        <v>393</v>
      </c>
      <c r="C77" s="55">
        <f>_xll.EQNXTDZ($A$1,$B77,C$5,$B$1)</f>
        <v>0</v>
      </c>
      <c r="D77" s="55">
        <f>_xll.EQNXTDZ($A$1,$B77,D$5,$B$1)</f>
        <v>0.113</v>
      </c>
      <c r="E77" s="55">
        <f>_xll.EQNXTDZ($A$1,$B77,E$5,$B$1)</f>
        <v>0</v>
      </c>
      <c r="F77" s="55">
        <f>_xll.EQNXTDZ($A$1,$B77,F$5,$B$1)</f>
        <v>0.113</v>
      </c>
      <c r="G77" s="55">
        <f>_xll.EQNXTDZ($A$1,$B77,G$5,$B$1)</f>
        <v>0</v>
      </c>
      <c r="H77" s="55">
        <f>_xll.EQNXTDZ($A$1,$B77,H$5,$B$1)</f>
        <v>3.2000000000000001E-2</v>
      </c>
      <c r="I77" s="55">
        <f>_xll.EQNXTDZ($A$1,$B77,I$5,$B$1)</f>
        <v>0</v>
      </c>
      <c r="J77" s="55">
        <f>_xll.EQNXTDZ($A$1,$B77,J$5,$B$1)</f>
        <v>3.2000000000000001E-2</v>
      </c>
      <c r="K77" s="55">
        <f>_xll.EQNXTDZ($A$1,$B77,K$5,$B$1)</f>
        <v>0</v>
      </c>
      <c r="L77" s="55">
        <f>_xll.EQNXTDZ($A$1,$B77,L$5,$B$1)</f>
        <v>3.2000000000000001E-2</v>
      </c>
      <c r="M77" s="55">
        <f>_xll.EQNXTDZ($A$1,$B77,M$5,$B$1)</f>
        <v>0</v>
      </c>
      <c r="N77" s="55">
        <f>_xll.EQNXTDZ($A$1,$B77,N$5,$B$1)</f>
        <v>8.2000000000000003E-2</v>
      </c>
      <c r="O77" s="55">
        <f>_xll.EQNXTDZ($A$1,$B77,O$5,$B$1)</f>
        <v>0</v>
      </c>
      <c r="P77" s="55">
        <f>_xll.EQNXTDZ($A$1,$B77,P$5,$B$1)</f>
        <v>0.13200000000000001</v>
      </c>
      <c r="Q77" s="55">
        <f>_xll.EQNXTDZ($A$1,$B77,Q$5,$B$1)</f>
        <v>0</v>
      </c>
      <c r="R77" s="55">
        <f>_xll.EQNXTDZ($A$1,$B77,R$5,$B$1)</f>
        <v>0.13200000000000001</v>
      </c>
      <c r="S77" s="55">
        <f>_xll.EQNXTDZ($A$1,$B77,S$5,$B$1)</f>
        <v>0</v>
      </c>
      <c r="T77" s="55">
        <f>_xll.EQNXTDZ($A$1,$B77,T$5,$B$1)</f>
        <v>0.13200000000000001</v>
      </c>
      <c r="U77" s="55">
        <f>_xll.EQNXTDZ($A$1,$B77,U$5,$B$1)</f>
        <v>0</v>
      </c>
      <c r="V77" s="55">
        <f>_xll.EQNXTDZ($A$1,$B77,V$5,$B$1)</f>
        <v>0.13200000000000001</v>
      </c>
      <c r="W77" s="55">
        <f>_xll.EQNXTDZ($A$1,$B77,W$5,$B$1)</f>
        <v>0</v>
      </c>
      <c r="X77" s="55">
        <f>_xll.EQNXTDZ($A$1,$B77,X$5,$B$1)</f>
        <v>0.13200000000000001</v>
      </c>
      <c r="Y77" s="55">
        <f>_xll.EQNXTDZ($A$1,$B77,Y$5,$B$1)</f>
        <v>0</v>
      </c>
      <c r="Z77" s="55">
        <f>_xll.EQNXTDZ($A$1,$B77,Z$5,$B$1)</f>
        <v>0.13200000000000001</v>
      </c>
      <c r="AA77" s="55">
        <f>_xll.EQNXTDZ($A$1,$B77,AA$5,$B$1)</f>
        <v>0</v>
      </c>
      <c r="AB77" s="55">
        <f>_xll.EQNXTDZ($A$1,$B77,AB$5,$B$1)</f>
        <v>0.13200000000000001</v>
      </c>
      <c r="AC77" s="55">
        <f>_xll.EQNXTDZ($A$1,$B77,AC$5,$B$1)</f>
        <v>0</v>
      </c>
      <c r="AD77" s="55">
        <f>_xll.EQNXTDZ($A$1,$B77,AD$5,$B$1)</f>
        <v>0.13100000000000001</v>
      </c>
      <c r="AE77" s="55">
        <f>_xll.EQNXTDZ($A$1,$B77,AE$5,$B$1)</f>
        <v>0</v>
      </c>
      <c r="AF77" s="55">
        <f>_xll.EQNXTDZ($A$1,$B77,AF$5,$B$1)</f>
        <v>0.13200000000000001</v>
      </c>
      <c r="AG77" s="55">
        <f>_xll.EQNXTDZ($A$1,$B77,AG$5,$B$1)</f>
        <v>0</v>
      </c>
      <c r="AH77" s="55">
        <f>_xll.EQNXTDZ($A$1,$B77,AH$5,$B$1)</f>
        <v>0.13200000000000001</v>
      </c>
      <c r="AI77" s="55">
        <f>_xll.EQNXTDZ($A$1,$B77,AI$5,$B$1)</f>
        <v>0</v>
      </c>
      <c r="AJ77" s="55">
        <f>_xll.EQNXTDZ($A$1,$B77,AJ$5,$B$1)</f>
        <v>0.13600000000000001</v>
      </c>
      <c r="AK77" s="55">
        <f>_xll.EQNXTDZ($A$1,$B77,AK$5,$B$1)</f>
        <v>0</v>
      </c>
      <c r="AL77" s="55">
        <f>_xll.EQNXTDZ($A$1,$B77,AL$5,$B$1)</f>
        <v>0.13600000000000001</v>
      </c>
      <c r="AM77" s="55">
        <f>_xll.EQNXTDZ($A$1,$B77,AM$5,$B$1)</f>
        <v>0</v>
      </c>
      <c r="AN77" s="55">
        <f>_xll.EQNXTDZ($A$1,$B77,AN$5,$B$1)</f>
        <v>0.13600000000000001</v>
      </c>
      <c r="AO77" s="55">
        <f>_xll.EQNXTDZ($A$1,$B77,AO$5,$B$1)</f>
        <v>0</v>
      </c>
      <c r="AP77" s="55">
        <f>_xll.EQNXTDZ($A$1,$B77,AP$5,$B$1)</f>
        <v>0.14000000000000001</v>
      </c>
      <c r="AQ77" s="55">
        <f>_xll.EQNXTDZ($A$1,$B77,AQ$5,$B$1)</f>
        <v>0</v>
      </c>
      <c r="AR77" s="55">
        <f>_xll.EQNXTDZ($A$1,$B77,AR$5,$B$1)</f>
        <v>0.2</v>
      </c>
      <c r="AS77" s="55">
        <f>_xll.EQNXTDZ($A$1,$B77,AS$5,$B$1)</f>
        <v>0</v>
      </c>
      <c r="AT77" s="55">
        <f>_xll.EQNXTDZ($A$1,$B77,AT$5,$B$1)</f>
        <v>0.04</v>
      </c>
      <c r="AU77" s="55">
        <f>_xll.EQNXTDZ($A$1,$B77,AU$5,$B$1)</f>
        <v>0</v>
      </c>
      <c r="AV77" s="55">
        <f>_xll.EQNXTDZ($A$1,$B77,AV$5,$B$1)</f>
        <v>0.04</v>
      </c>
      <c r="AW77" s="55">
        <f>_xll.EQNXTDZ($A$1,$B77,AW$5,$B$1)</f>
        <v>0</v>
      </c>
      <c r="AX77" s="55">
        <f>_xll.EQNXTDZ($A$1,$B77,AX$5,$B$1)</f>
        <v>0.04</v>
      </c>
      <c r="AY77" s="55">
        <f>_xll.EQNXTDZ($A$1,$B77,AY$5,$B$1)</f>
        <v>0</v>
      </c>
      <c r="AZ77" s="55">
        <f>_xll.EQNXTDZ($A$1,$B77,AZ$5,$B$1)</f>
        <v>0.04</v>
      </c>
      <c r="BA77" s="55">
        <f>_xll.EQNXTDZ($A$1,$B77,BA$5,$B$1)</f>
        <v>0</v>
      </c>
      <c r="BB77" s="55">
        <f>_xll.EQNXTDZ($A$1,$B77,BB$5,$B$1)</f>
        <v>0.03</v>
      </c>
      <c r="BC77" s="55">
        <f>_xll.EQNXTDZ($A$1,$B77,BC$5,$B$1)</f>
        <v>0</v>
      </c>
      <c r="BD77" s="55">
        <f>_xll.EQNXTDZ($A$1,$B77,BD$5,$B$1)</f>
        <v>48.4</v>
      </c>
      <c r="BE77" s="55">
        <f>_xll.EQNXTDZ($A$1,$B77,BE$5,$B$1)</f>
        <v>0</v>
      </c>
      <c r="BF77" s="55">
        <f>_xll.EQNXTDZ($A$1,$B77,BF$5,$B$1)</f>
        <v>560.63</v>
      </c>
      <c r="BG77" s="55">
        <f>_xll.EQNXTDZ($A$1,$B77,BG$5,$B$1)</f>
        <v>0</v>
      </c>
      <c r="BH77" s="55">
        <f>_xll.EQNXTDZ($A$1,$B77,BH$5,$B$1)</f>
        <v>0</v>
      </c>
      <c r="BI77" s="55">
        <f>_xll.EQNXTDZ($A$1,$B77,BI$5,$B$1)</f>
        <v>0</v>
      </c>
      <c r="BJ77" s="55">
        <f>_xll.EQNXTDZ($A$1,$B77,BJ$5,$B$1)</f>
        <v>0</v>
      </c>
      <c r="BK77" s="55">
        <f>_xll.EQNXTDZ($A$1,$B77,BK$5,$B$1)</f>
        <v>0</v>
      </c>
      <c r="BL77" s="55">
        <f>_xll.EQNXTDZ($A$1,$B77,BL$5,$B$1)</f>
        <v>0</v>
      </c>
      <c r="BM77" s="55">
        <f>_xll.EQNXTDZ($A$1,$B77,BM$5,$B$1)</f>
        <v>0</v>
      </c>
      <c r="BN77" s="55">
        <f>_xll.EQNXTDZ($A$1,$B77,BN$5,$B$1)</f>
        <v>0</v>
      </c>
      <c r="BO77" s="55">
        <f>_xll.EQNXTDZ($A$1,$B77,BO$5,$B$1)</f>
        <v>0</v>
      </c>
      <c r="BP77" s="55">
        <f>_xll.EQNXTDZ($A$1,$B77,BP$5,$B$1)</f>
        <v>0</v>
      </c>
      <c r="BQ77" s="55">
        <f>_xll.EQNXTDZ($A$1,$B77,BQ$5,$B$1)</f>
        <v>0</v>
      </c>
      <c r="BR77" s="55">
        <f>_xll.EQNXTDZ($A$1,$B77,BR$5,$B$1)</f>
        <v>0</v>
      </c>
      <c r="BS77" s="55">
        <f>_xll.EQNXTDZ($A$1,$B77,BS$5,$B$1)</f>
        <v>0</v>
      </c>
      <c r="BT77" s="55">
        <f>_xll.EQNXTDZ($A$1,$B77,BT$5,$B$1)</f>
        <v>0</v>
      </c>
      <c r="BU77" s="55">
        <f>_xll.EQNXTDZ($A$1,$B77,BU$5,$B$1)</f>
        <v>0</v>
      </c>
      <c r="BV77" s="55">
        <f>_xll.EQNXTDZ($A$1,$B77,BV$5,$B$1)</f>
        <v>0</v>
      </c>
    </row>
    <row r="78" spans="1:74" x14ac:dyDescent="0.25">
      <c r="A78" t="s">
        <v>59</v>
      </c>
      <c r="B78" t="s">
        <v>394</v>
      </c>
      <c r="C78" s="55">
        <f>_xll.EQNXTDZ($A$1,$B78,C$5,$B$1)</f>
        <v>0</v>
      </c>
      <c r="D78" s="55">
        <f>_xll.EQNXTDZ($A$1,$B78,D$5,$B$1)</f>
        <v>39.781999999999996</v>
      </c>
      <c r="E78" s="55">
        <f>_xll.EQNXTDZ($A$1,$B78,E$5,$B$1)</f>
        <v>0</v>
      </c>
      <c r="F78" s="55">
        <f>_xll.EQNXTDZ($A$1,$B78,F$5,$B$1)</f>
        <v>40.06</v>
      </c>
      <c r="G78" s="55">
        <f>_xll.EQNXTDZ($A$1,$B78,G$5,$B$1)</f>
        <v>0</v>
      </c>
      <c r="H78" s="55">
        <f>_xll.EQNXTDZ($A$1,$B78,H$5,$B$1)</f>
        <v>39.840000000000003</v>
      </c>
      <c r="I78" s="55">
        <f>_xll.EQNXTDZ($A$1,$B78,I$5,$B$1)</f>
        <v>0</v>
      </c>
      <c r="J78" s="55">
        <f>_xll.EQNXTDZ($A$1,$B78,J$5,$B$1)</f>
        <v>38.375</v>
      </c>
      <c r="K78" s="55">
        <f>_xll.EQNXTDZ($A$1,$B78,K$5,$B$1)</f>
        <v>0</v>
      </c>
      <c r="L78" s="55">
        <f>_xll.EQNXTDZ($A$1,$B78,L$5,$B$1)</f>
        <v>39.536999999999999</v>
      </c>
      <c r="M78" s="55">
        <f>_xll.EQNXTDZ($A$1,$B78,M$5,$B$1)</f>
        <v>0</v>
      </c>
      <c r="N78" s="55">
        <f>_xll.EQNXTDZ($A$1,$B78,N$5,$B$1)</f>
        <v>38.957999999999998</v>
      </c>
      <c r="O78" s="55">
        <f>_xll.EQNXTDZ($A$1,$B78,O$5,$B$1)</f>
        <v>0</v>
      </c>
      <c r="P78" s="55">
        <f>_xll.EQNXTDZ($A$1,$B78,P$5,$B$1)</f>
        <v>38.780999999999999</v>
      </c>
      <c r="Q78" s="55">
        <f>_xll.EQNXTDZ($A$1,$B78,Q$5,$B$1)</f>
        <v>0</v>
      </c>
      <c r="R78" s="55">
        <f>_xll.EQNXTDZ($A$1,$B78,R$5,$B$1)</f>
        <v>38.81</v>
      </c>
      <c r="S78" s="55">
        <f>_xll.EQNXTDZ($A$1,$B78,S$5,$B$1)</f>
        <v>0</v>
      </c>
      <c r="T78" s="55">
        <f>_xll.EQNXTDZ($A$1,$B78,T$5,$B$1)</f>
        <v>38.99</v>
      </c>
      <c r="U78" s="55">
        <f>_xll.EQNXTDZ($A$1,$B78,U$5,$B$1)</f>
        <v>0</v>
      </c>
      <c r="V78" s="55">
        <f>_xll.EQNXTDZ($A$1,$B78,V$5,$B$1)</f>
        <v>38.822000000000003</v>
      </c>
      <c r="W78" s="55">
        <f>_xll.EQNXTDZ($A$1,$B78,W$5,$B$1)</f>
        <v>0</v>
      </c>
      <c r="X78" s="55">
        <f>_xll.EQNXTDZ($A$1,$B78,X$5,$B$1)</f>
        <v>38.814999999999998</v>
      </c>
      <c r="Y78" s="55">
        <f>_xll.EQNXTDZ($A$1,$B78,Y$5,$B$1)</f>
        <v>0</v>
      </c>
      <c r="Z78" s="55">
        <f>_xll.EQNXTDZ($A$1,$B78,Z$5,$B$1)</f>
        <v>38.518000000000001</v>
      </c>
      <c r="AA78" s="55">
        <f>_xll.EQNXTDZ($A$1,$B78,AA$5,$B$1)</f>
        <v>0</v>
      </c>
      <c r="AB78" s="55">
        <f>_xll.EQNXTDZ($A$1,$B78,AB$5,$B$1)</f>
        <v>0</v>
      </c>
      <c r="AC78" s="55">
        <f>_xll.EQNXTDZ($A$1,$B78,AC$5,$B$1)</f>
        <v>0</v>
      </c>
      <c r="AD78" s="55">
        <f>_xll.EQNXTDZ($A$1,$B78,AD$5,$B$1)</f>
        <v>0</v>
      </c>
      <c r="AE78" s="55">
        <f>_xll.EQNXTDZ($A$1,$B78,AE$5,$B$1)</f>
        <v>0</v>
      </c>
      <c r="AF78" s="55">
        <f>_xll.EQNXTDZ($A$1,$B78,AF$5,$B$1)</f>
        <v>0</v>
      </c>
      <c r="AG78" s="55">
        <f>_xll.EQNXTDZ($A$1,$B78,AG$5,$B$1)</f>
        <v>0</v>
      </c>
      <c r="AH78" s="55">
        <f>_xll.EQNXTDZ($A$1,$B78,AH$5,$B$1)</f>
        <v>0</v>
      </c>
      <c r="AI78" s="55">
        <f>_xll.EQNXTDZ($A$1,$B78,AI$5,$B$1)</f>
        <v>0</v>
      </c>
      <c r="AJ78" s="55">
        <f>_xll.EQNXTDZ($A$1,$B78,AJ$5,$B$1)</f>
        <v>0</v>
      </c>
      <c r="AK78" s="55">
        <f>_xll.EQNXTDZ($A$1,$B78,AK$5,$B$1)</f>
        <v>0</v>
      </c>
      <c r="AL78" s="55">
        <f>_xll.EQNXTDZ($A$1,$B78,AL$5,$B$1)</f>
        <v>0</v>
      </c>
      <c r="AM78" s="55">
        <f>_xll.EQNXTDZ($A$1,$B78,AM$5,$B$1)</f>
        <v>0</v>
      </c>
      <c r="AN78" s="55">
        <f>_xll.EQNXTDZ($A$1,$B78,AN$5,$B$1)</f>
        <v>0</v>
      </c>
      <c r="AO78" s="55">
        <f>_xll.EQNXTDZ($A$1,$B78,AO$5,$B$1)</f>
        <v>0</v>
      </c>
      <c r="AP78" s="55">
        <f>_xll.EQNXTDZ($A$1,$B78,AP$5,$B$1)</f>
        <v>0</v>
      </c>
      <c r="AQ78" s="55">
        <f>_xll.EQNXTDZ($A$1,$B78,AQ$5,$B$1)</f>
        <v>0</v>
      </c>
      <c r="AR78" s="55">
        <f>_xll.EQNXTDZ($A$1,$B78,AR$5,$B$1)</f>
        <v>0</v>
      </c>
      <c r="AS78" s="55">
        <f>_xll.EQNXTDZ($A$1,$B78,AS$5,$B$1)</f>
        <v>0</v>
      </c>
      <c r="AT78" s="55">
        <f>_xll.EQNXTDZ($A$1,$B78,AT$5,$B$1)</f>
        <v>0</v>
      </c>
      <c r="AU78" s="55">
        <f>_xll.EQNXTDZ($A$1,$B78,AU$5,$B$1)</f>
        <v>0</v>
      </c>
      <c r="AV78" s="55">
        <f>_xll.EQNXTDZ($A$1,$B78,AV$5,$B$1)</f>
        <v>0</v>
      </c>
      <c r="AW78" s="55">
        <f>_xll.EQNXTDZ($A$1,$B78,AW$5,$B$1)</f>
        <v>0</v>
      </c>
      <c r="AX78" s="55">
        <f>_xll.EQNXTDZ($A$1,$B78,AX$5,$B$1)</f>
        <v>0</v>
      </c>
      <c r="AY78" s="55">
        <f>_xll.EQNXTDZ($A$1,$B78,AY$5,$B$1)</f>
        <v>0</v>
      </c>
      <c r="AZ78" s="55">
        <f>_xll.EQNXTDZ($A$1,$B78,AZ$5,$B$1)</f>
        <v>0</v>
      </c>
      <c r="BA78" s="55">
        <f>_xll.EQNXTDZ($A$1,$B78,BA$5,$B$1)</f>
        <v>0</v>
      </c>
      <c r="BB78" s="55">
        <f>_xll.EQNXTDZ($A$1,$B78,BB$5,$B$1)</f>
        <v>32.340000000000003</v>
      </c>
      <c r="BC78" s="55">
        <f>_xll.EQNXTDZ($A$1,$B78,BC$5,$B$1)</f>
        <v>0</v>
      </c>
      <c r="BD78" s="55">
        <f>_xll.EQNXTDZ($A$1,$B78,BD$5,$B$1)</f>
        <v>370.63</v>
      </c>
      <c r="BE78" s="55">
        <f>_xll.EQNXTDZ($A$1,$B78,BE$5,$B$1)</f>
        <v>0</v>
      </c>
      <c r="BF78" s="55">
        <f>_xll.EQNXTDZ($A$1,$B78,BF$5,$B$1)</f>
        <v>47.44</v>
      </c>
      <c r="BG78" s="55">
        <f>_xll.EQNXTDZ($A$1,$B78,BG$5,$B$1)</f>
        <v>0</v>
      </c>
      <c r="BH78" s="55">
        <f>_xll.EQNXTDZ($A$1,$B78,BH$5,$B$1)</f>
        <v>0</v>
      </c>
      <c r="BI78" s="55">
        <f>_xll.EQNXTDZ($A$1,$B78,BI$5,$B$1)</f>
        <v>0</v>
      </c>
      <c r="BJ78" s="55">
        <f>_xll.EQNXTDZ($A$1,$B78,BJ$5,$B$1)</f>
        <v>0</v>
      </c>
      <c r="BK78" s="55">
        <f>_xll.EQNXTDZ($A$1,$B78,BK$5,$B$1)</f>
        <v>0</v>
      </c>
      <c r="BL78" s="55">
        <f>_xll.EQNXTDZ($A$1,$B78,BL$5,$B$1)</f>
        <v>0</v>
      </c>
      <c r="BM78" s="55">
        <f>_xll.EQNXTDZ($A$1,$B78,BM$5,$B$1)</f>
        <v>0</v>
      </c>
      <c r="BN78" s="55">
        <f>_xll.EQNXTDZ($A$1,$B78,BN$5,$B$1)</f>
        <v>0</v>
      </c>
      <c r="BO78" s="55">
        <f>_xll.EQNXTDZ($A$1,$B78,BO$5,$B$1)</f>
        <v>0</v>
      </c>
      <c r="BP78" s="55">
        <f>_xll.EQNXTDZ($A$1,$B78,BP$5,$B$1)</f>
        <v>0</v>
      </c>
      <c r="BQ78" s="55">
        <f>_xll.EQNXTDZ($A$1,$B78,BQ$5,$B$1)</f>
        <v>0</v>
      </c>
      <c r="BR78" s="55">
        <f>_xll.EQNXTDZ($A$1,$B78,BR$5,$B$1)</f>
        <v>0</v>
      </c>
      <c r="BS78" s="55">
        <f>_xll.EQNXTDZ($A$1,$B78,BS$5,$B$1)</f>
        <v>0</v>
      </c>
      <c r="BT78" s="55">
        <f>_xll.EQNXTDZ($A$1,$B78,BT$5,$B$1)</f>
        <v>0</v>
      </c>
      <c r="BU78" s="55">
        <f>_xll.EQNXTDZ($A$1,$B78,BU$5,$B$1)</f>
        <v>0</v>
      </c>
      <c r="BV78" s="55">
        <f>_xll.EQNXTDZ($A$1,$B78,BV$5,$B$1)</f>
        <v>0</v>
      </c>
    </row>
    <row r="79" spans="1:74" x14ac:dyDescent="0.25">
      <c r="A79" t="s">
        <v>60</v>
      </c>
      <c r="B79" t="s">
        <v>395</v>
      </c>
      <c r="C79" s="55">
        <f>_xll.EQNXTDZ($A$1,$B79,C$5,$B$1)</f>
        <v>0</v>
      </c>
      <c r="D79" s="55">
        <f>_xll.EQNXTDZ($A$1,$B79,D$5,$B$1)</f>
        <v>0</v>
      </c>
      <c r="E79" s="55">
        <f>_xll.EQNXTDZ($A$1,$B79,E$5,$B$1)</f>
        <v>0</v>
      </c>
      <c r="F79" s="55">
        <f>_xll.EQNXTDZ($A$1,$B79,F$5,$B$1)</f>
        <v>0</v>
      </c>
      <c r="G79" s="55">
        <f>_xll.EQNXTDZ($A$1,$B79,G$5,$B$1)</f>
        <v>0</v>
      </c>
      <c r="H79" s="55">
        <f>_xll.EQNXTDZ($A$1,$B79,H$5,$B$1)</f>
        <v>0</v>
      </c>
      <c r="I79" s="55">
        <f>_xll.EQNXTDZ($A$1,$B79,I$5,$B$1)</f>
        <v>0</v>
      </c>
      <c r="J79" s="55">
        <f>_xll.EQNXTDZ($A$1,$B79,J$5,$B$1)</f>
        <v>0</v>
      </c>
      <c r="K79" s="55">
        <f>_xll.EQNXTDZ($A$1,$B79,K$5,$B$1)</f>
        <v>0</v>
      </c>
      <c r="L79" s="55">
        <f>_xll.EQNXTDZ($A$1,$B79,L$5,$B$1)</f>
        <v>0</v>
      </c>
      <c r="M79" s="55">
        <f>_xll.EQNXTDZ($A$1,$B79,M$5,$B$1)</f>
        <v>0</v>
      </c>
      <c r="N79" s="55">
        <f>_xll.EQNXTDZ($A$1,$B79,N$5,$B$1)</f>
        <v>0</v>
      </c>
      <c r="O79" s="55">
        <f>_xll.EQNXTDZ($A$1,$B79,O$5,$B$1)</f>
        <v>0</v>
      </c>
      <c r="P79" s="55">
        <f>_xll.EQNXTDZ($A$1,$B79,P$5,$B$1)</f>
        <v>0</v>
      </c>
      <c r="Q79" s="55">
        <f>_xll.EQNXTDZ($A$1,$B79,Q$5,$B$1)</f>
        <v>0</v>
      </c>
      <c r="R79" s="55">
        <f>_xll.EQNXTDZ($A$1,$B79,R$5,$B$1)</f>
        <v>0</v>
      </c>
      <c r="S79" s="55">
        <f>_xll.EQNXTDZ($A$1,$B79,S$5,$B$1)</f>
        <v>0</v>
      </c>
      <c r="T79" s="55">
        <f>_xll.EQNXTDZ($A$1,$B79,T$5,$B$1)</f>
        <v>0</v>
      </c>
      <c r="U79" s="55">
        <f>_xll.EQNXTDZ($A$1,$B79,U$5,$B$1)</f>
        <v>0</v>
      </c>
      <c r="V79" s="55">
        <f>_xll.EQNXTDZ($A$1,$B79,V$5,$B$1)</f>
        <v>0</v>
      </c>
      <c r="W79" s="55">
        <f>_xll.EQNXTDZ($A$1,$B79,W$5,$B$1)</f>
        <v>0</v>
      </c>
      <c r="X79" s="55">
        <f>_xll.EQNXTDZ($A$1,$B79,X$5,$B$1)</f>
        <v>0</v>
      </c>
      <c r="Y79" s="55">
        <f>_xll.EQNXTDZ($A$1,$B79,Y$5,$B$1)</f>
        <v>0</v>
      </c>
      <c r="Z79" s="55">
        <f>_xll.EQNXTDZ($A$1,$B79,Z$5,$B$1)</f>
        <v>0</v>
      </c>
      <c r="AA79" s="55">
        <f>_xll.EQNXTDZ($A$1,$B79,AA$5,$B$1)</f>
        <v>0</v>
      </c>
      <c r="AB79" s="55">
        <f>_xll.EQNXTDZ($A$1,$B79,AB$5,$B$1)</f>
        <v>0</v>
      </c>
      <c r="AC79" s="55">
        <f>_xll.EQNXTDZ($A$1,$B79,AC$5,$B$1)</f>
        <v>0</v>
      </c>
      <c r="AD79" s="55">
        <f>_xll.EQNXTDZ($A$1,$B79,AD$5,$B$1)</f>
        <v>0.628</v>
      </c>
      <c r="AE79" s="55">
        <f>_xll.EQNXTDZ($A$1,$B79,AE$5,$B$1)</f>
        <v>0</v>
      </c>
      <c r="AF79" s="55">
        <f>_xll.EQNXTDZ($A$1,$B79,AF$5,$B$1)</f>
        <v>0.625</v>
      </c>
      <c r="AG79" s="55">
        <f>_xll.EQNXTDZ($A$1,$B79,AG$5,$B$1)</f>
        <v>0</v>
      </c>
      <c r="AH79" s="55">
        <f>_xll.EQNXTDZ($A$1,$B79,AH$5,$B$1)</f>
        <v>3.63</v>
      </c>
      <c r="AI79" s="55">
        <f>_xll.EQNXTDZ($A$1,$B79,AI$5,$B$1)</f>
        <v>0</v>
      </c>
      <c r="AJ79" s="55">
        <f>_xll.EQNXTDZ($A$1,$B79,AJ$5,$B$1)</f>
        <v>3.1869999999999998</v>
      </c>
      <c r="AK79" s="55">
        <f>_xll.EQNXTDZ($A$1,$B79,AK$5,$B$1)</f>
        <v>0</v>
      </c>
      <c r="AL79" s="55">
        <f>_xll.EQNXTDZ($A$1,$B79,AL$5,$B$1)</f>
        <v>1.5149999999999999</v>
      </c>
      <c r="AM79" s="55">
        <f>_xll.EQNXTDZ($A$1,$B79,AM$5,$B$1)</f>
        <v>0</v>
      </c>
      <c r="AN79" s="55">
        <f>_xll.EQNXTDZ($A$1,$B79,AN$5,$B$1)</f>
        <v>1.498</v>
      </c>
      <c r="AO79" s="55">
        <f>_xll.EQNXTDZ($A$1,$B79,AO$5,$B$1)</f>
        <v>0</v>
      </c>
      <c r="AP79" s="55">
        <f>_xll.EQNXTDZ($A$1,$B79,AP$5,$B$1)</f>
        <v>1.47</v>
      </c>
      <c r="AQ79" s="55">
        <f>_xll.EQNXTDZ($A$1,$B79,AQ$5,$B$1)</f>
        <v>0</v>
      </c>
      <c r="AR79" s="55">
        <f>_xll.EQNXTDZ($A$1,$B79,AR$5,$B$1)</f>
        <v>23.61</v>
      </c>
      <c r="AS79" s="55">
        <f>_xll.EQNXTDZ($A$1,$B79,AS$5,$B$1)</f>
        <v>0</v>
      </c>
      <c r="AT79" s="55">
        <f>_xll.EQNXTDZ($A$1,$B79,AT$5,$B$1)</f>
        <v>187.01</v>
      </c>
      <c r="AU79" s="55">
        <f>_xll.EQNXTDZ($A$1,$B79,AU$5,$B$1)</f>
        <v>0</v>
      </c>
      <c r="AV79" s="55">
        <f>_xll.EQNXTDZ($A$1,$B79,AV$5,$B$1)</f>
        <v>327.87</v>
      </c>
      <c r="AW79" s="55">
        <f>_xll.EQNXTDZ($A$1,$B79,AW$5,$B$1)</f>
        <v>0</v>
      </c>
      <c r="AX79" s="55">
        <f>_xll.EQNXTDZ($A$1,$B79,AX$5,$B$1)</f>
        <v>385.14</v>
      </c>
      <c r="AY79" s="55">
        <f>_xll.EQNXTDZ($A$1,$B79,AY$5,$B$1)</f>
        <v>0</v>
      </c>
      <c r="AZ79" s="55">
        <f>_xll.EQNXTDZ($A$1,$B79,AZ$5,$B$1)</f>
        <v>1162.9000000000001</v>
      </c>
      <c r="BA79" s="55">
        <f>_xll.EQNXTDZ($A$1,$B79,BA$5,$B$1)</f>
        <v>0</v>
      </c>
      <c r="BB79" s="55">
        <f>_xll.EQNXTDZ($A$1,$B79,BB$5,$B$1)</f>
        <v>656.26</v>
      </c>
      <c r="BC79" s="55">
        <f>_xll.EQNXTDZ($A$1,$B79,BC$5,$B$1)</f>
        <v>0</v>
      </c>
      <c r="BD79" s="55">
        <f>_xll.EQNXTDZ($A$1,$B79,BD$5,$B$1)</f>
        <v>2235.87</v>
      </c>
      <c r="BE79" s="55">
        <f>_xll.EQNXTDZ($A$1,$B79,BE$5,$B$1)</f>
        <v>0</v>
      </c>
      <c r="BF79" s="55">
        <f>_xll.EQNXTDZ($A$1,$B79,BF$5,$B$1)</f>
        <v>4491.01</v>
      </c>
      <c r="BG79" s="55">
        <f>_xll.EQNXTDZ($A$1,$B79,BG$5,$B$1)</f>
        <v>0</v>
      </c>
      <c r="BH79" s="55">
        <f>_xll.EQNXTDZ($A$1,$B79,BH$5,$B$1)</f>
        <v>0</v>
      </c>
      <c r="BI79" s="55">
        <f>_xll.EQNXTDZ($A$1,$B79,BI$5,$B$1)</f>
        <v>0</v>
      </c>
      <c r="BJ79" s="55">
        <f>_xll.EQNXTDZ($A$1,$B79,BJ$5,$B$1)</f>
        <v>0</v>
      </c>
      <c r="BK79" s="55">
        <f>_xll.EQNXTDZ($A$1,$B79,BK$5,$B$1)</f>
        <v>0</v>
      </c>
      <c r="BL79" s="55">
        <f>_xll.EQNXTDZ($A$1,$B79,BL$5,$B$1)</f>
        <v>0</v>
      </c>
      <c r="BM79" s="55">
        <f>_xll.EQNXTDZ($A$1,$B79,BM$5,$B$1)</f>
        <v>0</v>
      </c>
      <c r="BN79" s="55">
        <f>_xll.EQNXTDZ($A$1,$B79,BN$5,$B$1)</f>
        <v>0</v>
      </c>
      <c r="BO79" s="55">
        <f>_xll.EQNXTDZ($A$1,$B79,BO$5,$B$1)</f>
        <v>0</v>
      </c>
      <c r="BP79" s="55">
        <f>_xll.EQNXTDZ($A$1,$B79,BP$5,$B$1)</f>
        <v>0</v>
      </c>
      <c r="BQ79" s="55">
        <f>_xll.EQNXTDZ($A$1,$B79,BQ$5,$B$1)</f>
        <v>0</v>
      </c>
      <c r="BR79" s="55">
        <f>_xll.EQNXTDZ($A$1,$B79,BR$5,$B$1)</f>
        <v>0</v>
      </c>
      <c r="BS79" s="55">
        <f>_xll.EQNXTDZ($A$1,$B79,BS$5,$B$1)</f>
        <v>0</v>
      </c>
      <c r="BT79" s="55">
        <f>_xll.EQNXTDZ($A$1,$B79,BT$5,$B$1)</f>
        <v>0</v>
      </c>
      <c r="BU79" s="55">
        <f>_xll.EQNXTDZ($A$1,$B79,BU$5,$B$1)</f>
        <v>0</v>
      </c>
      <c r="BV79" s="55">
        <f>_xll.EQNXTDZ($A$1,$B79,BV$5,$B$1)</f>
        <v>0</v>
      </c>
    </row>
    <row r="80" spans="1:74" x14ac:dyDescent="0.25">
      <c r="A80" t="s">
        <v>366</v>
      </c>
      <c r="B80" t="s">
        <v>396</v>
      </c>
      <c r="C80" s="55">
        <f>_xll.EQNXTDZ($A$1,$B80,C$5,$B$1)</f>
        <v>0</v>
      </c>
      <c r="D80" s="55">
        <f>_xll.EQNXTDZ($A$1,$B80,D$5,$B$1)</f>
        <v>0</v>
      </c>
      <c r="E80" s="55">
        <f>_xll.EQNXTDZ($A$1,$B80,E$5,$B$1)</f>
        <v>0</v>
      </c>
      <c r="F80" s="55">
        <f>_xll.EQNXTDZ($A$1,$B80,F$5,$B$1)</f>
        <v>0</v>
      </c>
      <c r="G80" s="55">
        <f>_xll.EQNXTDZ($A$1,$B80,G$5,$B$1)</f>
        <v>0</v>
      </c>
      <c r="H80" s="55">
        <f>_xll.EQNXTDZ($A$1,$B80,H$5,$B$1)</f>
        <v>0</v>
      </c>
      <c r="I80" s="55">
        <f>_xll.EQNXTDZ($A$1,$B80,I$5,$B$1)</f>
        <v>0</v>
      </c>
      <c r="J80" s="55">
        <f>_xll.EQNXTDZ($A$1,$B80,J$5,$B$1)</f>
        <v>0</v>
      </c>
      <c r="K80" s="55">
        <f>_xll.EQNXTDZ($A$1,$B80,K$5,$B$1)</f>
        <v>0</v>
      </c>
      <c r="L80" s="55">
        <f>_xll.EQNXTDZ($A$1,$B80,L$5,$B$1)</f>
        <v>0</v>
      </c>
      <c r="M80" s="55">
        <f>_xll.EQNXTDZ($A$1,$B80,M$5,$B$1)</f>
        <v>0</v>
      </c>
      <c r="N80" s="55">
        <f>_xll.EQNXTDZ($A$1,$B80,N$5,$B$1)</f>
        <v>0</v>
      </c>
      <c r="O80" s="55">
        <f>_xll.EQNXTDZ($A$1,$B80,O$5,$B$1)</f>
        <v>0</v>
      </c>
      <c r="P80" s="55">
        <f>_xll.EQNXTDZ($A$1,$B80,P$5,$B$1)</f>
        <v>0</v>
      </c>
      <c r="Q80" s="55">
        <f>_xll.EQNXTDZ($A$1,$B80,Q$5,$B$1)</f>
        <v>0</v>
      </c>
      <c r="R80" s="55">
        <f>_xll.EQNXTDZ($A$1,$B80,R$5,$B$1)</f>
        <v>0</v>
      </c>
      <c r="S80" s="55">
        <f>_xll.EQNXTDZ($A$1,$B80,S$5,$B$1)</f>
        <v>0</v>
      </c>
      <c r="T80" s="55">
        <f>_xll.EQNXTDZ($A$1,$B80,T$5,$B$1)</f>
        <v>0</v>
      </c>
      <c r="U80" s="55">
        <f>_xll.EQNXTDZ($A$1,$B80,U$5,$B$1)</f>
        <v>0</v>
      </c>
      <c r="V80" s="55">
        <f>_xll.EQNXTDZ($A$1,$B80,V$5,$B$1)</f>
        <v>0</v>
      </c>
      <c r="W80" s="55">
        <f>_xll.EQNXTDZ($A$1,$B80,W$5,$B$1)</f>
        <v>0</v>
      </c>
      <c r="X80" s="55">
        <f>_xll.EQNXTDZ($A$1,$B80,X$5,$B$1)</f>
        <v>0</v>
      </c>
      <c r="Y80" s="55">
        <f>_xll.EQNXTDZ($A$1,$B80,Y$5,$B$1)</f>
        <v>0</v>
      </c>
      <c r="Z80" s="55">
        <f>_xll.EQNXTDZ($A$1,$B80,Z$5,$B$1)</f>
        <v>0</v>
      </c>
      <c r="AA80" s="55">
        <f>_xll.EQNXTDZ($A$1,$B80,AA$5,$B$1)</f>
        <v>0</v>
      </c>
      <c r="AB80" s="55">
        <f>_xll.EQNXTDZ($A$1,$B80,AB$5,$B$1)</f>
        <v>0</v>
      </c>
      <c r="AC80" s="55">
        <f>_xll.EQNXTDZ($A$1,$B80,AC$5,$B$1)</f>
        <v>0</v>
      </c>
      <c r="AD80" s="55">
        <f>_xll.EQNXTDZ($A$1,$B80,AD$5,$B$1)</f>
        <v>0</v>
      </c>
      <c r="AE80" s="55">
        <f>_xll.EQNXTDZ($A$1,$B80,AE$5,$B$1)</f>
        <v>0</v>
      </c>
      <c r="AF80" s="55">
        <f>_xll.EQNXTDZ($A$1,$B80,AF$5,$B$1)</f>
        <v>0</v>
      </c>
      <c r="AG80" s="55">
        <f>_xll.EQNXTDZ($A$1,$B80,AG$5,$B$1)</f>
        <v>0</v>
      </c>
      <c r="AH80" s="55">
        <f>_xll.EQNXTDZ($A$1,$B80,AH$5,$B$1)</f>
        <v>0</v>
      </c>
      <c r="AI80" s="55">
        <f>_xll.EQNXTDZ($A$1,$B80,AI$5,$B$1)</f>
        <v>0</v>
      </c>
      <c r="AJ80" s="55">
        <f>_xll.EQNXTDZ($A$1,$B80,AJ$5,$B$1)</f>
        <v>0</v>
      </c>
      <c r="AK80" s="55">
        <f>_xll.EQNXTDZ($A$1,$B80,AK$5,$B$1)</f>
        <v>0</v>
      </c>
      <c r="AL80" s="55">
        <f>_xll.EQNXTDZ($A$1,$B80,AL$5,$B$1)</f>
        <v>0</v>
      </c>
      <c r="AM80" s="55">
        <f>_xll.EQNXTDZ($A$1,$B80,AM$5,$B$1)</f>
        <v>0</v>
      </c>
      <c r="AN80" s="55">
        <f>_xll.EQNXTDZ($A$1,$B80,AN$5,$B$1)</f>
        <v>9.6150000000000002</v>
      </c>
      <c r="AO80" s="55">
        <f>_xll.EQNXTDZ($A$1,$B80,AO$5,$B$1)</f>
        <v>0</v>
      </c>
      <c r="AP80" s="55">
        <f>_xll.EQNXTDZ($A$1,$B80,AP$5,$B$1)</f>
        <v>0</v>
      </c>
      <c r="AQ80" s="55">
        <f>_xll.EQNXTDZ($A$1,$B80,AQ$5,$B$1)</f>
        <v>0</v>
      </c>
      <c r="AR80" s="55">
        <f>_xll.EQNXTDZ($A$1,$B80,AR$5,$B$1)</f>
        <v>0</v>
      </c>
      <c r="AS80" s="55">
        <f>_xll.EQNXTDZ($A$1,$B80,AS$5,$B$1)</f>
        <v>0</v>
      </c>
      <c r="AT80" s="55">
        <f>_xll.EQNXTDZ($A$1,$B80,AT$5,$B$1)</f>
        <v>36.78</v>
      </c>
      <c r="AU80" s="55">
        <f>_xll.EQNXTDZ($A$1,$B80,AU$5,$B$1)</f>
        <v>0</v>
      </c>
      <c r="AV80" s="55">
        <f>_xll.EQNXTDZ($A$1,$B80,AV$5,$B$1)</f>
        <v>65.63</v>
      </c>
      <c r="AW80" s="55">
        <f>_xll.EQNXTDZ($A$1,$B80,AW$5,$B$1)</f>
        <v>0</v>
      </c>
      <c r="AX80" s="55">
        <f>_xll.EQNXTDZ($A$1,$B80,AX$5,$B$1)</f>
        <v>29.03</v>
      </c>
      <c r="AY80" s="55">
        <f>_xll.EQNXTDZ($A$1,$B80,AY$5,$B$1)</f>
        <v>0</v>
      </c>
      <c r="AZ80" s="55">
        <f>_xll.EQNXTDZ($A$1,$B80,AZ$5,$B$1)</f>
        <v>503.78</v>
      </c>
      <c r="BA80" s="55">
        <f>_xll.EQNXTDZ($A$1,$B80,BA$5,$B$1)</f>
        <v>0</v>
      </c>
      <c r="BB80" s="55">
        <f>_xll.EQNXTDZ($A$1,$B80,BB$5,$B$1)</f>
        <v>75.06</v>
      </c>
      <c r="BC80" s="55">
        <f>_xll.EQNXTDZ($A$1,$B80,BC$5,$B$1)</f>
        <v>0</v>
      </c>
      <c r="BD80" s="55">
        <f>_xll.EQNXTDZ($A$1,$B80,BD$5,$B$1)</f>
        <v>51.34</v>
      </c>
      <c r="BE80" s="55">
        <f>_xll.EQNXTDZ($A$1,$B80,BE$5,$B$1)</f>
        <v>0</v>
      </c>
      <c r="BF80" s="55">
        <f>_xll.EQNXTDZ($A$1,$B80,BF$5,$B$1)</f>
        <v>105.06</v>
      </c>
      <c r="BG80" s="55">
        <f>_xll.EQNXTDZ($A$1,$B80,BG$5,$B$1)</f>
        <v>0</v>
      </c>
      <c r="BH80" s="55">
        <f>_xll.EQNXTDZ($A$1,$B80,BH$5,$B$1)</f>
        <v>0</v>
      </c>
      <c r="BI80" s="55">
        <f>_xll.EQNXTDZ($A$1,$B80,BI$5,$B$1)</f>
        <v>0</v>
      </c>
      <c r="BJ80" s="55">
        <f>_xll.EQNXTDZ($A$1,$B80,BJ$5,$B$1)</f>
        <v>0</v>
      </c>
      <c r="BK80" s="55">
        <f>_xll.EQNXTDZ($A$1,$B80,BK$5,$B$1)</f>
        <v>0</v>
      </c>
      <c r="BL80" s="55">
        <f>_xll.EQNXTDZ($A$1,$B80,BL$5,$B$1)</f>
        <v>0</v>
      </c>
      <c r="BM80" s="55">
        <f>_xll.EQNXTDZ($A$1,$B80,BM$5,$B$1)</f>
        <v>0</v>
      </c>
      <c r="BN80" s="55">
        <f>_xll.EQNXTDZ($A$1,$B80,BN$5,$B$1)</f>
        <v>0</v>
      </c>
      <c r="BO80" s="55">
        <f>_xll.EQNXTDZ($A$1,$B80,BO$5,$B$1)</f>
        <v>0</v>
      </c>
      <c r="BP80" s="55">
        <f>_xll.EQNXTDZ($A$1,$B80,BP$5,$B$1)</f>
        <v>0</v>
      </c>
      <c r="BQ80" s="55">
        <f>_xll.EQNXTDZ($A$1,$B80,BQ$5,$B$1)</f>
        <v>0</v>
      </c>
      <c r="BR80" s="55">
        <f>_xll.EQNXTDZ($A$1,$B80,BR$5,$B$1)</f>
        <v>0</v>
      </c>
      <c r="BS80" s="55">
        <f>_xll.EQNXTDZ($A$1,$B80,BS$5,$B$1)</f>
        <v>0</v>
      </c>
      <c r="BT80" s="55">
        <f>_xll.EQNXTDZ($A$1,$B80,BT$5,$B$1)</f>
        <v>0</v>
      </c>
      <c r="BU80" s="55">
        <f>_xll.EQNXTDZ($A$1,$B80,BU$5,$B$1)</f>
        <v>0</v>
      </c>
      <c r="BV80" s="55">
        <f>_xll.EQNXTDZ($A$1,$B80,BV$5,$B$1)</f>
        <v>0</v>
      </c>
    </row>
    <row r="81" spans="1:74" x14ac:dyDescent="0.25">
      <c r="A81" t="s">
        <v>61</v>
      </c>
      <c r="B81" t="s">
        <v>397</v>
      </c>
      <c r="C81" s="55">
        <f>_xll.EQNXTDZ($A$1,$B81,C$5,$B$1)</f>
        <v>0</v>
      </c>
      <c r="D81" s="55">
        <f>_xll.EQNXTDZ($A$1,$B81,D$5,$B$1)</f>
        <v>95.200999999999993</v>
      </c>
      <c r="E81" s="55">
        <f>_xll.EQNXTDZ($A$1,$B81,E$5,$B$1)</f>
        <v>0</v>
      </c>
      <c r="F81" s="55">
        <f>_xll.EQNXTDZ($A$1,$B81,F$5,$B$1)</f>
        <v>31.145</v>
      </c>
      <c r="G81" s="55">
        <f>_xll.EQNXTDZ($A$1,$B81,G$5,$B$1)</f>
        <v>0</v>
      </c>
      <c r="H81" s="55">
        <f>_xll.EQNXTDZ($A$1,$B81,H$5,$B$1)</f>
        <v>38.500999999999998</v>
      </c>
      <c r="I81" s="55">
        <f>_xll.EQNXTDZ($A$1,$B81,I$5,$B$1)</f>
        <v>0</v>
      </c>
      <c r="J81" s="55">
        <f>_xll.EQNXTDZ($A$1,$B81,J$5,$B$1)</f>
        <v>48.968000000000004</v>
      </c>
      <c r="K81" s="55">
        <f>_xll.EQNXTDZ($A$1,$B81,K$5,$B$1)</f>
        <v>0</v>
      </c>
      <c r="L81" s="55">
        <f>_xll.EQNXTDZ($A$1,$B81,L$5,$B$1)</f>
        <v>28.422999999999998</v>
      </c>
      <c r="M81" s="55">
        <f>_xll.EQNXTDZ($A$1,$B81,M$5,$B$1)</f>
        <v>0</v>
      </c>
      <c r="N81" s="55">
        <f>_xll.EQNXTDZ($A$1,$B81,N$5,$B$1)</f>
        <v>30.712</v>
      </c>
      <c r="O81" s="55">
        <f>_xll.EQNXTDZ($A$1,$B81,O$5,$B$1)</f>
        <v>0</v>
      </c>
      <c r="P81" s="55">
        <f>_xll.EQNXTDZ($A$1,$B81,P$5,$B$1)</f>
        <v>32.284999999999997</v>
      </c>
      <c r="Q81" s="55">
        <f>_xll.EQNXTDZ($A$1,$B81,Q$5,$B$1)</f>
        <v>0</v>
      </c>
      <c r="R81" s="55">
        <f>_xll.EQNXTDZ($A$1,$B81,R$5,$B$1)</f>
        <v>56.540999999999997</v>
      </c>
      <c r="S81" s="55">
        <f>_xll.EQNXTDZ($A$1,$B81,S$5,$B$1)</f>
        <v>0</v>
      </c>
      <c r="T81" s="55">
        <f>_xll.EQNXTDZ($A$1,$B81,T$5,$B$1)</f>
        <v>57.091999999999999</v>
      </c>
      <c r="U81" s="55">
        <f>_xll.EQNXTDZ($A$1,$B81,U$5,$B$1)</f>
        <v>0</v>
      </c>
      <c r="V81" s="55">
        <f>_xll.EQNXTDZ($A$1,$B81,V$5,$B$1)</f>
        <v>68.137</v>
      </c>
      <c r="W81" s="55">
        <f>_xll.EQNXTDZ($A$1,$B81,W$5,$B$1)</f>
        <v>0</v>
      </c>
      <c r="X81" s="55">
        <f>_xll.EQNXTDZ($A$1,$B81,X$5,$B$1)</f>
        <v>63.378999999999998</v>
      </c>
      <c r="Y81" s="55">
        <f>_xll.EQNXTDZ($A$1,$B81,Y$5,$B$1)</f>
        <v>0</v>
      </c>
      <c r="Z81" s="55">
        <f>_xll.EQNXTDZ($A$1,$B81,Z$5,$B$1)</f>
        <v>67.858999999999995</v>
      </c>
      <c r="AA81" s="55">
        <f>_xll.EQNXTDZ($A$1,$B81,AA$5,$B$1)</f>
        <v>0</v>
      </c>
      <c r="AB81" s="55">
        <f>_xll.EQNXTDZ($A$1,$B81,AB$5,$B$1)</f>
        <v>79.539000000000001</v>
      </c>
      <c r="AC81" s="55">
        <f>_xll.EQNXTDZ($A$1,$B81,AC$5,$B$1)</f>
        <v>0</v>
      </c>
      <c r="AD81" s="55">
        <f>_xll.EQNXTDZ($A$1,$B81,AD$5,$B$1)</f>
        <v>73.641000000000005</v>
      </c>
      <c r="AE81" s="55">
        <f>_xll.EQNXTDZ($A$1,$B81,AE$5,$B$1)</f>
        <v>0</v>
      </c>
      <c r="AF81" s="55">
        <f>_xll.EQNXTDZ($A$1,$B81,AF$5,$B$1)</f>
        <v>75.191999999999993</v>
      </c>
      <c r="AG81" s="55">
        <f>_xll.EQNXTDZ($A$1,$B81,AG$5,$B$1)</f>
        <v>0</v>
      </c>
      <c r="AH81" s="55">
        <f>_xll.EQNXTDZ($A$1,$B81,AH$5,$B$1)</f>
        <v>84.117000000000004</v>
      </c>
      <c r="AI81" s="55">
        <f>_xll.EQNXTDZ($A$1,$B81,AI$5,$B$1)</f>
        <v>0</v>
      </c>
      <c r="AJ81" s="55">
        <f>_xll.EQNXTDZ($A$1,$B81,AJ$5,$B$1)</f>
        <v>80.049000000000007</v>
      </c>
      <c r="AK81" s="55">
        <f>_xll.EQNXTDZ($A$1,$B81,AK$5,$B$1)</f>
        <v>0</v>
      </c>
      <c r="AL81" s="55">
        <f>_xll.EQNXTDZ($A$1,$B81,AL$5,$B$1)</f>
        <v>115.71</v>
      </c>
      <c r="AM81" s="55">
        <f>_xll.EQNXTDZ($A$1,$B81,AM$5,$B$1)</f>
        <v>0</v>
      </c>
      <c r="AN81" s="55">
        <f>_xll.EQNXTDZ($A$1,$B81,AN$5,$B$1)</f>
        <v>118.928</v>
      </c>
      <c r="AO81" s="55">
        <f>_xll.EQNXTDZ($A$1,$B81,AO$5,$B$1)</f>
        <v>0</v>
      </c>
      <c r="AP81" s="55">
        <f>_xll.EQNXTDZ($A$1,$B81,AP$5,$B$1)</f>
        <v>166.84</v>
      </c>
      <c r="AQ81" s="55">
        <f>_xll.EQNXTDZ($A$1,$B81,AQ$5,$B$1)</f>
        <v>0</v>
      </c>
      <c r="AR81" s="55">
        <f>_xll.EQNXTDZ($A$1,$B81,AR$5,$B$1)</f>
        <v>179.22</v>
      </c>
      <c r="AS81" s="55">
        <f>_xll.EQNXTDZ($A$1,$B81,AS$5,$B$1)</f>
        <v>0</v>
      </c>
      <c r="AT81" s="55">
        <f>_xll.EQNXTDZ($A$1,$B81,AT$5,$B$1)</f>
        <v>269.75</v>
      </c>
      <c r="AU81" s="55">
        <f>_xll.EQNXTDZ($A$1,$B81,AU$5,$B$1)</f>
        <v>0</v>
      </c>
      <c r="AV81" s="55">
        <f>_xll.EQNXTDZ($A$1,$B81,AV$5,$B$1)</f>
        <v>249.6</v>
      </c>
      <c r="AW81" s="55">
        <f>_xll.EQNXTDZ($A$1,$B81,AW$5,$B$1)</f>
        <v>0</v>
      </c>
      <c r="AX81" s="55">
        <f>_xll.EQNXTDZ($A$1,$B81,AX$5,$B$1)</f>
        <v>231.09</v>
      </c>
      <c r="AY81" s="55">
        <f>_xll.EQNXTDZ($A$1,$B81,AY$5,$B$1)</f>
        <v>0</v>
      </c>
      <c r="AZ81" s="55">
        <f>_xll.EQNXTDZ($A$1,$B81,AZ$5,$B$1)</f>
        <v>272.33</v>
      </c>
      <c r="BA81" s="55">
        <f>_xll.EQNXTDZ($A$1,$B81,BA$5,$B$1)</f>
        <v>0</v>
      </c>
      <c r="BB81" s="55">
        <f>_xll.EQNXTDZ($A$1,$B81,BB$5,$B$1)</f>
        <v>432.72</v>
      </c>
      <c r="BC81" s="55">
        <f>_xll.EQNXTDZ($A$1,$B81,BC$5,$B$1)</f>
        <v>0</v>
      </c>
      <c r="BD81" s="55">
        <f>_xll.EQNXTDZ($A$1,$B81,BD$5,$B$1)</f>
        <v>1457.43</v>
      </c>
      <c r="BE81" s="55">
        <f>_xll.EQNXTDZ($A$1,$B81,BE$5,$B$1)</f>
        <v>0</v>
      </c>
      <c r="BF81" s="55">
        <f>_xll.EQNXTDZ($A$1,$B81,BF$5,$B$1)</f>
        <v>2659.6</v>
      </c>
      <c r="BG81" s="55">
        <f>_xll.EQNXTDZ($A$1,$B81,BG$5,$B$1)</f>
        <v>0</v>
      </c>
      <c r="BH81" s="55">
        <f>_xll.EQNXTDZ($A$1,$B81,BH$5,$B$1)</f>
        <v>0</v>
      </c>
      <c r="BI81" s="55">
        <f>_xll.EQNXTDZ($A$1,$B81,BI$5,$B$1)</f>
        <v>0</v>
      </c>
      <c r="BJ81" s="55">
        <f>_xll.EQNXTDZ($A$1,$B81,BJ$5,$B$1)</f>
        <v>0</v>
      </c>
      <c r="BK81" s="55">
        <f>_xll.EQNXTDZ($A$1,$B81,BK$5,$B$1)</f>
        <v>0</v>
      </c>
      <c r="BL81" s="55">
        <f>_xll.EQNXTDZ($A$1,$B81,BL$5,$B$1)</f>
        <v>0</v>
      </c>
      <c r="BM81" s="55">
        <f>_xll.EQNXTDZ($A$1,$B81,BM$5,$B$1)</f>
        <v>0</v>
      </c>
      <c r="BN81" s="55">
        <f>_xll.EQNXTDZ($A$1,$B81,BN$5,$B$1)</f>
        <v>0</v>
      </c>
      <c r="BO81" s="55">
        <f>_xll.EQNXTDZ($A$1,$B81,BO$5,$B$1)</f>
        <v>0</v>
      </c>
      <c r="BP81" s="55">
        <f>_xll.EQNXTDZ($A$1,$B81,BP$5,$B$1)</f>
        <v>0</v>
      </c>
      <c r="BQ81" s="55">
        <f>_xll.EQNXTDZ($A$1,$B81,BQ$5,$B$1)</f>
        <v>0</v>
      </c>
      <c r="BR81" s="55">
        <f>_xll.EQNXTDZ($A$1,$B81,BR$5,$B$1)</f>
        <v>0</v>
      </c>
      <c r="BS81" s="55">
        <f>_xll.EQNXTDZ($A$1,$B81,BS$5,$B$1)</f>
        <v>0</v>
      </c>
      <c r="BT81" s="55">
        <f>_xll.EQNXTDZ($A$1,$B81,BT$5,$B$1)</f>
        <v>0</v>
      </c>
      <c r="BU81" s="55">
        <f>_xll.EQNXTDZ($A$1,$B81,BU$5,$B$1)</f>
        <v>0</v>
      </c>
      <c r="BV81" s="55">
        <f>_xll.EQNXTDZ($A$1,$B81,BV$5,$B$1)</f>
        <v>0</v>
      </c>
    </row>
    <row r="82" spans="1:74" x14ac:dyDescent="0.25">
      <c r="A82" t="s">
        <v>62</v>
      </c>
      <c r="B82" t="s">
        <v>398</v>
      </c>
      <c r="C82" s="55">
        <f>_xll.EQNXTDZ($A$1,$B82,C$5,$B$1)</f>
        <v>0</v>
      </c>
      <c r="D82" s="55">
        <f>_xll.EQNXTDZ($A$1,$B82,D$5,$B$1)</f>
        <v>49.006</v>
      </c>
      <c r="E82" s="55">
        <f>_xll.EQNXTDZ($A$1,$B82,E$5,$B$1)</f>
        <v>0</v>
      </c>
      <c r="F82" s="55">
        <f>_xll.EQNXTDZ($A$1,$B82,F$5,$B$1)</f>
        <v>36.542999999999999</v>
      </c>
      <c r="G82" s="55">
        <f>_xll.EQNXTDZ($A$1,$B82,G$5,$B$1)</f>
        <v>0</v>
      </c>
      <c r="H82" s="55">
        <f>_xll.EQNXTDZ($A$1,$B82,H$5,$B$1)</f>
        <v>45.597000000000001</v>
      </c>
      <c r="I82" s="55">
        <f>_xll.EQNXTDZ($A$1,$B82,I$5,$B$1)</f>
        <v>0</v>
      </c>
      <c r="J82" s="55">
        <f>_xll.EQNXTDZ($A$1,$B82,J$5,$B$1)</f>
        <v>21.073</v>
      </c>
      <c r="K82" s="55">
        <f>_xll.EQNXTDZ($A$1,$B82,K$5,$B$1)</f>
        <v>0</v>
      </c>
      <c r="L82" s="55">
        <f>_xll.EQNXTDZ($A$1,$B82,L$5,$B$1)</f>
        <v>101.601</v>
      </c>
      <c r="M82" s="55">
        <f>_xll.EQNXTDZ($A$1,$B82,M$5,$B$1)</f>
        <v>0</v>
      </c>
      <c r="N82" s="55">
        <f>_xll.EQNXTDZ($A$1,$B82,N$5,$B$1)</f>
        <v>22.425999999999998</v>
      </c>
      <c r="O82" s="55">
        <f>_xll.EQNXTDZ($A$1,$B82,O$5,$B$1)</f>
        <v>0</v>
      </c>
      <c r="P82" s="55">
        <f>_xll.EQNXTDZ($A$1,$B82,P$5,$B$1)</f>
        <v>64.620999999999995</v>
      </c>
      <c r="Q82" s="55">
        <f>_xll.EQNXTDZ($A$1,$B82,Q$5,$B$1)</f>
        <v>0</v>
      </c>
      <c r="R82" s="55">
        <f>_xll.EQNXTDZ($A$1,$B82,R$5,$B$1)</f>
        <v>21.721</v>
      </c>
      <c r="S82" s="55">
        <f>_xll.EQNXTDZ($A$1,$B82,S$5,$B$1)</f>
        <v>0</v>
      </c>
      <c r="T82" s="55">
        <f>_xll.EQNXTDZ($A$1,$B82,T$5,$B$1)</f>
        <v>49.512999999999998</v>
      </c>
      <c r="U82" s="55">
        <f>_xll.EQNXTDZ($A$1,$B82,U$5,$B$1)</f>
        <v>0</v>
      </c>
      <c r="V82" s="55">
        <f>_xll.EQNXTDZ($A$1,$B82,V$5,$B$1)</f>
        <v>10.946</v>
      </c>
      <c r="W82" s="55">
        <f>_xll.EQNXTDZ($A$1,$B82,W$5,$B$1)</f>
        <v>0</v>
      </c>
      <c r="X82" s="55">
        <f>_xll.EQNXTDZ($A$1,$B82,X$5,$B$1)</f>
        <v>15.045999999999999</v>
      </c>
      <c r="Y82" s="55">
        <f>_xll.EQNXTDZ($A$1,$B82,Y$5,$B$1)</f>
        <v>0</v>
      </c>
      <c r="Z82" s="55">
        <f>_xll.EQNXTDZ($A$1,$B82,Z$5,$B$1)</f>
        <v>15.538</v>
      </c>
      <c r="AA82" s="55">
        <f>_xll.EQNXTDZ($A$1,$B82,AA$5,$B$1)</f>
        <v>0</v>
      </c>
      <c r="AB82" s="55">
        <f>_xll.EQNXTDZ($A$1,$B82,AB$5,$B$1)</f>
        <v>11.159000000000001</v>
      </c>
      <c r="AC82" s="55">
        <f>_xll.EQNXTDZ($A$1,$B82,AC$5,$B$1)</f>
        <v>0</v>
      </c>
      <c r="AD82" s="55">
        <f>_xll.EQNXTDZ($A$1,$B82,AD$5,$B$1)</f>
        <v>23.1</v>
      </c>
      <c r="AE82" s="55">
        <f>_xll.EQNXTDZ($A$1,$B82,AE$5,$B$1)</f>
        <v>0</v>
      </c>
      <c r="AF82" s="55">
        <f>_xll.EQNXTDZ($A$1,$B82,AF$5,$B$1)</f>
        <v>15.006</v>
      </c>
      <c r="AG82" s="55">
        <f>_xll.EQNXTDZ($A$1,$B82,AG$5,$B$1)</f>
        <v>0</v>
      </c>
      <c r="AH82" s="55">
        <f>_xll.EQNXTDZ($A$1,$B82,AH$5,$B$1)</f>
        <v>7.8879999999999999</v>
      </c>
      <c r="AI82" s="55">
        <f>_xll.EQNXTDZ($A$1,$B82,AI$5,$B$1)</f>
        <v>0</v>
      </c>
      <c r="AJ82" s="55">
        <f>_xll.EQNXTDZ($A$1,$B82,AJ$5,$B$1)</f>
        <v>8.9290000000000003</v>
      </c>
      <c r="AK82" s="55">
        <f>_xll.EQNXTDZ($A$1,$B82,AK$5,$B$1)</f>
        <v>0</v>
      </c>
      <c r="AL82" s="55">
        <f>_xll.EQNXTDZ($A$1,$B82,AL$5,$B$1)</f>
        <v>6.9109999999999996</v>
      </c>
      <c r="AM82" s="55">
        <f>_xll.EQNXTDZ($A$1,$B82,AM$5,$B$1)</f>
        <v>0</v>
      </c>
      <c r="AN82" s="55">
        <f>_xll.EQNXTDZ($A$1,$B82,AN$5,$B$1)</f>
        <v>6.4980000000000002</v>
      </c>
      <c r="AO82" s="55">
        <f>_xll.EQNXTDZ($A$1,$B82,AO$5,$B$1)</f>
        <v>0</v>
      </c>
      <c r="AP82" s="55">
        <f>_xll.EQNXTDZ($A$1,$B82,AP$5,$B$1)</f>
        <v>23.74</v>
      </c>
      <c r="AQ82" s="55">
        <f>_xll.EQNXTDZ($A$1,$B82,AQ$5,$B$1)</f>
        <v>0</v>
      </c>
      <c r="AR82" s="55">
        <f>_xll.EQNXTDZ($A$1,$B82,AR$5,$B$1)</f>
        <v>18.36</v>
      </c>
      <c r="AS82" s="55">
        <f>_xll.EQNXTDZ($A$1,$B82,AS$5,$B$1)</f>
        <v>0</v>
      </c>
      <c r="AT82" s="55">
        <f>_xll.EQNXTDZ($A$1,$B82,AT$5,$B$1)</f>
        <v>24.5</v>
      </c>
      <c r="AU82" s="55">
        <f>_xll.EQNXTDZ($A$1,$B82,AU$5,$B$1)</f>
        <v>0</v>
      </c>
      <c r="AV82" s="55">
        <f>_xll.EQNXTDZ($A$1,$B82,AV$5,$B$1)</f>
        <v>144.15</v>
      </c>
      <c r="AW82" s="55">
        <f>_xll.EQNXTDZ($A$1,$B82,AW$5,$B$1)</f>
        <v>0</v>
      </c>
      <c r="AX82" s="55">
        <f>_xll.EQNXTDZ($A$1,$B82,AX$5,$B$1)</f>
        <v>79.91</v>
      </c>
      <c r="AY82" s="55">
        <f>_xll.EQNXTDZ($A$1,$B82,AY$5,$B$1)</f>
        <v>0</v>
      </c>
      <c r="AZ82" s="55">
        <f>_xll.EQNXTDZ($A$1,$B82,AZ$5,$B$1)</f>
        <v>259.66000000000003</v>
      </c>
      <c r="BA82" s="55">
        <f>_xll.EQNXTDZ($A$1,$B82,BA$5,$B$1)</f>
        <v>0</v>
      </c>
      <c r="BB82" s="55">
        <f>_xll.EQNXTDZ($A$1,$B82,BB$5,$B$1)</f>
        <v>171.42</v>
      </c>
      <c r="BC82" s="55">
        <f>_xll.EQNXTDZ($A$1,$B82,BC$5,$B$1)</f>
        <v>0</v>
      </c>
      <c r="BD82" s="55">
        <f>_xll.EQNXTDZ($A$1,$B82,BD$5,$B$1)</f>
        <v>1454.12</v>
      </c>
      <c r="BE82" s="55">
        <f>_xll.EQNXTDZ($A$1,$B82,BE$5,$B$1)</f>
        <v>0</v>
      </c>
      <c r="BF82" s="55">
        <f>_xll.EQNXTDZ($A$1,$B82,BF$5,$B$1)</f>
        <v>1480.51</v>
      </c>
      <c r="BG82" s="55">
        <f>_xll.EQNXTDZ($A$1,$B82,BG$5,$B$1)</f>
        <v>0</v>
      </c>
      <c r="BH82" s="55">
        <f>_xll.EQNXTDZ($A$1,$B82,BH$5,$B$1)</f>
        <v>0</v>
      </c>
      <c r="BI82" s="55">
        <f>_xll.EQNXTDZ($A$1,$B82,BI$5,$B$1)</f>
        <v>0</v>
      </c>
      <c r="BJ82" s="55">
        <f>_xll.EQNXTDZ($A$1,$B82,BJ$5,$B$1)</f>
        <v>0</v>
      </c>
      <c r="BK82" s="55">
        <f>_xll.EQNXTDZ($A$1,$B82,BK$5,$B$1)</f>
        <v>0</v>
      </c>
      <c r="BL82" s="55">
        <f>_xll.EQNXTDZ($A$1,$B82,BL$5,$B$1)</f>
        <v>0</v>
      </c>
      <c r="BM82" s="55">
        <f>_xll.EQNXTDZ($A$1,$B82,BM$5,$B$1)</f>
        <v>0</v>
      </c>
      <c r="BN82" s="55">
        <f>_xll.EQNXTDZ($A$1,$B82,BN$5,$B$1)</f>
        <v>0</v>
      </c>
      <c r="BO82" s="55">
        <f>_xll.EQNXTDZ($A$1,$B82,BO$5,$B$1)</f>
        <v>0</v>
      </c>
      <c r="BP82" s="55">
        <f>_xll.EQNXTDZ($A$1,$B82,BP$5,$B$1)</f>
        <v>0</v>
      </c>
      <c r="BQ82" s="55">
        <f>_xll.EQNXTDZ($A$1,$B82,BQ$5,$B$1)</f>
        <v>0</v>
      </c>
      <c r="BR82" s="55">
        <f>_xll.EQNXTDZ($A$1,$B82,BR$5,$B$1)</f>
        <v>0</v>
      </c>
      <c r="BS82" s="55">
        <f>_xll.EQNXTDZ($A$1,$B82,BS$5,$B$1)</f>
        <v>0</v>
      </c>
      <c r="BT82" s="55">
        <f>_xll.EQNXTDZ($A$1,$B82,BT$5,$B$1)</f>
        <v>0</v>
      </c>
      <c r="BU82" s="55">
        <f>_xll.EQNXTDZ($A$1,$B82,BU$5,$B$1)</f>
        <v>0</v>
      </c>
      <c r="BV82" s="55">
        <f>_xll.EQNXTDZ($A$1,$B82,BV$5,$B$1)</f>
        <v>0</v>
      </c>
    </row>
    <row r="83" spans="1:74" x14ac:dyDescent="0.25">
      <c r="A83" t="s">
        <v>76</v>
      </c>
      <c r="B83" t="s">
        <v>399</v>
      </c>
      <c r="C83" s="55">
        <f>_xll.EQNXTDZ($A$1,$B83,C$5,$B$1)</f>
        <v>0</v>
      </c>
      <c r="D83" s="55">
        <f>_xll.EQNXTDZ($A$1,$B83,D$5,$B$1)</f>
        <v>8.6829999999999998</v>
      </c>
      <c r="E83" s="55">
        <f>_xll.EQNXTDZ($A$1,$B83,E$5,$B$1)</f>
        <v>0</v>
      </c>
      <c r="F83" s="55">
        <f>_xll.EQNXTDZ($A$1,$B83,F$5,$B$1)</f>
        <v>7.8550000000000004</v>
      </c>
      <c r="G83" s="55">
        <f>_xll.EQNXTDZ($A$1,$B83,G$5,$B$1)</f>
        <v>0</v>
      </c>
      <c r="H83" s="55">
        <f>_xll.EQNXTDZ($A$1,$B83,H$5,$B$1)</f>
        <v>7.63</v>
      </c>
      <c r="I83" s="55">
        <f>_xll.EQNXTDZ($A$1,$B83,I$5,$B$1)</f>
        <v>0</v>
      </c>
      <c r="J83" s="55">
        <f>_xll.EQNXTDZ($A$1,$B83,J$5,$B$1)</f>
        <v>9.8569999999999993</v>
      </c>
      <c r="K83" s="55">
        <f>_xll.EQNXTDZ($A$1,$B83,K$5,$B$1)</f>
        <v>0</v>
      </c>
      <c r="L83" s="55">
        <f>_xll.EQNXTDZ($A$1,$B83,L$5,$B$1)</f>
        <v>8.4009999999999998</v>
      </c>
      <c r="M83" s="55">
        <f>_xll.EQNXTDZ($A$1,$B83,M$5,$B$1)</f>
        <v>0</v>
      </c>
      <c r="N83" s="55">
        <f>_xll.EQNXTDZ($A$1,$B83,N$5,$B$1)</f>
        <v>10.162000000000001</v>
      </c>
      <c r="O83" s="55">
        <f>_xll.EQNXTDZ($A$1,$B83,O$5,$B$1)</f>
        <v>0</v>
      </c>
      <c r="P83" s="55">
        <f>_xll.EQNXTDZ($A$1,$B83,P$5,$B$1)</f>
        <v>7.5140000000000002</v>
      </c>
      <c r="Q83" s="55">
        <f>_xll.EQNXTDZ($A$1,$B83,Q$5,$B$1)</f>
        <v>0</v>
      </c>
      <c r="R83" s="55">
        <f>_xll.EQNXTDZ($A$1,$B83,R$5,$B$1)</f>
        <v>7.4740000000000002</v>
      </c>
      <c r="S83" s="55">
        <f>_xll.EQNXTDZ($A$1,$B83,S$5,$B$1)</f>
        <v>0</v>
      </c>
      <c r="T83" s="55">
        <f>_xll.EQNXTDZ($A$1,$B83,T$5,$B$1)</f>
        <v>7.2830000000000004</v>
      </c>
      <c r="U83" s="55">
        <f>_xll.EQNXTDZ($A$1,$B83,U$5,$B$1)</f>
        <v>0</v>
      </c>
      <c r="V83" s="55">
        <f>_xll.EQNXTDZ($A$1,$B83,V$5,$B$1)</f>
        <v>8.1609999999999996</v>
      </c>
      <c r="W83" s="55">
        <f>_xll.EQNXTDZ($A$1,$B83,W$5,$B$1)</f>
        <v>0</v>
      </c>
      <c r="X83" s="55">
        <f>_xll.EQNXTDZ($A$1,$B83,X$5,$B$1)</f>
        <v>8.3729999999999993</v>
      </c>
      <c r="Y83" s="55">
        <f>_xll.EQNXTDZ($A$1,$B83,Y$5,$B$1)</f>
        <v>0</v>
      </c>
      <c r="Z83" s="55">
        <f>_xll.EQNXTDZ($A$1,$B83,Z$5,$B$1)</f>
        <v>7.1340000000000003</v>
      </c>
      <c r="AA83" s="55">
        <f>_xll.EQNXTDZ($A$1,$B83,AA$5,$B$1)</f>
        <v>0</v>
      </c>
      <c r="AB83" s="55">
        <f>_xll.EQNXTDZ($A$1,$B83,AB$5,$B$1)</f>
        <v>7.0359999999999996</v>
      </c>
      <c r="AC83" s="55">
        <f>_xll.EQNXTDZ($A$1,$B83,AC$5,$B$1)</f>
        <v>0</v>
      </c>
      <c r="AD83" s="55">
        <f>_xll.EQNXTDZ($A$1,$B83,AD$5,$B$1)</f>
        <v>8.452</v>
      </c>
      <c r="AE83" s="55">
        <f>_xll.EQNXTDZ($A$1,$B83,AE$5,$B$1)</f>
        <v>0</v>
      </c>
      <c r="AF83" s="55">
        <f>_xll.EQNXTDZ($A$1,$B83,AF$5,$B$1)</f>
        <v>7.22</v>
      </c>
      <c r="AG83" s="55">
        <f>_xll.EQNXTDZ($A$1,$B83,AG$5,$B$1)</f>
        <v>0</v>
      </c>
      <c r="AH83" s="55">
        <f>_xll.EQNXTDZ($A$1,$B83,AH$5,$B$1)</f>
        <v>18.597000000000001</v>
      </c>
      <c r="AI83" s="55">
        <f>_xll.EQNXTDZ($A$1,$B83,AI$5,$B$1)</f>
        <v>0</v>
      </c>
      <c r="AJ83" s="55">
        <f>_xll.EQNXTDZ($A$1,$B83,AJ$5,$B$1)</f>
        <v>19.28</v>
      </c>
      <c r="AK83" s="55">
        <f>_xll.EQNXTDZ($A$1,$B83,AK$5,$B$1)</f>
        <v>0</v>
      </c>
      <c r="AL83" s="55">
        <f>_xll.EQNXTDZ($A$1,$B83,AL$5,$B$1)</f>
        <v>8.0380000000000003</v>
      </c>
      <c r="AM83" s="55">
        <f>_xll.EQNXTDZ($A$1,$B83,AM$5,$B$1)</f>
        <v>0</v>
      </c>
      <c r="AN83" s="55">
        <f>_xll.EQNXTDZ($A$1,$B83,AN$5,$B$1)</f>
        <v>10.242000000000001</v>
      </c>
      <c r="AO83" s="55">
        <f>_xll.EQNXTDZ($A$1,$B83,AO$5,$B$1)</f>
        <v>0</v>
      </c>
      <c r="AP83" s="55">
        <f>_xll.EQNXTDZ($A$1,$B83,AP$5,$B$1)</f>
        <v>21.87</v>
      </c>
      <c r="AQ83" s="55">
        <f>_xll.EQNXTDZ($A$1,$B83,AQ$5,$B$1)</f>
        <v>0</v>
      </c>
      <c r="AR83" s="55">
        <f>_xll.EQNXTDZ($A$1,$B83,AR$5,$B$1)</f>
        <v>22.22</v>
      </c>
      <c r="AS83" s="55">
        <f>_xll.EQNXTDZ($A$1,$B83,AS$5,$B$1)</f>
        <v>0</v>
      </c>
      <c r="AT83" s="55">
        <f>_xll.EQNXTDZ($A$1,$B83,AT$5,$B$1)</f>
        <v>264.54000000000002</v>
      </c>
      <c r="AU83" s="55">
        <f>_xll.EQNXTDZ($A$1,$B83,AU$5,$B$1)</f>
        <v>0</v>
      </c>
      <c r="AV83" s="55">
        <f>_xll.EQNXTDZ($A$1,$B83,AV$5,$B$1)</f>
        <v>390.3</v>
      </c>
      <c r="AW83" s="55">
        <f>_xll.EQNXTDZ($A$1,$B83,AW$5,$B$1)</f>
        <v>0</v>
      </c>
      <c r="AX83" s="55">
        <f>_xll.EQNXTDZ($A$1,$B83,AX$5,$B$1)</f>
        <v>287.13</v>
      </c>
      <c r="AY83" s="55">
        <f>_xll.EQNXTDZ($A$1,$B83,AY$5,$B$1)</f>
        <v>0</v>
      </c>
      <c r="AZ83" s="55">
        <f>_xll.EQNXTDZ($A$1,$B83,AZ$5,$B$1)</f>
        <v>593.89</v>
      </c>
      <c r="BA83" s="55">
        <f>_xll.EQNXTDZ($A$1,$B83,BA$5,$B$1)</f>
        <v>0</v>
      </c>
      <c r="BB83" s="55">
        <f>_xll.EQNXTDZ($A$1,$B83,BB$5,$B$1)</f>
        <v>740.87</v>
      </c>
      <c r="BC83" s="55">
        <f>_xll.EQNXTDZ($A$1,$B83,BC$5,$B$1)</f>
        <v>0</v>
      </c>
      <c r="BD83" s="55">
        <f>_xll.EQNXTDZ($A$1,$B83,BD$5,$B$1)</f>
        <v>976.49</v>
      </c>
      <c r="BE83" s="55">
        <f>_xll.EQNXTDZ($A$1,$B83,BE$5,$B$1)</f>
        <v>0</v>
      </c>
      <c r="BF83" s="55">
        <f>_xll.EQNXTDZ($A$1,$B83,BF$5,$B$1)</f>
        <v>2702.93</v>
      </c>
      <c r="BG83" s="55">
        <f>_xll.EQNXTDZ($A$1,$B83,BG$5,$B$1)</f>
        <v>0</v>
      </c>
      <c r="BH83" s="55">
        <f>_xll.EQNXTDZ($A$1,$B83,BH$5,$B$1)</f>
        <v>0</v>
      </c>
      <c r="BI83" s="55">
        <f>_xll.EQNXTDZ($A$1,$B83,BI$5,$B$1)</f>
        <v>0</v>
      </c>
      <c r="BJ83" s="55">
        <f>_xll.EQNXTDZ($A$1,$B83,BJ$5,$B$1)</f>
        <v>0</v>
      </c>
      <c r="BK83" s="55">
        <f>_xll.EQNXTDZ($A$1,$B83,BK$5,$B$1)</f>
        <v>0</v>
      </c>
      <c r="BL83" s="55">
        <f>_xll.EQNXTDZ($A$1,$B83,BL$5,$B$1)</f>
        <v>0</v>
      </c>
      <c r="BM83" s="55">
        <f>_xll.EQNXTDZ($A$1,$B83,BM$5,$B$1)</f>
        <v>0</v>
      </c>
      <c r="BN83" s="55">
        <f>_xll.EQNXTDZ($A$1,$B83,BN$5,$B$1)</f>
        <v>0</v>
      </c>
      <c r="BO83" s="55">
        <f>_xll.EQNXTDZ($A$1,$B83,BO$5,$B$1)</f>
        <v>0</v>
      </c>
      <c r="BP83" s="55">
        <f>_xll.EQNXTDZ($A$1,$B83,BP$5,$B$1)</f>
        <v>0</v>
      </c>
      <c r="BQ83" s="55">
        <f>_xll.EQNXTDZ($A$1,$B83,BQ$5,$B$1)</f>
        <v>0</v>
      </c>
      <c r="BR83" s="55">
        <f>_xll.EQNXTDZ($A$1,$B83,BR$5,$B$1)</f>
        <v>0</v>
      </c>
      <c r="BS83" s="55">
        <f>_xll.EQNXTDZ($A$1,$B83,BS$5,$B$1)</f>
        <v>0</v>
      </c>
      <c r="BT83" s="55">
        <f>_xll.EQNXTDZ($A$1,$B83,BT$5,$B$1)</f>
        <v>0</v>
      </c>
      <c r="BU83" s="55">
        <f>_xll.EQNXTDZ($A$1,$B83,BU$5,$B$1)</f>
        <v>0</v>
      </c>
      <c r="BV83" s="55">
        <f>_xll.EQNXTDZ($A$1,$B83,BV$5,$B$1)</f>
        <v>0</v>
      </c>
    </row>
    <row r="84" spans="1:74" x14ac:dyDescent="0.25">
      <c r="A84" t="s">
        <v>63</v>
      </c>
      <c r="B84" t="s">
        <v>400</v>
      </c>
      <c r="C84" s="55">
        <f>_xll.EQNXTDZ($A$1,$B84,C$5,$B$1)</f>
        <v>0</v>
      </c>
      <c r="D84" s="55">
        <f>_xll.EQNXTDZ($A$1,$B84,D$5,$B$1)</f>
        <v>0</v>
      </c>
      <c r="E84" s="55">
        <f>_xll.EQNXTDZ($A$1,$B84,E$5,$B$1)</f>
        <v>0</v>
      </c>
      <c r="F84" s="55">
        <f>_xll.EQNXTDZ($A$1,$B84,F$5,$B$1)</f>
        <v>0</v>
      </c>
      <c r="G84" s="55">
        <f>_xll.EQNXTDZ($A$1,$B84,G$5,$B$1)</f>
        <v>0</v>
      </c>
      <c r="H84" s="55">
        <f>_xll.EQNXTDZ($A$1,$B84,H$5,$B$1)</f>
        <v>0</v>
      </c>
      <c r="I84" s="55">
        <f>_xll.EQNXTDZ($A$1,$B84,I$5,$B$1)</f>
        <v>0</v>
      </c>
      <c r="J84" s="55">
        <f>_xll.EQNXTDZ($A$1,$B84,J$5,$B$1)</f>
        <v>0</v>
      </c>
      <c r="K84" s="55">
        <f>_xll.EQNXTDZ($A$1,$B84,K$5,$B$1)</f>
        <v>0</v>
      </c>
      <c r="L84" s="55">
        <f>_xll.EQNXTDZ($A$1,$B84,L$5,$B$1)</f>
        <v>0</v>
      </c>
      <c r="M84" s="55">
        <f>_xll.EQNXTDZ($A$1,$B84,M$5,$B$1)</f>
        <v>0</v>
      </c>
      <c r="N84" s="55">
        <f>_xll.EQNXTDZ($A$1,$B84,N$5,$B$1)</f>
        <v>0</v>
      </c>
      <c r="O84" s="55">
        <f>_xll.EQNXTDZ($A$1,$B84,O$5,$B$1)</f>
        <v>0</v>
      </c>
      <c r="P84" s="55">
        <f>_xll.EQNXTDZ($A$1,$B84,P$5,$B$1)</f>
        <v>0</v>
      </c>
      <c r="Q84" s="55">
        <f>_xll.EQNXTDZ($A$1,$B84,Q$5,$B$1)</f>
        <v>0</v>
      </c>
      <c r="R84" s="55">
        <f>_xll.EQNXTDZ($A$1,$B84,R$5,$B$1)</f>
        <v>0</v>
      </c>
      <c r="S84" s="55">
        <f>_xll.EQNXTDZ($A$1,$B84,S$5,$B$1)</f>
        <v>0</v>
      </c>
      <c r="T84" s="55">
        <f>_xll.EQNXTDZ($A$1,$B84,T$5,$B$1)</f>
        <v>0</v>
      </c>
      <c r="U84" s="55">
        <f>_xll.EQNXTDZ($A$1,$B84,U$5,$B$1)</f>
        <v>0</v>
      </c>
      <c r="V84" s="55">
        <f>_xll.EQNXTDZ($A$1,$B84,V$5,$B$1)</f>
        <v>48.140999999999998</v>
      </c>
      <c r="W84" s="55">
        <f>_xll.EQNXTDZ($A$1,$B84,W$5,$B$1)</f>
        <v>0</v>
      </c>
      <c r="X84" s="55">
        <f>_xll.EQNXTDZ($A$1,$B84,X$5,$B$1)</f>
        <v>44.862000000000002</v>
      </c>
      <c r="Y84" s="55">
        <f>_xll.EQNXTDZ($A$1,$B84,Y$5,$B$1)</f>
        <v>0</v>
      </c>
      <c r="Z84" s="55">
        <f>_xll.EQNXTDZ($A$1,$B84,Z$5,$B$1)</f>
        <v>55.712000000000003</v>
      </c>
      <c r="AA84" s="55">
        <f>_xll.EQNXTDZ($A$1,$B84,AA$5,$B$1)</f>
        <v>0</v>
      </c>
      <c r="AB84" s="55">
        <f>_xll.EQNXTDZ($A$1,$B84,AB$5,$B$1)</f>
        <v>69.787000000000006</v>
      </c>
      <c r="AC84" s="55">
        <f>_xll.EQNXTDZ($A$1,$B84,AC$5,$B$1)</f>
        <v>0</v>
      </c>
      <c r="AD84" s="55">
        <f>_xll.EQNXTDZ($A$1,$B84,AD$5,$B$1)</f>
        <v>90.563999999999993</v>
      </c>
      <c r="AE84" s="55">
        <f>_xll.EQNXTDZ($A$1,$B84,AE$5,$B$1)</f>
        <v>0</v>
      </c>
      <c r="AF84" s="55">
        <f>_xll.EQNXTDZ($A$1,$B84,AF$5,$B$1)</f>
        <v>88.332999999999998</v>
      </c>
      <c r="AG84" s="55">
        <f>_xll.EQNXTDZ($A$1,$B84,AG$5,$B$1)</f>
        <v>0</v>
      </c>
      <c r="AH84" s="55">
        <f>_xll.EQNXTDZ($A$1,$B84,AH$5,$B$1)</f>
        <v>95.697000000000003</v>
      </c>
      <c r="AI84" s="55">
        <f>_xll.EQNXTDZ($A$1,$B84,AI$5,$B$1)</f>
        <v>0</v>
      </c>
      <c r="AJ84" s="55">
        <f>_xll.EQNXTDZ($A$1,$B84,AJ$5,$B$1)</f>
        <v>110.911</v>
      </c>
      <c r="AK84" s="55">
        <f>_xll.EQNXTDZ($A$1,$B84,AK$5,$B$1)</f>
        <v>0</v>
      </c>
      <c r="AL84" s="55">
        <f>_xll.EQNXTDZ($A$1,$B84,AL$5,$B$1)</f>
        <v>123.61499999999999</v>
      </c>
      <c r="AM84" s="55">
        <f>_xll.EQNXTDZ($A$1,$B84,AM$5,$B$1)</f>
        <v>0</v>
      </c>
      <c r="AN84" s="55">
        <f>_xll.EQNXTDZ($A$1,$B84,AN$5,$B$1)</f>
        <v>128.09800000000001</v>
      </c>
      <c r="AO84" s="55">
        <f>_xll.EQNXTDZ($A$1,$B84,AO$5,$B$1)</f>
        <v>0</v>
      </c>
      <c r="AP84" s="55">
        <f>_xll.EQNXTDZ($A$1,$B84,AP$5,$B$1)</f>
        <v>96.49</v>
      </c>
      <c r="AQ84" s="55">
        <f>_xll.EQNXTDZ($A$1,$B84,AQ$5,$B$1)</f>
        <v>0</v>
      </c>
      <c r="AR84" s="55">
        <f>_xll.EQNXTDZ($A$1,$B84,AR$5,$B$1)</f>
        <v>350.93</v>
      </c>
      <c r="AS84" s="55">
        <f>_xll.EQNXTDZ($A$1,$B84,AS$5,$B$1)</f>
        <v>0</v>
      </c>
      <c r="AT84" s="55">
        <f>_xll.EQNXTDZ($A$1,$B84,AT$5,$B$1)</f>
        <v>301.35000000000002</v>
      </c>
      <c r="AU84" s="55">
        <f>_xll.EQNXTDZ($A$1,$B84,AU$5,$B$1)</f>
        <v>0</v>
      </c>
      <c r="AV84" s="55">
        <f>_xll.EQNXTDZ($A$1,$B84,AV$5,$B$1)</f>
        <v>383.67</v>
      </c>
      <c r="AW84" s="55">
        <f>_xll.EQNXTDZ($A$1,$B84,AW$5,$B$1)</f>
        <v>0</v>
      </c>
      <c r="AX84" s="55">
        <f>_xll.EQNXTDZ($A$1,$B84,AX$5,$B$1)</f>
        <v>498.76</v>
      </c>
      <c r="AY84" s="55">
        <f>_xll.EQNXTDZ($A$1,$B84,AY$5,$B$1)</f>
        <v>0</v>
      </c>
      <c r="AZ84" s="55">
        <f>_xll.EQNXTDZ($A$1,$B84,AZ$5,$B$1)</f>
        <v>791.08</v>
      </c>
      <c r="BA84" s="55">
        <f>_xll.EQNXTDZ($A$1,$B84,BA$5,$B$1)</f>
        <v>0</v>
      </c>
      <c r="BB84" s="55">
        <f>_xll.EQNXTDZ($A$1,$B84,BB$5,$B$1)</f>
        <v>676.04</v>
      </c>
      <c r="BC84" s="55">
        <f>_xll.EQNXTDZ($A$1,$B84,BC$5,$B$1)</f>
        <v>0</v>
      </c>
      <c r="BD84" s="55">
        <f>_xll.EQNXTDZ($A$1,$B84,BD$5,$B$1)</f>
        <v>2055.2399999999998</v>
      </c>
      <c r="BE84" s="55">
        <f>_xll.EQNXTDZ($A$1,$B84,BE$5,$B$1)</f>
        <v>0</v>
      </c>
      <c r="BF84" s="55">
        <f>_xll.EQNXTDZ($A$1,$B84,BF$5,$B$1)</f>
        <v>1986.25</v>
      </c>
      <c r="BG84" s="55">
        <f>_xll.EQNXTDZ($A$1,$B84,BG$5,$B$1)</f>
        <v>0</v>
      </c>
      <c r="BH84" s="55">
        <f>_xll.EQNXTDZ($A$1,$B84,BH$5,$B$1)</f>
        <v>0</v>
      </c>
      <c r="BI84" s="55">
        <f>_xll.EQNXTDZ($A$1,$B84,BI$5,$B$1)</f>
        <v>0</v>
      </c>
      <c r="BJ84" s="55">
        <f>_xll.EQNXTDZ($A$1,$B84,BJ$5,$B$1)</f>
        <v>0</v>
      </c>
      <c r="BK84" s="55">
        <f>_xll.EQNXTDZ($A$1,$B84,BK$5,$B$1)</f>
        <v>0</v>
      </c>
      <c r="BL84" s="55">
        <f>_xll.EQNXTDZ($A$1,$B84,BL$5,$B$1)</f>
        <v>0</v>
      </c>
      <c r="BM84" s="55">
        <f>_xll.EQNXTDZ($A$1,$B84,BM$5,$B$1)</f>
        <v>0</v>
      </c>
      <c r="BN84" s="55">
        <f>_xll.EQNXTDZ($A$1,$B84,BN$5,$B$1)</f>
        <v>0</v>
      </c>
      <c r="BO84" s="55">
        <f>_xll.EQNXTDZ($A$1,$B84,BO$5,$B$1)</f>
        <v>0</v>
      </c>
      <c r="BP84" s="55">
        <f>_xll.EQNXTDZ($A$1,$B84,BP$5,$B$1)</f>
        <v>0</v>
      </c>
      <c r="BQ84" s="55">
        <f>_xll.EQNXTDZ($A$1,$B84,BQ$5,$B$1)</f>
        <v>0</v>
      </c>
      <c r="BR84" s="55">
        <f>_xll.EQNXTDZ($A$1,$B84,BR$5,$B$1)</f>
        <v>0</v>
      </c>
      <c r="BS84" s="55">
        <f>_xll.EQNXTDZ($A$1,$B84,BS$5,$B$1)</f>
        <v>0</v>
      </c>
      <c r="BT84" s="55">
        <f>_xll.EQNXTDZ($A$1,$B84,BT$5,$B$1)</f>
        <v>0</v>
      </c>
      <c r="BU84" s="55">
        <f>_xll.EQNXTDZ($A$1,$B84,BU$5,$B$1)</f>
        <v>0</v>
      </c>
      <c r="BV84" s="55">
        <f>_xll.EQNXTDZ($A$1,$B84,BV$5,$B$1)</f>
        <v>0</v>
      </c>
    </row>
    <row r="85" spans="1:74" x14ac:dyDescent="0.25">
      <c r="A85" t="s">
        <v>367</v>
      </c>
      <c r="B85" t="s">
        <v>401</v>
      </c>
      <c r="C85" s="55">
        <f>_xll.EQNXTDZ($A$1,$B85,C$5,$B$1)</f>
        <v>0</v>
      </c>
      <c r="D85" s="55">
        <f>_xll.EQNXTDZ($A$1,$B85,D$5,$B$1)</f>
        <v>58.622999999999998</v>
      </c>
      <c r="E85" s="55">
        <f>_xll.EQNXTDZ($A$1,$B85,E$5,$B$1)</f>
        <v>0</v>
      </c>
      <c r="F85" s="55">
        <f>_xll.EQNXTDZ($A$1,$B85,F$5,$B$1)</f>
        <v>42.677</v>
      </c>
      <c r="G85" s="55">
        <f>_xll.EQNXTDZ($A$1,$B85,G$5,$B$1)</f>
        <v>0</v>
      </c>
      <c r="H85" s="55">
        <f>_xll.EQNXTDZ($A$1,$B85,H$5,$B$1)</f>
        <v>63.534999999999997</v>
      </c>
      <c r="I85" s="55">
        <f>_xll.EQNXTDZ($A$1,$B85,I$5,$B$1)</f>
        <v>0</v>
      </c>
      <c r="J85" s="55">
        <f>_xll.EQNXTDZ($A$1,$B85,J$5,$B$1)</f>
        <v>44.468000000000004</v>
      </c>
      <c r="K85" s="55">
        <f>_xll.EQNXTDZ($A$1,$B85,K$5,$B$1)</f>
        <v>0</v>
      </c>
      <c r="L85" s="55">
        <f>_xll.EQNXTDZ($A$1,$B85,L$5,$B$1)</f>
        <v>60.121000000000002</v>
      </c>
      <c r="M85" s="55">
        <f>_xll.EQNXTDZ($A$1,$B85,M$5,$B$1)</f>
        <v>0</v>
      </c>
      <c r="N85" s="55">
        <f>_xll.EQNXTDZ($A$1,$B85,N$5,$B$1)</f>
        <v>50.762999999999998</v>
      </c>
      <c r="O85" s="55">
        <f>_xll.EQNXTDZ($A$1,$B85,O$5,$B$1)</f>
        <v>0</v>
      </c>
      <c r="P85" s="55">
        <f>_xll.EQNXTDZ($A$1,$B85,P$5,$B$1)</f>
        <v>42.787999999999997</v>
      </c>
      <c r="Q85" s="55">
        <f>_xll.EQNXTDZ($A$1,$B85,Q$5,$B$1)</f>
        <v>0</v>
      </c>
      <c r="R85" s="55">
        <f>_xll.EQNXTDZ($A$1,$B85,R$5,$B$1)</f>
        <v>38.667000000000002</v>
      </c>
      <c r="S85" s="55">
        <f>_xll.EQNXTDZ($A$1,$B85,S$5,$B$1)</f>
        <v>0</v>
      </c>
      <c r="T85" s="55">
        <f>_xll.EQNXTDZ($A$1,$B85,T$5,$B$1)</f>
        <v>46.539000000000001</v>
      </c>
      <c r="U85" s="55">
        <f>_xll.EQNXTDZ($A$1,$B85,U$5,$B$1)</f>
        <v>0</v>
      </c>
      <c r="V85" s="55">
        <f>_xll.EQNXTDZ($A$1,$B85,V$5,$B$1)</f>
        <v>0</v>
      </c>
      <c r="W85" s="55">
        <f>_xll.EQNXTDZ($A$1,$B85,W$5,$B$1)</f>
        <v>0</v>
      </c>
      <c r="X85" s="55">
        <f>_xll.EQNXTDZ($A$1,$B85,X$5,$B$1)</f>
        <v>0</v>
      </c>
      <c r="Y85" s="55">
        <f>_xll.EQNXTDZ($A$1,$B85,Y$5,$B$1)</f>
        <v>0</v>
      </c>
      <c r="Z85" s="55">
        <f>_xll.EQNXTDZ($A$1,$B85,Z$5,$B$1)</f>
        <v>0</v>
      </c>
      <c r="AA85" s="55">
        <f>_xll.EQNXTDZ($A$1,$B85,AA$5,$B$1)</f>
        <v>0</v>
      </c>
      <c r="AB85" s="55">
        <f>_xll.EQNXTDZ($A$1,$B85,AB$5,$B$1)</f>
        <v>0</v>
      </c>
      <c r="AC85" s="55">
        <f>_xll.EQNXTDZ($A$1,$B85,AC$5,$B$1)</f>
        <v>0</v>
      </c>
      <c r="AD85" s="55">
        <f>_xll.EQNXTDZ($A$1,$B85,AD$5,$B$1)</f>
        <v>0</v>
      </c>
      <c r="AE85" s="55">
        <f>_xll.EQNXTDZ($A$1,$B85,AE$5,$B$1)</f>
        <v>0</v>
      </c>
      <c r="AF85" s="55">
        <f>_xll.EQNXTDZ($A$1,$B85,AF$5,$B$1)</f>
        <v>0</v>
      </c>
      <c r="AG85" s="55">
        <f>_xll.EQNXTDZ($A$1,$B85,AG$5,$B$1)</f>
        <v>0</v>
      </c>
      <c r="AH85" s="55">
        <f>_xll.EQNXTDZ($A$1,$B85,AH$5,$B$1)</f>
        <v>0</v>
      </c>
      <c r="AI85" s="55">
        <f>_xll.EQNXTDZ($A$1,$B85,AI$5,$B$1)</f>
        <v>0</v>
      </c>
      <c r="AJ85" s="55">
        <f>_xll.EQNXTDZ($A$1,$B85,AJ$5,$B$1)</f>
        <v>0</v>
      </c>
      <c r="AK85" s="55">
        <f>_xll.EQNXTDZ($A$1,$B85,AK$5,$B$1)</f>
        <v>0</v>
      </c>
      <c r="AL85" s="55">
        <f>_xll.EQNXTDZ($A$1,$B85,AL$5,$B$1)</f>
        <v>0</v>
      </c>
      <c r="AM85" s="55">
        <f>_xll.EQNXTDZ($A$1,$B85,AM$5,$B$1)</f>
        <v>0</v>
      </c>
      <c r="AN85" s="55">
        <f>_xll.EQNXTDZ($A$1,$B85,AN$5,$B$1)</f>
        <v>0</v>
      </c>
      <c r="AO85" s="55">
        <f>_xll.EQNXTDZ($A$1,$B85,AO$5,$B$1)</f>
        <v>0</v>
      </c>
      <c r="AP85" s="55">
        <f>_xll.EQNXTDZ($A$1,$B85,AP$5,$B$1)</f>
        <v>0</v>
      </c>
      <c r="AQ85" s="55">
        <f>_xll.EQNXTDZ($A$1,$B85,AQ$5,$B$1)</f>
        <v>0</v>
      </c>
      <c r="AR85" s="55">
        <f>_xll.EQNXTDZ($A$1,$B85,AR$5,$B$1)</f>
        <v>35.26</v>
      </c>
      <c r="AS85" s="55">
        <f>_xll.EQNXTDZ($A$1,$B85,AS$5,$B$1)</f>
        <v>0</v>
      </c>
      <c r="AT85" s="55">
        <f>_xll.EQNXTDZ($A$1,$B85,AT$5,$B$1)</f>
        <v>25.07</v>
      </c>
      <c r="AU85" s="55">
        <f>_xll.EQNXTDZ($A$1,$B85,AU$5,$B$1)</f>
        <v>0</v>
      </c>
      <c r="AV85" s="55">
        <f>_xll.EQNXTDZ($A$1,$B85,AV$5,$B$1)</f>
        <v>38.340000000000003</v>
      </c>
      <c r="AW85" s="55">
        <f>_xll.EQNXTDZ($A$1,$B85,AW$5,$B$1)</f>
        <v>0</v>
      </c>
      <c r="AX85" s="55">
        <f>_xll.EQNXTDZ($A$1,$B85,AX$5,$B$1)</f>
        <v>1.5</v>
      </c>
      <c r="AY85" s="55">
        <f>_xll.EQNXTDZ($A$1,$B85,AY$5,$B$1)</f>
        <v>0</v>
      </c>
      <c r="AZ85" s="55">
        <f>_xll.EQNXTDZ($A$1,$B85,AZ$5,$B$1)</f>
        <v>50.05</v>
      </c>
      <c r="BA85" s="55">
        <f>_xll.EQNXTDZ($A$1,$B85,BA$5,$B$1)</f>
        <v>0</v>
      </c>
      <c r="BB85" s="55">
        <f>_xll.EQNXTDZ($A$1,$B85,BB$5,$B$1)</f>
        <v>250.83</v>
      </c>
      <c r="BC85" s="55">
        <f>_xll.EQNXTDZ($A$1,$B85,BC$5,$B$1)</f>
        <v>0</v>
      </c>
      <c r="BD85" s="55">
        <f>_xll.EQNXTDZ($A$1,$B85,BD$5,$B$1)</f>
        <v>333.34</v>
      </c>
      <c r="BE85" s="55">
        <f>_xll.EQNXTDZ($A$1,$B85,BE$5,$B$1)</f>
        <v>0</v>
      </c>
      <c r="BF85" s="55">
        <f>_xll.EQNXTDZ($A$1,$B85,BF$5,$B$1)</f>
        <v>889.55</v>
      </c>
      <c r="BG85" s="55">
        <f>_xll.EQNXTDZ($A$1,$B85,BG$5,$B$1)</f>
        <v>0</v>
      </c>
      <c r="BH85" s="55">
        <f>_xll.EQNXTDZ($A$1,$B85,BH$5,$B$1)</f>
        <v>0</v>
      </c>
      <c r="BI85" s="55">
        <f>_xll.EQNXTDZ($A$1,$B85,BI$5,$B$1)</f>
        <v>0</v>
      </c>
      <c r="BJ85" s="55">
        <f>_xll.EQNXTDZ($A$1,$B85,BJ$5,$B$1)</f>
        <v>0</v>
      </c>
      <c r="BK85" s="55">
        <f>_xll.EQNXTDZ($A$1,$B85,BK$5,$B$1)</f>
        <v>0</v>
      </c>
      <c r="BL85" s="55">
        <f>_xll.EQNXTDZ($A$1,$B85,BL$5,$B$1)</f>
        <v>0</v>
      </c>
      <c r="BM85" s="55">
        <f>_xll.EQNXTDZ($A$1,$B85,BM$5,$B$1)</f>
        <v>0</v>
      </c>
      <c r="BN85" s="55">
        <f>_xll.EQNXTDZ($A$1,$B85,BN$5,$B$1)</f>
        <v>0</v>
      </c>
      <c r="BO85" s="55">
        <f>_xll.EQNXTDZ($A$1,$B85,BO$5,$B$1)</f>
        <v>0</v>
      </c>
      <c r="BP85" s="55">
        <f>_xll.EQNXTDZ($A$1,$B85,BP$5,$B$1)</f>
        <v>0</v>
      </c>
      <c r="BQ85" s="55">
        <f>_xll.EQNXTDZ($A$1,$B85,BQ$5,$B$1)</f>
        <v>0</v>
      </c>
      <c r="BR85" s="55">
        <f>_xll.EQNXTDZ($A$1,$B85,BR$5,$B$1)</f>
        <v>0</v>
      </c>
      <c r="BS85" s="55">
        <f>_xll.EQNXTDZ($A$1,$B85,BS$5,$B$1)</f>
        <v>0</v>
      </c>
      <c r="BT85" s="55">
        <f>_xll.EQNXTDZ($A$1,$B85,BT$5,$B$1)</f>
        <v>0</v>
      </c>
      <c r="BU85" s="55">
        <f>_xll.EQNXTDZ($A$1,$B85,BU$5,$B$1)</f>
        <v>0</v>
      </c>
      <c r="BV85" s="55">
        <f>_xll.EQNXTDZ($A$1,$B85,BV$5,$B$1)</f>
        <v>0</v>
      </c>
    </row>
    <row r="86" spans="1:74" x14ac:dyDescent="0.25">
      <c r="A86" t="s">
        <v>173</v>
      </c>
      <c r="B86" t="s">
        <v>402</v>
      </c>
      <c r="C86" s="55">
        <f>_xll.EQNXTDZ($A$1,$B86,C$5,$B$1)</f>
        <v>0</v>
      </c>
      <c r="D86" s="55">
        <f>_xll.EQNXTDZ($A$1,$B86,D$5,$B$1)</f>
        <v>211.51300000000001</v>
      </c>
      <c r="E86" s="55">
        <f>_xll.EQNXTDZ($A$1,$B86,E$5,$B$1)</f>
        <v>0</v>
      </c>
      <c r="F86" s="55">
        <f>_xll.EQNXTDZ($A$1,$B86,F$5,$B$1)</f>
        <v>118.22</v>
      </c>
      <c r="G86" s="55">
        <f>_xll.EQNXTDZ($A$1,$B86,G$5,$B$1)</f>
        <v>0</v>
      </c>
      <c r="H86" s="55">
        <f>_xll.EQNXTDZ($A$1,$B86,H$5,$B$1)</f>
        <v>155.26300000000001</v>
      </c>
      <c r="I86" s="55">
        <f>_xll.EQNXTDZ($A$1,$B86,I$5,$B$1)</f>
        <v>0</v>
      </c>
      <c r="J86" s="55">
        <f>_xll.EQNXTDZ($A$1,$B86,J$5,$B$1)</f>
        <v>124.366</v>
      </c>
      <c r="K86" s="55">
        <f>_xll.EQNXTDZ($A$1,$B86,K$5,$B$1)</f>
        <v>0</v>
      </c>
      <c r="L86" s="55">
        <f>_xll.EQNXTDZ($A$1,$B86,L$5,$B$1)</f>
        <v>198.54599999999999</v>
      </c>
      <c r="M86" s="55">
        <f>_xll.EQNXTDZ($A$1,$B86,M$5,$B$1)</f>
        <v>0</v>
      </c>
      <c r="N86" s="55">
        <f>_xll.EQNXTDZ($A$1,$B86,N$5,$B$1)</f>
        <v>114.063</v>
      </c>
      <c r="O86" s="55">
        <f>_xll.EQNXTDZ($A$1,$B86,O$5,$B$1)</f>
        <v>0</v>
      </c>
      <c r="P86" s="55">
        <f>_xll.EQNXTDZ($A$1,$B86,P$5,$B$1)</f>
        <v>147.208</v>
      </c>
      <c r="Q86" s="55">
        <f>_xll.EQNXTDZ($A$1,$B86,Q$5,$B$1)</f>
        <v>0</v>
      </c>
      <c r="R86" s="55">
        <f>_xll.EQNXTDZ($A$1,$B86,R$5,$B$1)</f>
        <v>124.40300000000001</v>
      </c>
      <c r="S86" s="55">
        <f>_xll.EQNXTDZ($A$1,$B86,S$5,$B$1)</f>
        <v>0</v>
      </c>
      <c r="T86" s="55">
        <f>_xll.EQNXTDZ($A$1,$B86,T$5,$B$1)</f>
        <v>160.42699999999999</v>
      </c>
      <c r="U86" s="55">
        <f>_xll.EQNXTDZ($A$1,$B86,U$5,$B$1)</f>
        <v>0</v>
      </c>
      <c r="V86" s="55">
        <f>_xll.EQNXTDZ($A$1,$B86,V$5,$B$1)</f>
        <v>135.38499999999999</v>
      </c>
      <c r="W86" s="55">
        <f>_xll.EQNXTDZ($A$1,$B86,W$5,$B$1)</f>
        <v>0</v>
      </c>
      <c r="X86" s="55">
        <f>_xll.EQNXTDZ($A$1,$B86,X$5,$B$1)</f>
        <v>131.66</v>
      </c>
      <c r="Y86" s="55">
        <f>_xll.EQNXTDZ($A$1,$B86,Y$5,$B$1)</f>
        <v>0</v>
      </c>
      <c r="Z86" s="55">
        <f>_xll.EQNXTDZ($A$1,$B86,Z$5,$B$1)</f>
        <v>146.24299999999999</v>
      </c>
      <c r="AA86" s="55">
        <f>_xll.EQNXTDZ($A$1,$B86,AA$5,$B$1)</f>
        <v>0</v>
      </c>
      <c r="AB86" s="55">
        <f>_xll.EQNXTDZ($A$1,$B86,AB$5,$B$1)</f>
        <v>167.52099999999999</v>
      </c>
      <c r="AC86" s="55">
        <f>_xll.EQNXTDZ($A$1,$B86,AC$5,$B$1)</f>
        <v>0</v>
      </c>
      <c r="AD86" s="55">
        <f>_xll.EQNXTDZ($A$1,$B86,AD$5,$B$1)</f>
        <v>195.75700000000001</v>
      </c>
      <c r="AE86" s="55">
        <f>_xll.EQNXTDZ($A$1,$B86,AE$5,$B$1)</f>
        <v>0</v>
      </c>
      <c r="AF86" s="55">
        <f>_xll.EQNXTDZ($A$1,$B86,AF$5,$B$1)</f>
        <v>185.751</v>
      </c>
      <c r="AG86" s="55">
        <f>_xll.EQNXTDZ($A$1,$B86,AG$5,$B$1)</f>
        <v>0</v>
      </c>
      <c r="AH86" s="55">
        <f>_xll.EQNXTDZ($A$1,$B86,AH$5,$B$1)</f>
        <v>206.29900000000001</v>
      </c>
      <c r="AI86" s="55">
        <f>_xll.EQNXTDZ($A$1,$B86,AI$5,$B$1)</f>
        <v>0</v>
      </c>
      <c r="AJ86" s="55">
        <f>_xll.EQNXTDZ($A$1,$B86,AJ$5,$B$1)</f>
        <v>219.16900000000001</v>
      </c>
      <c r="AK86" s="55">
        <f>_xll.EQNXTDZ($A$1,$B86,AK$5,$B$1)</f>
        <v>0</v>
      </c>
      <c r="AL86" s="55">
        <f>_xll.EQNXTDZ($A$1,$B86,AL$5,$B$1)</f>
        <v>254.274</v>
      </c>
      <c r="AM86" s="55">
        <f>_xll.EQNXTDZ($A$1,$B86,AM$5,$B$1)</f>
        <v>0</v>
      </c>
      <c r="AN86" s="55">
        <f>_xll.EQNXTDZ($A$1,$B86,AN$5,$B$1)</f>
        <v>273.38099999999997</v>
      </c>
      <c r="AO86" s="55">
        <f>_xll.EQNXTDZ($A$1,$B86,AO$5,$B$1)</f>
        <v>0</v>
      </c>
      <c r="AP86" s="55">
        <f>_xll.EQNXTDZ($A$1,$B86,AP$5,$B$1)</f>
        <v>308.94</v>
      </c>
      <c r="AQ86" s="55">
        <f>_xll.EQNXTDZ($A$1,$B86,AQ$5,$B$1)</f>
        <v>0</v>
      </c>
      <c r="AR86" s="55">
        <f>_xll.EQNXTDZ($A$1,$B86,AR$5,$B$1)</f>
        <v>605.99</v>
      </c>
      <c r="AS86" s="55">
        <f>_xll.EQNXTDZ($A$1,$B86,AS$5,$B$1)</f>
        <v>0</v>
      </c>
      <c r="AT86" s="55">
        <f>_xll.EQNXTDZ($A$1,$B86,AT$5,$B$1)</f>
        <v>921.99</v>
      </c>
      <c r="AU86" s="55">
        <f>_xll.EQNXTDZ($A$1,$B86,AU$5,$B$1)</f>
        <v>0</v>
      </c>
      <c r="AV86" s="55">
        <f>_xll.EQNXTDZ($A$1,$B86,AV$5,$B$1)</f>
        <v>1271.69</v>
      </c>
      <c r="AW86" s="55">
        <f>_xll.EQNXTDZ($A$1,$B86,AW$5,$B$1)</f>
        <v>0</v>
      </c>
      <c r="AX86" s="55">
        <f>_xll.EQNXTDZ($A$1,$B86,AX$5,$B$1)</f>
        <v>1127.42</v>
      </c>
      <c r="AY86" s="55">
        <f>_xll.EQNXTDZ($A$1,$B86,AY$5,$B$1)</f>
        <v>0</v>
      </c>
      <c r="AZ86" s="55">
        <f>_xll.EQNXTDZ($A$1,$B86,AZ$5,$B$1)</f>
        <v>2470.79</v>
      </c>
      <c r="BA86" s="55">
        <f>_xll.EQNXTDZ($A$1,$B86,BA$5,$B$1)</f>
        <v>0</v>
      </c>
      <c r="BB86" s="55">
        <f>_xll.EQNXTDZ($A$1,$B86,BB$5,$B$1)</f>
        <v>2346.94</v>
      </c>
      <c r="BC86" s="55">
        <f>_xll.EQNXTDZ($A$1,$B86,BC$5,$B$1)</f>
        <v>0</v>
      </c>
      <c r="BD86" s="55">
        <f>_xll.EQNXTDZ($A$1,$B86,BD$5,$B$1)</f>
        <v>6327.96</v>
      </c>
      <c r="BE86" s="55">
        <f>_xll.EQNXTDZ($A$1,$B86,BE$5,$B$1)</f>
        <v>0</v>
      </c>
      <c r="BF86" s="55">
        <f>_xll.EQNXTDZ($A$1,$B86,BF$5,$B$1)</f>
        <v>9823.9</v>
      </c>
      <c r="BG86" s="55">
        <f>_xll.EQNXTDZ($A$1,$B86,BG$5,$B$1)</f>
        <v>0</v>
      </c>
      <c r="BH86" s="55">
        <f>_xll.EQNXTDZ($A$1,$B86,BH$5,$B$1)</f>
        <v>0</v>
      </c>
      <c r="BI86" s="55">
        <f>_xll.EQNXTDZ($A$1,$B86,BI$5,$B$1)</f>
        <v>0</v>
      </c>
      <c r="BJ86" s="55">
        <f>_xll.EQNXTDZ($A$1,$B86,BJ$5,$B$1)</f>
        <v>0</v>
      </c>
      <c r="BK86" s="55">
        <f>_xll.EQNXTDZ($A$1,$B86,BK$5,$B$1)</f>
        <v>0</v>
      </c>
      <c r="BL86" s="55">
        <f>_xll.EQNXTDZ($A$1,$B86,BL$5,$B$1)</f>
        <v>0</v>
      </c>
      <c r="BM86" s="55">
        <f>_xll.EQNXTDZ($A$1,$B86,BM$5,$B$1)</f>
        <v>0</v>
      </c>
      <c r="BN86" s="55">
        <f>_xll.EQNXTDZ($A$1,$B86,BN$5,$B$1)</f>
        <v>0</v>
      </c>
      <c r="BO86" s="55">
        <f>_xll.EQNXTDZ($A$1,$B86,BO$5,$B$1)</f>
        <v>0</v>
      </c>
      <c r="BP86" s="55">
        <f>_xll.EQNXTDZ($A$1,$B86,BP$5,$B$1)</f>
        <v>0</v>
      </c>
      <c r="BQ86" s="55">
        <f>_xll.EQNXTDZ($A$1,$B86,BQ$5,$B$1)</f>
        <v>0</v>
      </c>
      <c r="BR86" s="55">
        <f>_xll.EQNXTDZ($A$1,$B86,BR$5,$B$1)</f>
        <v>0</v>
      </c>
      <c r="BS86" s="55">
        <f>_xll.EQNXTDZ($A$1,$B86,BS$5,$B$1)</f>
        <v>0</v>
      </c>
      <c r="BT86" s="55">
        <f>_xll.EQNXTDZ($A$1,$B86,BT$5,$B$1)</f>
        <v>0</v>
      </c>
      <c r="BU86" s="55">
        <f>_xll.EQNXTDZ($A$1,$B86,BU$5,$B$1)</f>
        <v>0</v>
      </c>
      <c r="BV86" s="55">
        <f>_xll.EQNXTDZ($A$1,$B86,BV$5,$B$1)</f>
        <v>0</v>
      </c>
    </row>
    <row r="87" spans="1:74" x14ac:dyDescent="0.25">
      <c r="A87" t="s">
        <v>69</v>
      </c>
      <c r="B87" t="s">
        <v>403</v>
      </c>
      <c r="C87" s="55">
        <f>_xll.EQNXTDZ($A$1,$B87,C$5,$B$1)</f>
        <v>0</v>
      </c>
      <c r="D87" s="55">
        <f>_xll.EQNXTDZ($A$1,$B87,D$5,$B$1)</f>
        <v>405.47399999999999</v>
      </c>
      <c r="E87" s="55">
        <f>_xll.EQNXTDZ($A$1,$B87,E$5,$B$1)</f>
        <v>0</v>
      </c>
      <c r="F87" s="55">
        <f>_xll.EQNXTDZ($A$1,$B87,F$5,$B$1)</f>
        <v>0</v>
      </c>
      <c r="G87" s="55">
        <f>_xll.EQNXTDZ($A$1,$B87,G$5,$B$1)</f>
        <v>0</v>
      </c>
      <c r="H87" s="55">
        <f>_xll.EQNXTDZ($A$1,$B87,H$5,$B$1)</f>
        <v>0</v>
      </c>
      <c r="I87" s="55">
        <f>_xll.EQNXTDZ($A$1,$B87,I$5,$B$1)</f>
        <v>0</v>
      </c>
      <c r="J87" s="55">
        <f>_xll.EQNXTDZ($A$1,$B87,J$5,$B$1)</f>
        <v>0</v>
      </c>
      <c r="K87" s="55">
        <f>_xll.EQNXTDZ($A$1,$B87,K$5,$B$1)</f>
        <v>0</v>
      </c>
      <c r="L87" s="55">
        <f>_xll.EQNXTDZ($A$1,$B87,L$5,$B$1)</f>
        <v>0</v>
      </c>
      <c r="M87" s="55">
        <f>_xll.EQNXTDZ($A$1,$B87,M$5,$B$1)</f>
        <v>0</v>
      </c>
      <c r="N87" s="55">
        <f>_xll.EQNXTDZ($A$1,$B87,N$5,$B$1)</f>
        <v>0</v>
      </c>
      <c r="O87" s="55">
        <f>_xll.EQNXTDZ($A$1,$B87,O$5,$B$1)</f>
        <v>0</v>
      </c>
      <c r="P87" s="55">
        <f>_xll.EQNXTDZ($A$1,$B87,P$5,$B$1)</f>
        <v>0</v>
      </c>
      <c r="Q87" s="55">
        <f>_xll.EQNXTDZ($A$1,$B87,Q$5,$B$1)</f>
        <v>0</v>
      </c>
      <c r="R87" s="55">
        <f>_xll.EQNXTDZ($A$1,$B87,R$5,$B$1)</f>
        <v>0</v>
      </c>
      <c r="S87" s="55">
        <f>_xll.EQNXTDZ($A$1,$B87,S$5,$B$1)</f>
        <v>0</v>
      </c>
      <c r="T87" s="55">
        <f>_xll.EQNXTDZ($A$1,$B87,T$5,$B$1)</f>
        <v>0</v>
      </c>
      <c r="U87" s="55">
        <f>_xll.EQNXTDZ($A$1,$B87,U$5,$B$1)</f>
        <v>0</v>
      </c>
      <c r="V87" s="55">
        <f>_xll.EQNXTDZ($A$1,$B87,V$5,$B$1)</f>
        <v>0</v>
      </c>
      <c r="W87" s="55">
        <f>_xll.EQNXTDZ($A$1,$B87,W$5,$B$1)</f>
        <v>0</v>
      </c>
      <c r="X87" s="55">
        <f>_xll.EQNXTDZ($A$1,$B87,X$5,$B$1)</f>
        <v>0</v>
      </c>
      <c r="Y87" s="55">
        <f>_xll.EQNXTDZ($A$1,$B87,Y$5,$B$1)</f>
        <v>0</v>
      </c>
      <c r="Z87" s="55">
        <f>_xll.EQNXTDZ($A$1,$B87,Z$5,$B$1)</f>
        <v>0</v>
      </c>
      <c r="AA87" s="55">
        <f>_xll.EQNXTDZ($A$1,$B87,AA$5,$B$1)</f>
        <v>0</v>
      </c>
      <c r="AB87" s="55">
        <f>_xll.EQNXTDZ($A$1,$B87,AB$5,$B$1)</f>
        <v>0</v>
      </c>
      <c r="AC87" s="55">
        <f>_xll.EQNXTDZ($A$1,$B87,AC$5,$B$1)</f>
        <v>0</v>
      </c>
      <c r="AD87" s="55">
        <f>_xll.EQNXTDZ($A$1,$B87,AD$5,$B$1)</f>
        <v>0</v>
      </c>
      <c r="AE87" s="55">
        <f>_xll.EQNXTDZ($A$1,$B87,AE$5,$B$1)</f>
        <v>0</v>
      </c>
      <c r="AF87" s="55">
        <f>_xll.EQNXTDZ($A$1,$B87,AF$5,$B$1)</f>
        <v>0</v>
      </c>
      <c r="AG87" s="55">
        <f>_xll.EQNXTDZ($A$1,$B87,AG$5,$B$1)</f>
        <v>0</v>
      </c>
      <c r="AH87" s="55">
        <f>_xll.EQNXTDZ($A$1,$B87,AH$5,$B$1)</f>
        <v>0</v>
      </c>
      <c r="AI87" s="55">
        <f>_xll.EQNXTDZ($A$1,$B87,AI$5,$B$1)</f>
        <v>0</v>
      </c>
      <c r="AJ87" s="55">
        <f>_xll.EQNXTDZ($A$1,$B87,AJ$5,$B$1)</f>
        <v>0</v>
      </c>
      <c r="AK87" s="55">
        <f>_xll.EQNXTDZ($A$1,$B87,AK$5,$B$1)</f>
        <v>0</v>
      </c>
      <c r="AL87" s="55">
        <f>_xll.EQNXTDZ($A$1,$B87,AL$5,$B$1)</f>
        <v>0</v>
      </c>
      <c r="AM87" s="55">
        <f>_xll.EQNXTDZ($A$1,$B87,AM$5,$B$1)</f>
        <v>0</v>
      </c>
      <c r="AN87" s="55">
        <f>_xll.EQNXTDZ($A$1,$B87,AN$5,$B$1)</f>
        <v>0</v>
      </c>
      <c r="AO87" s="55">
        <f>_xll.EQNXTDZ($A$1,$B87,AO$5,$B$1)</f>
        <v>0</v>
      </c>
      <c r="AP87" s="55">
        <f>_xll.EQNXTDZ($A$1,$B87,AP$5,$B$1)</f>
        <v>0</v>
      </c>
      <c r="AQ87" s="55">
        <f>_xll.EQNXTDZ($A$1,$B87,AQ$5,$B$1)</f>
        <v>0</v>
      </c>
      <c r="AR87" s="55">
        <f>_xll.EQNXTDZ($A$1,$B87,AR$5,$B$1)</f>
        <v>0</v>
      </c>
      <c r="AS87" s="55">
        <f>_xll.EQNXTDZ($A$1,$B87,AS$5,$B$1)</f>
        <v>0</v>
      </c>
      <c r="AT87" s="55">
        <f>_xll.EQNXTDZ($A$1,$B87,AT$5,$B$1)</f>
        <v>0</v>
      </c>
      <c r="AU87" s="55">
        <f>_xll.EQNXTDZ($A$1,$B87,AU$5,$B$1)</f>
        <v>0</v>
      </c>
      <c r="AV87" s="55">
        <f>_xll.EQNXTDZ($A$1,$B87,AV$5,$B$1)</f>
        <v>0</v>
      </c>
      <c r="AW87" s="55">
        <f>_xll.EQNXTDZ($A$1,$B87,AW$5,$B$1)</f>
        <v>0</v>
      </c>
      <c r="AX87" s="55">
        <f>_xll.EQNXTDZ($A$1,$B87,AX$5,$B$1)</f>
        <v>0</v>
      </c>
      <c r="AY87" s="55">
        <f>_xll.EQNXTDZ($A$1,$B87,AY$5,$B$1)</f>
        <v>0</v>
      </c>
      <c r="AZ87" s="55">
        <f>_xll.EQNXTDZ($A$1,$B87,AZ$5,$B$1)</f>
        <v>0</v>
      </c>
      <c r="BA87" s="55">
        <f>_xll.EQNXTDZ($A$1,$B87,BA$5,$B$1)</f>
        <v>0</v>
      </c>
      <c r="BB87" s="55">
        <f>_xll.EQNXTDZ($A$1,$B87,BB$5,$B$1)</f>
        <v>0</v>
      </c>
      <c r="BC87" s="55">
        <f>_xll.EQNXTDZ($A$1,$B87,BC$5,$B$1)</f>
        <v>0</v>
      </c>
      <c r="BD87" s="55">
        <f>_xll.EQNXTDZ($A$1,$B87,BD$5,$B$1)</f>
        <v>0</v>
      </c>
      <c r="BE87" s="55">
        <f>_xll.EQNXTDZ($A$1,$B87,BE$5,$B$1)</f>
        <v>0</v>
      </c>
      <c r="BF87" s="55">
        <f>_xll.EQNXTDZ($A$1,$B87,BF$5,$B$1)</f>
        <v>0</v>
      </c>
      <c r="BG87" s="55">
        <f>_xll.EQNXTDZ($A$1,$B87,BG$5,$B$1)</f>
        <v>0</v>
      </c>
      <c r="BH87" s="55">
        <f>_xll.EQNXTDZ($A$1,$B87,BH$5,$B$1)</f>
        <v>0</v>
      </c>
      <c r="BI87" s="55">
        <f>_xll.EQNXTDZ($A$1,$B87,BI$5,$B$1)</f>
        <v>0</v>
      </c>
      <c r="BJ87" s="55">
        <f>_xll.EQNXTDZ($A$1,$B87,BJ$5,$B$1)</f>
        <v>0</v>
      </c>
      <c r="BK87" s="55">
        <f>_xll.EQNXTDZ($A$1,$B87,BK$5,$B$1)</f>
        <v>0</v>
      </c>
      <c r="BL87" s="55">
        <f>_xll.EQNXTDZ($A$1,$B87,BL$5,$B$1)</f>
        <v>0</v>
      </c>
      <c r="BM87" s="55">
        <f>_xll.EQNXTDZ($A$1,$B87,BM$5,$B$1)</f>
        <v>0</v>
      </c>
      <c r="BN87" s="55">
        <f>_xll.EQNXTDZ($A$1,$B87,BN$5,$B$1)</f>
        <v>0</v>
      </c>
      <c r="BO87" s="55">
        <f>_xll.EQNXTDZ($A$1,$B87,BO$5,$B$1)</f>
        <v>0</v>
      </c>
      <c r="BP87" s="55">
        <f>_xll.EQNXTDZ($A$1,$B87,BP$5,$B$1)</f>
        <v>0</v>
      </c>
      <c r="BQ87" s="55">
        <f>_xll.EQNXTDZ($A$1,$B87,BQ$5,$B$1)</f>
        <v>0</v>
      </c>
      <c r="BR87" s="55">
        <f>_xll.EQNXTDZ($A$1,$B87,BR$5,$B$1)</f>
        <v>0</v>
      </c>
      <c r="BS87" s="55">
        <f>_xll.EQNXTDZ($A$1,$B87,BS$5,$B$1)</f>
        <v>0</v>
      </c>
      <c r="BT87" s="55">
        <f>_xll.EQNXTDZ($A$1,$B87,BT$5,$B$1)</f>
        <v>0</v>
      </c>
      <c r="BU87" s="55">
        <f>_xll.EQNXTDZ($A$1,$B87,BU$5,$B$1)</f>
        <v>0</v>
      </c>
      <c r="BV87" s="55">
        <f>_xll.EQNXTDZ($A$1,$B87,BV$5,$B$1)</f>
        <v>0</v>
      </c>
    </row>
    <row r="88" spans="1:74" x14ac:dyDescent="0.25">
      <c r="A88" t="s">
        <v>48</v>
      </c>
      <c r="B88" t="s">
        <v>404</v>
      </c>
      <c r="C88" s="55">
        <f>_xll.EQNXTDZ($A$1,$B88,C$5,$B$1)</f>
        <v>0</v>
      </c>
      <c r="D88" s="55">
        <f>_xll.EQNXTDZ($A$1,$B88,D$5,$B$1)</f>
        <v>0</v>
      </c>
      <c r="E88" s="55">
        <f>_xll.EQNXTDZ($A$1,$B88,E$5,$B$1)</f>
        <v>0</v>
      </c>
      <c r="F88" s="55">
        <f>_xll.EQNXTDZ($A$1,$B88,F$5,$B$1)</f>
        <v>0</v>
      </c>
      <c r="G88" s="55">
        <f>_xll.EQNXTDZ($A$1,$B88,G$5,$B$1)</f>
        <v>0</v>
      </c>
      <c r="H88" s="55">
        <f>_xll.EQNXTDZ($A$1,$B88,H$5,$B$1)</f>
        <v>0</v>
      </c>
      <c r="I88" s="55">
        <f>_xll.EQNXTDZ($A$1,$B88,I$5,$B$1)</f>
        <v>0</v>
      </c>
      <c r="J88" s="55">
        <f>_xll.EQNXTDZ($A$1,$B88,J$5,$B$1)</f>
        <v>0</v>
      </c>
      <c r="K88" s="55">
        <f>_xll.EQNXTDZ($A$1,$B88,K$5,$B$1)</f>
        <v>0</v>
      </c>
      <c r="L88" s="55">
        <f>_xll.EQNXTDZ($A$1,$B88,L$5,$B$1)</f>
        <v>0</v>
      </c>
      <c r="M88" s="55">
        <f>_xll.EQNXTDZ($A$1,$B88,M$5,$B$1)</f>
        <v>0</v>
      </c>
      <c r="N88" s="55">
        <f>_xll.EQNXTDZ($A$1,$B88,N$5,$B$1)</f>
        <v>7.5</v>
      </c>
      <c r="O88" s="55">
        <f>_xll.EQNXTDZ($A$1,$B88,O$5,$B$1)</f>
        <v>0</v>
      </c>
      <c r="P88" s="55">
        <f>_xll.EQNXTDZ($A$1,$B88,P$5,$B$1)</f>
        <v>0</v>
      </c>
      <c r="Q88" s="55">
        <f>_xll.EQNXTDZ($A$1,$B88,Q$5,$B$1)</f>
        <v>0</v>
      </c>
      <c r="R88" s="55">
        <f>_xll.EQNXTDZ($A$1,$B88,R$5,$B$1)</f>
        <v>1.9350000000000001</v>
      </c>
      <c r="S88" s="55">
        <f>_xll.EQNXTDZ($A$1,$B88,S$5,$B$1)</f>
        <v>0</v>
      </c>
      <c r="T88" s="55">
        <f>_xll.EQNXTDZ($A$1,$B88,T$5,$B$1)</f>
        <v>13.840999999999999</v>
      </c>
      <c r="U88" s="55">
        <f>_xll.EQNXTDZ($A$1,$B88,U$5,$B$1)</f>
        <v>0</v>
      </c>
      <c r="V88" s="55">
        <f>_xll.EQNXTDZ($A$1,$B88,V$5,$B$1)</f>
        <v>16.744</v>
      </c>
      <c r="W88" s="55">
        <f>_xll.EQNXTDZ($A$1,$B88,W$5,$B$1)</f>
        <v>0</v>
      </c>
      <c r="X88" s="55">
        <f>_xll.EQNXTDZ($A$1,$B88,X$5,$B$1)</f>
        <v>8.4969999999999999</v>
      </c>
      <c r="Y88" s="55">
        <f>_xll.EQNXTDZ($A$1,$B88,Y$5,$B$1)</f>
        <v>0</v>
      </c>
      <c r="Z88" s="55">
        <f>_xll.EQNXTDZ($A$1,$B88,Z$5,$B$1)</f>
        <v>19.148</v>
      </c>
      <c r="AA88" s="55">
        <f>_xll.EQNXTDZ($A$1,$B88,AA$5,$B$1)</f>
        <v>0</v>
      </c>
      <c r="AB88" s="55">
        <f>_xll.EQNXTDZ($A$1,$B88,AB$5,$B$1)</f>
        <v>18.489000000000001</v>
      </c>
      <c r="AC88" s="55">
        <f>_xll.EQNXTDZ($A$1,$B88,AC$5,$B$1)</f>
        <v>0</v>
      </c>
      <c r="AD88" s="55">
        <f>_xll.EQNXTDZ($A$1,$B88,AD$5,$B$1)</f>
        <v>2.6709999999999998</v>
      </c>
      <c r="AE88" s="55">
        <f>_xll.EQNXTDZ($A$1,$B88,AE$5,$B$1)</f>
        <v>0</v>
      </c>
      <c r="AF88" s="55">
        <f>_xll.EQNXTDZ($A$1,$B88,AF$5,$B$1)</f>
        <v>17.846</v>
      </c>
      <c r="AG88" s="55">
        <f>_xll.EQNXTDZ($A$1,$B88,AG$5,$B$1)</f>
        <v>0</v>
      </c>
      <c r="AH88" s="55">
        <f>_xll.EQNXTDZ($A$1,$B88,AH$5,$B$1)</f>
        <v>17.988</v>
      </c>
      <c r="AI88" s="55">
        <f>_xll.EQNXTDZ($A$1,$B88,AI$5,$B$1)</f>
        <v>0</v>
      </c>
      <c r="AJ88" s="55">
        <f>_xll.EQNXTDZ($A$1,$B88,AJ$5,$B$1)</f>
        <v>16.648</v>
      </c>
      <c r="AK88" s="55">
        <f>_xll.EQNXTDZ($A$1,$B88,AK$5,$B$1)</f>
        <v>0</v>
      </c>
      <c r="AL88" s="55">
        <f>_xll.EQNXTDZ($A$1,$B88,AL$5,$B$1)</f>
        <v>9.6940000000000008</v>
      </c>
      <c r="AM88" s="55">
        <f>_xll.EQNXTDZ($A$1,$B88,AM$5,$B$1)</f>
        <v>0</v>
      </c>
      <c r="AN88" s="55">
        <f>_xll.EQNXTDZ($A$1,$B88,AN$5,$B$1)</f>
        <v>0</v>
      </c>
      <c r="AO88" s="55">
        <f>_xll.EQNXTDZ($A$1,$B88,AO$5,$B$1)</f>
        <v>0</v>
      </c>
      <c r="AP88" s="55">
        <f>_xll.EQNXTDZ($A$1,$B88,AP$5,$B$1)</f>
        <v>0</v>
      </c>
      <c r="AQ88" s="55">
        <f>_xll.EQNXTDZ($A$1,$B88,AQ$5,$B$1)</f>
        <v>0</v>
      </c>
      <c r="AR88" s="55">
        <f>_xll.EQNXTDZ($A$1,$B88,AR$5,$B$1)</f>
        <v>0</v>
      </c>
      <c r="AS88" s="55">
        <f>_xll.EQNXTDZ($A$1,$B88,AS$5,$B$1)</f>
        <v>0</v>
      </c>
      <c r="AT88" s="55">
        <f>_xll.EQNXTDZ($A$1,$B88,AT$5,$B$1)</f>
        <v>0</v>
      </c>
      <c r="AU88" s="55">
        <f>_xll.EQNXTDZ($A$1,$B88,AU$5,$B$1)</f>
        <v>0</v>
      </c>
      <c r="AV88" s="55">
        <f>_xll.EQNXTDZ($A$1,$B88,AV$5,$B$1)</f>
        <v>0</v>
      </c>
      <c r="AW88" s="55">
        <f>_xll.EQNXTDZ($A$1,$B88,AW$5,$B$1)</f>
        <v>0</v>
      </c>
      <c r="AX88" s="55">
        <f>_xll.EQNXTDZ($A$1,$B88,AX$5,$B$1)</f>
        <v>0</v>
      </c>
      <c r="AY88" s="55">
        <f>_xll.EQNXTDZ($A$1,$B88,AY$5,$B$1)</f>
        <v>0</v>
      </c>
      <c r="AZ88" s="55">
        <f>_xll.EQNXTDZ($A$1,$B88,AZ$5,$B$1)</f>
        <v>0</v>
      </c>
      <c r="BA88" s="55">
        <f>_xll.EQNXTDZ($A$1,$B88,BA$5,$B$1)</f>
        <v>0</v>
      </c>
      <c r="BB88" s="55">
        <f>_xll.EQNXTDZ($A$1,$B88,BB$5,$B$1)</f>
        <v>279.93</v>
      </c>
      <c r="BC88" s="55">
        <f>_xll.EQNXTDZ($A$1,$B88,BC$5,$B$1)</f>
        <v>0</v>
      </c>
      <c r="BD88" s="55">
        <f>_xll.EQNXTDZ($A$1,$B88,BD$5,$B$1)</f>
        <v>2519.25</v>
      </c>
      <c r="BE88" s="55">
        <f>_xll.EQNXTDZ($A$1,$B88,BE$5,$B$1)</f>
        <v>0</v>
      </c>
      <c r="BF88" s="55">
        <f>_xll.EQNXTDZ($A$1,$B88,BF$5,$B$1)</f>
        <v>6531.18</v>
      </c>
      <c r="BG88" s="55">
        <f>_xll.EQNXTDZ($A$1,$B88,BG$5,$B$1)</f>
        <v>0</v>
      </c>
      <c r="BH88" s="55">
        <f>_xll.EQNXTDZ($A$1,$B88,BH$5,$B$1)</f>
        <v>0</v>
      </c>
      <c r="BI88" s="55">
        <f>_xll.EQNXTDZ($A$1,$B88,BI$5,$B$1)</f>
        <v>0</v>
      </c>
      <c r="BJ88" s="55">
        <f>_xll.EQNXTDZ($A$1,$B88,BJ$5,$B$1)</f>
        <v>0</v>
      </c>
      <c r="BK88" s="55">
        <f>_xll.EQNXTDZ($A$1,$B88,BK$5,$B$1)</f>
        <v>0</v>
      </c>
      <c r="BL88" s="55">
        <f>_xll.EQNXTDZ($A$1,$B88,BL$5,$B$1)</f>
        <v>0</v>
      </c>
      <c r="BM88" s="55">
        <f>_xll.EQNXTDZ($A$1,$B88,BM$5,$B$1)</f>
        <v>0</v>
      </c>
      <c r="BN88" s="55">
        <f>_xll.EQNXTDZ($A$1,$B88,BN$5,$B$1)</f>
        <v>0</v>
      </c>
      <c r="BO88" s="55">
        <f>_xll.EQNXTDZ($A$1,$B88,BO$5,$B$1)</f>
        <v>0</v>
      </c>
      <c r="BP88" s="55">
        <f>_xll.EQNXTDZ($A$1,$B88,BP$5,$B$1)</f>
        <v>0</v>
      </c>
      <c r="BQ88" s="55">
        <f>_xll.EQNXTDZ($A$1,$B88,BQ$5,$B$1)</f>
        <v>0</v>
      </c>
      <c r="BR88" s="55">
        <f>_xll.EQNXTDZ($A$1,$B88,BR$5,$B$1)</f>
        <v>0</v>
      </c>
      <c r="BS88" s="55">
        <f>_xll.EQNXTDZ($A$1,$B88,BS$5,$B$1)</f>
        <v>0</v>
      </c>
      <c r="BT88" s="55">
        <f>_xll.EQNXTDZ($A$1,$B88,BT$5,$B$1)</f>
        <v>0</v>
      </c>
      <c r="BU88" s="55">
        <f>_xll.EQNXTDZ($A$1,$B88,BU$5,$B$1)</f>
        <v>0</v>
      </c>
      <c r="BV88" s="55">
        <f>_xll.EQNXTDZ($A$1,$B88,BV$5,$B$1)</f>
        <v>0</v>
      </c>
    </row>
    <row r="89" spans="1:74" x14ac:dyDescent="0.25">
      <c r="A89" t="s">
        <v>70</v>
      </c>
      <c r="B89" t="s">
        <v>405</v>
      </c>
      <c r="C89" s="55">
        <f>_xll.EQNXTDZ($A$1,$B89,C$5,$B$1)</f>
        <v>0</v>
      </c>
      <c r="D89" s="55">
        <f>_xll.EQNXTDZ($A$1,$B89,D$5,$B$1)</f>
        <v>0</v>
      </c>
      <c r="E89" s="55">
        <f>_xll.EQNXTDZ($A$1,$B89,E$5,$B$1)</f>
        <v>0</v>
      </c>
      <c r="F89" s="55">
        <f>_xll.EQNXTDZ($A$1,$B89,F$5,$B$1)</f>
        <v>223.73099999999999</v>
      </c>
      <c r="G89" s="55">
        <f>_xll.EQNXTDZ($A$1,$B89,G$5,$B$1)</f>
        <v>0</v>
      </c>
      <c r="H89" s="55">
        <f>_xll.EQNXTDZ($A$1,$B89,H$5,$B$1)</f>
        <v>277.41500000000002</v>
      </c>
      <c r="I89" s="55">
        <f>_xll.EQNXTDZ($A$1,$B89,I$5,$B$1)</f>
        <v>0</v>
      </c>
      <c r="J89" s="55">
        <f>_xll.EQNXTDZ($A$1,$B89,J$5,$B$1)</f>
        <v>122.747</v>
      </c>
      <c r="K89" s="55">
        <f>_xll.EQNXTDZ($A$1,$B89,K$5,$B$1)</f>
        <v>0</v>
      </c>
      <c r="L89" s="55">
        <f>_xll.EQNXTDZ($A$1,$B89,L$5,$B$1)</f>
        <v>351.65</v>
      </c>
      <c r="M89" s="55">
        <f>_xll.EQNXTDZ($A$1,$B89,M$5,$B$1)</f>
        <v>0</v>
      </c>
      <c r="N89" s="55">
        <f>_xll.EQNXTDZ($A$1,$B89,N$5,$B$1)</f>
        <v>64.572999999999993</v>
      </c>
      <c r="O89" s="55">
        <f>_xll.EQNXTDZ($A$1,$B89,O$5,$B$1)</f>
        <v>0</v>
      </c>
      <c r="P89" s="55">
        <f>_xll.EQNXTDZ($A$1,$B89,P$5,$B$1)</f>
        <v>105.65600000000001</v>
      </c>
      <c r="Q89" s="55">
        <f>_xll.EQNXTDZ($A$1,$B89,Q$5,$B$1)</f>
        <v>0</v>
      </c>
      <c r="R89" s="55">
        <f>_xll.EQNXTDZ($A$1,$B89,R$5,$B$1)</f>
        <v>64.066999999999993</v>
      </c>
      <c r="S89" s="55">
        <f>_xll.EQNXTDZ($A$1,$B89,S$5,$B$1)</f>
        <v>0</v>
      </c>
      <c r="T89" s="55">
        <f>_xll.EQNXTDZ($A$1,$B89,T$5,$B$1)</f>
        <v>76.995000000000005</v>
      </c>
      <c r="U89" s="55">
        <f>_xll.EQNXTDZ($A$1,$B89,U$5,$B$1)</f>
        <v>0</v>
      </c>
      <c r="V89" s="55">
        <f>_xll.EQNXTDZ($A$1,$B89,V$5,$B$1)</f>
        <v>59.886000000000003</v>
      </c>
      <c r="W89" s="55">
        <f>_xll.EQNXTDZ($A$1,$B89,W$5,$B$1)</f>
        <v>0</v>
      </c>
      <c r="X89" s="55">
        <f>_xll.EQNXTDZ($A$1,$B89,X$5,$B$1)</f>
        <v>62.78</v>
      </c>
      <c r="Y89" s="55">
        <f>_xll.EQNXTDZ($A$1,$B89,Y$5,$B$1)</f>
        <v>0</v>
      </c>
      <c r="Z89" s="55">
        <f>_xll.EQNXTDZ($A$1,$B89,Z$5,$B$1)</f>
        <v>67.602999999999994</v>
      </c>
      <c r="AA89" s="55">
        <f>_xll.EQNXTDZ($A$1,$B89,AA$5,$B$1)</f>
        <v>0</v>
      </c>
      <c r="AB89" s="55">
        <f>_xll.EQNXTDZ($A$1,$B89,AB$5,$B$1)</f>
        <v>63.906999999999996</v>
      </c>
      <c r="AC89" s="55">
        <f>_xll.EQNXTDZ($A$1,$B89,AC$5,$B$1)</f>
        <v>0</v>
      </c>
      <c r="AD89" s="55">
        <f>_xll.EQNXTDZ($A$1,$B89,AD$5,$B$1)</f>
        <v>64.027000000000001</v>
      </c>
      <c r="AE89" s="55">
        <f>_xll.EQNXTDZ($A$1,$B89,AE$5,$B$1)</f>
        <v>0</v>
      </c>
      <c r="AF89" s="55">
        <f>_xll.EQNXTDZ($A$1,$B89,AF$5,$B$1)</f>
        <v>67.989999999999995</v>
      </c>
      <c r="AG89" s="55">
        <f>_xll.EQNXTDZ($A$1,$B89,AG$5,$B$1)</f>
        <v>0</v>
      </c>
      <c r="AH89" s="55">
        <f>_xll.EQNXTDZ($A$1,$B89,AH$5,$B$1)</f>
        <v>61.124000000000002</v>
      </c>
      <c r="AI89" s="55">
        <f>_xll.EQNXTDZ($A$1,$B89,AI$5,$B$1)</f>
        <v>0</v>
      </c>
      <c r="AJ89" s="55">
        <f>_xll.EQNXTDZ($A$1,$B89,AJ$5,$B$1)</f>
        <v>57.6</v>
      </c>
      <c r="AK89" s="55">
        <f>_xll.EQNXTDZ($A$1,$B89,AK$5,$B$1)</f>
        <v>0</v>
      </c>
      <c r="AL89" s="55">
        <f>_xll.EQNXTDZ($A$1,$B89,AL$5,$B$1)</f>
        <v>35.252000000000002</v>
      </c>
      <c r="AM89" s="55">
        <f>_xll.EQNXTDZ($A$1,$B89,AM$5,$B$1)</f>
        <v>0</v>
      </c>
      <c r="AN89" s="55">
        <f>_xll.EQNXTDZ($A$1,$B89,AN$5,$B$1)</f>
        <v>42.957999999999998</v>
      </c>
      <c r="AO89" s="55">
        <f>_xll.EQNXTDZ($A$1,$B89,AO$5,$B$1)</f>
        <v>0</v>
      </c>
      <c r="AP89" s="55">
        <f>_xll.EQNXTDZ($A$1,$B89,AP$5,$B$1)</f>
        <v>15.18</v>
      </c>
      <c r="AQ89" s="55">
        <f>_xll.EQNXTDZ($A$1,$B89,AQ$5,$B$1)</f>
        <v>0</v>
      </c>
      <c r="AR89" s="55">
        <f>_xll.EQNXTDZ($A$1,$B89,AR$5,$B$1)</f>
        <v>90.88</v>
      </c>
      <c r="AS89" s="55">
        <f>_xll.EQNXTDZ($A$1,$B89,AS$5,$B$1)</f>
        <v>0</v>
      </c>
      <c r="AT89" s="55">
        <f>_xll.EQNXTDZ($A$1,$B89,AT$5,$B$1)</f>
        <v>74.53</v>
      </c>
      <c r="AU89" s="55">
        <f>_xll.EQNXTDZ($A$1,$B89,AU$5,$B$1)</f>
        <v>0</v>
      </c>
      <c r="AV89" s="55">
        <f>_xll.EQNXTDZ($A$1,$B89,AV$5,$B$1)</f>
        <v>89.4</v>
      </c>
      <c r="AW89" s="55">
        <f>_xll.EQNXTDZ($A$1,$B89,AW$5,$B$1)</f>
        <v>0</v>
      </c>
      <c r="AX89" s="55">
        <f>_xll.EQNXTDZ($A$1,$B89,AX$5,$B$1)</f>
        <v>395.08</v>
      </c>
      <c r="AY89" s="55">
        <f>_xll.EQNXTDZ($A$1,$B89,AY$5,$B$1)</f>
        <v>0</v>
      </c>
      <c r="AZ89" s="55">
        <f>_xll.EQNXTDZ($A$1,$B89,AZ$5,$B$1)</f>
        <v>71.09</v>
      </c>
      <c r="BA89" s="55">
        <f>_xll.EQNXTDZ($A$1,$B89,BA$5,$B$1)</f>
        <v>0</v>
      </c>
      <c r="BB89" s="55">
        <f>_xll.EQNXTDZ($A$1,$B89,BB$5,$B$1)</f>
        <v>108.03</v>
      </c>
      <c r="BC89" s="55">
        <f>_xll.EQNXTDZ($A$1,$B89,BC$5,$B$1)</f>
        <v>0</v>
      </c>
      <c r="BD89" s="55">
        <f>_xll.EQNXTDZ($A$1,$B89,BD$5,$B$1)</f>
        <v>1223.4000000000001</v>
      </c>
      <c r="BE89" s="55">
        <f>_xll.EQNXTDZ($A$1,$B89,BE$5,$B$1)</f>
        <v>0</v>
      </c>
      <c r="BF89" s="55">
        <f>_xll.EQNXTDZ($A$1,$B89,BF$5,$B$1)</f>
        <v>2664.23</v>
      </c>
      <c r="BG89" s="55">
        <f>_xll.EQNXTDZ($A$1,$B89,BG$5,$B$1)</f>
        <v>0</v>
      </c>
      <c r="BH89" s="55">
        <f>_xll.EQNXTDZ($A$1,$B89,BH$5,$B$1)</f>
        <v>0</v>
      </c>
      <c r="BI89" s="55">
        <f>_xll.EQNXTDZ($A$1,$B89,BI$5,$B$1)</f>
        <v>0</v>
      </c>
      <c r="BJ89" s="55">
        <f>_xll.EQNXTDZ($A$1,$B89,BJ$5,$B$1)</f>
        <v>0</v>
      </c>
      <c r="BK89" s="55">
        <f>_xll.EQNXTDZ($A$1,$B89,BK$5,$B$1)</f>
        <v>0</v>
      </c>
      <c r="BL89" s="55">
        <f>_xll.EQNXTDZ($A$1,$B89,BL$5,$B$1)</f>
        <v>0</v>
      </c>
      <c r="BM89" s="55">
        <f>_xll.EQNXTDZ($A$1,$B89,BM$5,$B$1)</f>
        <v>0</v>
      </c>
      <c r="BN89" s="55">
        <f>_xll.EQNXTDZ($A$1,$B89,BN$5,$B$1)</f>
        <v>0</v>
      </c>
      <c r="BO89" s="55">
        <f>_xll.EQNXTDZ($A$1,$B89,BO$5,$B$1)</f>
        <v>0</v>
      </c>
      <c r="BP89" s="55">
        <f>_xll.EQNXTDZ($A$1,$B89,BP$5,$B$1)</f>
        <v>0</v>
      </c>
      <c r="BQ89" s="55">
        <f>_xll.EQNXTDZ($A$1,$B89,BQ$5,$B$1)</f>
        <v>0</v>
      </c>
      <c r="BR89" s="55">
        <f>_xll.EQNXTDZ($A$1,$B89,BR$5,$B$1)</f>
        <v>0</v>
      </c>
      <c r="BS89" s="55">
        <f>_xll.EQNXTDZ($A$1,$B89,BS$5,$B$1)</f>
        <v>0</v>
      </c>
      <c r="BT89" s="55">
        <f>_xll.EQNXTDZ($A$1,$B89,BT$5,$B$1)</f>
        <v>0</v>
      </c>
      <c r="BU89" s="55">
        <f>_xll.EQNXTDZ($A$1,$B89,BU$5,$B$1)</f>
        <v>0</v>
      </c>
      <c r="BV89" s="55">
        <f>_xll.EQNXTDZ($A$1,$B89,BV$5,$B$1)</f>
        <v>0</v>
      </c>
    </row>
    <row r="90" spans="1:74" x14ac:dyDescent="0.25">
      <c r="A90" t="s">
        <v>368</v>
      </c>
      <c r="B90" t="s">
        <v>406</v>
      </c>
      <c r="C90" s="55">
        <f>_xll.EQNXTDZ($A$1,$B90,C$5,$B$1)</f>
        <v>0</v>
      </c>
      <c r="D90" s="55">
        <f>_xll.EQNXTDZ($A$1,$B90,D$5,$B$1)</f>
        <v>0</v>
      </c>
      <c r="E90" s="55">
        <f>_xll.EQNXTDZ($A$1,$B90,E$5,$B$1)</f>
        <v>0</v>
      </c>
      <c r="F90" s="55">
        <f>_xll.EQNXTDZ($A$1,$B90,F$5,$B$1)</f>
        <v>0</v>
      </c>
      <c r="G90" s="55">
        <f>_xll.EQNXTDZ($A$1,$B90,G$5,$B$1)</f>
        <v>0</v>
      </c>
      <c r="H90" s="55">
        <f>_xll.EQNXTDZ($A$1,$B90,H$5,$B$1)</f>
        <v>0</v>
      </c>
      <c r="I90" s="55">
        <f>_xll.EQNXTDZ($A$1,$B90,I$5,$B$1)</f>
        <v>0</v>
      </c>
      <c r="J90" s="55">
        <f>_xll.EQNXTDZ($A$1,$B90,J$5,$B$1)</f>
        <v>0</v>
      </c>
      <c r="K90" s="55">
        <f>_xll.EQNXTDZ($A$1,$B90,K$5,$B$1)</f>
        <v>0</v>
      </c>
      <c r="L90" s="55">
        <f>_xll.EQNXTDZ($A$1,$B90,L$5,$B$1)</f>
        <v>0</v>
      </c>
      <c r="M90" s="55">
        <f>_xll.EQNXTDZ($A$1,$B90,M$5,$B$1)</f>
        <v>0</v>
      </c>
      <c r="N90" s="55">
        <f>_xll.EQNXTDZ($A$1,$B90,N$5,$B$1)</f>
        <v>0</v>
      </c>
      <c r="O90" s="55">
        <f>_xll.EQNXTDZ($A$1,$B90,O$5,$B$1)</f>
        <v>0</v>
      </c>
      <c r="P90" s="55">
        <f>_xll.EQNXTDZ($A$1,$B90,P$5,$B$1)</f>
        <v>0</v>
      </c>
      <c r="Q90" s="55">
        <f>_xll.EQNXTDZ($A$1,$B90,Q$5,$B$1)</f>
        <v>0</v>
      </c>
      <c r="R90" s="55">
        <f>_xll.EQNXTDZ($A$1,$B90,R$5,$B$1)</f>
        <v>0</v>
      </c>
      <c r="S90" s="55">
        <f>_xll.EQNXTDZ($A$1,$B90,S$5,$B$1)</f>
        <v>0</v>
      </c>
      <c r="T90" s="55">
        <f>_xll.EQNXTDZ($A$1,$B90,T$5,$B$1)</f>
        <v>0</v>
      </c>
      <c r="U90" s="55">
        <f>_xll.EQNXTDZ($A$1,$B90,U$5,$B$1)</f>
        <v>0</v>
      </c>
      <c r="V90" s="55">
        <f>_xll.EQNXTDZ($A$1,$B90,V$5,$B$1)</f>
        <v>0</v>
      </c>
      <c r="W90" s="55">
        <f>_xll.EQNXTDZ($A$1,$B90,W$5,$B$1)</f>
        <v>0</v>
      </c>
      <c r="X90" s="55">
        <f>_xll.EQNXTDZ($A$1,$B90,X$5,$B$1)</f>
        <v>0</v>
      </c>
      <c r="Y90" s="55">
        <f>_xll.EQNXTDZ($A$1,$B90,Y$5,$B$1)</f>
        <v>0</v>
      </c>
      <c r="Z90" s="55">
        <f>_xll.EQNXTDZ($A$1,$B90,Z$5,$B$1)</f>
        <v>0</v>
      </c>
      <c r="AA90" s="55">
        <f>_xll.EQNXTDZ($A$1,$B90,AA$5,$B$1)</f>
        <v>0</v>
      </c>
      <c r="AB90" s="55">
        <f>_xll.EQNXTDZ($A$1,$B90,AB$5,$B$1)</f>
        <v>0</v>
      </c>
      <c r="AC90" s="55">
        <f>_xll.EQNXTDZ($A$1,$B90,AC$5,$B$1)</f>
        <v>0</v>
      </c>
      <c r="AD90" s="55">
        <f>_xll.EQNXTDZ($A$1,$B90,AD$5,$B$1)</f>
        <v>0</v>
      </c>
      <c r="AE90" s="55">
        <f>_xll.EQNXTDZ($A$1,$B90,AE$5,$B$1)</f>
        <v>0</v>
      </c>
      <c r="AF90" s="55">
        <f>_xll.EQNXTDZ($A$1,$B90,AF$5,$B$1)</f>
        <v>0</v>
      </c>
      <c r="AG90" s="55">
        <f>_xll.EQNXTDZ($A$1,$B90,AG$5,$B$1)</f>
        <v>0</v>
      </c>
      <c r="AH90" s="55">
        <f>_xll.EQNXTDZ($A$1,$B90,AH$5,$B$1)</f>
        <v>0</v>
      </c>
      <c r="AI90" s="55">
        <f>_xll.EQNXTDZ($A$1,$B90,AI$5,$B$1)</f>
        <v>0</v>
      </c>
      <c r="AJ90" s="55">
        <f>_xll.EQNXTDZ($A$1,$B90,AJ$5,$B$1)</f>
        <v>0</v>
      </c>
      <c r="AK90" s="55">
        <f>_xll.EQNXTDZ($A$1,$B90,AK$5,$B$1)</f>
        <v>0</v>
      </c>
      <c r="AL90" s="55">
        <f>_xll.EQNXTDZ($A$1,$B90,AL$5,$B$1)</f>
        <v>0</v>
      </c>
      <c r="AM90" s="55">
        <f>_xll.EQNXTDZ($A$1,$B90,AM$5,$B$1)</f>
        <v>0</v>
      </c>
      <c r="AN90" s="55">
        <f>_xll.EQNXTDZ($A$1,$B90,AN$5,$B$1)</f>
        <v>0</v>
      </c>
      <c r="AO90" s="55">
        <f>_xll.EQNXTDZ($A$1,$B90,AO$5,$B$1)</f>
        <v>0</v>
      </c>
      <c r="AP90" s="55">
        <f>_xll.EQNXTDZ($A$1,$B90,AP$5,$B$1)</f>
        <v>0</v>
      </c>
      <c r="AQ90" s="55">
        <f>_xll.EQNXTDZ($A$1,$B90,AQ$5,$B$1)</f>
        <v>0</v>
      </c>
      <c r="AR90" s="55">
        <f>_xll.EQNXTDZ($A$1,$B90,AR$5,$B$1)</f>
        <v>0</v>
      </c>
      <c r="AS90" s="55">
        <f>_xll.EQNXTDZ($A$1,$B90,AS$5,$B$1)</f>
        <v>0</v>
      </c>
      <c r="AT90" s="55">
        <f>_xll.EQNXTDZ($A$1,$B90,AT$5,$B$1)</f>
        <v>0</v>
      </c>
      <c r="AU90" s="55">
        <f>_xll.EQNXTDZ($A$1,$B90,AU$5,$B$1)</f>
        <v>0</v>
      </c>
      <c r="AV90" s="55">
        <f>_xll.EQNXTDZ($A$1,$B90,AV$5,$B$1)</f>
        <v>0</v>
      </c>
      <c r="AW90" s="55">
        <f>_xll.EQNXTDZ($A$1,$B90,AW$5,$B$1)</f>
        <v>0</v>
      </c>
      <c r="AX90" s="55">
        <f>_xll.EQNXTDZ($A$1,$B90,AX$5,$B$1)</f>
        <v>0</v>
      </c>
      <c r="AY90" s="55">
        <f>_xll.EQNXTDZ($A$1,$B90,AY$5,$B$1)</f>
        <v>0</v>
      </c>
      <c r="AZ90" s="55">
        <f>_xll.EQNXTDZ($A$1,$B90,AZ$5,$B$1)</f>
        <v>0</v>
      </c>
      <c r="BA90" s="55">
        <f>_xll.EQNXTDZ($A$1,$B90,BA$5,$B$1)</f>
        <v>0</v>
      </c>
      <c r="BB90" s="55">
        <f>_xll.EQNXTDZ($A$1,$B90,BB$5,$B$1)</f>
        <v>0</v>
      </c>
      <c r="BC90" s="55">
        <f>_xll.EQNXTDZ($A$1,$B90,BC$5,$B$1)</f>
        <v>0</v>
      </c>
      <c r="BD90" s="55">
        <f>_xll.EQNXTDZ($A$1,$B90,BD$5,$B$1)</f>
        <v>0</v>
      </c>
      <c r="BE90" s="55">
        <f>_xll.EQNXTDZ($A$1,$B90,BE$5,$B$1)</f>
        <v>0</v>
      </c>
      <c r="BF90" s="55">
        <f>_xll.EQNXTDZ($A$1,$B90,BF$5,$B$1)</f>
        <v>0</v>
      </c>
      <c r="BG90" s="55">
        <f>_xll.EQNXTDZ($A$1,$B90,BG$5,$B$1)</f>
        <v>0</v>
      </c>
      <c r="BH90" s="55">
        <f>_xll.EQNXTDZ($A$1,$B90,BH$5,$B$1)</f>
        <v>0</v>
      </c>
      <c r="BI90" s="55">
        <f>_xll.EQNXTDZ($A$1,$B90,BI$5,$B$1)</f>
        <v>0</v>
      </c>
      <c r="BJ90" s="55">
        <f>_xll.EQNXTDZ($A$1,$B90,BJ$5,$B$1)</f>
        <v>0</v>
      </c>
      <c r="BK90" s="55">
        <f>_xll.EQNXTDZ($A$1,$B90,BK$5,$B$1)</f>
        <v>0</v>
      </c>
      <c r="BL90" s="55">
        <f>_xll.EQNXTDZ($A$1,$B90,BL$5,$B$1)</f>
        <v>0</v>
      </c>
      <c r="BM90" s="55">
        <f>_xll.EQNXTDZ($A$1,$B90,BM$5,$B$1)</f>
        <v>0</v>
      </c>
      <c r="BN90" s="55">
        <f>_xll.EQNXTDZ($A$1,$B90,BN$5,$B$1)</f>
        <v>0</v>
      </c>
      <c r="BO90" s="55">
        <f>_xll.EQNXTDZ($A$1,$B90,BO$5,$B$1)</f>
        <v>0</v>
      </c>
      <c r="BP90" s="55">
        <f>_xll.EQNXTDZ($A$1,$B90,BP$5,$B$1)</f>
        <v>0</v>
      </c>
      <c r="BQ90" s="55">
        <f>_xll.EQNXTDZ($A$1,$B90,BQ$5,$B$1)</f>
        <v>0</v>
      </c>
      <c r="BR90" s="55">
        <f>_xll.EQNXTDZ($A$1,$B90,BR$5,$B$1)</f>
        <v>0</v>
      </c>
      <c r="BS90" s="55">
        <f>_xll.EQNXTDZ($A$1,$B90,BS$5,$B$1)</f>
        <v>0</v>
      </c>
      <c r="BT90" s="55">
        <f>_xll.EQNXTDZ($A$1,$B90,BT$5,$B$1)</f>
        <v>0</v>
      </c>
      <c r="BU90" s="55">
        <f>_xll.EQNXTDZ($A$1,$B90,BU$5,$B$1)</f>
        <v>0</v>
      </c>
      <c r="BV90" s="55">
        <f>_xll.EQNXTDZ($A$1,$B90,BV$5,$B$1)</f>
        <v>0</v>
      </c>
    </row>
    <row r="91" spans="1:74" x14ac:dyDescent="0.25">
      <c r="A91" t="s">
        <v>71</v>
      </c>
      <c r="B91" t="s">
        <v>407</v>
      </c>
      <c r="C91" s="55">
        <f>_xll.EQNXTDZ($A$1,$B91,C$5,$B$1)</f>
        <v>0</v>
      </c>
      <c r="D91" s="55">
        <f>_xll.EQNXTDZ($A$1,$B91,D$5,$B$1)</f>
        <v>0</v>
      </c>
      <c r="E91" s="55">
        <f>_xll.EQNXTDZ($A$1,$B91,E$5,$B$1)</f>
        <v>0</v>
      </c>
      <c r="F91" s="55">
        <f>_xll.EQNXTDZ($A$1,$B91,F$5,$B$1)</f>
        <v>84.891999999999996</v>
      </c>
      <c r="G91" s="55">
        <f>_xll.EQNXTDZ($A$1,$B91,G$5,$B$1)</f>
        <v>0</v>
      </c>
      <c r="H91" s="55">
        <f>_xll.EQNXTDZ($A$1,$B91,H$5,$B$1)</f>
        <v>85.016999999999996</v>
      </c>
      <c r="I91" s="55">
        <f>_xll.EQNXTDZ($A$1,$B91,I$5,$B$1)</f>
        <v>0</v>
      </c>
      <c r="J91" s="55">
        <f>_xll.EQNXTDZ($A$1,$B91,J$5,$B$1)</f>
        <v>59.475999999999999</v>
      </c>
      <c r="K91" s="55">
        <f>_xll.EQNXTDZ($A$1,$B91,K$5,$B$1)</f>
        <v>0</v>
      </c>
      <c r="L91" s="55">
        <f>_xll.EQNXTDZ($A$1,$B91,L$5,$B$1)</f>
        <v>81.001999999999995</v>
      </c>
      <c r="M91" s="55">
        <f>_xll.EQNXTDZ($A$1,$B91,M$5,$B$1)</f>
        <v>0</v>
      </c>
      <c r="N91" s="55">
        <f>_xll.EQNXTDZ($A$1,$B91,N$5,$B$1)</f>
        <v>9.6050000000000004</v>
      </c>
      <c r="O91" s="55">
        <f>_xll.EQNXTDZ($A$1,$B91,O$5,$B$1)</f>
        <v>0</v>
      </c>
      <c r="P91" s="55">
        <f>_xll.EQNXTDZ($A$1,$B91,P$5,$B$1)</f>
        <v>11.222</v>
      </c>
      <c r="Q91" s="55">
        <f>_xll.EQNXTDZ($A$1,$B91,Q$5,$B$1)</f>
        <v>0</v>
      </c>
      <c r="R91" s="55">
        <f>_xll.EQNXTDZ($A$1,$B91,R$5,$B$1)</f>
        <v>4.95</v>
      </c>
      <c r="S91" s="55">
        <f>_xll.EQNXTDZ($A$1,$B91,S$5,$B$1)</f>
        <v>0</v>
      </c>
      <c r="T91" s="55">
        <f>_xll.EQNXTDZ($A$1,$B91,T$5,$B$1)</f>
        <v>7.8570000000000002</v>
      </c>
      <c r="U91" s="55">
        <f>_xll.EQNXTDZ($A$1,$B91,U$5,$B$1)</f>
        <v>0</v>
      </c>
      <c r="V91" s="55">
        <f>_xll.EQNXTDZ($A$1,$B91,V$5,$B$1)</f>
        <v>13.87</v>
      </c>
      <c r="W91" s="55">
        <f>_xll.EQNXTDZ($A$1,$B91,W$5,$B$1)</f>
        <v>0</v>
      </c>
      <c r="X91" s="55">
        <f>_xll.EQNXTDZ($A$1,$B91,X$5,$B$1)</f>
        <v>18.57</v>
      </c>
      <c r="Y91" s="55">
        <f>_xll.EQNXTDZ($A$1,$B91,Y$5,$B$1)</f>
        <v>0</v>
      </c>
      <c r="Z91" s="55">
        <f>_xll.EQNXTDZ($A$1,$B91,Z$5,$B$1)</f>
        <v>5.3079999999999998</v>
      </c>
      <c r="AA91" s="55">
        <f>_xll.EQNXTDZ($A$1,$B91,AA$5,$B$1)</f>
        <v>0</v>
      </c>
      <c r="AB91" s="55">
        <f>_xll.EQNXTDZ($A$1,$B91,AB$5,$B$1)</f>
        <v>15.157999999999999</v>
      </c>
      <c r="AC91" s="55">
        <f>_xll.EQNXTDZ($A$1,$B91,AC$5,$B$1)</f>
        <v>0</v>
      </c>
      <c r="AD91" s="55">
        <f>_xll.EQNXTDZ($A$1,$B91,AD$5,$B$1)</f>
        <v>15.007999999999999</v>
      </c>
      <c r="AE91" s="55">
        <f>_xll.EQNXTDZ($A$1,$B91,AE$5,$B$1)</f>
        <v>0</v>
      </c>
      <c r="AF91" s="55">
        <f>_xll.EQNXTDZ($A$1,$B91,AF$5,$B$1)</f>
        <v>23.466999999999999</v>
      </c>
      <c r="AG91" s="55">
        <f>_xll.EQNXTDZ($A$1,$B91,AG$5,$B$1)</f>
        <v>0</v>
      </c>
      <c r="AH91" s="55">
        <f>_xll.EQNXTDZ($A$1,$B91,AH$5,$B$1)</f>
        <v>39.356000000000002</v>
      </c>
      <c r="AI91" s="55">
        <f>_xll.EQNXTDZ($A$1,$B91,AI$5,$B$1)</f>
        <v>0</v>
      </c>
      <c r="AJ91" s="55">
        <f>_xll.EQNXTDZ($A$1,$B91,AJ$5,$B$1)</f>
        <v>45.634999999999998</v>
      </c>
      <c r="AK91" s="55">
        <f>_xll.EQNXTDZ($A$1,$B91,AK$5,$B$1)</f>
        <v>0</v>
      </c>
      <c r="AL91" s="55">
        <f>_xll.EQNXTDZ($A$1,$B91,AL$5,$B$1)</f>
        <v>101.15</v>
      </c>
      <c r="AM91" s="55">
        <f>_xll.EQNXTDZ($A$1,$B91,AM$5,$B$1)</f>
        <v>0</v>
      </c>
      <c r="AN91" s="55">
        <f>_xll.EQNXTDZ($A$1,$B91,AN$5,$B$1)</f>
        <v>38.656999999999996</v>
      </c>
      <c r="AO91" s="55">
        <f>_xll.EQNXTDZ($A$1,$B91,AO$5,$B$1)</f>
        <v>0</v>
      </c>
      <c r="AP91" s="55">
        <f>_xll.EQNXTDZ($A$1,$B91,AP$5,$B$1)</f>
        <v>89.09</v>
      </c>
      <c r="AQ91" s="55">
        <f>_xll.EQNXTDZ($A$1,$B91,AQ$5,$B$1)</f>
        <v>0</v>
      </c>
      <c r="AR91" s="55">
        <f>_xll.EQNXTDZ($A$1,$B91,AR$5,$B$1)</f>
        <v>944.9</v>
      </c>
      <c r="AS91" s="55">
        <f>_xll.EQNXTDZ($A$1,$B91,AS$5,$B$1)</f>
        <v>0</v>
      </c>
      <c r="AT91" s="55">
        <f>_xll.EQNXTDZ($A$1,$B91,AT$5,$B$1)</f>
        <v>385.67</v>
      </c>
      <c r="AU91" s="55">
        <f>_xll.EQNXTDZ($A$1,$B91,AU$5,$B$1)</f>
        <v>0</v>
      </c>
      <c r="AV91" s="55">
        <f>_xll.EQNXTDZ($A$1,$B91,AV$5,$B$1)</f>
        <v>535.19000000000005</v>
      </c>
      <c r="AW91" s="55">
        <f>_xll.EQNXTDZ($A$1,$B91,AW$5,$B$1)</f>
        <v>0</v>
      </c>
      <c r="AX91" s="55">
        <f>_xll.EQNXTDZ($A$1,$B91,AX$5,$B$1)</f>
        <v>571.87</v>
      </c>
      <c r="AY91" s="55">
        <f>_xll.EQNXTDZ($A$1,$B91,AY$5,$B$1)</f>
        <v>0</v>
      </c>
      <c r="AZ91" s="55">
        <f>_xll.EQNXTDZ($A$1,$B91,AZ$5,$B$1)</f>
        <v>1108.75</v>
      </c>
      <c r="BA91" s="55">
        <f>_xll.EQNXTDZ($A$1,$B91,BA$5,$B$1)</f>
        <v>0</v>
      </c>
      <c r="BB91" s="55">
        <f>_xll.EQNXTDZ($A$1,$B91,BB$5,$B$1)</f>
        <v>1159.9000000000001</v>
      </c>
      <c r="BC91" s="55">
        <f>_xll.EQNXTDZ($A$1,$B91,BC$5,$B$1)</f>
        <v>0</v>
      </c>
      <c r="BD91" s="55">
        <f>_xll.EQNXTDZ($A$1,$B91,BD$5,$B$1)</f>
        <v>2257.1999999999998</v>
      </c>
      <c r="BE91" s="55">
        <f>_xll.EQNXTDZ($A$1,$B91,BE$5,$B$1)</f>
        <v>0</v>
      </c>
      <c r="BF91" s="55">
        <f>_xll.EQNXTDZ($A$1,$B91,BF$5,$B$1)</f>
        <v>2833.46</v>
      </c>
      <c r="BG91" s="55">
        <f>_xll.EQNXTDZ($A$1,$B91,BG$5,$B$1)</f>
        <v>0</v>
      </c>
      <c r="BH91" s="55">
        <f>_xll.EQNXTDZ($A$1,$B91,BH$5,$B$1)</f>
        <v>0</v>
      </c>
      <c r="BI91" s="55">
        <f>_xll.EQNXTDZ($A$1,$B91,BI$5,$B$1)</f>
        <v>0</v>
      </c>
      <c r="BJ91" s="55">
        <f>_xll.EQNXTDZ($A$1,$B91,BJ$5,$B$1)</f>
        <v>0</v>
      </c>
      <c r="BK91" s="55">
        <f>_xll.EQNXTDZ($A$1,$B91,BK$5,$B$1)</f>
        <v>0</v>
      </c>
      <c r="BL91" s="55">
        <f>_xll.EQNXTDZ($A$1,$B91,BL$5,$B$1)</f>
        <v>0</v>
      </c>
      <c r="BM91" s="55">
        <f>_xll.EQNXTDZ($A$1,$B91,BM$5,$B$1)</f>
        <v>0</v>
      </c>
      <c r="BN91" s="55">
        <f>_xll.EQNXTDZ($A$1,$B91,BN$5,$B$1)</f>
        <v>0</v>
      </c>
      <c r="BO91" s="55">
        <f>_xll.EQNXTDZ($A$1,$B91,BO$5,$B$1)</f>
        <v>0</v>
      </c>
      <c r="BP91" s="55">
        <f>_xll.EQNXTDZ($A$1,$B91,BP$5,$B$1)</f>
        <v>0</v>
      </c>
      <c r="BQ91" s="55">
        <f>_xll.EQNXTDZ($A$1,$B91,BQ$5,$B$1)</f>
        <v>0</v>
      </c>
      <c r="BR91" s="55">
        <f>_xll.EQNXTDZ($A$1,$B91,BR$5,$B$1)</f>
        <v>0</v>
      </c>
      <c r="BS91" s="55">
        <f>_xll.EQNXTDZ($A$1,$B91,BS$5,$B$1)</f>
        <v>0</v>
      </c>
      <c r="BT91" s="55">
        <f>_xll.EQNXTDZ($A$1,$B91,BT$5,$B$1)</f>
        <v>0</v>
      </c>
      <c r="BU91" s="55">
        <f>_xll.EQNXTDZ($A$1,$B91,BU$5,$B$1)</f>
        <v>0</v>
      </c>
      <c r="BV91" s="55">
        <f>_xll.EQNXTDZ($A$1,$B91,BV$5,$B$1)</f>
        <v>0</v>
      </c>
    </row>
    <row r="92" spans="1:74" x14ac:dyDescent="0.25">
      <c r="A92" t="s">
        <v>369</v>
      </c>
      <c r="B92" t="s">
        <v>408</v>
      </c>
      <c r="C92" s="55">
        <f>_xll.EQNXTDZ($A$1,$B92,C$5,$B$1)</f>
        <v>0</v>
      </c>
      <c r="D92" s="55">
        <f>_xll.EQNXTDZ($A$1,$B92,D$5,$B$1)</f>
        <v>0</v>
      </c>
      <c r="E92" s="55">
        <f>_xll.EQNXTDZ($A$1,$B92,E$5,$B$1)</f>
        <v>0</v>
      </c>
      <c r="F92" s="55">
        <f>_xll.EQNXTDZ($A$1,$B92,F$5,$B$1)</f>
        <v>0</v>
      </c>
      <c r="G92" s="55">
        <f>_xll.EQNXTDZ($A$1,$B92,G$5,$B$1)</f>
        <v>0</v>
      </c>
      <c r="H92" s="55">
        <f>_xll.EQNXTDZ($A$1,$B92,H$5,$B$1)</f>
        <v>0</v>
      </c>
      <c r="I92" s="55">
        <f>_xll.EQNXTDZ($A$1,$B92,I$5,$B$1)</f>
        <v>0</v>
      </c>
      <c r="J92" s="55">
        <f>_xll.EQNXTDZ($A$1,$B92,J$5,$B$1)</f>
        <v>0</v>
      </c>
      <c r="K92" s="55">
        <f>_xll.EQNXTDZ($A$1,$B92,K$5,$B$1)</f>
        <v>0</v>
      </c>
      <c r="L92" s="55">
        <f>_xll.EQNXTDZ($A$1,$B92,L$5,$B$1)</f>
        <v>0</v>
      </c>
      <c r="M92" s="55">
        <f>_xll.EQNXTDZ($A$1,$B92,M$5,$B$1)</f>
        <v>0</v>
      </c>
      <c r="N92" s="55">
        <f>_xll.EQNXTDZ($A$1,$B92,N$5,$B$1)</f>
        <v>0</v>
      </c>
      <c r="O92" s="55">
        <f>_xll.EQNXTDZ($A$1,$B92,O$5,$B$1)</f>
        <v>0</v>
      </c>
      <c r="P92" s="55">
        <f>_xll.EQNXTDZ($A$1,$B92,P$5,$B$1)</f>
        <v>5.6130000000000004</v>
      </c>
      <c r="Q92" s="55">
        <f>_xll.EQNXTDZ($A$1,$B92,Q$5,$B$1)</f>
        <v>0</v>
      </c>
      <c r="R92" s="55">
        <f>_xll.EQNXTDZ($A$1,$B92,R$5,$B$1)</f>
        <v>0</v>
      </c>
      <c r="S92" s="55">
        <f>_xll.EQNXTDZ($A$1,$B92,S$5,$B$1)</f>
        <v>0</v>
      </c>
      <c r="T92" s="55">
        <f>_xll.EQNXTDZ($A$1,$B92,T$5,$B$1)</f>
        <v>0</v>
      </c>
      <c r="U92" s="55">
        <f>_xll.EQNXTDZ($A$1,$B92,U$5,$B$1)</f>
        <v>0</v>
      </c>
      <c r="V92" s="55">
        <f>_xll.EQNXTDZ($A$1,$B92,V$5,$B$1)</f>
        <v>0.14299999999999999</v>
      </c>
      <c r="W92" s="55">
        <f>_xll.EQNXTDZ($A$1,$B92,W$5,$B$1)</f>
        <v>0</v>
      </c>
      <c r="X92" s="55">
        <f>_xll.EQNXTDZ($A$1,$B92,X$5,$B$1)</f>
        <v>0</v>
      </c>
      <c r="Y92" s="55">
        <f>_xll.EQNXTDZ($A$1,$B92,Y$5,$B$1)</f>
        <v>0</v>
      </c>
      <c r="Z92" s="55">
        <f>_xll.EQNXTDZ($A$1,$B92,Z$5,$B$1)</f>
        <v>2.238</v>
      </c>
      <c r="AA92" s="55">
        <f>_xll.EQNXTDZ($A$1,$B92,AA$5,$B$1)</f>
        <v>0</v>
      </c>
      <c r="AB92" s="55">
        <f>_xll.EQNXTDZ($A$1,$B92,AB$5,$B$1)</f>
        <v>6.0819999999999999</v>
      </c>
      <c r="AC92" s="55">
        <f>_xll.EQNXTDZ($A$1,$B92,AC$5,$B$1)</f>
        <v>0</v>
      </c>
      <c r="AD92" s="55">
        <f>_xll.EQNXTDZ($A$1,$B92,AD$5,$B$1)</f>
        <v>8.2780000000000005</v>
      </c>
      <c r="AE92" s="55">
        <f>_xll.EQNXTDZ($A$1,$B92,AE$5,$B$1)</f>
        <v>0</v>
      </c>
      <c r="AF92" s="55">
        <f>_xll.EQNXTDZ($A$1,$B92,AF$5,$B$1)</f>
        <v>13.265000000000001</v>
      </c>
      <c r="AG92" s="55">
        <f>_xll.EQNXTDZ($A$1,$B92,AG$5,$B$1)</f>
        <v>0</v>
      </c>
      <c r="AH92" s="55">
        <f>_xll.EQNXTDZ($A$1,$B92,AH$5,$B$1)</f>
        <v>14.375999999999999</v>
      </c>
      <c r="AI92" s="55">
        <f>_xll.EQNXTDZ($A$1,$B92,AI$5,$B$1)</f>
        <v>0</v>
      </c>
      <c r="AJ92" s="55">
        <f>_xll.EQNXTDZ($A$1,$B92,AJ$5,$B$1)</f>
        <v>13.225</v>
      </c>
      <c r="AK92" s="55">
        <f>_xll.EQNXTDZ($A$1,$B92,AK$5,$B$1)</f>
        <v>0</v>
      </c>
      <c r="AL92" s="55">
        <f>_xll.EQNXTDZ($A$1,$B92,AL$5,$B$1)</f>
        <v>10.339</v>
      </c>
      <c r="AM92" s="55">
        <f>_xll.EQNXTDZ($A$1,$B92,AM$5,$B$1)</f>
        <v>0</v>
      </c>
      <c r="AN92" s="55">
        <f>_xll.EQNXTDZ($A$1,$B92,AN$5,$B$1)</f>
        <v>3.2930000000000001</v>
      </c>
      <c r="AO92" s="55">
        <f>_xll.EQNXTDZ($A$1,$B92,AO$5,$B$1)</f>
        <v>0</v>
      </c>
      <c r="AP92" s="55">
        <f>_xll.EQNXTDZ($A$1,$B92,AP$5,$B$1)</f>
        <v>13.93</v>
      </c>
      <c r="AQ92" s="55">
        <f>_xll.EQNXTDZ($A$1,$B92,AQ$5,$B$1)</f>
        <v>0</v>
      </c>
      <c r="AR92" s="55">
        <f>_xll.EQNXTDZ($A$1,$B92,AR$5,$B$1)</f>
        <v>33.06</v>
      </c>
      <c r="AS92" s="55">
        <f>_xll.EQNXTDZ($A$1,$B92,AS$5,$B$1)</f>
        <v>0</v>
      </c>
      <c r="AT92" s="55">
        <f>_xll.EQNXTDZ($A$1,$B92,AT$5,$B$1)</f>
        <v>12.13</v>
      </c>
      <c r="AU92" s="55">
        <f>_xll.EQNXTDZ($A$1,$B92,AU$5,$B$1)</f>
        <v>0</v>
      </c>
      <c r="AV92" s="55">
        <f>_xll.EQNXTDZ($A$1,$B92,AV$5,$B$1)</f>
        <v>22.06</v>
      </c>
      <c r="AW92" s="55">
        <f>_xll.EQNXTDZ($A$1,$B92,AW$5,$B$1)</f>
        <v>0</v>
      </c>
      <c r="AX92" s="55">
        <f>_xll.EQNXTDZ($A$1,$B92,AX$5,$B$1)</f>
        <v>18.989999999999998</v>
      </c>
      <c r="AY92" s="55">
        <f>_xll.EQNXTDZ($A$1,$B92,AY$5,$B$1)</f>
        <v>0</v>
      </c>
      <c r="AZ92" s="55">
        <f>_xll.EQNXTDZ($A$1,$B92,AZ$5,$B$1)</f>
        <v>78.099999999999994</v>
      </c>
      <c r="BA92" s="55">
        <f>_xll.EQNXTDZ($A$1,$B92,BA$5,$B$1)</f>
        <v>0</v>
      </c>
      <c r="BB92" s="55">
        <f>_xll.EQNXTDZ($A$1,$B92,BB$5,$B$1)</f>
        <v>8.59</v>
      </c>
      <c r="BC92" s="55">
        <f>_xll.EQNXTDZ($A$1,$B92,BC$5,$B$1)</f>
        <v>0</v>
      </c>
      <c r="BD92" s="55">
        <f>_xll.EQNXTDZ($A$1,$B92,BD$5,$B$1)</f>
        <v>138.62</v>
      </c>
      <c r="BE92" s="55">
        <f>_xll.EQNXTDZ($A$1,$B92,BE$5,$B$1)</f>
        <v>0</v>
      </c>
      <c r="BF92" s="55">
        <f>_xll.EQNXTDZ($A$1,$B92,BF$5,$B$1)</f>
        <v>69.09</v>
      </c>
      <c r="BG92" s="55">
        <f>_xll.EQNXTDZ($A$1,$B92,BG$5,$B$1)</f>
        <v>0</v>
      </c>
      <c r="BH92" s="55">
        <f>_xll.EQNXTDZ($A$1,$B92,BH$5,$B$1)</f>
        <v>0</v>
      </c>
      <c r="BI92" s="55">
        <f>_xll.EQNXTDZ($A$1,$B92,BI$5,$B$1)</f>
        <v>0</v>
      </c>
      <c r="BJ92" s="55">
        <f>_xll.EQNXTDZ($A$1,$B92,BJ$5,$B$1)</f>
        <v>0</v>
      </c>
      <c r="BK92" s="55">
        <f>_xll.EQNXTDZ($A$1,$B92,BK$5,$B$1)</f>
        <v>0</v>
      </c>
      <c r="BL92" s="55">
        <f>_xll.EQNXTDZ($A$1,$B92,BL$5,$B$1)</f>
        <v>0</v>
      </c>
      <c r="BM92" s="55">
        <f>_xll.EQNXTDZ($A$1,$B92,BM$5,$B$1)</f>
        <v>0</v>
      </c>
      <c r="BN92" s="55">
        <f>_xll.EQNXTDZ($A$1,$B92,BN$5,$B$1)</f>
        <v>0</v>
      </c>
      <c r="BO92" s="55">
        <f>_xll.EQNXTDZ($A$1,$B92,BO$5,$B$1)</f>
        <v>0</v>
      </c>
      <c r="BP92" s="55">
        <f>_xll.EQNXTDZ($A$1,$B92,BP$5,$B$1)</f>
        <v>0</v>
      </c>
      <c r="BQ92" s="55">
        <f>_xll.EQNXTDZ($A$1,$B92,BQ$5,$B$1)</f>
        <v>0</v>
      </c>
      <c r="BR92" s="55">
        <f>_xll.EQNXTDZ($A$1,$B92,BR$5,$B$1)</f>
        <v>0</v>
      </c>
      <c r="BS92" s="55">
        <f>_xll.EQNXTDZ($A$1,$B92,BS$5,$B$1)</f>
        <v>0</v>
      </c>
      <c r="BT92" s="55">
        <f>_xll.EQNXTDZ($A$1,$B92,BT$5,$B$1)</f>
        <v>0</v>
      </c>
      <c r="BU92" s="55">
        <f>_xll.EQNXTDZ($A$1,$B92,BU$5,$B$1)</f>
        <v>0</v>
      </c>
      <c r="BV92" s="55">
        <f>_xll.EQNXTDZ($A$1,$B92,BV$5,$B$1)</f>
        <v>0</v>
      </c>
    </row>
    <row r="93" spans="1:74" x14ac:dyDescent="0.25">
      <c r="A93" t="s">
        <v>164</v>
      </c>
      <c r="B93" t="s">
        <v>409</v>
      </c>
      <c r="C93" s="55">
        <f>_xll.EQNXTDZ($A$1,$B93,C$5,$B$1)</f>
        <v>0</v>
      </c>
      <c r="D93" s="55">
        <f>_xll.EQNXTDZ($A$1,$B93,D$5,$B$1)</f>
        <v>405.47399999999999</v>
      </c>
      <c r="E93" s="55">
        <f>_xll.EQNXTDZ($A$1,$B93,E$5,$B$1)</f>
        <v>0</v>
      </c>
      <c r="F93" s="55">
        <f>_xll.EQNXTDZ($A$1,$B93,F$5,$B$1)</f>
        <v>308.62299999999999</v>
      </c>
      <c r="G93" s="55">
        <f>_xll.EQNXTDZ($A$1,$B93,G$5,$B$1)</f>
        <v>0</v>
      </c>
      <c r="H93" s="55">
        <f>_xll.EQNXTDZ($A$1,$B93,H$5,$B$1)</f>
        <v>362.43200000000002</v>
      </c>
      <c r="I93" s="55">
        <f>_xll.EQNXTDZ($A$1,$B93,I$5,$B$1)</f>
        <v>0</v>
      </c>
      <c r="J93" s="55">
        <f>_xll.EQNXTDZ($A$1,$B93,J$5,$B$1)</f>
        <v>182.22300000000001</v>
      </c>
      <c r="K93" s="55">
        <f>_xll.EQNXTDZ($A$1,$B93,K$5,$B$1)</f>
        <v>0</v>
      </c>
      <c r="L93" s="55">
        <f>_xll.EQNXTDZ($A$1,$B93,L$5,$B$1)</f>
        <v>432.65199999999999</v>
      </c>
      <c r="M93" s="55">
        <f>_xll.EQNXTDZ($A$1,$B93,M$5,$B$1)</f>
        <v>0</v>
      </c>
      <c r="N93" s="55">
        <f>_xll.EQNXTDZ($A$1,$B93,N$5,$B$1)</f>
        <v>81.677999999999997</v>
      </c>
      <c r="O93" s="55">
        <f>_xll.EQNXTDZ($A$1,$B93,O$5,$B$1)</f>
        <v>0</v>
      </c>
      <c r="P93" s="55">
        <f>_xll.EQNXTDZ($A$1,$B93,P$5,$B$1)</f>
        <v>122.491</v>
      </c>
      <c r="Q93" s="55">
        <f>_xll.EQNXTDZ($A$1,$B93,Q$5,$B$1)</f>
        <v>0</v>
      </c>
      <c r="R93" s="55">
        <f>_xll.EQNXTDZ($A$1,$B93,R$5,$B$1)</f>
        <v>70.951999999999998</v>
      </c>
      <c r="S93" s="55">
        <f>_xll.EQNXTDZ($A$1,$B93,S$5,$B$1)</f>
        <v>0</v>
      </c>
      <c r="T93" s="55">
        <f>_xll.EQNXTDZ($A$1,$B93,T$5,$B$1)</f>
        <v>98.692999999999998</v>
      </c>
      <c r="U93" s="55">
        <f>_xll.EQNXTDZ($A$1,$B93,U$5,$B$1)</f>
        <v>0</v>
      </c>
      <c r="V93" s="55">
        <f>_xll.EQNXTDZ($A$1,$B93,V$5,$B$1)</f>
        <v>90.643000000000001</v>
      </c>
      <c r="W93" s="55">
        <f>_xll.EQNXTDZ($A$1,$B93,W$5,$B$1)</f>
        <v>0</v>
      </c>
      <c r="X93" s="55">
        <f>_xll.EQNXTDZ($A$1,$B93,X$5,$B$1)</f>
        <v>89.846999999999994</v>
      </c>
      <c r="Y93" s="55">
        <f>_xll.EQNXTDZ($A$1,$B93,Y$5,$B$1)</f>
        <v>0</v>
      </c>
      <c r="Z93" s="55">
        <f>_xll.EQNXTDZ($A$1,$B93,Z$5,$B$1)</f>
        <v>94.296999999999997</v>
      </c>
      <c r="AA93" s="55">
        <f>_xll.EQNXTDZ($A$1,$B93,AA$5,$B$1)</f>
        <v>0</v>
      </c>
      <c r="AB93" s="55">
        <f>_xll.EQNXTDZ($A$1,$B93,AB$5,$B$1)</f>
        <v>103.636</v>
      </c>
      <c r="AC93" s="55">
        <f>_xll.EQNXTDZ($A$1,$B93,AC$5,$B$1)</f>
        <v>0</v>
      </c>
      <c r="AD93" s="55">
        <f>_xll.EQNXTDZ($A$1,$B93,AD$5,$B$1)</f>
        <v>89.983999999999995</v>
      </c>
      <c r="AE93" s="55">
        <f>_xll.EQNXTDZ($A$1,$B93,AE$5,$B$1)</f>
        <v>0</v>
      </c>
      <c r="AF93" s="55">
        <f>_xll.EQNXTDZ($A$1,$B93,AF$5,$B$1)</f>
        <v>122.568</v>
      </c>
      <c r="AG93" s="55">
        <f>_xll.EQNXTDZ($A$1,$B93,AG$5,$B$1)</f>
        <v>0</v>
      </c>
      <c r="AH93" s="55">
        <f>_xll.EQNXTDZ($A$1,$B93,AH$5,$B$1)</f>
        <v>132.84399999999999</v>
      </c>
      <c r="AI93" s="55">
        <f>_xll.EQNXTDZ($A$1,$B93,AI$5,$B$1)</f>
        <v>0</v>
      </c>
      <c r="AJ93" s="55">
        <f>_xll.EQNXTDZ($A$1,$B93,AJ$5,$B$1)</f>
        <v>133.108</v>
      </c>
      <c r="AK93" s="55">
        <f>_xll.EQNXTDZ($A$1,$B93,AK$5,$B$1)</f>
        <v>0</v>
      </c>
      <c r="AL93" s="55">
        <f>_xll.EQNXTDZ($A$1,$B93,AL$5,$B$1)</f>
        <v>156.435</v>
      </c>
      <c r="AM93" s="55">
        <f>_xll.EQNXTDZ($A$1,$B93,AM$5,$B$1)</f>
        <v>0</v>
      </c>
      <c r="AN93" s="55">
        <f>_xll.EQNXTDZ($A$1,$B93,AN$5,$B$1)</f>
        <v>84.908000000000001</v>
      </c>
      <c r="AO93" s="55">
        <f>_xll.EQNXTDZ($A$1,$B93,AO$5,$B$1)</f>
        <v>0</v>
      </c>
      <c r="AP93" s="55">
        <f>_xll.EQNXTDZ($A$1,$B93,AP$5,$B$1)</f>
        <v>118.2</v>
      </c>
      <c r="AQ93" s="55">
        <f>_xll.EQNXTDZ($A$1,$B93,AQ$5,$B$1)</f>
        <v>0</v>
      </c>
      <c r="AR93" s="55">
        <f>_xll.EQNXTDZ($A$1,$B93,AR$5,$B$1)</f>
        <v>1068.8399999999999</v>
      </c>
      <c r="AS93" s="55">
        <f>_xll.EQNXTDZ($A$1,$B93,AS$5,$B$1)</f>
        <v>0</v>
      </c>
      <c r="AT93" s="55">
        <f>_xll.EQNXTDZ($A$1,$B93,AT$5,$B$1)</f>
        <v>472.33</v>
      </c>
      <c r="AU93" s="55">
        <f>_xll.EQNXTDZ($A$1,$B93,AU$5,$B$1)</f>
        <v>0</v>
      </c>
      <c r="AV93" s="55">
        <f>_xll.EQNXTDZ($A$1,$B93,AV$5,$B$1)</f>
        <v>646.65</v>
      </c>
      <c r="AW93" s="55">
        <f>_xll.EQNXTDZ($A$1,$B93,AW$5,$B$1)</f>
        <v>0</v>
      </c>
      <c r="AX93" s="55">
        <f>_xll.EQNXTDZ($A$1,$B93,AX$5,$B$1)</f>
        <v>985.94</v>
      </c>
      <c r="AY93" s="55">
        <f>_xll.EQNXTDZ($A$1,$B93,AY$5,$B$1)</f>
        <v>0</v>
      </c>
      <c r="AZ93" s="55">
        <f>_xll.EQNXTDZ($A$1,$B93,AZ$5,$B$1)</f>
        <v>1257.94</v>
      </c>
      <c r="BA93" s="55">
        <f>_xll.EQNXTDZ($A$1,$B93,BA$5,$B$1)</f>
        <v>0</v>
      </c>
      <c r="BB93" s="55">
        <f>_xll.EQNXTDZ($A$1,$B93,BB$5,$B$1)</f>
        <v>1556.45</v>
      </c>
      <c r="BC93" s="55">
        <f>_xll.EQNXTDZ($A$1,$B93,BC$5,$B$1)</f>
        <v>0</v>
      </c>
      <c r="BD93" s="55">
        <f>_xll.EQNXTDZ($A$1,$B93,BD$5,$B$1)</f>
        <v>6138.47</v>
      </c>
      <c r="BE93" s="55">
        <f>_xll.EQNXTDZ($A$1,$B93,BE$5,$B$1)</f>
        <v>0</v>
      </c>
      <c r="BF93" s="55">
        <f>_xll.EQNXTDZ($A$1,$B93,BF$5,$B$1)</f>
        <v>12097.96</v>
      </c>
      <c r="BG93" s="55">
        <f>_xll.EQNXTDZ($A$1,$B93,BG$5,$B$1)</f>
        <v>0</v>
      </c>
      <c r="BH93" s="55">
        <f>_xll.EQNXTDZ($A$1,$B93,BH$5,$B$1)</f>
        <v>0</v>
      </c>
      <c r="BI93" s="55">
        <f>_xll.EQNXTDZ($A$1,$B93,BI$5,$B$1)</f>
        <v>0</v>
      </c>
      <c r="BJ93" s="55">
        <f>_xll.EQNXTDZ($A$1,$B93,BJ$5,$B$1)</f>
        <v>0</v>
      </c>
      <c r="BK93" s="55">
        <f>_xll.EQNXTDZ($A$1,$B93,BK$5,$B$1)</f>
        <v>0</v>
      </c>
      <c r="BL93" s="55">
        <f>_xll.EQNXTDZ($A$1,$B93,BL$5,$B$1)</f>
        <v>0</v>
      </c>
      <c r="BM93" s="55">
        <f>_xll.EQNXTDZ($A$1,$B93,BM$5,$B$1)</f>
        <v>0</v>
      </c>
      <c r="BN93" s="55">
        <f>_xll.EQNXTDZ($A$1,$B93,BN$5,$B$1)</f>
        <v>0</v>
      </c>
      <c r="BO93" s="55">
        <f>_xll.EQNXTDZ($A$1,$B93,BO$5,$B$1)</f>
        <v>0</v>
      </c>
      <c r="BP93" s="55">
        <f>_xll.EQNXTDZ($A$1,$B93,BP$5,$B$1)</f>
        <v>0</v>
      </c>
      <c r="BQ93" s="55">
        <f>_xll.EQNXTDZ($A$1,$B93,BQ$5,$B$1)</f>
        <v>0</v>
      </c>
      <c r="BR93" s="55">
        <f>_xll.EQNXTDZ($A$1,$B93,BR$5,$B$1)</f>
        <v>0</v>
      </c>
      <c r="BS93" s="55">
        <f>_xll.EQNXTDZ($A$1,$B93,BS$5,$B$1)</f>
        <v>0</v>
      </c>
      <c r="BT93" s="55">
        <f>_xll.EQNXTDZ($A$1,$B93,BT$5,$B$1)</f>
        <v>0</v>
      </c>
      <c r="BU93" s="55">
        <f>_xll.EQNXTDZ($A$1,$B93,BU$5,$B$1)</f>
        <v>0</v>
      </c>
      <c r="BV93" s="55">
        <f>_xll.EQNXTDZ($A$1,$B93,BV$5,$B$1)</f>
        <v>0</v>
      </c>
    </row>
    <row r="94" spans="1:74" x14ac:dyDescent="0.25">
      <c r="A94" t="s">
        <v>370</v>
      </c>
      <c r="B94" t="s">
        <v>410</v>
      </c>
      <c r="C94" s="55">
        <f>_xll.EQNXTDZ($A$1,$B94,C$5,$B$1)</f>
        <v>0</v>
      </c>
      <c r="D94" s="55">
        <f>_xll.EQNXTDZ($A$1,$B94,D$5,$B$1)</f>
        <v>-193.96100000000001</v>
      </c>
      <c r="E94" s="55">
        <f>_xll.EQNXTDZ($A$1,$B94,E$5,$B$1)</f>
        <v>0</v>
      </c>
      <c r="F94" s="55">
        <f>_xll.EQNXTDZ($A$1,$B94,F$5,$B$1)</f>
        <v>-190.40299999999999</v>
      </c>
      <c r="G94" s="55">
        <f>_xll.EQNXTDZ($A$1,$B94,G$5,$B$1)</f>
        <v>0</v>
      </c>
      <c r="H94" s="55">
        <f>_xll.EQNXTDZ($A$1,$B94,H$5,$B$1)</f>
        <v>-207.16900000000001</v>
      </c>
      <c r="I94" s="55">
        <f>_xll.EQNXTDZ($A$1,$B94,I$5,$B$1)</f>
        <v>0</v>
      </c>
      <c r="J94" s="55">
        <f>_xll.EQNXTDZ($A$1,$B94,J$5,$B$1)</f>
        <v>-57.856999999999999</v>
      </c>
      <c r="K94" s="55">
        <f>_xll.EQNXTDZ($A$1,$B94,K$5,$B$1)</f>
        <v>0</v>
      </c>
      <c r="L94" s="55">
        <f>_xll.EQNXTDZ($A$1,$B94,L$5,$B$1)</f>
        <v>-234.10599999999999</v>
      </c>
      <c r="M94" s="55">
        <f>_xll.EQNXTDZ($A$1,$B94,M$5,$B$1)</f>
        <v>0</v>
      </c>
      <c r="N94" s="55">
        <f>_xll.EQNXTDZ($A$1,$B94,N$5,$B$1)</f>
        <v>32.384999999999998</v>
      </c>
      <c r="O94" s="55">
        <f>_xll.EQNXTDZ($A$1,$B94,O$5,$B$1)</f>
        <v>0</v>
      </c>
      <c r="P94" s="55">
        <f>_xll.EQNXTDZ($A$1,$B94,P$5,$B$1)</f>
        <v>24.716999999999999</v>
      </c>
      <c r="Q94" s="55">
        <f>_xll.EQNXTDZ($A$1,$B94,Q$5,$B$1)</f>
        <v>0</v>
      </c>
      <c r="R94" s="55">
        <f>_xll.EQNXTDZ($A$1,$B94,R$5,$B$1)</f>
        <v>53.451000000000001</v>
      </c>
      <c r="S94" s="55">
        <f>_xll.EQNXTDZ($A$1,$B94,S$5,$B$1)</f>
        <v>0</v>
      </c>
      <c r="T94" s="55">
        <f>_xll.EQNXTDZ($A$1,$B94,T$5,$B$1)</f>
        <v>61.734000000000002</v>
      </c>
      <c r="U94" s="55">
        <f>_xll.EQNXTDZ($A$1,$B94,U$5,$B$1)</f>
        <v>0</v>
      </c>
      <c r="V94" s="55">
        <f>_xll.EQNXTDZ($A$1,$B94,V$5,$B$1)</f>
        <v>44.741999999999997</v>
      </c>
      <c r="W94" s="55">
        <f>_xll.EQNXTDZ($A$1,$B94,W$5,$B$1)</f>
        <v>0</v>
      </c>
      <c r="X94" s="55">
        <f>_xll.EQNXTDZ($A$1,$B94,X$5,$B$1)</f>
        <v>41.813000000000002</v>
      </c>
      <c r="Y94" s="55">
        <f>_xll.EQNXTDZ($A$1,$B94,Y$5,$B$1)</f>
        <v>0</v>
      </c>
      <c r="Z94" s="55">
        <f>_xll.EQNXTDZ($A$1,$B94,Z$5,$B$1)</f>
        <v>51.945999999999998</v>
      </c>
      <c r="AA94" s="55">
        <f>_xll.EQNXTDZ($A$1,$B94,AA$5,$B$1)</f>
        <v>0</v>
      </c>
      <c r="AB94" s="55">
        <f>_xll.EQNXTDZ($A$1,$B94,AB$5,$B$1)</f>
        <v>63.884999999999998</v>
      </c>
      <c r="AC94" s="55">
        <f>_xll.EQNXTDZ($A$1,$B94,AC$5,$B$1)</f>
        <v>0</v>
      </c>
      <c r="AD94" s="55">
        <f>_xll.EQNXTDZ($A$1,$B94,AD$5,$B$1)</f>
        <v>105.773</v>
      </c>
      <c r="AE94" s="55">
        <f>_xll.EQNXTDZ($A$1,$B94,AE$5,$B$1)</f>
        <v>0</v>
      </c>
      <c r="AF94" s="55">
        <f>_xll.EQNXTDZ($A$1,$B94,AF$5,$B$1)</f>
        <v>63.183</v>
      </c>
      <c r="AG94" s="55">
        <f>_xll.EQNXTDZ($A$1,$B94,AG$5,$B$1)</f>
        <v>0</v>
      </c>
      <c r="AH94" s="55">
        <f>_xll.EQNXTDZ($A$1,$B94,AH$5,$B$1)</f>
        <v>73.454999999999998</v>
      </c>
      <c r="AI94" s="55">
        <f>_xll.EQNXTDZ($A$1,$B94,AI$5,$B$1)</f>
        <v>0</v>
      </c>
      <c r="AJ94" s="55">
        <f>_xll.EQNXTDZ($A$1,$B94,AJ$5,$B$1)</f>
        <v>86.061000000000007</v>
      </c>
      <c r="AK94" s="55">
        <f>_xll.EQNXTDZ($A$1,$B94,AK$5,$B$1)</f>
        <v>0</v>
      </c>
      <c r="AL94" s="55">
        <f>_xll.EQNXTDZ($A$1,$B94,AL$5,$B$1)</f>
        <v>97.838999999999999</v>
      </c>
      <c r="AM94" s="55">
        <f>_xll.EQNXTDZ($A$1,$B94,AM$5,$B$1)</f>
        <v>0</v>
      </c>
      <c r="AN94" s="55">
        <f>_xll.EQNXTDZ($A$1,$B94,AN$5,$B$1)</f>
        <v>188.47300000000001</v>
      </c>
      <c r="AO94" s="55">
        <f>_xll.EQNXTDZ($A$1,$B94,AO$5,$B$1)</f>
        <v>0</v>
      </c>
      <c r="AP94" s="55">
        <f>_xll.EQNXTDZ($A$1,$B94,AP$5,$B$1)</f>
        <v>190.74</v>
      </c>
      <c r="AQ94" s="55">
        <f>_xll.EQNXTDZ($A$1,$B94,AQ$5,$B$1)</f>
        <v>0</v>
      </c>
      <c r="AR94" s="55">
        <f>_xll.EQNXTDZ($A$1,$B94,AR$5,$B$1)</f>
        <v>-462.85</v>
      </c>
      <c r="AS94" s="55">
        <f>_xll.EQNXTDZ($A$1,$B94,AS$5,$B$1)</f>
        <v>0</v>
      </c>
      <c r="AT94" s="55">
        <f>_xll.EQNXTDZ($A$1,$B94,AT$5,$B$1)</f>
        <v>449.66</v>
      </c>
      <c r="AU94" s="55">
        <f>_xll.EQNXTDZ($A$1,$B94,AU$5,$B$1)</f>
        <v>0</v>
      </c>
      <c r="AV94" s="55">
        <f>_xll.EQNXTDZ($A$1,$B94,AV$5,$B$1)</f>
        <v>625.04</v>
      </c>
      <c r="AW94" s="55">
        <f>_xll.EQNXTDZ($A$1,$B94,AW$5,$B$1)</f>
        <v>0</v>
      </c>
      <c r="AX94" s="55">
        <f>_xll.EQNXTDZ($A$1,$B94,AX$5,$B$1)</f>
        <v>141.47999999999999</v>
      </c>
      <c r="AY94" s="55">
        <f>_xll.EQNXTDZ($A$1,$B94,AY$5,$B$1)</f>
        <v>0</v>
      </c>
      <c r="AZ94" s="55">
        <f>_xll.EQNXTDZ($A$1,$B94,AZ$5,$B$1)</f>
        <v>1212.8499999999999</v>
      </c>
      <c r="BA94" s="55">
        <f>_xll.EQNXTDZ($A$1,$B94,BA$5,$B$1)</f>
        <v>0</v>
      </c>
      <c r="BB94" s="55">
        <f>_xll.EQNXTDZ($A$1,$B94,BB$5,$B$1)</f>
        <v>790.48999999999899</v>
      </c>
      <c r="BC94" s="55">
        <f>_xll.EQNXTDZ($A$1,$B94,BC$5,$B$1)</f>
        <v>0</v>
      </c>
      <c r="BD94" s="55">
        <f>_xll.EQNXTDZ($A$1,$B94,BD$5,$B$1)</f>
        <v>189.490000000001</v>
      </c>
      <c r="BE94" s="55">
        <f>_xll.EQNXTDZ($A$1,$B94,BE$5,$B$1)</f>
        <v>0</v>
      </c>
      <c r="BF94" s="55">
        <f>_xll.EQNXTDZ($A$1,$B94,BF$5,$B$1)</f>
        <v>-2274.06</v>
      </c>
      <c r="BG94" s="55">
        <f>_xll.EQNXTDZ($A$1,$B94,BG$5,$B$1)</f>
        <v>0</v>
      </c>
      <c r="BH94" s="55">
        <f>_xll.EQNXTDZ($A$1,$B94,BH$5,$B$1)</f>
        <v>0</v>
      </c>
      <c r="BI94" s="55">
        <f>_xll.EQNXTDZ($A$1,$B94,BI$5,$B$1)</f>
        <v>0</v>
      </c>
      <c r="BJ94" s="55">
        <f>_xll.EQNXTDZ($A$1,$B94,BJ$5,$B$1)</f>
        <v>0</v>
      </c>
      <c r="BK94" s="55">
        <f>_xll.EQNXTDZ($A$1,$B94,BK$5,$B$1)</f>
        <v>0</v>
      </c>
      <c r="BL94" s="55">
        <f>_xll.EQNXTDZ($A$1,$B94,BL$5,$B$1)</f>
        <v>0</v>
      </c>
      <c r="BM94" s="55">
        <f>_xll.EQNXTDZ($A$1,$B94,BM$5,$B$1)</f>
        <v>0</v>
      </c>
      <c r="BN94" s="55">
        <f>_xll.EQNXTDZ($A$1,$B94,BN$5,$B$1)</f>
        <v>0</v>
      </c>
      <c r="BO94" s="55">
        <f>_xll.EQNXTDZ($A$1,$B94,BO$5,$B$1)</f>
        <v>0</v>
      </c>
      <c r="BP94" s="55">
        <f>_xll.EQNXTDZ($A$1,$B94,BP$5,$B$1)</f>
        <v>0</v>
      </c>
      <c r="BQ94" s="55">
        <f>_xll.EQNXTDZ($A$1,$B94,BQ$5,$B$1)</f>
        <v>0</v>
      </c>
      <c r="BR94" s="55">
        <f>_xll.EQNXTDZ($A$1,$B94,BR$5,$B$1)</f>
        <v>0</v>
      </c>
      <c r="BS94" s="55">
        <f>_xll.EQNXTDZ($A$1,$B94,BS$5,$B$1)</f>
        <v>0</v>
      </c>
      <c r="BT94" s="55">
        <f>_xll.EQNXTDZ($A$1,$B94,BT$5,$B$1)</f>
        <v>0</v>
      </c>
      <c r="BU94" s="55">
        <f>_xll.EQNXTDZ($A$1,$B94,BU$5,$B$1)</f>
        <v>0</v>
      </c>
      <c r="BV94" s="55">
        <f>_xll.EQNXTDZ($A$1,$B94,BV$5,$B$1)</f>
        <v>0</v>
      </c>
    </row>
    <row r="95" spans="1:74" x14ac:dyDescent="0.25">
      <c r="A95" t="s">
        <v>79</v>
      </c>
      <c r="B95" t="s">
        <v>411</v>
      </c>
      <c r="C95" s="55">
        <f>_xll.EQNXTDZ($A$1,$B95,C$5,$B$1)</f>
        <v>0</v>
      </c>
      <c r="D95" s="55">
        <f>_xll.EQNXTDZ($A$1,$B95,D$5,$B$1)</f>
        <v>0</v>
      </c>
      <c r="E95" s="55">
        <f>_xll.EQNXTDZ($A$1,$B95,E$5,$B$1)</f>
        <v>0</v>
      </c>
      <c r="F95" s="55">
        <f>_xll.EQNXTDZ($A$1,$B95,F$5,$B$1)</f>
        <v>0</v>
      </c>
      <c r="G95" s="55">
        <f>_xll.EQNXTDZ($A$1,$B95,G$5,$B$1)</f>
        <v>0</v>
      </c>
      <c r="H95" s="55">
        <f>_xll.EQNXTDZ($A$1,$B95,H$5,$B$1)</f>
        <v>0</v>
      </c>
      <c r="I95" s="55">
        <f>_xll.EQNXTDZ($A$1,$B95,I$5,$B$1)</f>
        <v>0</v>
      </c>
      <c r="J95" s="55">
        <f>_xll.EQNXTDZ($A$1,$B95,J$5,$B$1)</f>
        <v>0</v>
      </c>
      <c r="K95" s="55">
        <f>_xll.EQNXTDZ($A$1,$B95,K$5,$B$1)</f>
        <v>0</v>
      </c>
      <c r="L95" s="55">
        <f>_xll.EQNXTDZ($A$1,$B95,L$5,$B$1)</f>
        <v>0</v>
      </c>
      <c r="M95" s="55">
        <f>_xll.EQNXTDZ($A$1,$B95,M$5,$B$1)</f>
        <v>0</v>
      </c>
      <c r="N95" s="55">
        <f>_xll.EQNXTDZ($A$1,$B95,N$5,$B$1)</f>
        <v>0</v>
      </c>
      <c r="O95" s="55">
        <f>_xll.EQNXTDZ($A$1,$B95,O$5,$B$1)</f>
        <v>0</v>
      </c>
      <c r="P95" s="55">
        <f>_xll.EQNXTDZ($A$1,$B95,P$5,$B$1)</f>
        <v>0</v>
      </c>
      <c r="Q95" s="55">
        <f>_xll.EQNXTDZ($A$1,$B95,Q$5,$B$1)</f>
        <v>0</v>
      </c>
      <c r="R95" s="55">
        <f>_xll.EQNXTDZ($A$1,$B95,R$5,$B$1)</f>
        <v>0</v>
      </c>
      <c r="S95" s="55">
        <f>_xll.EQNXTDZ($A$1,$B95,S$5,$B$1)</f>
        <v>0</v>
      </c>
      <c r="T95" s="55">
        <f>_xll.EQNXTDZ($A$1,$B95,T$5,$B$1)</f>
        <v>0</v>
      </c>
      <c r="U95" s="55">
        <f>_xll.EQNXTDZ($A$1,$B95,U$5,$B$1)</f>
        <v>0</v>
      </c>
      <c r="V95" s="55">
        <f>_xll.EQNXTDZ($A$1,$B95,V$5,$B$1)</f>
        <v>0</v>
      </c>
      <c r="W95" s="55">
        <f>_xll.EQNXTDZ($A$1,$B95,W$5,$B$1)</f>
        <v>0</v>
      </c>
      <c r="X95" s="55">
        <f>_xll.EQNXTDZ($A$1,$B95,X$5,$B$1)</f>
        <v>0</v>
      </c>
      <c r="Y95" s="55">
        <f>_xll.EQNXTDZ($A$1,$B95,Y$5,$B$1)</f>
        <v>0</v>
      </c>
      <c r="Z95" s="55">
        <f>_xll.EQNXTDZ($A$1,$B95,Z$5,$B$1)</f>
        <v>0</v>
      </c>
      <c r="AA95" s="55">
        <f>_xll.EQNXTDZ($A$1,$B95,AA$5,$B$1)</f>
        <v>0</v>
      </c>
      <c r="AB95" s="55">
        <f>_xll.EQNXTDZ($A$1,$B95,AB$5,$B$1)</f>
        <v>0</v>
      </c>
      <c r="AC95" s="55">
        <f>_xll.EQNXTDZ($A$1,$B95,AC$5,$B$1)</f>
        <v>0</v>
      </c>
      <c r="AD95" s="55">
        <f>_xll.EQNXTDZ($A$1,$B95,AD$5,$B$1)</f>
        <v>0</v>
      </c>
      <c r="AE95" s="55">
        <f>_xll.EQNXTDZ($A$1,$B95,AE$5,$B$1)</f>
        <v>0</v>
      </c>
      <c r="AF95" s="55">
        <f>_xll.EQNXTDZ($A$1,$B95,AF$5,$B$1)</f>
        <v>0</v>
      </c>
      <c r="AG95" s="55">
        <f>_xll.EQNXTDZ($A$1,$B95,AG$5,$B$1)</f>
        <v>0</v>
      </c>
      <c r="AH95" s="55">
        <f>_xll.EQNXTDZ($A$1,$B95,AH$5,$B$1)</f>
        <v>0</v>
      </c>
      <c r="AI95" s="55">
        <f>_xll.EQNXTDZ($A$1,$B95,AI$5,$B$1)</f>
        <v>0</v>
      </c>
      <c r="AJ95" s="55">
        <f>_xll.EQNXTDZ($A$1,$B95,AJ$5,$B$1)</f>
        <v>0</v>
      </c>
      <c r="AK95" s="55">
        <f>_xll.EQNXTDZ($A$1,$B95,AK$5,$B$1)</f>
        <v>0</v>
      </c>
      <c r="AL95" s="55">
        <f>_xll.EQNXTDZ($A$1,$B95,AL$5,$B$1)</f>
        <v>0</v>
      </c>
      <c r="AM95" s="55">
        <f>_xll.EQNXTDZ($A$1,$B95,AM$5,$B$1)</f>
        <v>0</v>
      </c>
      <c r="AN95" s="55">
        <f>_xll.EQNXTDZ($A$1,$B95,AN$5,$B$1)</f>
        <v>0</v>
      </c>
      <c r="AO95" s="55">
        <f>_xll.EQNXTDZ($A$1,$B95,AO$5,$B$1)</f>
        <v>0</v>
      </c>
      <c r="AP95" s="55">
        <f>_xll.EQNXTDZ($A$1,$B95,AP$5,$B$1)</f>
        <v>0</v>
      </c>
      <c r="AQ95" s="55">
        <f>_xll.EQNXTDZ($A$1,$B95,AQ$5,$B$1)</f>
        <v>0</v>
      </c>
      <c r="AR95" s="55">
        <f>_xll.EQNXTDZ($A$1,$B95,AR$5,$B$1)</f>
        <v>0</v>
      </c>
      <c r="AS95" s="55">
        <f>_xll.EQNXTDZ($A$1,$B95,AS$5,$B$1)</f>
        <v>0</v>
      </c>
      <c r="AT95" s="55">
        <f>_xll.EQNXTDZ($A$1,$B95,AT$5,$B$1)</f>
        <v>0</v>
      </c>
      <c r="AU95" s="55">
        <f>_xll.EQNXTDZ($A$1,$B95,AU$5,$B$1)</f>
        <v>0</v>
      </c>
      <c r="AV95" s="55">
        <f>_xll.EQNXTDZ($A$1,$B95,AV$5,$B$1)</f>
        <v>0</v>
      </c>
      <c r="AW95" s="55">
        <f>_xll.EQNXTDZ($A$1,$B95,AW$5,$B$1)</f>
        <v>0</v>
      </c>
      <c r="AX95" s="55">
        <f>_xll.EQNXTDZ($A$1,$B95,AX$5,$B$1)</f>
        <v>0</v>
      </c>
      <c r="AY95" s="55">
        <f>_xll.EQNXTDZ($A$1,$B95,AY$5,$B$1)</f>
        <v>0</v>
      </c>
      <c r="AZ95" s="55">
        <f>_xll.EQNXTDZ($A$1,$B95,AZ$5,$B$1)</f>
        <v>0</v>
      </c>
      <c r="BA95" s="55">
        <f>_xll.EQNXTDZ($A$1,$B95,BA$5,$B$1)</f>
        <v>0</v>
      </c>
      <c r="BB95" s="55">
        <f>_xll.EQNXTDZ($A$1,$B95,BB$5,$B$1)</f>
        <v>0</v>
      </c>
      <c r="BC95" s="55">
        <f>_xll.EQNXTDZ($A$1,$B95,BC$5,$B$1)</f>
        <v>0</v>
      </c>
      <c r="BD95" s="55">
        <f>_xll.EQNXTDZ($A$1,$B95,BD$5,$B$1)</f>
        <v>0</v>
      </c>
      <c r="BE95" s="55">
        <f>_xll.EQNXTDZ($A$1,$B95,BE$5,$B$1)</f>
        <v>0</v>
      </c>
      <c r="BF95" s="55">
        <f>_xll.EQNXTDZ($A$1,$B95,BF$5,$B$1)</f>
        <v>0</v>
      </c>
      <c r="BG95" s="55">
        <f>_xll.EQNXTDZ($A$1,$B95,BG$5,$B$1)</f>
        <v>0</v>
      </c>
      <c r="BH95" s="55">
        <f>_xll.EQNXTDZ($A$1,$B95,BH$5,$B$1)</f>
        <v>0</v>
      </c>
      <c r="BI95" s="55">
        <f>_xll.EQNXTDZ($A$1,$B95,BI$5,$B$1)</f>
        <v>0</v>
      </c>
      <c r="BJ95" s="55">
        <f>_xll.EQNXTDZ($A$1,$B95,BJ$5,$B$1)</f>
        <v>0</v>
      </c>
      <c r="BK95" s="55">
        <f>_xll.EQNXTDZ($A$1,$B95,BK$5,$B$1)</f>
        <v>0</v>
      </c>
      <c r="BL95" s="55">
        <f>_xll.EQNXTDZ($A$1,$B95,BL$5,$B$1)</f>
        <v>0</v>
      </c>
      <c r="BM95" s="55">
        <f>_xll.EQNXTDZ($A$1,$B95,BM$5,$B$1)</f>
        <v>0</v>
      </c>
      <c r="BN95" s="55">
        <f>_xll.EQNXTDZ($A$1,$B95,BN$5,$B$1)</f>
        <v>0</v>
      </c>
      <c r="BO95" s="55">
        <f>_xll.EQNXTDZ($A$1,$B95,BO$5,$B$1)</f>
        <v>0</v>
      </c>
      <c r="BP95" s="55">
        <f>_xll.EQNXTDZ($A$1,$B95,BP$5,$B$1)</f>
        <v>0</v>
      </c>
      <c r="BQ95" s="55">
        <f>_xll.EQNXTDZ($A$1,$B95,BQ$5,$B$1)</f>
        <v>0</v>
      </c>
      <c r="BR95" s="55">
        <f>_xll.EQNXTDZ($A$1,$B95,BR$5,$B$1)</f>
        <v>0</v>
      </c>
      <c r="BS95" s="55">
        <f>_xll.EQNXTDZ($A$1,$B95,BS$5,$B$1)</f>
        <v>0</v>
      </c>
      <c r="BT95" s="55">
        <f>_xll.EQNXTDZ($A$1,$B95,BT$5,$B$1)</f>
        <v>0</v>
      </c>
      <c r="BU95" s="55">
        <f>_xll.EQNXTDZ($A$1,$B95,BU$5,$B$1)</f>
        <v>0</v>
      </c>
      <c r="BV95" s="55">
        <f>_xll.EQNXTDZ($A$1,$B95,BV$5,$B$1)</f>
        <v>0</v>
      </c>
    </row>
    <row r="96" spans="1:74" x14ac:dyDescent="0.25">
      <c r="A96" t="s">
        <v>78</v>
      </c>
      <c r="B96" t="s">
        <v>412</v>
      </c>
      <c r="C96" s="55">
        <f>_xll.EQNXTDZ($A$1,$B96,C$5,$B$1)</f>
        <v>0</v>
      </c>
      <c r="D96" s="55">
        <f>_xll.EQNXTDZ($A$1,$B96,D$5,$B$1)</f>
        <v>0</v>
      </c>
      <c r="E96" s="55">
        <f>_xll.EQNXTDZ($A$1,$B96,E$5,$B$1)</f>
        <v>0</v>
      </c>
      <c r="F96" s="55">
        <f>_xll.EQNXTDZ($A$1,$B96,F$5,$B$1)</f>
        <v>0</v>
      </c>
      <c r="G96" s="55">
        <f>_xll.EQNXTDZ($A$1,$B96,G$5,$B$1)</f>
        <v>0</v>
      </c>
      <c r="H96" s="55">
        <f>_xll.EQNXTDZ($A$1,$B96,H$5,$B$1)</f>
        <v>0</v>
      </c>
      <c r="I96" s="55">
        <f>_xll.EQNXTDZ($A$1,$B96,I$5,$B$1)</f>
        <v>0</v>
      </c>
      <c r="J96" s="55">
        <f>_xll.EQNXTDZ($A$1,$B96,J$5,$B$1)</f>
        <v>0</v>
      </c>
      <c r="K96" s="55">
        <f>_xll.EQNXTDZ($A$1,$B96,K$5,$B$1)</f>
        <v>0</v>
      </c>
      <c r="L96" s="55">
        <f>_xll.EQNXTDZ($A$1,$B96,L$5,$B$1)</f>
        <v>0</v>
      </c>
      <c r="M96" s="55">
        <f>_xll.EQNXTDZ($A$1,$B96,M$5,$B$1)</f>
        <v>0</v>
      </c>
      <c r="N96" s="55">
        <f>_xll.EQNXTDZ($A$1,$B96,N$5,$B$1)</f>
        <v>0</v>
      </c>
      <c r="O96" s="55">
        <f>_xll.EQNXTDZ($A$1,$B96,O$5,$B$1)</f>
        <v>0</v>
      </c>
      <c r="P96" s="55">
        <f>_xll.EQNXTDZ($A$1,$B96,P$5,$B$1)</f>
        <v>0</v>
      </c>
      <c r="Q96" s="55">
        <f>_xll.EQNXTDZ($A$1,$B96,Q$5,$B$1)</f>
        <v>0</v>
      </c>
      <c r="R96" s="55">
        <f>_xll.EQNXTDZ($A$1,$B96,R$5,$B$1)</f>
        <v>0</v>
      </c>
      <c r="S96" s="55">
        <f>_xll.EQNXTDZ($A$1,$B96,S$5,$B$1)</f>
        <v>0</v>
      </c>
      <c r="T96" s="55">
        <f>_xll.EQNXTDZ($A$1,$B96,T$5,$B$1)</f>
        <v>0</v>
      </c>
      <c r="U96" s="55">
        <f>_xll.EQNXTDZ($A$1,$B96,U$5,$B$1)</f>
        <v>0</v>
      </c>
      <c r="V96" s="55">
        <f>_xll.EQNXTDZ($A$1,$B96,V$5,$B$1)</f>
        <v>0</v>
      </c>
      <c r="W96" s="55">
        <f>_xll.EQNXTDZ($A$1,$B96,W$5,$B$1)</f>
        <v>0</v>
      </c>
      <c r="X96" s="55">
        <f>_xll.EQNXTDZ($A$1,$B96,X$5,$B$1)</f>
        <v>0</v>
      </c>
      <c r="Y96" s="55">
        <f>_xll.EQNXTDZ($A$1,$B96,Y$5,$B$1)</f>
        <v>0</v>
      </c>
      <c r="Z96" s="55">
        <f>_xll.EQNXTDZ($A$1,$B96,Z$5,$B$1)</f>
        <v>0</v>
      </c>
      <c r="AA96" s="55">
        <f>_xll.EQNXTDZ($A$1,$B96,AA$5,$B$1)</f>
        <v>0</v>
      </c>
      <c r="AB96" s="55">
        <f>_xll.EQNXTDZ($A$1,$B96,AB$5,$B$1)</f>
        <v>0</v>
      </c>
      <c r="AC96" s="55">
        <f>_xll.EQNXTDZ($A$1,$B96,AC$5,$B$1)</f>
        <v>0</v>
      </c>
      <c r="AD96" s="55">
        <f>_xll.EQNXTDZ($A$1,$B96,AD$5,$B$1)</f>
        <v>0</v>
      </c>
      <c r="AE96" s="55">
        <f>_xll.EQNXTDZ($A$1,$B96,AE$5,$B$1)</f>
        <v>0</v>
      </c>
      <c r="AF96" s="55">
        <f>_xll.EQNXTDZ($A$1,$B96,AF$5,$B$1)</f>
        <v>0</v>
      </c>
      <c r="AG96" s="55">
        <f>_xll.EQNXTDZ($A$1,$B96,AG$5,$B$1)</f>
        <v>0</v>
      </c>
      <c r="AH96" s="55">
        <f>_xll.EQNXTDZ($A$1,$B96,AH$5,$B$1)</f>
        <v>18.733000000000001</v>
      </c>
      <c r="AI96" s="55">
        <f>_xll.EQNXTDZ($A$1,$B96,AI$5,$B$1)</f>
        <v>0</v>
      </c>
      <c r="AJ96" s="55">
        <f>_xll.EQNXTDZ($A$1,$B96,AJ$5,$B$1)</f>
        <v>18.733000000000001</v>
      </c>
      <c r="AK96" s="55">
        <f>_xll.EQNXTDZ($A$1,$B96,AK$5,$B$1)</f>
        <v>0</v>
      </c>
      <c r="AL96" s="55">
        <f>_xll.EQNXTDZ($A$1,$B96,AL$5,$B$1)</f>
        <v>18.733000000000001</v>
      </c>
      <c r="AM96" s="55">
        <f>_xll.EQNXTDZ($A$1,$B96,AM$5,$B$1)</f>
        <v>0</v>
      </c>
      <c r="AN96" s="55">
        <f>_xll.EQNXTDZ($A$1,$B96,AN$5,$B$1)</f>
        <v>18.733000000000001</v>
      </c>
      <c r="AO96" s="55">
        <f>_xll.EQNXTDZ($A$1,$B96,AO$5,$B$1)</f>
        <v>0</v>
      </c>
      <c r="AP96" s="55">
        <f>_xll.EQNXTDZ($A$1,$B96,AP$5,$B$1)</f>
        <v>28.24</v>
      </c>
      <c r="AQ96" s="55">
        <f>_xll.EQNXTDZ($A$1,$B96,AQ$5,$B$1)</f>
        <v>0</v>
      </c>
      <c r="AR96" s="55">
        <f>_xll.EQNXTDZ($A$1,$B96,AR$5,$B$1)</f>
        <v>28.24</v>
      </c>
      <c r="AS96" s="55">
        <f>_xll.EQNXTDZ($A$1,$B96,AS$5,$B$1)</f>
        <v>0</v>
      </c>
      <c r="AT96" s="55">
        <f>_xll.EQNXTDZ($A$1,$B96,AT$5,$B$1)</f>
        <v>137.38</v>
      </c>
      <c r="AU96" s="55">
        <f>_xll.EQNXTDZ($A$1,$B96,AU$5,$B$1)</f>
        <v>0</v>
      </c>
      <c r="AV96" s="55">
        <f>_xll.EQNXTDZ($A$1,$B96,AV$5,$B$1)</f>
        <v>-62.81</v>
      </c>
      <c r="AW96" s="55">
        <f>_xll.EQNXTDZ($A$1,$B96,AW$5,$B$1)</f>
        <v>0</v>
      </c>
      <c r="AX96" s="55">
        <f>_xll.EQNXTDZ($A$1,$B96,AX$5,$B$1)</f>
        <v>-86.36</v>
      </c>
      <c r="AY96" s="55">
        <f>_xll.EQNXTDZ($A$1,$B96,AY$5,$B$1)</f>
        <v>0</v>
      </c>
      <c r="AZ96" s="55">
        <f>_xll.EQNXTDZ($A$1,$B96,AZ$5,$B$1)</f>
        <v>-97.95</v>
      </c>
      <c r="BA96" s="55">
        <f>_xll.EQNXTDZ($A$1,$B96,BA$5,$B$1)</f>
        <v>0</v>
      </c>
      <c r="BB96" s="55">
        <f>_xll.EQNXTDZ($A$1,$B96,BB$5,$B$1)</f>
        <v>-75.52</v>
      </c>
      <c r="BC96" s="55">
        <f>_xll.EQNXTDZ($A$1,$B96,BC$5,$B$1)</f>
        <v>0</v>
      </c>
      <c r="BD96" s="55">
        <f>_xll.EQNXTDZ($A$1,$B96,BD$5,$B$1)</f>
        <v>-57.72</v>
      </c>
      <c r="BE96" s="55">
        <f>_xll.EQNXTDZ($A$1,$B96,BE$5,$B$1)</f>
        <v>0</v>
      </c>
      <c r="BF96" s="55">
        <f>_xll.EQNXTDZ($A$1,$B96,BF$5,$B$1)</f>
        <v>-201.65</v>
      </c>
      <c r="BG96" s="55">
        <f>_xll.EQNXTDZ($A$1,$B96,BG$5,$B$1)</f>
        <v>0</v>
      </c>
      <c r="BH96" s="55">
        <f>_xll.EQNXTDZ($A$1,$B96,BH$5,$B$1)</f>
        <v>0</v>
      </c>
      <c r="BI96" s="55">
        <f>_xll.EQNXTDZ($A$1,$B96,BI$5,$B$1)</f>
        <v>0</v>
      </c>
      <c r="BJ96" s="55">
        <f>_xll.EQNXTDZ($A$1,$B96,BJ$5,$B$1)</f>
        <v>0</v>
      </c>
      <c r="BK96" s="55">
        <f>_xll.EQNXTDZ($A$1,$B96,BK$5,$B$1)</f>
        <v>0</v>
      </c>
      <c r="BL96" s="55">
        <f>_xll.EQNXTDZ($A$1,$B96,BL$5,$B$1)</f>
        <v>0</v>
      </c>
      <c r="BM96" s="55">
        <f>_xll.EQNXTDZ($A$1,$B96,BM$5,$B$1)</f>
        <v>0</v>
      </c>
      <c r="BN96" s="55">
        <f>_xll.EQNXTDZ($A$1,$B96,BN$5,$B$1)</f>
        <v>0</v>
      </c>
      <c r="BO96" s="55">
        <f>_xll.EQNXTDZ($A$1,$B96,BO$5,$B$1)</f>
        <v>0</v>
      </c>
      <c r="BP96" s="55">
        <f>_xll.EQNXTDZ($A$1,$B96,BP$5,$B$1)</f>
        <v>0</v>
      </c>
      <c r="BQ96" s="55">
        <f>_xll.EQNXTDZ($A$1,$B96,BQ$5,$B$1)</f>
        <v>0</v>
      </c>
      <c r="BR96" s="55">
        <f>_xll.EQNXTDZ($A$1,$B96,BR$5,$B$1)</f>
        <v>0</v>
      </c>
      <c r="BS96" s="55">
        <f>_xll.EQNXTDZ($A$1,$B96,BS$5,$B$1)</f>
        <v>0</v>
      </c>
      <c r="BT96" s="55">
        <f>_xll.EQNXTDZ($A$1,$B96,BT$5,$B$1)</f>
        <v>0</v>
      </c>
      <c r="BU96" s="55">
        <f>_xll.EQNXTDZ($A$1,$B96,BU$5,$B$1)</f>
        <v>0</v>
      </c>
      <c r="BV96" s="55">
        <f>_xll.EQNXTDZ($A$1,$B96,BV$5,$B$1)</f>
        <v>0</v>
      </c>
    </row>
    <row r="97" spans="1:74" x14ac:dyDescent="0.25">
      <c r="A97" t="s">
        <v>174</v>
      </c>
      <c r="B97" t="s">
        <v>413</v>
      </c>
      <c r="C97" s="55">
        <f>_xll.EQNXTDZ($A$1,$B97,C$5,$B$1)</f>
        <v>0</v>
      </c>
      <c r="D97" s="55">
        <f>_xll.EQNXTDZ($A$1,$B97,D$5,$B$1)</f>
        <v>153.02699999999999</v>
      </c>
      <c r="E97" s="55">
        <f>_xll.EQNXTDZ($A$1,$B97,E$5,$B$1)</f>
        <v>0</v>
      </c>
      <c r="F97" s="55">
        <f>_xll.EQNXTDZ($A$1,$B97,F$5,$B$1)</f>
        <v>148.62299999999999</v>
      </c>
      <c r="G97" s="55">
        <f>_xll.EQNXTDZ($A$1,$B97,G$5,$B$1)</f>
        <v>0</v>
      </c>
      <c r="H97" s="55">
        <f>_xll.EQNXTDZ($A$1,$B97,H$5,$B$1)</f>
        <v>122.786</v>
      </c>
      <c r="I97" s="55">
        <f>_xll.EQNXTDZ($A$1,$B97,I$5,$B$1)</f>
        <v>0</v>
      </c>
      <c r="J97" s="55">
        <f>_xll.EQNXTDZ($A$1,$B97,J$5,$B$1)</f>
        <v>260.613</v>
      </c>
      <c r="K97" s="55">
        <f>_xll.EQNXTDZ($A$1,$B97,K$5,$B$1)</f>
        <v>0</v>
      </c>
      <c r="L97" s="55">
        <f>_xll.EQNXTDZ($A$1,$B97,L$5,$B$1)</f>
        <v>86.756</v>
      </c>
      <c r="M97" s="55">
        <f>_xll.EQNXTDZ($A$1,$B97,M$5,$B$1)</f>
        <v>0</v>
      </c>
      <c r="N97" s="55">
        <f>_xll.EQNXTDZ($A$1,$B97,N$5,$B$1)</f>
        <v>347.85</v>
      </c>
      <c r="O97" s="55">
        <f>_xll.EQNXTDZ($A$1,$B97,O$5,$B$1)</f>
        <v>0</v>
      </c>
      <c r="P97" s="55">
        <f>_xll.EQNXTDZ($A$1,$B97,P$5,$B$1)</f>
        <v>346.755</v>
      </c>
      <c r="Q97" s="55">
        <f>_xll.EQNXTDZ($A$1,$B97,Q$5,$B$1)</f>
        <v>0</v>
      </c>
      <c r="R97" s="55">
        <f>_xll.EQNXTDZ($A$1,$B97,R$5,$B$1)</f>
        <v>392.30799999999999</v>
      </c>
      <c r="S97" s="55">
        <f>_xll.EQNXTDZ($A$1,$B97,S$5,$B$1)</f>
        <v>0</v>
      </c>
      <c r="T97" s="55">
        <f>_xll.EQNXTDZ($A$1,$B97,T$5,$B$1)</f>
        <v>395.99599999999998</v>
      </c>
      <c r="U97" s="55">
        <f>_xll.EQNXTDZ($A$1,$B97,U$5,$B$1)</f>
        <v>0</v>
      </c>
      <c r="V97" s="55">
        <f>_xll.EQNXTDZ($A$1,$B97,V$5,$B$1)</f>
        <v>412.04300000000001</v>
      </c>
      <c r="W97" s="55">
        <f>_xll.EQNXTDZ($A$1,$B97,W$5,$B$1)</f>
        <v>0</v>
      </c>
      <c r="X97" s="55">
        <f>_xll.EQNXTDZ($A$1,$B97,X$5,$B$1)</f>
        <v>409.94299999999998</v>
      </c>
      <c r="Y97" s="55">
        <f>_xll.EQNXTDZ($A$1,$B97,Y$5,$B$1)</f>
        <v>0</v>
      </c>
      <c r="Z97" s="55">
        <f>_xll.EQNXTDZ($A$1,$B97,Z$5,$B$1)</f>
        <v>461.82299999999998</v>
      </c>
      <c r="AA97" s="55">
        <f>_xll.EQNXTDZ($A$1,$B97,AA$5,$B$1)</f>
        <v>0</v>
      </c>
      <c r="AB97" s="55">
        <f>_xll.EQNXTDZ($A$1,$B97,AB$5,$B$1)</f>
        <v>471.517</v>
      </c>
      <c r="AC97" s="55">
        <f>_xll.EQNXTDZ($A$1,$B97,AC$5,$B$1)</f>
        <v>0</v>
      </c>
      <c r="AD97" s="55">
        <f>_xll.EQNXTDZ($A$1,$B97,AD$5,$B$1)</f>
        <v>500.90600000000001</v>
      </c>
      <c r="AE97" s="55">
        <f>_xll.EQNXTDZ($A$1,$B97,AE$5,$B$1)</f>
        <v>0</v>
      </c>
      <c r="AF97" s="55">
        <f>_xll.EQNXTDZ($A$1,$B97,AF$5,$B$1)</f>
        <v>474.26499999999999</v>
      </c>
      <c r="AG97" s="55">
        <f>_xll.EQNXTDZ($A$1,$B97,AG$5,$B$1)</f>
        <v>0</v>
      </c>
      <c r="AH97" s="55">
        <f>_xll.EQNXTDZ($A$1,$B97,AH$5,$B$1)</f>
        <v>509.262</v>
      </c>
      <c r="AI97" s="55">
        <f>_xll.EQNXTDZ($A$1,$B97,AI$5,$B$1)</f>
        <v>0</v>
      </c>
      <c r="AJ97" s="55">
        <f>_xll.EQNXTDZ($A$1,$B97,AJ$5,$B$1)</f>
        <v>517.93200000000002</v>
      </c>
      <c r="AK97" s="55">
        <f>_xll.EQNXTDZ($A$1,$B97,AK$5,$B$1)</f>
        <v>0</v>
      </c>
      <c r="AL97" s="55">
        <f>_xll.EQNXTDZ($A$1,$B97,AL$5,$B$1)</f>
        <v>563.81899999999996</v>
      </c>
      <c r="AM97" s="55">
        <f>_xll.EQNXTDZ($A$1,$B97,AM$5,$B$1)</f>
        <v>0</v>
      </c>
      <c r="AN97" s="55">
        <f>_xll.EQNXTDZ($A$1,$B97,AN$5,$B$1)</f>
        <v>661.77800000000002</v>
      </c>
      <c r="AO97" s="55">
        <f>_xll.EQNXTDZ($A$1,$B97,AO$5,$B$1)</f>
        <v>0</v>
      </c>
      <c r="AP97" s="55">
        <f>_xll.EQNXTDZ($A$1,$B97,AP$5,$B$1)</f>
        <v>705.53</v>
      </c>
      <c r="AQ97" s="55">
        <f>_xll.EQNXTDZ($A$1,$B97,AQ$5,$B$1)</f>
        <v>0</v>
      </c>
      <c r="AR97" s="55">
        <f>_xll.EQNXTDZ($A$1,$B97,AR$5,$B$1)</f>
        <v>246.17</v>
      </c>
      <c r="AS97" s="55">
        <f>_xll.EQNXTDZ($A$1,$B97,AS$5,$B$1)</f>
        <v>0</v>
      </c>
      <c r="AT97" s="55">
        <f>_xll.EQNXTDZ($A$1,$B97,AT$5,$B$1)</f>
        <v>1553.7</v>
      </c>
      <c r="AU97" s="55">
        <f>_xll.EQNXTDZ($A$1,$B97,AU$5,$B$1)</f>
        <v>0</v>
      </c>
      <c r="AV97" s="55">
        <f>_xll.EQNXTDZ($A$1,$B97,AV$5,$B$1)</f>
        <v>2220.16</v>
      </c>
      <c r="AW97" s="55">
        <f>_xll.EQNXTDZ($A$1,$B97,AW$5,$B$1)</f>
        <v>0</v>
      </c>
      <c r="AX97" s="55">
        <f>_xll.EQNXTDZ($A$1,$B97,AX$5,$B$1)</f>
        <v>2865.2</v>
      </c>
      <c r="AY97" s="55">
        <f>_xll.EQNXTDZ($A$1,$B97,AY$5,$B$1)</f>
        <v>0</v>
      </c>
      <c r="AZ97" s="55">
        <f>_xll.EQNXTDZ($A$1,$B97,AZ$5,$B$1)</f>
        <v>5844.9</v>
      </c>
      <c r="BA97" s="55">
        <f>_xll.EQNXTDZ($A$1,$B97,BA$5,$B$1)</f>
        <v>0</v>
      </c>
      <c r="BB97" s="55">
        <f>_xll.EQNXTDZ($A$1,$B97,BB$5,$B$1)</f>
        <v>7278.67</v>
      </c>
      <c r="BC97" s="55">
        <f>_xll.EQNXTDZ($A$1,$B97,BC$5,$B$1)</f>
        <v>0</v>
      </c>
      <c r="BD97" s="55">
        <f>_xll.EQNXTDZ($A$1,$B97,BD$5,$B$1)</f>
        <v>13936.93</v>
      </c>
      <c r="BE97" s="55">
        <f>_xll.EQNXTDZ($A$1,$B97,BE$5,$B$1)</f>
        <v>0</v>
      </c>
      <c r="BF97" s="55">
        <f>_xll.EQNXTDZ($A$1,$B97,BF$5,$B$1)</f>
        <v>29350.26</v>
      </c>
      <c r="BG97" s="55">
        <f>_xll.EQNXTDZ($A$1,$B97,BG$5,$B$1)</f>
        <v>0</v>
      </c>
      <c r="BH97" s="55">
        <f>_xll.EQNXTDZ($A$1,$B97,BH$5,$B$1)</f>
        <v>0</v>
      </c>
      <c r="BI97" s="55">
        <f>_xll.EQNXTDZ($A$1,$B97,BI$5,$B$1)</f>
        <v>0</v>
      </c>
      <c r="BJ97" s="55">
        <f>_xll.EQNXTDZ($A$1,$B97,BJ$5,$B$1)</f>
        <v>0</v>
      </c>
      <c r="BK97" s="55">
        <f>_xll.EQNXTDZ($A$1,$B97,BK$5,$B$1)</f>
        <v>0</v>
      </c>
      <c r="BL97" s="55">
        <f>_xll.EQNXTDZ($A$1,$B97,BL$5,$B$1)</f>
        <v>0</v>
      </c>
      <c r="BM97" s="55">
        <f>_xll.EQNXTDZ($A$1,$B97,BM$5,$B$1)</f>
        <v>0</v>
      </c>
      <c r="BN97" s="55">
        <f>_xll.EQNXTDZ($A$1,$B97,BN$5,$B$1)</f>
        <v>0</v>
      </c>
      <c r="BO97" s="55">
        <f>_xll.EQNXTDZ($A$1,$B97,BO$5,$B$1)</f>
        <v>0</v>
      </c>
      <c r="BP97" s="55">
        <f>_xll.EQNXTDZ($A$1,$B97,BP$5,$B$1)</f>
        <v>0</v>
      </c>
      <c r="BQ97" s="55">
        <f>_xll.EQNXTDZ($A$1,$B97,BQ$5,$B$1)</f>
        <v>0</v>
      </c>
      <c r="BR97" s="55">
        <f>_xll.EQNXTDZ($A$1,$B97,BR$5,$B$1)</f>
        <v>0</v>
      </c>
      <c r="BS97" s="55">
        <f>_xll.EQNXTDZ($A$1,$B97,BS$5,$B$1)</f>
        <v>0</v>
      </c>
      <c r="BT97" s="55">
        <f>_xll.EQNXTDZ($A$1,$B97,BT$5,$B$1)</f>
        <v>0</v>
      </c>
      <c r="BU97" s="55">
        <f>_xll.EQNXTDZ($A$1,$B97,BU$5,$B$1)</f>
        <v>0</v>
      </c>
      <c r="BV97" s="55">
        <f>_xll.EQNXTDZ($A$1,$B97,BV$5,$B$1)</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13"/>
  <sheetViews>
    <sheetView workbookViewId="0">
      <pane xSplit="2" ySplit="5" topLeftCell="C6" activePane="bottomRight" state="frozen"/>
      <selection pane="topRight" activeCell="C1" sqref="C1"/>
      <selection pane="bottomLeft" activeCell="A6" sqref="A6"/>
      <selection pane="bottomRight"/>
    </sheetView>
  </sheetViews>
  <sheetFormatPr defaultRowHeight="15" x14ac:dyDescent="0.25"/>
  <cols>
    <col min="1" max="1" width="35.42578125" bestFit="1" customWidth="1"/>
    <col min="2" max="2" width="36.5703125" bestFit="1" customWidth="1"/>
    <col min="3" max="4" width="9.7109375" bestFit="1" customWidth="1"/>
    <col min="5" max="13" width="9.85546875" bestFit="1" customWidth="1"/>
    <col min="14" max="17" width="10.7109375" bestFit="1" customWidth="1"/>
    <col min="18" max="24" width="10.85546875" bestFit="1" customWidth="1"/>
    <col min="25" max="26" width="9.7109375" bestFit="1" customWidth="1"/>
    <col min="27" max="27" width="10.140625" bestFit="1" customWidth="1"/>
    <col min="28" max="32" width="9.7109375" bestFit="1" customWidth="1"/>
  </cols>
  <sheetData>
    <row r="1" spans="1:32" x14ac:dyDescent="0.25">
      <c r="A1" s="57">
        <v>112455</v>
      </c>
      <c r="B1" t="s">
        <v>222</v>
      </c>
      <c r="C1">
        <v>200103</v>
      </c>
      <c r="D1">
        <v>200203</v>
      </c>
      <c r="E1">
        <v>200303</v>
      </c>
      <c r="F1">
        <v>200403</v>
      </c>
      <c r="G1">
        <v>200503</v>
      </c>
      <c r="H1">
        <v>200603</v>
      </c>
      <c r="I1">
        <v>200703</v>
      </c>
      <c r="J1">
        <v>200803</v>
      </c>
      <c r="K1">
        <v>200903</v>
      </c>
      <c r="L1">
        <v>201003</v>
      </c>
      <c r="M1">
        <v>201103</v>
      </c>
      <c r="N1">
        <v>201203</v>
      </c>
      <c r="O1">
        <v>201303</v>
      </c>
      <c r="P1">
        <v>201403</v>
      </c>
      <c r="Q1">
        <v>201503</v>
      </c>
      <c r="R1">
        <v>201603</v>
      </c>
      <c r="S1">
        <v>201703</v>
      </c>
      <c r="T1">
        <v>201803</v>
      </c>
      <c r="U1">
        <v>201903</v>
      </c>
      <c r="V1">
        <v>202003</v>
      </c>
      <c r="W1">
        <v>202103</v>
      </c>
      <c r="X1">
        <v>202203</v>
      </c>
      <c r="Y1">
        <v>202303</v>
      </c>
      <c r="Z1">
        <v>202403</v>
      </c>
      <c r="AA1">
        <v>202503</v>
      </c>
      <c r="AB1">
        <v>202603</v>
      </c>
      <c r="AC1">
        <v>202703</v>
      </c>
      <c r="AD1">
        <v>202803</v>
      </c>
      <c r="AE1">
        <v>202903</v>
      </c>
      <c r="AF1">
        <v>203003</v>
      </c>
    </row>
    <row r="3" spans="1:32" x14ac:dyDescent="0.25">
      <c r="A3" t="s">
        <v>110</v>
      </c>
      <c r="B3" t="s">
        <v>111</v>
      </c>
    </row>
    <row r="4" spans="1:32" x14ac:dyDescent="0.25">
      <c r="A4" t="s">
        <v>112</v>
      </c>
      <c r="B4" t="s">
        <v>129</v>
      </c>
      <c r="C4" t="str">
        <f>_xll.EQNXTDZ(A1,B4,"L")</f>
        <v>Lloyds Metals &amp; Energy Ltd.</v>
      </c>
    </row>
    <row r="5" spans="1:32" x14ac:dyDescent="0.25">
      <c r="A5" t="s">
        <v>113</v>
      </c>
      <c r="B5" t="s">
        <v>130</v>
      </c>
      <c r="C5">
        <f>_xll.EQNXTDZ($A$1,$B5,C$1,$B$1)</f>
        <v>200103</v>
      </c>
      <c r="D5">
        <f>_xll.EQNXTDZ($A$1,$B5,D$1,$B$1)</f>
        <v>200203</v>
      </c>
      <c r="E5">
        <f>_xll.EQNXTDZ($A$1,$B5,E$1,$B$1)</f>
        <v>200303</v>
      </c>
      <c r="F5">
        <f>_xll.EQNXTDZ($A$1,$B5,F$1,$B$1)</f>
        <v>200403</v>
      </c>
      <c r="G5">
        <f>_xll.EQNXTDZ($A$1,$B5,G$1,$B$1)</f>
        <v>200503</v>
      </c>
      <c r="H5">
        <f>_xll.EQNXTDZ($A$1,$B5,H$1,$B$1)</f>
        <v>200603</v>
      </c>
      <c r="I5">
        <f>_xll.EQNXTDZ($A$1,$B5,I$1,$B$1)</f>
        <v>200703</v>
      </c>
      <c r="J5">
        <f>_xll.EQNXTDZ($A$1,$B5,J$1,$B$1)</f>
        <v>200803</v>
      </c>
      <c r="K5">
        <f>_xll.EQNXTDZ($A$1,$B5,K$1,$B$1)</f>
        <v>200903</v>
      </c>
      <c r="L5">
        <f>_xll.EQNXTDZ($A$1,$B5,L$1,$B$1)</f>
        <v>201003</v>
      </c>
      <c r="M5">
        <f>_xll.EQNXTDZ($A$1,$B5,M$1,$B$1)</f>
        <v>201103</v>
      </c>
      <c r="N5">
        <f>_xll.EQNXTDZ($A$1,$B5,N$1,$B$1)</f>
        <v>201203</v>
      </c>
      <c r="O5">
        <f>_xll.EQNXTDZ($A$1,$B5,O$1,$B$1)</f>
        <v>201303</v>
      </c>
      <c r="P5">
        <f>_xll.EQNXTDZ($A$1,$B5,P$1,$B$1)</f>
        <v>201403</v>
      </c>
      <c r="Q5">
        <f>_xll.EQNXTDZ($A$1,$B5,Q$1,$B$1)</f>
        <v>201503</v>
      </c>
      <c r="R5">
        <f>_xll.EQNXTDZ($A$1,$B5,R$1,$B$1)</f>
        <v>201603</v>
      </c>
      <c r="S5">
        <f>_xll.EQNXTDZ($A$1,$B5,S$1,$B$1)</f>
        <v>201703</v>
      </c>
      <c r="T5">
        <f>_xll.EQNXTDZ($A$1,$B5,T$1,$B$1)</f>
        <v>201803</v>
      </c>
      <c r="U5">
        <f>_xll.EQNXTDZ($A$1,$B5,U$1,$B$1)</f>
        <v>201903</v>
      </c>
      <c r="V5">
        <f>_xll.EQNXTDZ($A$1,$B5,V$1,$B$1)</f>
        <v>202003</v>
      </c>
      <c r="W5">
        <f>_xll.EQNXTDZ($A$1,$B5,W$1,$B$1)</f>
        <v>202103</v>
      </c>
      <c r="X5">
        <f>_xll.EQNXTDZ($A$1,$B5,X$1,$B$1)</f>
        <v>202203</v>
      </c>
      <c r="Y5">
        <f>_xll.EQNXTDZ($A$1,$B5,Y$1,$B$1)</f>
        <v>202303</v>
      </c>
      <c r="Z5">
        <f>_xll.EQNXTDZ($A$1,$B5,Z$1,$B$1)</f>
        <v>202403</v>
      </c>
      <c r="AA5">
        <f>_xll.EQNXTDZ($A$1,$B5,AA$1,$B$1)</f>
        <v>202503</v>
      </c>
      <c r="AB5">
        <f>_xll.EQNXTDZ($A$1,$B5,AB$1,$B$1)</f>
        <v>202603</v>
      </c>
      <c r="AC5">
        <f>_xll.EQNXTDZ($A$1,$B5,AC$1,$B$1)</f>
        <v>0</v>
      </c>
      <c r="AD5">
        <f>_xll.EQNXTDZ($A$1,$B5,AD$1,$B$1)</f>
        <v>0</v>
      </c>
      <c r="AE5">
        <f>_xll.EQNXTDZ($A$1,$B5,AE$1,$B$1)</f>
        <v>0</v>
      </c>
      <c r="AF5">
        <f>_xll.EQNXTDZ($A$1,$B5,AF$1,$B$1)</f>
        <v>0</v>
      </c>
    </row>
    <row r="6" spans="1:32" x14ac:dyDescent="0.25">
      <c r="A6" t="s">
        <v>114</v>
      </c>
      <c r="B6" t="s">
        <v>131</v>
      </c>
      <c r="C6" s="100">
        <f>_xll.EQNXTDZ($A$1,$B6,C$1,$B$1)</f>
        <v>114.754</v>
      </c>
      <c r="D6" s="100">
        <f>_xll.EQNXTDZ($A$1,$B6,D$1,$B$1)</f>
        <v>117.18980000000001</v>
      </c>
      <c r="E6" s="100">
        <f>_xll.EQNXTDZ($A$1,$B6,E$1,$B$1)</f>
        <v>169.73349999999999</v>
      </c>
      <c r="F6" s="100">
        <f>_xll.EQNXTDZ($A$1,$B6,F$1,$B$1)</f>
        <v>198.83920000000001</v>
      </c>
      <c r="G6" s="100">
        <f>_xll.EQNXTDZ($A$1,$B6,G$1,$B$1)</f>
        <v>281.16500000000002</v>
      </c>
      <c r="H6" s="100">
        <f>_xll.EQNXTDZ($A$1,$B6,H$1,$B$1)</f>
        <v>295.04680000000002</v>
      </c>
      <c r="I6" s="100">
        <f>_xll.EQNXTDZ($A$1,$B6,I$1,$B$1)</f>
        <v>336.64049999999997</v>
      </c>
      <c r="J6" s="100">
        <f>_xll.EQNXTDZ($A$1,$B6,J$1,$B$1)</f>
        <v>381.99799999999999</v>
      </c>
      <c r="K6" s="100">
        <f>_xll.EQNXTDZ($A$1,$B6,K$1,$B$1)</f>
        <v>743.69219999999996</v>
      </c>
      <c r="L6" s="100">
        <f>_xll.EQNXTDZ($A$1,$B6,L$1,$B$1)</f>
        <v>592.00400000000002</v>
      </c>
      <c r="M6" s="100">
        <f>_xll.EQNXTDZ($A$1,$B6,M$1,$B$1)</f>
        <v>728.37139999999999</v>
      </c>
      <c r="N6" s="100">
        <f>_xll.EQNXTDZ($A$1,$B6,N$1,$B$1)</f>
        <v>1044.9322999999999</v>
      </c>
      <c r="O6" s="100">
        <f>_xll.EQNXTDZ($A$1,$B6,O$1,$B$1)</f>
        <v>803.63390000000004</v>
      </c>
      <c r="P6" s="100">
        <f>_xll.EQNXTDZ($A$1,$B6,P$1,$B$1)</f>
        <v>613.67010000000005</v>
      </c>
      <c r="Q6" s="100">
        <f>_xll.EQNXTDZ($A$1,$B6,Q$1,$B$1)</f>
        <v>677.1001</v>
      </c>
      <c r="R6" s="100">
        <f>_xll.EQNXTDZ($A$1,$B6,R$1,$B$1)</f>
        <v>412.49889999999999</v>
      </c>
      <c r="S6" s="100">
        <f>_xll.EQNXTDZ($A$1,$B6,S$1,$B$1)</f>
        <v>400.99270000000001</v>
      </c>
      <c r="T6" s="100">
        <f>_xll.EQNXTDZ($A$1,$B6,T$1,$B$1)</f>
        <v>414.67899999999997</v>
      </c>
      <c r="U6" s="100">
        <f>_xll.EQNXTDZ($A$1,$B6,U$1,$B$1)</f>
        <v>477.28109999999998</v>
      </c>
      <c r="V6" s="100">
        <f>_xll.EQNXTDZ($A$1,$B6,V$1,$B$1)</f>
        <v>371.73849999999999</v>
      </c>
      <c r="W6" s="100">
        <f>_xll.EQNXTDZ($A$1,$B6,W$1,$B$1)</f>
        <v>253.4067</v>
      </c>
      <c r="X6" s="100">
        <f>_xll.EQNXTDZ($A$1,$B6,X$1,$B$1)</f>
        <v>697.5</v>
      </c>
      <c r="Y6" s="100">
        <f>_xll.EQNXTDZ($A$1,$B6,Y$1,$B$1)</f>
        <v>3392.31</v>
      </c>
      <c r="Z6" s="100">
        <f>_xll.EQNXTDZ($A$1,$B6,Z$1,$B$1)</f>
        <v>6524.65</v>
      </c>
      <c r="AA6" s="100">
        <f>_xll.EQNXTDZ($A$1,$B6,AA$1,$B$1)</f>
        <v>6721.05</v>
      </c>
      <c r="AB6" s="100">
        <f>_xll.EQNXTDZ($A$1,$B6,AB$1,$B$1)</f>
        <v>17112.669999999998</v>
      </c>
      <c r="AC6" s="100">
        <f>_xll.EQNXTDZ($A$1,$B6,AC$1,$B$1)</f>
        <v>0</v>
      </c>
      <c r="AD6" s="100">
        <f>_xll.EQNXTDZ($A$1,$B6,AD$1,$B$1)</f>
        <v>0</v>
      </c>
      <c r="AE6" s="100">
        <f>_xll.EQNXTDZ($A$1,$B6,AE$1,$B$1)</f>
        <v>0</v>
      </c>
      <c r="AF6" s="100">
        <f>_xll.EQNXTDZ($A$1,$B6,AF$1,$B$1)</f>
        <v>0</v>
      </c>
    </row>
    <row r="7" spans="1:32" x14ac:dyDescent="0.25">
      <c r="A7" t="s">
        <v>115</v>
      </c>
      <c r="B7" t="s">
        <v>132</v>
      </c>
      <c r="C7" s="100">
        <f>_xll.EQNXTDZ($A$1,$B7,C$1,$B$1)</f>
        <v>0</v>
      </c>
      <c r="D7" s="100">
        <f>_xll.EQNXTDZ($A$1,$B7,D$1,$B$1)</f>
        <v>0</v>
      </c>
      <c r="E7" s="100">
        <f>_xll.EQNXTDZ($A$1,$B7,E$1,$B$1)</f>
        <v>0</v>
      </c>
      <c r="F7" s="100">
        <f>_xll.EQNXTDZ($A$1,$B7,F$1,$B$1)</f>
        <v>0</v>
      </c>
      <c r="G7" s="100">
        <f>_xll.EQNXTDZ($A$1,$B7,G$1,$B$1)</f>
        <v>0</v>
      </c>
      <c r="H7" s="100">
        <f>_xll.EQNXTDZ($A$1,$B7,H$1,$B$1)</f>
        <v>0</v>
      </c>
      <c r="I7" s="100">
        <f>_xll.EQNXTDZ($A$1,$B7,I$1,$B$1)</f>
        <v>0</v>
      </c>
      <c r="J7" s="100">
        <f>_xll.EQNXTDZ($A$1,$B7,J$1,$B$1)</f>
        <v>0</v>
      </c>
      <c r="K7" s="100">
        <f>_xll.EQNXTDZ($A$1,$B7,K$1,$B$1)</f>
        <v>0</v>
      </c>
      <c r="L7" s="100">
        <f>_xll.EQNXTDZ($A$1,$B7,L$1,$B$1)</f>
        <v>0</v>
      </c>
      <c r="M7" s="100">
        <f>_xll.EQNXTDZ($A$1,$B7,M$1,$B$1)</f>
        <v>0</v>
      </c>
      <c r="N7" s="100">
        <f>_xll.EQNXTDZ($A$1,$B7,N$1,$B$1)</f>
        <v>0</v>
      </c>
      <c r="O7" s="100">
        <f>_xll.EQNXTDZ($A$1,$B7,O$1,$B$1)</f>
        <v>0</v>
      </c>
      <c r="P7" s="100">
        <f>_xll.EQNXTDZ($A$1,$B7,P$1,$B$1)</f>
        <v>0</v>
      </c>
      <c r="Q7" s="100">
        <f>_xll.EQNXTDZ($A$1,$B7,Q$1,$B$1)</f>
        <v>0</v>
      </c>
      <c r="R7" s="100">
        <f>_xll.EQNXTDZ($A$1,$B7,R$1,$B$1)</f>
        <v>0</v>
      </c>
      <c r="S7" s="100">
        <f>_xll.EQNXTDZ($A$1,$B7,S$1,$B$1)</f>
        <v>0</v>
      </c>
      <c r="T7" s="100">
        <f>_xll.EQNXTDZ($A$1,$B7,T$1,$B$1)</f>
        <v>0</v>
      </c>
      <c r="U7" s="100">
        <f>_xll.EQNXTDZ($A$1,$B7,U$1,$B$1)</f>
        <v>0</v>
      </c>
      <c r="V7" s="100">
        <f>_xll.EQNXTDZ($A$1,$B7,V$1,$B$1)</f>
        <v>0</v>
      </c>
      <c r="W7" s="100">
        <f>_xll.EQNXTDZ($A$1,$B7,W$1,$B$1)</f>
        <v>0</v>
      </c>
      <c r="X7" s="100">
        <f>_xll.EQNXTDZ($A$1,$B7,X$1,$B$1)</f>
        <v>0</v>
      </c>
      <c r="Y7" s="100">
        <f>_xll.EQNXTDZ($A$1,$B7,Y$1,$B$1)</f>
        <v>0</v>
      </c>
      <c r="Z7" s="100">
        <f>_xll.EQNXTDZ($A$1,$B7,Z$1,$B$1)</f>
        <v>0</v>
      </c>
      <c r="AA7" s="100">
        <f>_xll.EQNXTDZ($A$1,$B7,AA$1,$B$1)</f>
        <v>0</v>
      </c>
      <c r="AB7" s="100">
        <f>_xll.EQNXTDZ($A$1,$B7,AB$1,$B$1)</f>
        <v>0</v>
      </c>
      <c r="AC7" s="100">
        <f>_xll.EQNXTDZ($A$1,$B7,AC$1,$B$1)</f>
        <v>0</v>
      </c>
      <c r="AD7" s="100">
        <f>_xll.EQNXTDZ($A$1,$B7,AD$1,$B$1)</f>
        <v>0</v>
      </c>
      <c r="AE7" s="100">
        <f>_xll.EQNXTDZ($A$1,$B7,AE$1,$B$1)</f>
        <v>0</v>
      </c>
      <c r="AF7" s="100">
        <f>_xll.EQNXTDZ($A$1,$B7,AF$1,$B$1)</f>
        <v>0</v>
      </c>
    </row>
    <row r="8" spans="1:32" x14ac:dyDescent="0.25">
      <c r="A8" t="s">
        <v>116</v>
      </c>
      <c r="B8" t="s">
        <v>133</v>
      </c>
      <c r="C8" s="100">
        <f>_xll.EQNXTDZ($A$1,$B8,C$1,$B$1)</f>
        <v>0</v>
      </c>
      <c r="D8" s="100">
        <f>_xll.EQNXTDZ($A$1,$B8,D$1,$B$1)</f>
        <v>0</v>
      </c>
      <c r="E8" s="100">
        <f>_xll.EQNXTDZ($A$1,$B8,E$1,$B$1)</f>
        <v>0</v>
      </c>
      <c r="F8" s="100">
        <f>_xll.EQNXTDZ($A$1,$B8,F$1,$B$1)</f>
        <v>0</v>
      </c>
      <c r="G8" s="100">
        <f>_xll.EQNXTDZ($A$1,$B8,G$1,$B$1)</f>
        <v>0</v>
      </c>
      <c r="H8" s="100">
        <f>_xll.EQNXTDZ($A$1,$B8,H$1,$B$1)</f>
        <v>0</v>
      </c>
      <c r="I8" s="100">
        <f>_xll.EQNXTDZ($A$1,$B8,I$1,$B$1)</f>
        <v>0</v>
      </c>
      <c r="J8" s="100">
        <f>_xll.EQNXTDZ($A$1,$B8,J$1,$B$1)</f>
        <v>0</v>
      </c>
      <c r="K8" s="100">
        <f>_xll.EQNXTDZ($A$1,$B8,K$1,$B$1)</f>
        <v>0</v>
      </c>
      <c r="L8" s="100">
        <f>_xll.EQNXTDZ($A$1,$B8,L$1,$B$1)</f>
        <v>0</v>
      </c>
      <c r="M8" s="100">
        <f>_xll.EQNXTDZ($A$1,$B8,M$1,$B$1)</f>
        <v>0.1003</v>
      </c>
      <c r="N8" s="100">
        <f>_xll.EQNXTDZ($A$1,$B8,N$1,$B$1)</f>
        <v>6.0400000000000002E-2</v>
      </c>
      <c r="O8" s="100">
        <f>_xll.EQNXTDZ($A$1,$B8,O$1,$B$1)</f>
        <v>2.0735999999999999</v>
      </c>
      <c r="P8" s="100">
        <f>_xll.EQNXTDZ($A$1,$B8,P$1,$B$1)</f>
        <v>3.8624999999999998</v>
      </c>
      <c r="Q8" s="100">
        <f>_xll.EQNXTDZ($A$1,$B8,Q$1,$B$1)</f>
        <v>1.3272999999999999</v>
      </c>
      <c r="R8" s="100">
        <f>_xll.EQNXTDZ($A$1,$B8,R$1,$B$1)</f>
        <v>4.4250999999999996</v>
      </c>
      <c r="S8" s="100">
        <f>_xll.EQNXTDZ($A$1,$B8,S$1,$B$1)</f>
        <v>0</v>
      </c>
      <c r="T8" s="100">
        <f>_xll.EQNXTDZ($A$1,$B8,T$1,$B$1)</f>
        <v>0</v>
      </c>
      <c r="U8" s="100">
        <f>_xll.EQNXTDZ($A$1,$B8,U$1,$B$1)</f>
        <v>0</v>
      </c>
      <c r="V8" s="100">
        <f>_xll.EQNXTDZ($A$1,$B8,V$1,$B$1)</f>
        <v>0</v>
      </c>
      <c r="W8" s="100">
        <f>_xll.EQNXTDZ($A$1,$B8,W$1,$B$1)</f>
        <v>0</v>
      </c>
      <c r="X8" s="100">
        <f>_xll.EQNXTDZ($A$1,$B8,X$1,$B$1)</f>
        <v>0</v>
      </c>
      <c r="Y8" s="100">
        <f>_xll.EQNXTDZ($A$1,$B8,Y$1,$B$1)</f>
        <v>0</v>
      </c>
      <c r="Z8" s="100">
        <f>_xll.EQNXTDZ($A$1,$B8,Z$1,$B$1)</f>
        <v>0</v>
      </c>
      <c r="AA8" s="100">
        <f>_xll.EQNXTDZ($A$1,$B8,AA$1,$B$1)</f>
        <v>0</v>
      </c>
      <c r="AB8" s="100">
        <f>_xll.EQNXTDZ($A$1,$B8,AB$1,$B$1)</f>
        <v>0</v>
      </c>
      <c r="AC8" s="100">
        <f>_xll.EQNXTDZ($A$1,$B8,AC$1,$B$1)</f>
        <v>0</v>
      </c>
      <c r="AD8" s="100">
        <f>_xll.EQNXTDZ($A$1,$B8,AD$1,$B$1)</f>
        <v>0</v>
      </c>
      <c r="AE8" s="100">
        <f>_xll.EQNXTDZ($A$1,$B8,AE$1,$B$1)</f>
        <v>0</v>
      </c>
      <c r="AF8" s="100">
        <f>_xll.EQNXTDZ($A$1,$B8,AF$1,$B$1)</f>
        <v>0</v>
      </c>
    </row>
    <row r="9" spans="1:32" x14ac:dyDescent="0.25">
      <c r="A9" t="s">
        <v>117</v>
      </c>
      <c r="B9" t="s">
        <v>134</v>
      </c>
      <c r="C9" s="100">
        <f>_xll.EQNXTDZ($A$1,$B9,C$1,$B$1)</f>
        <v>12.616400000000001</v>
      </c>
      <c r="D9" s="100">
        <f>_xll.EQNXTDZ($A$1,$B9,D$1,$B$1)</f>
        <v>11.2066</v>
      </c>
      <c r="E9" s="100">
        <f>_xll.EQNXTDZ($A$1,$B9,E$1,$B$1)</f>
        <v>19.686</v>
      </c>
      <c r="F9" s="100">
        <f>_xll.EQNXTDZ($A$1,$B9,F$1,$B$1)</f>
        <v>23.015999999999998</v>
      </c>
      <c r="G9" s="100">
        <f>_xll.EQNXTDZ($A$1,$B9,G$1,$B$1)</f>
        <v>23.547999999999998</v>
      </c>
      <c r="H9" s="100">
        <f>_xll.EQNXTDZ($A$1,$B9,H$1,$B$1)</f>
        <v>41.036799999999999</v>
      </c>
      <c r="I9" s="100">
        <f>_xll.EQNXTDZ($A$1,$B9,I$1,$B$1)</f>
        <v>0</v>
      </c>
      <c r="J9" s="100">
        <f>_xll.EQNXTDZ($A$1,$B9,J$1,$B$1)</f>
        <v>0</v>
      </c>
      <c r="K9" s="100">
        <f>_xll.EQNXTDZ($A$1,$B9,K$1,$B$1)</f>
        <v>62.508499999999998</v>
      </c>
      <c r="L9" s="100">
        <f>_xll.EQNXTDZ($A$1,$B9,L$1,$B$1)</f>
        <v>24.1098</v>
      </c>
      <c r="M9" s="100">
        <f>_xll.EQNXTDZ($A$1,$B9,M$1,$B$1)</f>
        <v>38.273800000000001</v>
      </c>
      <c r="N9" s="100">
        <f>_xll.EQNXTDZ($A$1,$B9,N$1,$B$1)</f>
        <v>38.067999999999998</v>
      </c>
      <c r="O9" s="100">
        <f>_xll.EQNXTDZ($A$1,$B9,O$1,$B$1)</f>
        <v>42.3581</v>
      </c>
      <c r="P9" s="100">
        <f>_xll.EQNXTDZ($A$1,$B9,P$1,$B$1)</f>
        <v>42.061500000000002</v>
      </c>
      <c r="Q9" s="100">
        <f>_xll.EQNXTDZ($A$1,$B9,Q$1,$B$1)</f>
        <v>36.856999999999999</v>
      </c>
      <c r="R9" s="100">
        <f>_xll.EQNXTDZ($A$1,$B9,R$1,$B$1)</f>
        <v>31.204000000000001</v>
      </c>
      <c r="S9" s="100">
        <f>_xll.EQNXTDZ($A$1,$B9,S$1,$B$1)</f>
        <v>32.049300000000002</v>
      </c>
      <c r="T9" s="100">
        <f>_xll.EQNXTDZ($A$1,$B9,T$1,$B$1)</f>
        <v>12.061400000000001</v>
      </c>
      <c r="U9" s="100">
        <f>_xll.EQNXTDZ($A$1,$B9,U$1,$B$1)</f>
        <v>0</v>
      </c>
      <c r="V9" s="100">
        <f>_xll.EQNXTDZ($A$1,$B9,V$1,$B$1)</f>
        <v>0</v>
      </c>
      <c r="W9" s="100">
        <f>_xll.EQNXTDZ($A$1,$B9,W$1,$B$1)</f>
        <v>0</v>
      </c>
      <c r="X9" s="100">
        <f>_xll.EQNXTDZ($A$1,$B9,X$1,$B$1)</f>
        <v>0</v>
      </c>
      <c r="Y9" s="100">
        <f>_xll.EQNXTDZ($A$1,$B9,Y$1,$B$1)</f>
        <v>0</v>
      </c>
      <c r="Z9" s="100">
        <f>_xll.EQNXTDZ($A$1,$B9,Z$1,$B$1)</f>
        <v>0</v>
      </c>
      <c r="AA9" s="100">
        <f>_xll.EQNXTDZ($A$1,$B9,AA$1,$B$1)</f>
        <v>0</v>
      </c>
      <c r="AB9" s="100">
        <f>_xll.EQNXTDZ($A$1,$B9,AB$1,$B$1)</f>
        <v>0</v>
      </c>
      <c r="AC9" s="100">
        <f>_xll.EQNXTDZ($A$1,$B9,AC$1,$B$1)</f>
        <v>0</v>
      </c>
      <c r="AD9" s="100">
        <f>_xll.EQNXTDZ($A$1,$B9,AD$1,$B$1)</f>
        <v>0</v>
      </c>
      <c r="AE9" s="100">
        <f>_xll.EQNXTDZ($A$1,$B9,AE$1,$B$1)</f>
        <v>0</v>
      </c>
      <c r="AF9" s="100">
        <f>_xll.EQNXTDZ($A$1,$B9,AF$1,$B$1)</f>
        <v>0</v>
      </c>
    </row>
    <row r="10" spans="1:32" x14ac:dyDescent="0.25">
      <c r="A10" t="s">
        <v>1</v>
      </c>
      <c r="B10" t="s">
        <v>135</v>
      </c>
      <c r="C10" s="100">
        <f>_xll.EQNXTDZ($A$1,$B10,C$1,$B$1)</f>
        <v>102.13760000000001</v>
      </c>
      <c r="D10" s="100">
        <f>_xll.EQNXTDZ($A$1,$B10,D$1,$B$1)</f>
        <v>105.9832</v>
      </c>
      <c r="E10" s="100">
        <f>_xll.EQNXTDZ($A$1,$B10,E$1,$B$1)</f>
        <v>150.04750000000001</v>
      </c>
      <c r="F10" s="100">
        <f>_xll.EQNXTDZ($A$1,$B10,F$1,$B$1)</f>
        <v>175.82320000000001</v>
      </c>
      <c r="G10" s="100">
        <f>_xll.EQNXTDZ($A$1,$B10,G$1,$B$1)</f>
        <v>257.61700000000002</v>
      </c>
      <c r="H10" s="100">
        <f>_xll.EQNXTDZ($A$1,$B10,H$1,$B$1)</f>
        <v>254.01</v>
      </c>
      <c r="I10" s="100">
        <f>_xll.EQNXTDZ($A$1,$B10,I$1,$B$1)</f>
        <v>336.64049999999997</v>
      </c>
      <c r="J10" s="100">
        <f>_xll.EQNXTDZ($A$1,$B10,J$1,$B$1)</f>
        <v>381.99799999999999</v>
      </c>
      <c r="K10" s="100">
        <f>_xll.EQNXTDZ($A$1,$B10,K$1,$B$1)</f>
        <v>681.18370000000004</v>
      </c>
      <c r="L10" s="100">
        <f>_xll.EQNXTDZ($A$1,$B10,L$1,$B$1)</f>
        <v>567.89419999999996</v>
      </c>
      <c r="M10" s="100">
        <f>_xll.EQNXTDZ($A$1,$B10,M$1,$B$1)</f>
        <v>689.9973</v>
      </c>
      <c r="N10" s="100">
        <f>_xll.EQNXTDZ($A$1,$B10,N$1,$B$1)</f>
        <v>1006.8039</v>
      </c>
      <c r="O10" s="100">
        <f>_xll.EQNXTDZ($A$1,$B10,O$1,$B$1)</f>
        <v>759.20219999999995</v>
      </c>
      <c r="P10" s="100">
        <f>_xll.EQNXTDZ($A$1,$B10,P$1,$B$1)</f>
        <v>567.74609999999996</v>
      </c>
      <c r="Q10" s="100">
        <f>_xll.EQNXTDZ($A$1,$B10,Q$1,$B$1)</f>
        <v>638.91579999999999</v>
      </c>
      <c r="R10" s="100">
        <f>_xll.EQNXTDZ($A$1,$B10,R$1,$B$1)</f>
        <v>376.8698</v>
      </c>
      <c r="S10" s="100">
        <f>_xll.EQNXTDZ($A$1,$B10,S$1,$B$1)</f>
        <v>368.9434</v>
      </c>
      <c r="T10" s="100">
        <f>_xll.EQNXTDZ($A$1,$B10,T$1,$B$1)</f>
        <v>402.61759999999998</v>
      </c>
      <c r="U10" s="100">
        <f>_xll.EQNXTDZ($A$1,$B10,U$1,$B$1)</f>
        <v>477.28109999999998</v>
      </c>
      <c r="V10" s="100">
        <f>_xll.EQNXTDZ($A$1,$B10,V$1,$B$1)</f>
        <v>371.73849999999999</v>
      </c>
      <c r="W10" s="100">
        <f>_xll.EQNXTDZ($A$1,$B10,W$1,$B$1)</f>
        <v>253.4067</v>
      </c>
      <c r="X10" s="100">
        <f>_xll.EQNXTDZ($A$1,$B10,X$1,$B$1)</f>
        <v>697.5</v>
      </c>
      <c r="Y10" s="100">
        <f>_xll.EQNXTDZ($A$1,$B10,Y$1,$B$1)</f>
        <v>3392.31</v>
      </c>
      <c r="Z10" s="100">
        <f>_xll.EQNXTDZ($A$1,$B10,Z$1,$B$1)</f>
        <v>6524.65</v>
      </c>
      <c r="AA10" s="100">
        <f>_xll.EQNXTDZ($A$1,$B10,AA$1,$B$1)</f>
        <v>6721.05</v>
      </c>
      <c r="AB10" s="100">
        <f>_xll.EQNXTDZ($A$1,$B10,AB$1,$B$1)</f>
        <v>17112.669999999998</v>
      </c>
      <c r="AC10" s="100">
        <f>_xll.EQNXTDZ($A$1,$B10,AC$1,$B$1)</f>
        <v>0</v>
      </c>
      <c r="AD10" s="100">
        <f>_xll.EQNXTDZ($A$1,$B10,AD$1,$B$1)</f>
        <v>0</v>
      </c>
      <c r="AE10" s="100">
        <f>_xll.EQNXTDZ($A$1,$B10,AE$1,$B$1)</f>
        <v>0</v>
      </c>
      <c r="AF10" s="100">
        <f>_xll.EQNXTDZ($A$1,$B10,AF$1,$B$1)</f>
        <v>0</v>
      </c>
    </row>
    <row r="11" spans="1:32" x14ac:dyDescent="0.25">
      <c r="A11" t="s">
        <v>2</v>
      </c>
      <c r="B11" t="s">
        <v>136</v>
      </c>
      <c r="C11" s="100">
        <f>_xll.EQNXTDZ($A$1,$B11,C$1,$B$1)</f>
        <v>-0.876</v>
      </c>
      <c r="D11" s="100">
        <f>_xll.EQNXTDZ($A$1,$B11,D$1,$B$1)</f>
        <v>0.8327</v>
      </c>
      <c r="E11" s="100">
        <f>_xll.EQNXTDZ($A$1,$B11,E$1,$B$1)</f>
        <v>-1.1713</v>
      </c>
      <c r="F11" s="100">
        <f>_xll.EQNXTDZ($A$1,$B11,F$1,$B$1)</f>
        <v>-4.0016999999999996</v>
      </c>
      <c r="G11" s="100">
        <f>_xll.EQNXTDZ($A$1,$B11,G$1,$B$1)</f>
        <v>6.6035000000000004</v>
      </c>
      <c r="H11" s="100">
        <f>_xll.EQNXTDZ($A$1,$B11,H$1,$B$1)</f>
        <v>-21.546299999999999</v>
      </c>
      <c r="I11" s="100">
        <f>_xll.EQNXTDZ($A$1,$B11,I$1,$B$1)</f>
        <v>62.954000000000001</v>
      </c>
      <c r="J11" s="100">
        <f>_xll.EQNXTDZ($A$1,$B11,J$1,$B$1)</f>
        <v>35.1021</v>
      </c>
      <c r="K11" s="100">
        <f>_xll.EQNXTDZ($A$1,$B11,K$1,$B$1)</f>
        <v>-0.20449999999999999</v>
      </c>
      <c r="L11" s="100">
        <f>_xll.EQNXTDZ($A$1,$B11,L$1,$B$1)</f>
        <v>-0.56210000000000004</v>
      </c>
      <c r="M11" s="100">
        <f>_xll.EQNXTDZ($A$1,$B11,M$1,$B$1)</f>
        <v>-2.3791000000000002</v>
      </c>
      <c r="N11" s="100">
        <f>_xll.EQNXTDZ($A$1,$B11,N$1,$B$1)</f>
        <v>-2.9895</v>
      </c>
      <c r="O11" s="100">
        <f>_xll.EQNXTDZ($A$1,$B11,O$1,$B$1)</f>
        <v>0.49730000000000002</v>
      </c>
      <c r="P11" s="100">
        <f>_xll.EQNXTDZ($A$1,$B11,P$1,$B$1)</f>
        <v>-6.7732999999999999</v>
      </c>
      <c r="Q11" s="100">
        <f>_xll.EQNXTDZ($A$1,$B11,Q$1,$B$1)</f>
        <v>9.1358999999999995</v>
      </c>
      <c r="R11" s="100">
        <f>_xll.EQNXTDZ($A$1,$B11,R$1,$B$1)</f>
        <v>-24.4421</v>
      </c>
      <c r="S11" s="100">
        <f>_xll.EQNXTDZ($A$1,$B11,S$1,$B$1)</f>
        <v>-7.7431999999999999</v>
      </c>
      <c r="T11" s="100">
        <f>_xll.EQNXTDZ($A$1,$B11,T$1,$B$1)</f>
        <v>-6.9936999999999996</v>
      </c>
      <c r="U11" s="100">
        <f>_xll.EQNXTDZ($A$1,$B11,U$1,$B$1)</f>
        <v>-3.1566999999999998</v>
      </c>
      <c r="V11" s="100">
        <f>_xll.EQNXTDZ($A$1,$B11,V$1,$B$1)</f>
        <v>-9.7744</v>
      </c>
      <c r="W11" s="100">
        <f>_xll.EQNXTDZ($A$1,$B11,W$1,$B$1)</f>
        <v>-14.450100000000001</v>
      </c>
      <c r="X11" s="100">
        <f>_xll.EQNXTDZ($A$1,$B11,X$1,$B$1)</f>
        <v>-60.39</v>
      </c>
      <c r="Y11" s="100">
        <f>_xll.EQNXTDZ($A$1,$B11,Y$1,$B$1)</f>
        <v>35.770000000000003</v>
      </c>
      <c r="Z11" s="100">
        <f>_xll.EQNXTDZ($A$1,$B11,Z$1,$B$1)</f>
        <v>-14.89</v>
      </c>
      <c r="AA11" s="100">
        <f>_xll.EQNXTDZ($A$1,$B11,AA$1,$B$1)</f>
        <v>90.42</v>
      </c>
      <c r="AB11" s="100">
        <f>_xll.EQNXTDZ($A$1,$B11,AB$1,$B$1)</f>
        <v>-719.66</v>
      </c>
      <c r="AC11" s="100">
        <f>_xll.EQNXTDZ($A$1,$B11,AC$1,$B$1)</f>
        <v>0</v>
      </c>
      <c r="AD11" s="100">
        <f>_xll.EQNXTDZ($A$1,$B11,AD$1,$B$1)</f>
        <v>0</v>
      </c>
      <c r="AE11" s="100">
        <f>_xll.EQNXTDZ($A$1,$B11,AE$1,$B$1)</f>
        <v>0</v>
      </c>
      <c r="AF11" s="100">
        <f>_xll.EQNXTDZ($A$1,$B11,AF$1,$B$1)</f>
        <v>0</v>
      </c>
    </row>
    <row r="12" spans="1:32" x14ac:dyDescent="0.25">
      <c r="A12" t="s">
        <v>4</v>
      </c>
      <c r="B12" t="s">
        <v>137</v>
      </c>
      <c r="C12" s="100">
        <f>_xll.EQNXTDZ($A$1,$B12,C$1,$B$1)</f>
        <v>76.140699999999995</v>
      </c>
      <c r="D12" s="100">
        <f>_xll.EQNXTDZ($A$1,$B12,D$1,$B$1)</f>
        <v>79.691400000000002</v>
      </c>
      <c r="E12" s="100">
        <f>_xll.EQNXTDZ($A$1,$B12,E$1,$B$1)</f>
        <v>110.4087</v>
      </c>
      <c r="F12" s="100">
        <f>_xll.EQNXTDZ($A$1,$B12,F$1,$B$1)</f>
        <v>128.38849999999999</v>
      </c>
      <c r="G12" s="100">
        <f>_xll.EQNXTDZ($A$1,$B12,G$1,$B$1)</f>
        <v>179.9905</v>
      </c>
      <c r="H12" s="100">
        <f>_xll.EQNXTDZ($A$1,$B12,H$1,$B$1)</f>
        <v>224.977</v>
      </c>
      <c r="I12" s="100">
        <f>_xll.EQNXTDZ($A$1,$B12,I$1,$B$1)</f>
        <v>222.04300000000001</v>
      </c>
      <c r="J12" s="100">
        <f>_xll.EQNXTDZ($A$1,$B12,J$1,$B$1)</f>
        <v>267.99090000000001</v>
      </c>
      <c r="K12" s="100">
        <f>_xll.EQNXTDZ($A$1,$B12,K$1,$B$1)</f>
        <v>552.12789999999995</v>
      </c>
      <c r="L12" s="100">
        <f>_xll.EQNXTDZ($A$1,$B12,L$1,$B$1)</f>
        <v>497.13799999999998</v>
      </c>
      <c r="M12" s="100">
        <f>_xll.EQNXTDZ($A$1,$B12,M$1,$B$1)</f>
        <v>622.15229999999997</v>
      </c>
      <c r="N12" s="100">
        <f>_xll.EQNXTDZ($A$1,$B12,N$1,$B$1)</f>
        <v>934.80949999999996</v>
      </c>
      <c r="O12" s="100">
        <f>_xll.EQNXTDZ($A$1,$B12,O$1,$B$1)</f>
        <v>684.21190000000001</v>
      </c>
      <c r="P12" s="100">
        <f>_xll.EQNXTDZ($A$1,$B12,P$1,$B$1)</f>
        <v>551.23699999999997</v>
      </c>
      <c r="Q12" s="100">
        <f>_xll.EQNXTDZ($A$1,$B12,Q$1,$B$1)</f>
        <v>605.17729999999995</v>
      </c>
      <c r="R12" s="100">
        <f>_xll.EQNXTDZ($A$1,$B12,R$1,$B$1)</f>
        <v>340.84359999999998</v>
      </c>
      <c r="S12" s="100">
        <f>_xll.EQNXTDZ($A$1,$B12,S$1,$B$1)</f>
        <v>303.89729999999997</v>
      </c>
      <c r="T12" s="100">
        <f>_xll.EQNXTDZ($A$1,$B12,T$1,$B$1)</f>
        <v>334.06169999999997</v>
      </c>
      <c r="U12" s="100">
        <f>_xll.EQNXTDZ($A$1,$B12,U$1,$B$1)</f>
        <v>387.3886</v>
      </c>
      <c r="V12" s="100">
        <f>_xll.EQNXTDZ($A$1,$B12,V$1,$B$1)</f>
        <v>297.64909999999998</v>
      </c>
      <c r="W12" s="100">
        <f>_xll.EQNXTDZ($A$1,$B12,W$1,$B$1)</f>
        <v>217.42740000000001</v>
      </c>
      <c r="X12" s="100">
        <f>_xll.EQNXTDZ($A$1,$B12,X$1,$B$1)</f>
        <v>373.27</v>
      </c>
      <c r="Y12" s="100">
        <f>_xll.EQNXTDZ($A$1,$B12,Y$1,$B$1)</f>
        <v>504.35</v>
      </c>
      <c r="Z12" s="100">
        <f>_xll.EQNXTDZ($A$1,$B12,Z$1,$B$1)</f>
        <v>906.85</v>
      </c>
      <c r="AA12" s="100">
        <f>_xll.EQNXTDZ($A$1,$B12,AA$1,$B$1)</f>
        <v>715.65</v>
      </c>
      <c r="AB12" s="100">
        <f>_xll.EQNXTDZ($A$1,$B12,AB$1,$B$1)</f>
        <v>2538.3000000000002</v>
      </c>
      <c r="AC12" s="100">
        <f>_xll.EQNXTDZ($A$1,$B12,AC$1,$B$1)</f>
        <v>0</v>
      </c>
      <c r="AD12" s="100">
        <f>_xll.EQNXTDZ($A$1,$B12,AD$1,$B$1)</f>
        <v>0</v>
      </c>
      <c r="AE12" s="100">
        <f>_xll.EQNXTDZ($A$1,$B12,AE$1,$B$1)</f>
        <v>0</v>
      </c>
      <c r="AF12" s="100">
        <f>_xll.EQNXTDZ($A$1,$B12,AF$1,$B$1)</f>
        <v>0</v>
      </c>
    </row>
    <row r="13" spans="1:32" x14ac:dyDescent="0.25">
      <c r="A13" t="s">
        <v>7</v>
      </c>
      <c r="B13" t="s">
        <v>138</v>
      </c>
      <c r="C13" s="100">
        <f>_xll.EQNXTDZ($A$1,$B13,C$1,$B$1)</f>
        <v>5.8521999999999998</v>
      </c>
      <c r="D13" s="100">
        <f>_xll.EQNXTDZ($A$1,$B13,D$1,$B$1)</f>
        <v>5.3826000000000001</v>
      </c>
      <c r="E13" s="100">
        <f>_xll.EQNXTDZ($A$1,$B13,E$1,$B$1)</f>
        <v>5.5084</v>
      </c>
      <c r="F13" s="100">
        <f>_xll.EQNXTDZ($A$1,$B13,F$1,$B$1)</f>
        <v>5.4717000000000002</v>
      </c>
      <c r="G13" s="100">
        <f>_xll.EQNXTDZ($A$1,$B13,G$1,$B$1)</f>
        <v>5.7164999999999999</v>
      </c>
      <c r="H13" s="100">
        <f>_xll.EQNXTDZ($A$1,$B13,H$1,$B$1)</f>
        <v>6.2518000000000002</v>
      </c>
      <c r="I13" s="100">
        <f>_xll.EQNXTDZ($A$1,$B13,I$1,$B$1)</f>
        <v>10.408799999999999</v>
      </c>
      <c r="J13" s="100">
        <f>_xll.EQNXTDZ($A$1,$B13,J$1,$B$1)</f>
        <v>10.662100000000001</v>
      </c>
      <c r="K13" s="100">
        <f>_xll.EQNXTDZ($A$1,$B13,K$1,$B$1)</f>
        <v>13.129</v>
      </c>
      <c r="L13" s="100">
        <f>_xll.EQNXTDZ($A$1,$B13,L$1,$B$1)</f>
        <v>9.6302000000000003</v>
      </c>
      <c r="M13" s="100">
        <f>_xll.EQNXTDZ($A$1,$B13,M$1,$B$1)</f>
        <v>11.099399999999999</v>
      </c>
      <c r="N13" s="100">
        <f>_xll.EQNXTDZ($A$1,$B13,N$1,$B$1)</f>
        <v>10.4278</v>
      </c>
      <c r="O13" s="100">
        <f>_xll.EQNXTDZ($A$1,$B13,O$1,$B$1)</f>
        <v>12.153600000000001</v>
      </c>
      <c r="P13" s="100">
        <f>_xll.EQNXTDZ($A$1,$B13,P$1,$B$1)</f>
        <v>11.847300000000001</v>
      </c>
      <c r="Q13" s="100">
        <f>_xll.EQNXTDZ($A$1,$B13,Q$1,$B$1)</f>
        <v>9.1687999999999992</v>
      </c>
      <c r="R13" s="100">
        <f>_xll.EQNXTDZ($A$1,$B13,R$1,$B$1)</f>
        <v>8.4591999999999992</v>
      </c>
      <c r="S13" s="100">
        <f>_xll.EQNXTDZ($A$1,$B13,S$1,$B$1)</f>
        <v>10.0951</v>
      </c>
      <c r="T13" s="100">
        <f>_xll.EQNXTDZ($A$1,$B13,T$1,$B$1)</f>
        <v>1.5843</v>
      </c>
      <c r="U13" s="100">
        <f>_xll.EQNXTDZ($A$1,$B13,U$1,$B$1)</f>
        <v>2.6236000000000002</v>
      </c>
      <c r="V13" s="100">
        <f>_xll.EQNXTDZ($A$1,$B13,V$1,$B$1)</f>
        <v>2.4615</v>
      </c>
      <c r="W13" s="100">
        <f>_xll.EQNXTDZ($A$1,$B13,W$1,$B$1)</f>
        <v>2.2530000000000001</v>
      </c>
      <c r="X13" s="100">
        <f>_xll.EQNXTDZ($A$1,$B13,X$1,$B$1)</f>
        <v>3.64</v>
      </c>
      <c r="Y13" s="100">
        <f>_xll.EQNXTDZ($A$1,$B13,Y$1,$B$1)</f>
        <v>5.48</v>
      </c>
      <c r="Z13" s="100">
        <f>_xll.EQNXTDZ($A$1,$B13,Z$1,$B$1)</f>
        <v>10.61</v>
      </c>
      <c r="AA13" s="100">
        <f>_xll.EQNXTDZ($A$1,$B13,AA$1,$B$1)</f>
        <v>11.5</v>
      </c>
      <c r="AB13" s="100">
        <f>_xll.EQNXTDZ($A$1,$B13,AB$1,$B$1)</f>
        <v>206.01</v>
      </c>
      <c r="AC13" s="100">
        <f>_xll.EQNXTDZ($A$1,$B13,AC$1,$B$1)</f>
        <v>0</v>
      </c>
      <c r="AD13" s="100">
        <f>_xll.EQNXTDZ($A$1,$B13,AD$1,$B$1)</f>
        <v>0</v>
      </c>
      <c r="AE13" s="100">
        <f>_xll.EQNXTDZ($A$1,$B13,AE$1,$B$1)</f>
        <v>0</v>
      </c>
      <c r="AF13" s="100">
        <f>_xll.EQNXTDZ($A$1,$B13,AF$1,$B$1)</f>
        <v>0</v>
      </c>
    </row>
    <row r="14" spans="1:32" x14ac:dyDescent="0.25">
      <c r="A14" t="s">
        <v>8</v>
      </c>
      <c r="B14" t="s">
        <v>139</v>
      </c>
      <c r="C14" s="100">
        <f>_xll.EQNXTDZ($A$1,$B14,C$1,$B$1)</f>
        <v>4.1955999999999998</v>
      </c>
      <c r="D14" s="100">
        <f>_xll.EQNXTDZ($A$1,$B14,D$1,$B$1)</f>
        <v>3.6183999999999998</v>
      </c>
      <c r="E14" s="100">
        <f>_xll.EQNXTDZ($A$1,$B14,E$1,$B$1)</f>
        <v>4.1628999999999996</v>
      </c>
      <c r="F14" s="100">
        <f>_xll.EQNXTDZ($A$1,$B14,F$1,$B$1)</f>
        <v>4.8743999999999996</v>
      </c>
      <c r="G14" s="100">
        <f>_xll.EQNXTDZ($A$1,$B14,G$1,$B$1)</f>
        <v>5.0217000000000001</v>
      </c>
      <c r="H14" s="100">
        <f>_xll.EQNXTDZ($A$1,$B14,H$1,$B$1)</f>
        <v>7.4762000000000004</v>
      </c>
      <c r="I14" s="100">
        <f>_xll.EQNXTDZ($A$1,$B14,I$1,$B$1)</f>
        <v>8.0661000000000005</v>
      </c>
      <c r="J14" s="100">
        <f>_xll.EQNXTDZ($A$1,$B14,J$1,$B$1)</f>
        <v>8.3048000000000002</v>
      </c>
      <c r="K14" s="100">
        <f>_xll.EQNXTDZ($A$1,$B14,K$1,$B$1)</f>
        <v>11.180400000000001</v>
      </c>
      <c r="L14" s="100">
        <f>_xll.EQNXTDZ($A$1,$B14,L$1,$B$1)</f>
        <v>6.5389999999999997</v>
      </c>
      <c r="M14" s="100">
        <f>_xll.EQNXTDZ($A$1,$B14,M$1,$B$1)</f>
        <v>9.6697000000000006</v>
      </c>
      <c r="N14" s="100">
        <f>_xll.EQNXTDZ($A$1,$B14,N$1,$B$1)</f>
        <v>14.257199999999999</v>
      </c>
      <c r="O14" s="100">
        <f>_xll.EQNXTDZ($A$1,$B14,O$1,$B$1)</f>
        <v>14.9093</v>
      </c>
      <c r="P14" s="100">
        <f>_xll.EQNXTDZ($A$1,$B14,P$1,$B$1)</f>
        <v>14.934200000000001</v>
      </c>
      <c r="Q14" s="100">
        <f>_xll.EQNXTDZ($A$1,$B14,Q$1,$B$1)</f>
        <v>15.528</v>
      </c>
      <c r="R14" s="100">
        <f>_xll.EQNXTDZ($A$1,$B14,R$1,$B$1)</f>
        <v>13.181100000000001</v>
      </c>
      <c r="S14" s="100">
        <f>_xll.EQNXTDZ($A$1,$B14,S$1,$B$1)</f>
        <v>15.107799999999999</v>
      </c>
      <c r="T14" s="100">
        <f>_xll.EQNXTDZ($A$1,$B14,T$1,$B$1)</f>
        <v>15.459</v>
      </c>
      <c r="U14" s="100">
        <f>_xll.EQNXTDZ($A$1,$B14,U$1,$B$1)</f>
        <v>21.1007</v>
      </c>
      <c r="V14" s="100">
        <f>_xll.EQNXTDZ($A$1,$B14,V$1,$B$1)</f>
        <v>22.075299999999999</v>
      </c>
      <c r="W14" s="100">
        <f>_xll.EQNXTDZ($A$1,$B14,W$1,$B$1)</f>
        <v>14.057499999999999</v>
      </c>
      <c r="X14" s="100">
        <f>_xll.EQNXTDZ($A$1,$B14,X$1,$B$1)</f>
        <v>17.72</v>
      </c>
      <c r="Y14" s="100">
        <f>_xll.EQNXTDZ($A$1,$B14,Y$1,$B$1)</f>
        <v>53.62</v>
      </c>
      <c r="Z14" s="100">
        <f>_xll.EQNXTDZ($A$1,$B14,Z$1,$B$1)</f>
        <v>114.02</v>
      </c>
      <c r="AA14" s="100">
        <f>_xll.EQNXTDZ($A$1,$B14,AA$1,$B$1)</f>
        <v>156.76</v>
      </c>
      <c r="AB14" s="100">
        <f>_xll.EQNXTDZ($A$1,$B14,AB$1,$B$1)</f>
        <v>1281.8</v>
      </c>
      <c r="AC14" s="100">
        <f>_xll.EQNXTDZ($A$1,$B14,AC$1,$B$1)</f>
        <v>0</v>
      </c>
      <c r="AD14" s="100">
        <f>_xll.EQNXTDZ($A$1,$B14,AD$1,$B$1)</f>
        <v>0</v>
      </c>
      <c r="AE14" s="100">
        <f>_xll.EQNXTDZ($A$1,$B14,AE$1,$B$1)</f>
        <v>0</v>
      </c>
      <c r="AF14" s="100">
        <f>_xll.EQNXTDZ($A$1,$B14,AF$1,$B$1)</f>
        <v>0</v>
      </c>
    </row>
    <row r="15" spans="1:32" x14ac:dyDescent="0.25">
      <c r="A15" t="s">
        <v>118</v>
      </c>
      <c r="B15" t="s">
        <v>140</v>
      </c>
      <c r="C15" s="100">
        <f>_xll.EQNXTDZ($A$1,$B15,C$1,$B$1)</f>
        <v>4.3600000000000003</v>
      </c>
      <c r="D15" s="100">
        <f>_xll.EQNXTDZ($A$1,$B15,D$1,$B$1)</f>
        <v>4.8002000000000002</v>
      </c>
      <c r="E15" s="100">
        <f>_xll.EQNXTDZ($A$1,$B15,E$1,$B$1)</f>
        <v>6.7960000000000003</v>
      </c>
      <c r="F15" s="100">
        <f>_xll.EQNXTDZ($A$1,$B15,F$1,$B$1)</f>
        <v>6.7952000000000004</v>
      </c>
      <c r="G15" s="100">
        <f>_xll.EQNXTDZ($A$1,$B15,G$1,$B$1)</f>
        <v>13.9955</v>
      </c>
      <c r="H15" s="100">
        <f>_xll.EQNXTDZ($A$1,$B15,H$1,$B$1)</f>
        <v>13.1343</v>
      </c>
      <c r="I15" s="100">
        <f>_xll.EQNXTDZ($A$1,$B15,I$1,$B$1)</f>
        <v>12.464700000000001</v>
      </c>
      <c r="J15" s="100">
        <f>_xll.EQNXTDZ($A$1,$B15,J$1,$B$1)</f>
        <v>14.868499999999999</v>
      </c>
      <c r="K15" s="100">
        <f>_xll.EQNXTDZ($A$1,$B15,K$1,$B$1)</f>
        <v>19.538699999999999</v>
      </c>
      <c r="L15" s="100">
        <f>_xll.EQNXTDZ($A$1,$B15,L$1,$B$1)</f>
        <v>15.839</v>
      </c>
      <c r="M15" s="100">
        <f>_xll.EQNXTDZ($A$1,$B15,M$1,$B$1)</f>
        <v>17.8505</v>
      </c>
      <c r="N15" s="100">
        <f>_xll.EQNXTDZ($A$1,$B15,N$1,$B$1)</f>
        <v>18.539200000000001</v>
      </c>
      <c r="O15" s="100">
        <f>_xll.EQNXTDZ($A$1,$B15,O$1,$B$1)</f>
        <v>20.853100000000001</v>
      </c>
      <c r="P15" s="100">
        <f>_xll.EQNXTDZ($A$1,$B15,P$1,$B$1)</f>
        <v>13.682600000000001</v>
      </c>
      <c r="Q15" s="100">
        <f>_xll.EQNXTDZ($A$1,$B15,Q$1,$B$1)</f>
        <v>13.880699999999999</v>
      </c>
      <c r="R15" s="100">
        <f>_xll.EQNXTDZ($A$1,$B15,R$1,$B$1)</f>
        <v>11.670199999999999</v>
      </c>
      <c r="S15" s="100">
        <f>_xll.EQNXTDZ($A$1,$B15,S$1,$B$1)</f>
        <v>16.238</v>
      </c>
      <c r="T15" s="100">
        <f>_xll.EQNXTDZ($A$1,$B15,T$1,$B$1)</f>
        <v>19.819400000000002</v>
      </c>
      <c r="U15" s="100">
        <f>_xll.EQNXTDZ($A$1,$B15,U$1,$B$1)</f>
        <v>22.3019</v>
      </c>
      <c r="V15" s="100">
        <f>_xll.EQNXTDZ($A$1,$B15,V$1,$B$1)</f>
        <v>16.855599999999999</v>
      </c>
      <c r="W15" s="100">
        <f>_xll.EQNXTDZ($A$1,$B15,W$1,$B$1)</f>
        <v>10.1684</v>
      </c>
      <c r="X15" s="100">
        <f>_xll.EQNXTDZ($A$1,$B15,X$1,$B$1)</f>
        <v>126.51</v>
      </c>
      <c r="Y15" s="100">
        <f>_xll.EQNXTDZ($A$1,$B15,Y$1,$B$1)</f>
        <v>1117.93</v>
      </c>
      <c r="Z15" s="100">
        <f>_xll.EQNXTDZ($A$1,$B15,Z$1,$B$1)</f>
        <v>1868.42</v>
      </c>
      <c r="AA15" s="100">
        <f>_xll.EQNXTDZ($A$1,$B15,AA$1,$B$1)</f>
        <v>1924.47</v>
      </c>
      <c r="AB15" s="100">
        <f>_xll.EQNXTDZ($A$1,$B15,AB$1,$B$1)</f>
        <v>4336.87</v>
      </c>
      <c r="AC15" s="100">
        <f>_xll.EQNXTDZ($A$1,$B15,AC$1,$B$1)</f>
        <v>0</v>
      </c>
      <c r="AD15" s="100">
        <f>_xll.EQNXTDZ($A$1,$B15,AD$1,$B$1)</f>
        <v>0</v>
      </c>
      <c r="AE15" s="100">
        <f>_xll.EQNXTDZ($A$1,$B15,AE$1,$B$1)</f>
        <v>0</v>
      </c>
      <c r="AF15" s="100">
        <f>_xll.EQNXTDZ($A$1,$B15,AF$1,$B$1)</f>
        <v>0</v>
      </c>
    </row>
    <row r="16" spans="1:32" x14ac:dyDescent="0.25">
      <c r="A16" t="s">
        <v>119</v>
      </c>
      <c r="B16" t="s">
        <v>141</v>
      </c>
      <c r="C16" s="100">
        <f>_xll.EQNXTDZ($A$1,$B16,C$1,$B$1)</f>
        <v>0</v>
      </c>
      <c r="D16" s="100">
        <f>_xll.EQNXTDZ($A$1,$B16,D$1,$B$1)</f>
        <v>0</v>
      </c>
      <c r="E16" s="100">
        <f>_xll.EQNXTDZ($A$1,$B16,E$1,$B$1)</f>
        <v>0</v>
      </c>
      <c r="F16" s="100">
        <f>_xll.EQNXTDZ($A$1,$B16,F$1,$B$1)</f>
        <v>0</v>
      </c>
      <c r="G16" s="100">
        <f>_xll.EQNXTDZ($A$1,$B16,G$1,$B$1)</f>
        <v>0</v>
      </c>
      <c r="H16" s="100">
        <f>_xll.EQNXTDZ($A$1,$B16,H$1,$B$1)</f>
        <v>0</v>
      </c>
      <c r="I16" s="100">
        <f>_xll.EQNXTDZ($A$1,$B16,I$1,$B$1)</f>
        <v>0</v>
      </c>
      <c r="J16" s="100">
        <f>_xll.EQNXTDZ($A$1,$B16,J$1,$B$1)</f>
        <v>0</v>
      </c>
      <c r="K16" s="100">
        <f>_xll.EQNXTDZ($A$1,$B16,K$1,$B$1)</f>
        <v>0</v>
      </c>
      <c r="L16" s="100">
        <f>_xll.EQNXTDZ($A$1,$B16,L$1,$B$1)</f>
        <v>0</v>
      </c>
      <c r="M16" s="100">
        <f>_xll.EQNXTDZ($A$1,$B16,M$1,$B$1)</f>
        <v>0</v>
      </c>
      <c r="N16" s="100">
        <f>_xll.EQNXTDZ($A$1,$B16,N$1,$B$1)</f>
        <v>0</v>
      </c>
      <c r="O16" s="100">
        <f>_xll.EQNXTDZ($A$1,$B16,O$1,$B$1)</f>
        <v>0</v>
      </c>
      <c r="P16" s="100">
        <f>_xll.EQNXTDZ($A$1,$B16,P$1,$B$1)</f>
        <v>0</v>
      </c>
      <c r="Q16" s="100">
        <f>_xll.EQNXTDZ($A$1,$B16,Q$1,$B$1)</f>
        <v>0</v>
      </c>
      <c r="R16" s="100">
        <f>_xll.EQNXTDZ($A$1,$B16,R$1,$B$1)</f>
        <v>0</v>
      </c>
      <c r="S16" s="100">
        <f>_xll.EQNXTDZ($A$1,$B16,S$1,$B$1)</f>
        <v>0</v>
      </c>
      <c r="T16" s="100">
        <f>_xll.EQNXTDZ($A$1,$B16,T$1,$B$1)</f>
        <v>0</v>
      </c>
      <c r="U16" s="100">
        <f>_xll.EQNXTDZ($A$1,$B16,U$1,$B$1)</f>
        <v>0</v>
      </c>
      <c r="V16" s="100">
        <f>_xll.EQNXTDZ($A$1,$B16,V$1,$B$1)</f>
        <v>0</v>
      </c>
      <c r="W16" s="100">
        <f>_xll.EQNXTDZ($A$1,$B16,W$1,$B$1)</f>
        <v>0</v>
      </c>
      <c r="X16" s="100">
        <f>_xll.EQNXTDZ($A$1,$B16,X$1,$B$1)</f>
        <v>0</v>
      </c>
      <c r="Y16" s="100">
        <f>_xll.EQNXTDZ($A$1,$B16,Y$1,$B$1)</f>
        <v>0</v>
      </c>
      <c r="Z16" s="100">
        <f>_xll.EQNXTDZ($A$1,$B16,Z$1,$B$1)</f>
        <v>0</v>
      </c>
      <c r="AA16" s="100">
        <f>_xll.EQNXTDZ($A$1,$B16,AA$1,$B$1)</f>
        <v>0</v>
      </c>
      <c r="AB16" s="100">
        <f>_xll.EQNXTDZ($A$1,$B16,AB$1,$B$1)</f>
        <v>0</v>
      </c>
      <c r="AC16" s="100">
        <f>_xll.EQNXTDZ($A$1,$B16,AC$1,$B$1)</f>
        <v>0</v>
      </c>
      <c r="AD16" s="100">
        <f>_xll.EQNXTDZ($A$1,$B16,AD$1,$B$1)</f>
        <v>0</v>
      </c>
      <c r="AE16" s="100">
        <f>_xll.EQNXTDZ($A$1,$B16,AE$1,$B$1)</f>
        <v>0</v>
      </c>
      <c r="AF16" s="100">
        <f>_xll.EQNXTDZ($A$1,$B16,AF$1,$B$1)</f>
        <v>0</v>
      </c>
    </row>
    <row r="17" spans="1:32" x14ac:dyDescent="0.25">
      <c r="A17" t="s">
        <v>10</v>
      </c>
      <c r="B17" t="s">
        <v>142</v>
      </c>
      <c r="C17" s="100">
        <f>_xll.EQNXTDZ($A$1,$B17,C$1,$B$1)</f>
        <v>0.85870000000000002</v>
      </c>
      <c r="D17" s="100">
        <f>_xll.EQNXTDZ($A$1,$B17,D$1,$B$1)</f>
        <v>1.5423</v>
      </c>
      <c r="E17" s="100">
        <f>_xll.EQNXTDZ($A$1,$B17,E$1,$B$1)</f>
        <v>1.7326999999999999</v>
      </c>
      <c r="F17" s="100">
        <f>_xll.EQNXTDZ($A$1,$B17,F$1,$B$1)</f>
        <v>2.0072000000000001</v>
      </c>
      <c r="G17" s="100">
        <f>_xll.EQNXTDZ($A$1,$B17,G$1,$B$1)</f>
        <v>1.8207</v>
      </c>
      <c r="H17" s="100">
        <f>_xll.EQNXTDZ($A$1,$B17,H$1,$B$1)</f>
        <v>2.4184000000000001</v>
      </c>
      <c r="I17" s="100">
        <f>_xll.EQNXTDZ($A$1,$B17,I$1,$B$1)</f>
        <v>2.0554999999999999</v>
      </c>
      <c r="J17" s="100">
        <f>_xll.EQNXTDZ($A$1,$B17,J$1,$B$1)</f>
        <v>3.8814000000000002</v>
      </c>
      <c r="K17" s="100">
        <f>_xll.EQNXTDZ($A$1,$B17,K$1,$B$1)</f>
        <v>5.0137</v>
      </c>
      <c r="L17" s="100">
        <f>_xll.EQNXTDZ($A$1,$B17,L$1,$B$1)</f>
        <v>2.9340999999999999</v>
      </c>
      <c r="M17" s="100">
        <f>_xll.EQNXTDZ($A$1,$B17,M$1,$B$1)</f>
        <v>5.9926000000000004</v>
      </c>
      <c r="N17" s="100">
        <f>_xll.EQNXTDZ($A$1,$B17,N$1,$B$1)</f>
        <v>2.8416000000000001</v>
      </c>
      <c r="O17" s="100">
        <f>_xll.EQNXTDZ($A$1,$B17,O$1,$B$1)</f>
        <v>3.6070000000000002</v>
      </c>
      <c r="P17" s="100">
        <f>_xll.EQNXTDZ($A$1,$B17,P$1,$B$1)</f>
        <v>4.3334000000000001</v>
      </c>
      <c r="Q17" s="100">
        <f>_xll.EQNXTDZ($A$1,$B17,Q$1,$B$1)</f>
        <v>4.2508999999999997</v>
      </c>
      <c r="R17" s="100">
        <f>_xll.EQNXTDZ($A$1,$B17,R$1,$B$1)</f>
        <v>4.6687000000000003</v>
      </c>
      <c r="S17" s="100">
        <f>_xll.EQNXTDZ($A$1,$B17,S$1,$B$1)</f>
        <v>6.0862999999999996</v>
      </c>
      <c r="T17" s="100">
        <f>_xll.EQNXTDZ($A$1,$B17,T$1,$B$1)</f>
        <v>6.8883999999999999</v>
      </c>
      <c r="U17" s="100">
        <f>_xll.EQNXTDZ($A$1,$B17,U$1,$B$1)</f>
        <v>5.9419000000000004</v>
      </c>
      <c r="V17" s="100">
        <f>_xll.EQNXTDZ($A$1,$B17,V$1,$B$1)</f>
        <v>4.3381999999999996</v>
      </c>
      <c r="W17" s="100">
        <f>_xll.EQNXTDZ($A$1,$B17,W$1,$B$1)</f>
        <v>3.1522999999999999</v>
      </c>
      <c r="X17" s="100">
        <f>_xll.EQNXTDZ($A$1,$B17,X$1,$B$1)</f>
        <v>5.77</v>
      </c>
      <c r="Y17" s="100">
        <f>_xll.EQNXTDZ($A$1,$B17,Y$1,$B$1)</f>
        <v>31.35</v>
      </c>
      <c r="Z17" s="100">
        <f>_xll.EQNXTDZ($A$1,$B17,Z$1,$B$1)</f>
        <v>52.27</v>
      </c>
      <c r="AA17" s="100">
        <f>_xll.EQNXTDZ($A$1,$B17,AA$1,$B$1)</f>
        <v>84.88</v>
      </c>
      <c r="AB17" s="100">
        <f>_xll.EQNXTDZ($A$1,$B17,AB$1,$B$1)</f>
        <v>662.32</v>
      </c>
      <c r="AC17" s="100">
        <f>_xll.EQNXTDZ($A$1,$B17,AC$1,$B$1)</f>
        <v>0</v>
      </c>
      <c r="AD17" s="100">
        <f>_xll.EQNXTDZ($A$1,$B17,AD$1,$B$1)</f>
        <v>0</v>
      </c>
      <c r="AE17" s="100">
        <f>_xll.EQNXTDZ($A$1,$B17,AE$1,$B$1)</f>
        <v>0</v>
      </c>
      <c r="AF17" s="100">
        <f>_xll.EQNXTDZ($A$1,$B17,AF$1,$B$1)</f>
        <v>0</v>
      </c>
    </row>
    <row r="18" spans="1:32" x14ac:dyDescent="0.25">
      <c r="A18" t="s">
        <v>11</v>
      </c>
      <c r="B18" t="s">
        <v>143</v>
      </c>
      <c r="C18" s="100">
        <f>_xll.EQNXTDZ($A$1,$B18,C$1,$B$1)</f>
        <v>3.3502999999999998</v>
      </c>
      <c r="D18" s="100">
        <f>_xll.EQNXTDZ($A$1,$B18,D$1,$B$1)</f>
        <v>5.5152000000000001</v>
      </c>
      <c r="E18" s="100">
        <f>_xll.EQNXTDZ($A$1,$B18,E$1,$B$1)</f>
        <v>11.2133</v>
      </c>
      <c r="F18" s="100">
        <f>_xll.EQNXTDZ($A$1,$B18,F$1,$B$1)</f>
        <v>10.3751</v>
      </c>
      <c r="G18" s="100">
        <f>_xll.EQNXTDZ($A$1,$B18,G$1,$B$1)</f>
        <v>13.8767</v>
      </c>
      <c r="H18" s="100">
        <f>_xll.EQNXTDZ($A$1,$B18,H$1,$B$1)</f>
        <v>20.5504</v>
      </c>
      <c r="I18" s="100">
        <f>_xll.EQNXTDZ($A$1,$B18,I$1,$B$1)</f>
        <v>14.7865</v>
      </c>
      <c r="J18" s="100">
        <f>_xll.EQNXTDZ($A$1,$B18,J$1,$B$1)</f>
        <v>4.9218999999999999</v>
      </c>
      <c r="K18" s="100">
        <f>_xll.EQNXTDZ($A$1,$B18,K$1,$B$1)</f>
        <v>27.659800000000001</v>
      </c>
      <c r="L18" s="100">
        <f>_xll.EQNXTDZ($A$1,$B18,L$1,$B$1)</f>
        <v>1.0994999999999999</v>
      </c>
      <c r="M18" s="100">
        <f>_xll.EQNXTDZ($A$1,$B18,M$1,$B$1)</f>
        <v>2.2187999999999999</v>
      </c>
      <c r="N18" s="100">
        <f>_xll.EQNXTDZ($A$1,$B18,N$1,$B$1)</f>
        <v>0.3009</v>
      </c>
      <c r="O18" s="100">
        <f>_xll.EQNXTDZ($A$1,$B18,O$1,$B$1)</f>
        <v>0.73650000000000004</v>
      </c>
      <c r="P18" s="100">
        <f>_xll.EQNXTDZ($A$1,$B18,P$1,$B$1)</f>
        <v>2.4226999999999999</v>
      </c>
      <c r="Q18" s="100">
        <f>_xll.EQNXTDZ($A$1,$B18,Q$1,$B$1)</f>
        <v>6.7538999999999998</v>
      </c>
      <c r="R18" s="100">
        <f>_xll.EQNXTDZ($A$1,$B18,R$1,$B$1)</f>
        <v>7.8974000000000002</v>
      </c>
      <c r="S18" s="100">
        <f>_xll.EQNXTDZ($A$1,$B18,S$1,$B$1)</f>
        <v>7.6124000000000001</v>
      </c>
      <c r="T18" s="100">
        <f>_xll.EQNXTDZ($A$1,$B18,T$1,$B$1)</f>
        <v>11.843400000000001</v>
      </c>
      <c r="U18" s="100">
        <f>_xll.EQNXTDZ($A$1,$B18,U$1,$B$1)</f>
        <v>21.346900000000002</v>
      </c>
      <c r="V18" s="100">
        <f>_xll.EQNXTDZ($A$1,$B18,V$1,$B$1)</f>
        <v>14.3086</v>
      </c>
      <c r="W18" s="100">
        <f>_xll.EQNXTDZ($A$1,$B18,W$1,$B$1)</f>
        <v>8.1107999999999993</v>
      </c>
      <c r="X18" s="100">
        <f>_xll.EQNXTDZ($A$1,$B18,X$1,$B$1)</f>
        <v>80.239999999999995</v>
      </c>
      <c r="Y18" s="100">
        <f>_xll.EQNXTDZ($A$1,$B18,Y$1,$B$1)</f>
        <v>817.34</v>
      </c>
      <c r="Z18" s="100">
        <f>_xll.EQNXTDZ($A$1,$B18,Z$1,$B$1)</f>
        <v>1733.37</v>
      </c>
      <c r="AA18" s="100">
        <f>_xll.EQNXTDZ($A$1,$B18,AA$1,$B$1)</f>
        <v>1618.79</v>
      </c>
      <c r="AB18" s="100">
        <f>_xll.EQNXTDZ($A$1,$B18,AB$1,$B$1)</f>
        <v>2054.67</v>
      </c>
      <c r="AC18" s="100">
        <f>_xll.EQNXTDZ($A$1,$B18,AC$1,$B$1)</f>
        <v>0</v>
      </c>
      <c r="AD18" s="100">
        <f>_xll.EQNXTDZ($A$1,$B18,AD$1,$B$1)</f>
        <v>0</v>
      </c>
      <c r="AE18" s="100">
        <f>_xll.EQNXTDZ($A$1,$B18,AE$1,$B$1)</f>
        <v>0</v>
      </c>
      <c r="AF18" s="100">
        <f>_xll.EQNXTDZ($A$1,$B18,AF$1,$B$1)</f>
        <v>0</v>
      </c>
    </row>
    <row r="19" spans="1:32" x14ac:dyDescent="0.25">
      <c r="A19" t="s">
        <v>12</v>
      </c>
      <c r="B19" t="s">
        <v>144</v>
      </c>
      <c r="C19" s="100">
        <f>_xll.EQNXTDZ($A$1,$B19,C$1,$B$1)</f>
        <v>1.7668999999999999</v>
      </c>
      <c r="D19" s="100">
        <f>_xll.EQNXTDZ($A$1,$B19,D$1,$B$1)</f>
        <v>1.5673999999999999</v>
      </c>
      <c r="E19" s="100">
        <f>_xll.EQNXTDZ($A$1,$B19,E$1,$B$1)</f>
        <v>4.3116000000000003</v>
      </c>
      <c r="F19" s="100">
        <f>_xll.EQNXTDZ($A$1,$B19,F$1,$B$1)</f>
        <v>15.344200000000001</v>
      </c>
      <c r="G19" s="100">
        <f>_xll.EQNXTDZ($A$1,$B19,G$1,$B$1)</f>
        <v>5.2389000000000001</v>
      </c>
      <c r="H19" s="100">
        <f>_xll.EQNXTDZ($A$1,$B19,H$1,$B$1)</f>
        <v>1.4515</v>
      </c>
      <c r="I19" s="100">
        <f>_xll.EQNXTDZ($A$1,$B19,I$1,$B$1)</f>
        <v>2.3900999999999999</v>
      </c>
      <c r="J19" s="100">
        <f>_xll.EQNXTDZ($A$1,$B19,J$1,$B$1)</f>
        <v>1.5754999999999999</v>
      </c>
      <c r="K19" s="100">
        <f>_xll.EQNXTDZ($A$1,$B19,K$1,$B$1)</f>
        <v>1.9522999999999999</v>
      </c>
      <c r="L19" s="100">
        <f>_xll.EQNXTDZ($A$1,$B19,L$1,$B$1)</f>
        <v>0.93569999999999998</v>
      </c>
      <c r="M19" s="100">
        <f>_xll.EQNXTDZ($A$1,$B19,M$1,$B$1)</f>
        <v>1.2319</v>
      </c>
      <c r="N19" s="100">
        <f>_xll.EQNXTDZ($A$1,$B19,N$1,$B$1)</f>
        <v>1.1262000000000001</v>
      </c>
      <c r="O19" s="100">
        <f>_xll.EQNXTDZ($A$1,$B19,O$1,$B$1)</f>
        <v>1.5630999999999999</v>
      </c>
      <c r="P19" s="100">
        <f>_xll.EQNXTDZ($A$1,$B19,P$1,$B$1)</f>
        <v>1.2984</v>
      </c>
      <c r="Q19" s="100">
        <f>_xll.EQNXTDZ($A$1,$B19,Q$1,$B$1)</f>
        <v>1.3951</v>
      </c>
      <c r="R19" s="100">
        <f>_xll.EQNXTDZ($A$1,$B19,R$1,$B$1)</f>
        <v>1.4060999999999999</v>
      </c>
      <c r="S19" s="100">
        <f>_xll.EQNXTDZ($A$1,$B19,S$1,$B$1)</f>
        <v>2.8616000000000001</v>
      </c>
      <c r="T19" s="100">
        <f>_xll.EQNXTDZ($A$1,$B19,T$1,$B$1)</f>
        <v>3.5105</v>
      </c>
      <c r="U19" s="100">
        <f>_xll.EQNXTDZ($A$1,$B19,U$1,$B$1)</f>
        <v>3.9775</v>
      </c>
      <c r="V19" s="100">
        <f>_xll.EQNXTDZ($A$1,$B19,V$1,$B$1)</f>
        <v>2.6966999999999999</v>
      </c>
      <c r="W19" s="100">
        <f>_xll.EQNXTDZ($A$1,$B19,W$1,$B$1)</f>
        <v>1.8156000000000001</v>
      </c>
      <c r="X19" s="100">
        <f>_xll.EQNXTDZ($A$1,$B19,X$1,$B$1)</f>
        <v>5.21</v>
      </c>
      <c r="Y19" s="100">
        <f>_xll.EQNXTDZ($A$1,$B19,Y$1,$B$1)</f>
        <v>16.18</v>
      </c>
      <c r="Z19" s="100">
        <f>_xll.EQNXTDZ($A$1,$B19,Z$1,$B$1)</f>
        <v>122.75</v>
      </c>
      <c r="AA19" s="100">
        <f>_xll.EQNXTDZ($A$1,$B19,AA$1,$B$1)</f>
        <v>162.84</v>
      </c>
      <c r="AB19" s="100">
        <f>_xll.EQNXTDZ($A$1,$B19,AB$1,$B$1)</f>
        <v>600.20000000000005</v>
      </c>
      <c r="AC19" s="100">
        <f>_xll.EQNXTDZ($A$1,$B19,AC$1,$B$1)</f>
        <v>0</v>
      </c>
      <c r="AD19" s="100">
        <f>_xll.EQNXTDZ($A$1,$B19,AD$1,$B$1)</f>
        <v>0</v>
      </c>
      <c r="AE19" s="100">
        <f>_xll.EQNXTDZ($A$1,$B19,AE$1,$B$1)</f>
        <v>0</v>
      </c>
      <c r="AF19" s="100">
        <f>_xll.EQNXTDZ($A$1,$B19,AF$1,$B$1)</f>
        <v>0</v>
      </c>
    </row>
    <row r="20" spans="1:32" x14ac:dyDescent="0.25">
      <c r="A20" t="s">
        <v>120</v>
      </c>
      <c r="B20" t="s">
        <v>145</v>
      </c>
      <c r="C20" s="100">
        <f>_xll.EQNXTDZ($A$1,$B20,C$1,$B$1)</f>
        <v>0</v>
      </c>
      <c r="D20" s="100">
        <f>_xll.EQNXTDZ($A$1,$B20,D$1,$B$1)</f>
        <v>0</v>
      </c>
      <c r="E20" s="100">
        <f>_xll.EQNXTDZ($A$1,$B20,E$1,$B$1)</f>
        <v>0</v>
      </c>
      <c r="F20" s="100">
        <f>_xll.EQNXTDZ($A$1,$B20,F$1,$B$1)</f>
        <v>0</v>
      </c>
      <c r="G20" s="100">
        <f>_xll.EQNXTDZ($A$1,$B20,G$1,$B$1)</f>
        <v>0</v>
      </c>
      <c r="H20" s="100">
        <f>_xll.EQNXTDZ($A$1,$B20,H$1,$B$1)</f>
        <v>0</v>
      </c>
      <c r="I20" s="100">
        <f>_xll.EQNXTDZ($A$1,$B20,I$1,$B$1)</f>
        <v>0</v>
      </c>
      <c r="J20" s="100">
        <f>_xll.EQNXTDZ($A$1,$B20,J$1,$B$1)</f>
        <v>0</v>
      </c>
      <c r="K20" s="100">
        <f>_xll.EQNXTDZ($A$1,$B20,K$1,$B$1)</f>
        <v>0</v>
      </c>
      <c r="L20" s="100">
        <f>_xll.EQNXTDZ($A$1,$B20,L$1,$B$1)</f>
        <v>0</v>
      </c>
      <c r="M20" s="100">
        <f>_xll.EQNXTDZ($A$1,$B20,M$1,$B$1)</f>
        <v>0</v>
      </c>
      <c r="N20" s="100">
        <f>_xll.EQNXTDZ($A$1,$B20,N$1,$B$1)</f>
        <v>0</v>
      </c>
      <c r="O20" s="100">
        <f>_xll.EQNXTDZ($A$1,$B20,O$1,$B$1)</f>
        <v>0</v>
      </c>
      <c r="P20" s="100">
        <f>_xll.EQNXTDZ($A$1,$B20,P$1,$B$1)</f>
        <v>0</v>
      </c>
      <c r="Q20" s="100">
        <f>_xll.EQNXTDZ($A$1,$B20,Q$1,$B$1)</f>
        <v>0</v>
      </c>
      <c r="R20" s="100">
        <f>_xll.EQNXTDZ($A$1,$B20,R$1,$B$1)</f>
        <v>0</v>
      </c>
      <c r="S20" s="100">
        <f>_xll.EQNXTDZ($A$1,$B20,S$1,$B$1)</f>
        <v>0</v>
      </c>
      <c r="T20" s="100">
        <f>_xll.EQNXTDZ($A$1,$B20,T$1,$B$1)</f>
        <v>0</v>
      </c>
      <c r="U20" s="100">
        <f>_xll.EQNXTDZ($A$1,$B20,U$1,$B$1)</f>
        <v>0</v>
      </c>
      <c r="V20" s="100">
        <f>_xll.EQNXTDZ($A$1,$B20,V$1,$B$1)</f>
        <v>0</v>
      </c>
      <c r="W20" s="100">
        <f>_xll.EQNXTDZ($A$1,$B20,W$1,$B$1)</f>
        <v>0</v>
      </c>
      <c r="X20" s="100">
        <f>_xll.EQNXTDZ($A$1,$B20,X$1,$B$1)</f>
        <v>0</v>
      </c>
      <c r="Y20" s="100">
        <f>_xll.EQNXTDZ($A$1,$B20,Y$1,$B$1)</f>
        <v>0</v>
      </c>
      <c r="Z20" s="100">
        <f>_xll.EQNXTDZ($A$1,$B20,Z$1,$B$1)</f>
        <v>0</v>
      </c>
      <c r="AA20" s="100">
        <f>_xll.EQNXTDZ($A$1,$B20,AA$1,$B$1)</f>
        <v>0</v>
      </c>
      <c r="AB20" s="100">
        <f>_xll.EQNXTDZ($A$1,$B20,AB$1,$B$1)</f>
        <v>0</v>
      </c>
      <c r="AC20" s="100">
        <f>_xll.EQNXTDZ($A$1,$B20,AC$1,$B$1)</f>
        <v>0</v>
      </c>
      <c r="AD20" s="100">
        <f>_xll.EQNXTDZ($A$1,$B20,AD$1,$B$1)</f>
        <v>0</v>
      </c>
      <c r="AE20" s="100">
        <f>_xll.EQNXTDZ($A$1,$B20,AE$1,$B$1)</f>
        <v>0</v>
      </c>
      <c r="AF20" s="100">
        <f>_xll.EQNXTDZ($A$1,$B20,AF$1,$B$1)</f>
        <v>0</v>
      </c>
    </row>
    <row r="21" spans="1:32" x14ac:dyDescent="0.25">
      <c r="A21" t="s">
        <v>121</v>
      </c>
      <c r="B21" t="s">
        <v>146</v>
      </c>
      <c r="C21" s="100">
        <f>_xll.EQNXTDZ($A$1,$B21,C$1,$B$1)</f>
        <v>95.648399999999995</v>
      </c>
      <c r="D21" s="100">
        <f>_xll.EQNXTDZ($A$1,$B21,D$1,$B$1)</f>
        <v>102.9502</v>
      </c>
      <c r="E21" s="100">
        <f>_xll.EQNXTDZ($A$1,$B21,E$1,$B$1)</f>
        <v>142.9623</v>
      </c>
      <c r="F21" s="100">
        <f>_xll.EQNXTDZ($A$1,$B21,F$1,$B$1)</f>
        <v>169.25460000000001</v>
      </c>
      <c r="G21" s="100">
        <f>_xll.EQNXTDZ($A$1,$B21,G$1,$B$1)</f>
        <v>232.26400000000001</v>
      </c>
      <c r="H21" s="100">
        <f>_xll.EQNXTDZ($A$1,$B21,H$1,$B$1)</f>
        <v>254.7133</v>
      </c>
      <c r="I21" s="100">
        <f>_xll.EQNXTDZ($A$1,$B21,I$1,$B$1)</f>
        <v>335.1687</v>
      </c>
      <c r="J21" s="100">
        <f>_xll.EQNXTDZ($A$1,$B21,J$1,$B$1)</f>
        <v>347.30720000000002</v>
      </c>
      <c r="K21" s="100">
        <f>_xll.EQNXTDZ($A$1,$B21,K$1,$B$1)</f>
        <v>630.39729999999997</v>
      </c>
      <c r="L21" s="100">
        <f>_xll.EQNXTDZ($A$1,$B21,L$1,$B$1)</f>
        <v>533.55340000000001</v>
      </c>
      <c r="M21" s="100">
        <f>_xll.EQNXTDZ($A$1,$B21,M$1,$B$1)</f>
        <v>667.83609999999999</v>
      </c>
      <c r="N21" s="100">
        <f>_xll.EQNXTDZ($A$1,$B21,N$1,$B$1)</f>
        <v>979.31290000000001</v>
      </c>
      <c r="O21" s="100">
        <f>_xll.EQNXTDZ($A$1,$B21,O$1,$B$1)</f>
        <v>738.53179999999998</v>
      </c>
      <c r="P21" s="100">
        <f>_xll.EQNXTDZ($A$1,$B21,P$1,$B$1)</f>
        <v>592.98230000000001</v>
      </c>
      <c r="Q21" s="100">
        <f>_xll.EQNXTDZ($A$1,$B21,Q$1,$B$1)</f>
        <v>665.29060000000004</v>
      </c>
      <c r="R21" s="100">
        <f>_xll.EQNXTDZ($A$1,$B21,R$1,$B$1)</f>
        <v>363.68419999999998</v>
      </c>
      <c r="S21" s="100">
        <f>_xll.EQNXTDZ($A$1,$B21,S$1,$B$1)</f>
        <v>354.15530000000001</v>
      </c>
      <c r="T21" s="100">
        <f>_xll.EQNXTDZ($A$1,$B21,T$1,$B$1)</f>
        <v>386.173</v>
      </c>
      <c r="U21" s="100">
        <f>_xll.EQNXTDZ($A$1,$B21,U$1,$B$1)</f>
        <v>461.52440000000001</v>
      </c>
      <c r="V21" s="100">
        <f>_xll.EQNXTDZ($A$1,$B21,V$1,$B$1)</f>
        <v>350.61059999999998</v>
      </c>
      <c r="W21" s="100">
        <f>_xll.EQNXTDZ($A$1,$B21,W$1,$B$1)</f>
        <v>242.53489999999999</v>
      </c>
      <c r="X21" s="100">
        <f>_xll.EQNXTDZ($A$1,$B21,X$1,$B$1)</f>
        <v>551.97</v>
      </c>
      <c r="Y21" s="100">
        <f>_xll.EQNXTDZ($A$1,$B21,Y$1,$B$1)</f>
        <v>2582.02</v>
      </c>
      <c r="Z21" s="100">
        <f>_xll.EQNXTDZ($A$1,$B21,Z$1,$B$1)</f>
        <v>4793.3999999999996</v>
      </c>
      <c r="AA21" s="100">
        <f>_xll.EQNXTDZ($A$1,$B21,AA$1,$B$1)</f>
        <v>4765.3100000000004</v>
      </c>
      <c r="AB21" s="100">
        <f>_xll.EQNXTDZ($A$1,$B21,AB$1,$B$1)</f>
        <v>10960.51</v>
      </c>
      <c r="AC21" s="100">
        <f>_xll.EQNXTDZ($A$1,$B21,AC$1,$B$1)</f>
        <v>0</v>
      </c>
      <c r="AD21" s="100">
        <f>_xll.EQNXTDZ($A$1,$B21,AD$1,$B$1)</f>
        <v>0</v>
      </c>
      <c r="AE21" s="100">
        <f>_xll.EQNXTDZ($A$1,$B21,AE$1,$B$1)</f>
        <v>0</v>
      </c>
      <c r="AF21" s="100">
        <f>_xll.EQNXTDZ($A$1,$B21,AF$1,$B$1)</f>
        <v>0</v>
      </c>
    </row>
    <row r="22" spans="1:32" x14ac:dyDescent="0.25">
      <c r="A22" t="s">
        <v>122</v>
      </c>
      <c r="B22" t="s">
        <v>147</v>
      </c>
      <c r="C22" s="100">
        <f>_xll.EQNXTDZ($A$1,$B22,C$1,$B$1)</f>
        <v>6.4892000000000003</v>
      </c>
      <c r="D22" s="100">
        <f>_xll.EQNXTDZ($A$1,$B22,D$1,$B$1)</f>
        <v>3.0329999999999901</v>
      </c>
      <c r="E22" s="100">
        <f>_xll.EQNXTDZ($A$1,$B22,E$1,$B$1)</f>
        <v>7.0852000000000004</v>
      </c>
      <c r="F22" s="100">
        <f>_xll.EQNXTDZ($A$1,$B22,F$1,$B$1)</f>
        <v>6.5686000000000098</v>
      </c>
      <c r="G22" s="100">
        <f>_xll.EQNXTDZ($A$1,$B22,G$1,$B$1)</f>
        <v>25.353000000000002</v>
      </c>
      <c r="H22" s="100">
        <f>_xll.EQNXTDZ($A$1,$B22,H$1,$B$1)</f>
        <v>-0.70330000000001702</v>
      </c>
      <c r="I22" s="100">
        <f>_xll.EQNXTDZ($A$1,$B22,I$1,$B$1)</f>
        <v>1.4718</v>
      </c>
      <c r="J22" s="100">
        <f>_xll.EQNXTDZ($A$1,$B22,J$1,$B$1)</f>
        <v>34.690800000000003</v>
      </c>
      <c r="K22" s="100">
        <f>_xll.EQNXTDZ($A$1,$B22,K$1,$B$1)</f>
        <v>50.786399999999901</v>
      </c>
      <c r="L22" s="100">
        <f>_xll.EQNXTDZ($A$1,$B22,L$1,$B$1)</f>
        <v>34.340800000000002</v>
      </c>
      <c r="M22" s="100">
        <f>_xll.EQNXTDZ($A$1,$B22,M$1,$B$1)</f>
        <v>22.161200000000001</v>
      </c>
      <c r="N22" s="100">
        <f>_xll.EQNXTDZ($A$1,$B22,N$1,$B$1)</f>
        <v>27.491000000000099</v>
      </c>
      <c r="O22" s="100">
        <f>_xll.EQNXTDZ($A$1,$B22,O$1,$B$1)</f>
        <v>20.6704000000001</v>
      </c>
      <c r="P22" s="100">
        <f>_xll.EQNXTDZ($A$1,$B22,P$1,$B$1)</f>
        <v>-25.2362</v>
      </c>
      <c r="Q22" s="100">
        <f>_xll.EQNXTDZ($A$1,$B22,Q$1,$B$1)</f>
        <v>-26.3748</v>
      </c>
      <c r="R22" s="100">
        <f>_xll.EQNXTDZ($A$1,$B22,R$1,$B$1)</f>
        <v>13.185600000000001</v>
      </c>
      <c r="S22" s="100">
        <f>_xll.EQNXTDZ($A$1,$B22,S$1,$B$1)</f>
        <v>14.7881</v>
      </c>
      <c r="T22" s="100">
        <f>_xll.EQNXTDZ($A$1,$B22,T$1,$B$1)</f>
        <v>16.444600000000001</v>
      </c>
      <c r="U22" s="100">
        <f>_xll.EQNXTDZ($A$1,$B22,U$1,$B$1)</f>
        <v>15.7567</v>
      </c>
      <c r="V22" s="100">
        <f>_xll.EQNXTDZ($A$1,$B22,V$1,$B$1)</f>
        <v>21.1279</v>
      </c>
      <c r="W22" s="100">
        <f>_xll.EQNXTDZ($A$1,$B22,W$1,$B$1)</f>
        <v>10.8718</v>
      </c>
      <c r="X22" s="100">
        <f>_xll.EQNXTDZ($A$1,$B22,X$1,$B$1)</f>
        <v>145.53</v>
      </c>
      <c r="Y22" s="100">
        <f>_xll.EQNXTDZ($A$1,$B22,Y$1,$B$1)</f>
        <v>810.29</v>
      </c>
      <c r="Z22" s="100">
        <f>_xll.EQNXTDZ($A$1,$B22,Z$1,$B$1)</f>
        <v>1731.25</v>
      </c>
      <c r="AA22" s="100">
        <f>_xll.EQNXTDZ($A$1,$B22,AA$1,$B$1)</f>
        <v>1955.74</v>
      </c>
      <c r="AB22" s="100">
        <f>_xll.EQNXTDZ($A$1,$B22,AB$1,$B$1)</f>
        <v>6152.16</v>
      </c>
      <c r="AC22" s="100">
        <f>_xll.EQNXTDZ($A$1,$B22,AC$1,$B$1)</f>
        <v>0</v>
      </c>
      <c r="AD22" s="100">
        <f>_xll.EQNXTDZ($A$1,$B22,AD$1,$B$1)</f>
        <v>0</v>
      </c>
      <c r="AE22" s="100">
        <f>_xll.EQNXTDZ($A$1,$B22,AE$1,$B$1)</f>
        <v>0</v>
      </c>
      <c r="AF22" s="100">
        <f>_xll.EQNXTDZ($A$1,$B22,AF$1,$B$1)</f>
        <v>0</v>
      </c>
    </row>
    <row r="23" spans="1:32" x14ac:dyDescent="0.25">
      <c r="A23" t="s">
        <v>17</v>
      </c>
      <c r="B23" t="s">
        <v>148</v>
      </c>
      <c r="C23" s="100">
        <f>_xll.EQNXTDZ($A$1,$B23,C$1,$B$1)</f>
        <v>2.4842</v>
      </c>
      <c r="D23" s="100">
        <f>_xll.EQNXTDZ($A$1,$B23,D$1,$B$1)</f>
        <v>1.4049</v>
      </c>
      <c r="E23" s="100">
        <f>_xll.EQNXTDZ($A$1,$B23,E$1,$B$1)</f>
        <v>1.2411000000000001</v>
      </c>
      <c r="F23" s="100">
        <f>_xll.EQNXTDZ($A$1,$B23,F$1,$B$1)</f>
        <v>1.6714</v>
      </c>
      <c r="G23" s="100">
        <f>_xll.EQNXTDZ($A$1,$B23,G$1,$B$1)</f>
        <v>0.46060000000000001</v>
      </c>
      <c r="H23" s="100">
        <f>_xll.EQNXTDZ($A$1,$B23,H$1,$B$1)</f>
        <v>1.681</v>
      </c>
      <c r="I23" s="100">
        <f>_xll.EQNXTDZ($A$1,$B23,I$1,$B$1)</f>
        <v>0.97040000000000004</v>
      </c>
      <c r="J23" s="100">
        <f>_xll.EQNXTDZ($A$1,$B23,J$1,$B$1)</f>
        <v>1.8049999999999999</v>
      </c>
      <c r="K23" s="100">
        <f>_xll.EQNXTDZ($A$1,$B23,K$1,$B$1)</f>
        <v>5.2752999999999997</v>
      </c>
      <c r="L23" s="100">
        <f>_xll.EQNXTDZ($A$1,$B23,L$1,$B$1)</f>
        <v>9.6310000000000002</v>
      </c>
      <c r="M23" s="100">
        <f>_xll.EQNXTDZ($A$1,$B23,M$1,$B$1)</f>
        <v>23.687999999999999</v>
      </c>
      <c r="N23" s="100">
        <f>_xll.EQNXTDZ($A$1,$B23,N$1,$B$1)</f>
        <v>17.198699999999999</v>
      </c>
      <c r="O23" s="100">
        <f>_xll.EQNXTDZ($A$1,$B23,O$1,$B$1)</f>
        <v>16.262899999999998</v>
      </c>
      <c r="P23" s="100">
        <f>_xll.EQNXTDZ($A$1,$B23,P$1,$B$1)</f>
        <v>16.676600000000001</v>
      </c>
      <c r="Q23" s="100">
        <f>_xll.EQNXTDZ($A$1,$B23,Q$1,$B$1)</f>
        <v>22.424600000000002</v>
      </c>
      <c r="R23" s="100">
        <f>_xll.EQNXTDZ($A$1,$B23,R$1,$B$1)</f>
        <v>14.1121</v>
      </c>
      <c r="S23" s="100">
        <f>_xll.EQNXTDZ($A$1,$B23,S$1,$B$1)</f>
        <v>13.921200000000001</v>
      </c>
      <c r="T23" s="100">
        <f>_xll.EQNXTDZ($A$1,$B23,T$1,$B$1)</f>
        <v>24.683399999999999</v>
      </c>
      <c r="U23" s="100">
        <f>_xll.EQNXTDZ($A$1,$B23,U$1,$B$1)</f>
        <v>30.841999999999999</v>
      </c>
      <c r="V23" s="100">
        <f>_xll.EQNXTDZ($A$1,$B23,V$1,$B$1)</f>
        <v>25.623100000000001</v>
      </c>
      <c r="W23" s="100">
        <f>_xll.EQNXTDZ($A$1,$B23,W$1,$B$1)</f>
        <v>19.9025</v>
      </c>
      <c r="X23" s="100">
        <f>_xll.EQNXTDZ($A$1,$B23,X$1,$B$1)</f>
        <v>29.75</v>
      </c>
      <c r="Y23" s="100">
        <f>_xll.EQNXTDZ($A$1,$B23,Y$1,$B$1)</f>
        <v>74.459999999999994</v>
      </c>
      <c r="Z23" s="100">
        <f>_xll.EQNXTDZ($A$1,$B23,Z$1,$B$1)</f>
        <v>49.95</v>
      </c>
      <c r="AA23" s="100">
        <f>_xll.EQNXTDZ($A$1,$B23,AA$1,$B$1)</f>
        <v>53.71</v>
      </c>
      <c r="AB23" s="100">
        <f>_xll.EQNXTDZ($A$1,$B23,AB$1,$B$1)</f>
        <v>193.73</v>
      </c>
      <c r="AC23" s="100">
        <f>_xll.EQNXTDZ($A$1,$B23,AC$1,$B$1)</f>
        <v>0</v>
      </c>
      <c r="AD23" s="100">
        <f>_xll.EQNXTDZ($A$1,$B23,AD$1,$B$1)</f>
        <v>0</v>
      </c>
      <c r="AE23" s="100">
        <f>_xll.EQNXTDZ($A$1,$B23,AE$1,$B$1)</f>
        <v>0</v>
      </c>
      <c r="AF23" s="100">
        <f>_xll.EQNXTDZ($A$1,$B23,AF$1,$B$1)</f>
        <v>0</v>
      </c>
    </row>
    <row r="24" spans="1:32" x14ac:dyDescent="0.25">
      <c r="A24" t="s">
        <v>123</v>
      </c>
      <c r="B24" t="s">
        <v>149</v>
      </c>
      <c r="C24" s="100">
        <f>_xll.EQNXTDZ($A$1,$B24,C$1,$B$1)</f>
        <v>8.9733999999999998</v>
      </c>
      <c r="D24" s="100">
        <f>_xll.EQNXTDZ($A$1,$B24,D$1,$B$1)</f>
        <v>4.4379</v>
      </c>
      <c r="E24" s="100">
        <f>_xll.EQNXTDZ($A$1,$B24,E$1,$B$1)</f>
        <v>8.3262999999999998</v>
      </c>
      <c r="F24" s="100">
        <f>_xll.EQNXTDZ($A$1,$B24,F$1,$B$1)</f>
        <v>8.24</v>
      </c>
      <c r="G24" s="100">
        <f>_xll.EQNXTDZ($A$1,$B24,G$1,$B$1)</f>
        <v>25.813600000000001</v>
      </c>
      <c r="H24" s="100">
        <f>_xll.EQNXTDZ($A$1,$B24,H$1,$B$1)</f>
        <v>0.97770000000000001</v>
      </c>
      <c r="I24" s="100">
        <f>_xll.EQNXTDZ($A$1,$B24,I$1,$B$1)</f>
        <v>2.4422000000000001</v>
      </c>
      <c r="J24" s="100">
        <f>_xll.EQNXTDZ($A$1,$B24,J$1,$B$1)</f>
        <v>36.495800000000003</v>
      </c>
      <c r="K24" s="100">
        <f>_xll.EQNXTDZ($A$1,$B24,K$1,$B$1)</f>
        <v>56.061700000000002</v>
      </c>
      <c r="L24" s="100">
        <f>_xll.EQNXTDZ($A$1,$B24,L$1,$B$1)</f>
        <v>43.971800000000002</v>
      </c>
      <c r="M24" s="100">
        <f>_xll.EQNXTDZ($A$1,$B24,M$1,$B$1)</f>
        <v>45.849200000000003</v>
      </c>
      <c r="N24" s="100">
        <f>_xll.EQNXTDZ($A$1,$B24,N$1,$B$1)</f>
        <v>44.689700000000002</v>
      </c>
      <c r="O24" s="100">
        <f>_xll.EQNXTDZ($A$1,$B24,O$1,$B$1)</f>
        <v>36.933300000000003</v>
      </c>
      <c r="P24" s="100">
        <f>_xll.EQNXTDZ($A$1,$B24,P$1,$B$1)</f>
        <v>-8.5595999999999997</v>
      </c>
      <c r="Q24" s="100">
        <f>_xll.EQNXTDZ($A$1,$B24,Q$1,$B$1)</f>
        <v>-3.9502000000000002</v>
      </c>
      <c r="R24" s="100">
        <f>_xll.EQNXTDZ($A$1,$B24,R$1,$B$1)</f>
        <v>27.297699999999999</v>
      </c>
      <c r="S24" s="100">
        <f>_xll.EQNXTDZ($A$1,$B24,S$1,$B$1)</f>
        <v>28.709299999999999</v>
      </c>
      <c r="T24" s="100">
        <f>_xll.EQNXTDZ($A$1,$B24,T$1,$B$1)</f>
        <v>41.128</v>
      </c>
      <c r="U24" s="100">
        <f>_xll.EQNXTDZ($A$1,$B24,U$1,$B$1)</f>
        <v>46.598700000000001</v>
      </c>
      <c r="V24" s="100">
        <f>_xll.EQNXTDZ($A$1,$B24,V$1,$B$1)</f>
        <v>46.750999999999998</v>
      </c>
      <c r="W24" s="100">
        <f>_xll.EQNXTDZ($A$1,$B24,W$1,$B$1)</f>
        <v>30.7743</v>
      </c>
      <c r="X24" s="100">
        <f>_xll.EQNXTDZ($A$1,$B24,X$1,$B$1)</f>
        <v>175.28</v>
      </c>
      <c r="Y24" s="100">
        <f>_xll.EQNXTDZ($A$1,$B24,Y$1,$B$1)</f>
        <v>884.75</v>
      </c>
      <c r="Z24" s="100">
        <f>_xll.EQNXTDZ($A$1,$B24,Z$1,$B$1)</f>
        <v>1781.2</v>
      </c>
      <c r="AA24" s="100">
        <f>_xll.EQNXTDZ($A$1,$B24,AA$1,$B$1)</f>
        <v>2009.45</v>
      </c>
      <c r="AB24" s="100">
        <f>_xll.EQNXTDZ($A$1,$B24,AB$1,$B$1)</f>
        <v>6345.89</v>
      </c>
      <c r="AC24" s="100">
        <f>_xll.EQNXTDZ($A$1,$B24,AC$1,$B$1)</f>
        <v>0</v>
      </c>
      <c r="AD24" s="100">
        <f>_xll.EQNXTDZ($A$1,$B24,AD$1,$B$1)</f>
        <v>0</v>
      </c>
      <c r="AE24" s="100">
        <f>_xll.EQNXTDZ($A$1,$B24,AE$1,$B$1)</f>
        <v>0</v>
      </c>
      <c r="AF24" s="100">
        <f>_xll.EQNXTDZ($A$1,$B24,AF$1,$B$1)</f>
        <v>0</v>
      </c>
    </row>
    <row r="25" spans="1:32" x14ac:dyDescent="0.25">
      <c r="A25" t="s">
        <v>18</v>
      </c>
      <c r="B25" t="s">
        <v>150</v>
      </c>
      <c r="C25" s="100">
        <f>_xll.EQNXTDZ($A$1,$B25,C$1,$B$1)</f>
        <v>65.359899999999996</v>
      </c>
      <c r="D25" s="100">
        <f>_xll.EQNXTDZ($A$1,$B25,D$1,$B$1)</f>
        <v>74.803600000000003</v>
      </c>
      <c r="E25" s="100">
        <f>_xll.EQNXTDZ($A$1,$B25,E$1,$B$1)</f>
        <v>24.838999999999999</v>
      </c>
      <c r="F25" s="100">
        <f>_xll.EQNXTDZ($A$1,$B25,F$1,$B$1)</f>
        <v>7.1647999999999996</v>
      </c>
      <c r="G25" s="100">
        <f>_xll.EQNXTDZ($A$1,$B25,G$1,$B$1)</f>
        <v>4.1778000000000004</v>
      </c>
      <c r="H25" s="100">
        <f>_xll.EQNXTDZ($A$1,$B25,H$1,$B$1)</f>
        <v>5.1315999999999997</v>
      </c>
      <c r="I25" s="100">
        <f>_xll.EQNXTDZ($A$1,$B25,I$1,$B$1)</f>
        <v>12.3703</v>
      </c>
      <c r="J25" s="100">
        <f>_xll.EQNXTDZ($A$1,$B25,J$1,$B$1)</f>
        <v>21.2317</v>
      </c>
      <c r="K25" s="100">
        <f>_xll.EQNXTDZ($A$1,$B25,K$1,$B$1)</f>
        <v>7.8893000000000004</v>
      </c>
      <c r="L25" s="100">
        <f>_xll.EQNXTDZ($A$1,$B25,L$1,$B$1)</f>
        <v>9.2826000000000004</v>
      </c>
      <c r="M25" s="100">
        <f>_xll.EQNXTDZ($A$1,$B25,M$1,$B$1)</f>
        <v>7.3263999999999996</v>
      </c>
      <c r="N25" s="100">
        <f>_xll.EQNXTDZ($A$1,$B25,N$1,$B$1)</f>
        <v>14.9459</v>
      </c>
      <c r="O25" s="100">
        <f>_xll.EQNXTDZ($A$1,$B25,O$1,$B$1)</f>
        <v>8.4992999999999999</v>
      </c>
      <c r="P25" s="100">
        <f>_xll.EQNXTDZ($A$1,$B25,P$1,$B$1)</f>
        <v>7.1585999999999999</v>
      </c>
      <c r="Q25" s="100">
        <f>_xll.EQNXTDZ($A$1,$B25,Q$1,$B$1)</f>
        <v>6.1962999999999999</v>
      </c>
      <c r="R25" s="100">
        <f>_xll.EQNXTDZ($A$1,$B25,R$1,$B$1)</f>
        <v>9.6997999999999998</v>
      </c>
      <c r="S25" s="100">
        <f>_xll.EQNXTDZ($A$1,$B25,S$1,$B$1)</f>
        <v>10.1639</v>
      </c>
      <c r="T25" s="100">
        <f>_xll.EQNXTDZ($A$1,$B25,T$1,$B$1)</f>
        <v>10.4138</v>
      </c>
      <c r="U25" s="100">
        <f>_xll.EQNXTDZ($A$1,$B25,U$1,$B$1)</f>
        <v>10.8872</v>
      </c>
      <c r="V25" s="100">
        <f>_xll.EQNXTDZ($A$1,$B25,V$1,$B$1)</f>
        <v>16.1038</v>
      </c>
      <c r="W25" s="100">
        <f>_xll.EQNXTDZ($A$1,$B25,W$1,$B$1)</f>
        <v>16.822199999999999</v>
      </c>
      <c r="X25" s="100">
        <f>_xll.EQNXTDZ($A$1,$B25,X$1,$B$1)</f>
        <v>18.14</v>
      </c>
      <c r="Y25" s="100">
        <f>_xll.EQNXTDZ($A$1,$B25,Y$1,$B$1)</f>
        <v>65.040000000000006</v>
      </c>
      <c r="Z25" s="100">
        <f>_xll.EQNXTDZ($A$1,$B25,Z$1,$B$1)</f>
        <v>5.68</v>
      </c>
      <c r="AA25" s="100">
        <f>_xll.EQNXTDZ($A$1,$B25,AA$1,$B$1)</f>
        <v>27.22</v>
      </c>
      <c r="AB25" s="100">
        <f>_xll.EQNXTDZ($A$1,$B25,AB$1,$B$1)</f>
        <v>522.36</v>
      </c>
      <c r="AC25" s="100">
        <f>_xll.EQNXTDZ($A$1,$B25,AC$1,$B$1)</f>
        <v>0</v>
      </c>
      <c r="AD25" s="100">
        <f>_xll.EQNXTDZ($A$1,$B25,AD$1,$B$1)</f>
        <v>0</v>
      </c>
      <c r="AE25" s="100">
        <f>_xll.EQNXTDZ($A$1,$B25,AE$1,$B$1)</f>
        <v>0</v>
      </c>
      <c r="AF25" s="100">
        <f>_xll.EQNXTDZ($A$1,$B25,AF$1,$B$1)</f>
        <v>0</v>
      </c>
    </row>
    <row r="26" spans="1:32" x14ac:dyDescent="0.25">
      <c r="A26" t="s">
        <v>124</v>
      </c>
      <c r="B26" t="s">
        <v>151</v>
      </c>
      <c r="C26" s="100">
        <f>_xll.EQNXTDZ($A$1,$B26,C$1,$B$1)</f>
        <v>-56.386499999999998</v>
      </c>
      <c r="D26" s="100">
        <f>_xll.EQNXTDZ($A$1,$B26,D$1,$B$1)</f>
        <v>-70.365700000000004</v>
      </c>
      <c r="E26" s="100">
        <f>_xll.EQNXTDZ($A$1,$B26,E$1,$B$1)</f>
        <v>-16.512699999999999</v>
      </c>
      <c r="F26" s="100">
        <f>_xll.EQNXTDZ($A$1,$B26,F$1,$B$1)</f>
        <v>1.0751999999999999</v>
      </c>
      <c r="G26" s="100">
        <f>_xll.EQNXTDZ($A$1,$B26,G$1,$B$1)</f>
        <v>21.6358</v>
      </c>
      <c r="H26" s="100">
        <f>_xll.EQNXTDZ($A$1,$B26,H$1,$B$1)</f>
        <v>-4.1539000000000001</v>
      </c>
      <c r="I26" s="100">
        <f>_xll.EQNXTDZ($A$1,$B26,I$1,$B$1)</f>
        <v>-9.9281000000000006</v>
      </c>
      <c r="J26" s="100">
        <f>_xll.EQNXTDZ($A$1,$B26,J$1,$B$1)</f>
        <v>15.264099999999999</v>
      </c>
      <c r="K26" s="100">
        <f>_xll.EQNXTDZ($A$1,$B26,K$1,$B$1)</f>
        <v>48.172400000000003</v>
      </c>
      <c r="L26" s="100">
        <f>_xll.EQNXTDZ($A$1,$B26,L$1,$B$1)</f>
        <v>34.6892</v>
      </c>
      <c r="M26" s="100">
        <f>_xll.EQNXTDZ($A$1,$B26,M$1,$B$1)</f>
        <v>38.522799999999997</v>
      </c>
      <c r="N26" s="100">
        <f>_xll.EQNXTDZ($A$1,$B26,N$1,$B$1)</f>
        <v>29.7438</v>
      </c>
      <c r="O26" s="100">
        <f>_xll.EQNXTDZ($A$1,$B26,O$1,$B$1)</f>
        <v>28.434000000000001</v>
      </c>
      <c r="P26" s="100">
        <f>_xll.EQNXTDZ($A$1,$B26,P$1,$B$1)</f>
        <v>-15.7182</v>
      </c>
      <c r="Q26" s="100">
        <f>_xll.EQNXTDZ($A$1,$B26,Q$1,$B$1)</f>
        <v>-10.1465</v>
      </c>
      <c r="R26" s="100">
        <f>_xll.EQNXTDZ($A$1,$B26,R$1,$B$1)</f>
        <v>17.597899999999999</v>
      </c>
      <c r="S26" s="100">
        <f>_xll.EQNXTDZ($A$1,$B26,S$1,$B$1)</f>
        <v>18.545400000000001</v>
      </c>
      <c r="T26" s="100">
        <f>_xll.EQNXTDZ($A$1,$B26,T$1,$B$1)</f>
        <v>30.714200000000002</v>
      </c>
      <c r="U26" s="100">
        <f>_xll.EQNXTDZ($A$1,$B26,U$1,$B$1)</f>
        <v>35.711500000000001</v>
      </c>
      <c r="V26" s="100">
        <f>_xll.EQNXTDZ($A$1,$B26,V$1,$B$1)</f>
        <v>30.647200000000002</v>
      </c>
      <c r="W26" s="100">
        <f>_xll.EQNXTDZ($A$1,$B26,W$1,$B$1)</f>
        <v>13.9521</v>
      </c>
      <c r="X26" s="100">
        <f>_xll.EQNXTDZ($A$1,$B26,X$1,$B$1)</f>
        <v>157.13999999999999</v>
      </c>
      <c r="Y26" s="100">
        <f>_xll.EQNXTDZ($A$1,$B26,Y$1,$B$1)</f>
        <v>819.71</v>
      </c>
      <c r="Z26" s="100">
        <f>_xll.EQNXTDZ($A$1,$B26,Z$1,$B$1)</f>
        <v>1775.52</v>
      </c>
      <c r="AA26" s="100">
        <f>_xll.EQNXTDZ($A$1,$B26,AA$1,$B$1)</f>
        <v>1982.23</v>
      </c>
      <c r="AB26" s="100">
        <f>_xll.EQNXTDZ($A$1,$B26,AB$1,$B$1)</f>
        <v>5823.53</v>
      </c>
      <c r="AC26" s="100">
        <f>_xll.EQNXTDZ($A$1,$B26,AC$1,$B$1)</f>
        <v>0</v>
      </c>
      <c r="AD26" s="100">
        <f>_xll.EQNXTDZ($A$1,$B26,AD$1,$B$1)</f>
        <v>0</v>
      </c>
      <c r="AE26" s="100">
        <f>_xll.EQNXTDZ($A$1,$B26,AE$1,$B$1)</f>
        <v>0</v>
      </c>
      <c r="AF26" s="100">
        <f>_xll.EQNXTDZ($A$1,$B26,AF$1,$B$1)</f>
        <v>0</v>
      </c>
    </row>
    <row r="27" spans="1:32" x14ac:dyDescent="0.25">
      <c r="A27" t="s">
        <v>15</v>
      </c>
      <c r="B27" t="s">
        <v>152</v>
      </c>
      <c r="C27" s="100">
        <f>_xll.EQNXTDZ($A$1,$B27,C$1,$B$1)</f>
        <v>15.932</v>
      </c>
      <c r="D27" s="100">
        <f>_xll.EQNXTDZ($A$1,$B27,D$1,$B$1)</f>
        <v>15.9398</v>
      </c>
      <c r="E27" s="100">
        <f>_xll.EQNXTDZ($A$1,$B27,E$1,$B$1)</f>
        <v>15.901400000000001</v>
      </c>
      <c r="F27" s="100">
        <f>_xll.EQNXTDZ($A$1,$B27,F$1,$B$1)</f>
        <v>15.9565</v>
      </c>
      <c r="G27" s="100">
        <f>_xll.EQNXTDZ($A$1,$B27,G$1,$B$1)</f>
        <v>16.0655</v>
      </c>
      <c r="H27" s="100">
        <f>_xll.EQNXTDZ($A$1,$B27,H$1,$B$1)</f>
        <v>15.8018</v>
      </c>
      <c r="I27" s="100">
        <f>_xll.EQNXTDZ($A$1,$B27,I$1,$B$1)</f>
        <v>20.636399999999998</v>
      </c>
      <c r="J27" s="100">
        <f>_xll.EQNXTDZ($A$1,$B27,J$1,$B$1)</f>
        <v>21.239000000000001</v>
      </c>
      <c r="K27" s="100">
        <f>_xll.EQNXTDZ($A$1,$B27,K$1,$B$1)</f>
        <v>19.5686</v>
      </c>
      <c r="L27" s="100">
        <f>_xll.EQNXTDZ($A$1,$B27,L$1,$B$1)</f>
        <v>16.8005</v>
      </c>
      <c r="M27" s="100">
        <f>_xll.EQNXTDZ($A$1,$B27,M$1,$B$1)</f>
        <v>19.917999999999999</v>
      </c>
      <c r="N27" s="100">
        <f>_xll.EQNXTDZ($A$1,$B27,N$1,$B$1)</f>
        <v>26.011500000000002</v>
      </c>
      <c r="O27" s="100">
        <f>_xll.EQNXTDZ($A$1,$B27,O$1,$B$1)</f>
        <v>26.5185</v>
      </c>
      <c r="P27" s="100">
        <f>_xll.EQNXTDZ($A$1,$B27,P$1,$B$1)</f>
        <v>26.727499999999999</v>
      </c>
      <c r="Q27" s="100">
        <f>_xll.EQNXTDZ($A$1,$B27,Q$1,$B$1)</f>
        <v>10.671900000000001</v>
      </c>
      <c r="R27" s="100">
        <f>_xll.EQNXTDZ($A$1,$B27,R$1,$B$1)</f>
        <v>10.647399999999999</v>
      </c>
      <c r="S27" s="100">
        <f>_xll.EQNXTDZ($A$1,$B27,S$1,$B$1)</f>
        <v>12.9734</v>
      </c>
      <c r="T27" s="100">
        <f>_xll.EQNXTDZ($A$1,$B27,T$1,$B$1)</f>
        <v>13.680099999999999</v>
      </c>
      <c r="U27" s="100">
        <f>_xll.EQNXTDZ($A$1,$B27,U$1,$B$1)</f>
        <v>15.078200000000001</v>
      </c>
      <c r="V27" s="100">
        <f>_xll.EQNXTDZ($A$1,$B27,V$1,$B$1)</f>
        <v>17.553999999999998</v>
      </c>
      <c r="W27" s="100">
        <f>_xll.EQNXTDZ($A$1,$B27,W$1,$B$1)</f>
        <v>13.8253</v>
      </c>
      <c r="X27" s="100">
        <f>_xll.EQNXTDZ($A$1,$B27,X$1,$B$1)</f>
        <v>17.98</v>
      </c>
      <c r="Y27" s="100">
        <f>_xll.EQNXTDZ($A$1,$B27,Y$1,$B$1)</f>
        <v>22.99</v>
      </c>
      <c r="Z27" s="100">
        <f>_xll.EQNXTDZ($A$1,$B27,Z$1,$B$1)</f>
        <v>48.99</v>
      </c>
      <c r="AA27" s="100">
        <f>_xll.EQNXTDZ($A$1,$B27,AA$1,$B$1)</f>
        <v>80.8</v>
      </c>
      <c r="AB27" s="100">
        <f>_xll.EQNXTDZ($A$1,$B27,AB$1,$B$1)</f>
        <v>607.16</v>
      </c>
      <c r="AC27" s="100">
        <f>_xll.EQNXTDZ($A$1,$B27,AC$1,$B$1)</f>
        <v>0</v>
      </c>
      <c r="AD27" s="100">
        <f>_xll.EQNXTDZ($A$1,$B27,AD$1,$B$1)</f>
        <v>0</v>
      </c>
      <c r="AE27" s="100">
        <f>_xll.EQNXTDZ($A$1,$B27,AE$1,$B$1)</f>
        <v>0</v>
      </c>
      <c r="AF27" s="100">
        <f>_xll.EQNXTDZ($A$1,$B27,AF$1,$B$1)</f>
        <v>0</v>
      </c>
    </row>
    <row r="28" spans="1:32" x14ac:dyDescent="0.25">
      <c r="A28" t="s">
        <v>125</v>
      </c>
      <c r="B28" t="s">
        <v>153</v>
      </c>
      <c r="C28" s="100">
        <f>_xll.EQNXTDZ($A$1,$B28,C$1,$B$1)</f>
        <v>0</v>
      </c>
      <c r="D28" s="100">
        <f>_xll.EQNXTDZ($A$1,$B28,D$1,$B$1)</f>
        <v>0</v>
      </c>
      <c r="E28" s="100">
        <f>_xll.EQNXTDZ($A$1,$B28,E$1,$B$1)</f>
        <v>0</v>
      </c>
      <c r="F28" s="100">
        <f>_xll.EQNXTDZ($A$1,$B28,F$1,$B$1)</f>
        <v>0</v>
      </c>
      <c r="G28" s="100">
        <f>_xll.EQNXTDZ($A$1,$B28,G$1,$B$1)</f>
        <v>0</v>
      </c>
      <c r="H28" s="100">
        <f>_xll.EQNXTDZ($A$1,$B28,H$1,$B$1)</f>
        <v>0</v>
      </c>
      <c r="I28" s="100">
        <f>_xll.EQNXTDZ($A$1,$B28,I$1,$B$1)</f>
        <v>0</v>
      </c>
      <c r="J28" s="100">
        <f>_xll.EQNXTDZ($A$1,$B28,J$1,$B$1)</f>
        <v>0</v>
      </c>
      <c r="K28" s="100">
        <f>_xll.EQNXTDZ($A$1,$B28,K$1,$B$1)</f>
        <v>0</v>
      </c>
      <c r="L28" s="100">
        <f>_xll.EQNXTDZ($A$1,$B28,L$1,$B$1)</f>
        <v>0</v>
      </c>
      <c r="M28" s="100">
        <f>_xll.EQNXTDZ($A$1,$B28,M$1,$B$1)</f>
        <v>0</v>
      </c>
      <c r="N28" s="100">
        <f>_xll.EQNXTDZ($A$1,$B28,N$1,$B$1)</f>
        <v>0</v>
      </c>
      <c r="O28" s="100">
        <f>_xll.EQNXTDZ($A$1,$B28,O$1,$B$1)</f>
        <v>0</v>
      </c>
      <c r="P28" s="100">
        <f>_xll.EQNXTDZ($A$1,$B28,P$1,$B$1)</f>
        <v>0</v>
      </c>
      <c r="Q28" s="100">
        <f>_xll.EQNXTDZ($A$1,$B28,Q$1,$B$1)</f>
        <v>0</v>
      </c>
      <c r="R28" s="100">
        <f>_xll.EQNXTDZ($A$1,$B28,R$1,$B$1)</f>
        <v>0</v>
      </c>
      <c r="S28" s="100">
        <f>_xll.EQNXTDZ($A$1,$B28,S$1,$B$1)</f>
        <v>0</v>
      </c>
      <c r="T28" s="100">
        <f>_xll.EQNXTDZ($A$1,$B28,T$1,$B$1)</f>
        <v>0</v>
      </c>
      <c r="U28" s="100">
        <f>_xll.EQNXTDZ($A$1,$B28,U$1,$B$1)</f>
        <v>0</v>
      </c>
      <c r="V28" s="100">
        <f>_xll.EQNXTDZ($A$1,$B28,V$1,$B$1)</f>
        <v>0</v>
      </c>
      <c r="W28" s="100">
        <f>_xll.EQNXTDZ($A$1,$B28,W$1,$B$1)</f>
        <v>0</v>
      </c>
      <c r="X28" s="100">
        <f>_xll.EQNXTDZ($A$1,$B28,X$1,$B$1)</f>
        <v>0</v>
      </c>
      <c r="Y28" s="100">
        <f>_xll.EQNXTDZ($A$1,$B28,Y$1,$B$1)</f>
        <v>0</v>
      </c>
      <c r="Z28" s="100">
        <f>_xll.EQNXTDZ($A$1,$B28,Z$1,$B$1)</f>
        <v>0</v>
      </c>
      <c r="AA28" s="100">
        <f>_xll.EQNXTDZ($A$1,$B28,AA$1,$B$1)</f>
        <v>0</v>
      </c>
      <c r="AB28" s="100">
        <f>_xll.EQNXTDZ($A$1,$B28,AB$1,$B$1)</f>
        <v>20.61</v>
      </c>
      <c r="AC28" s="100">
        <f>_xll.EQNXTDZ($A$1,$B28,AC$1,$B$1)</f>
        <v>0</v>
      </c>
      <c r="AD28" s="100">
        <f>_xll.EQNXTDZ($A$1,$B28,AD$1,$B$1)</f>
        <v>0</v>
      </c>
      <c r="AE28" s="100">
        <f>_xll.EQNXTDZ($A$1,$B28,AE$1,$B$1)</f>
        <v>0</v>
      </c>
      <c r="AF28" s="100">
        <f>_xll.EQNXTDZ($A$1,$B28,AF$1,$B$1)</f>
        <v>0</v>
      </c>
    </row>
    <row r="29" spans="1:32" x14ac:dyDescent="0.25">
      <c r="A29" t="s">
        <v>19</v>
      </c>
      <c r="B29" t="s">
        <v>154</v>
      </c>
      <c r="C29" s="100">
        <f>_xll.EQNXTDZ($A$1,$B29,C$1,$B$1)</f>
        <v>0</v>
      </c>
      <c r="D29" s="100">
        <f>_xll.EQNXTDZ($A$1,$B29,D$1,$B$1)</f>
        <v>0</v>
      </c>
      <c r="E29" s="100">
        <f>_xll.EQNXTDZ($A$1,$B29,E$1,$B$1)</f>
        <v>0</v>
      </c>
      <c r="F29" s="100">
        <f>_xll.EQNXTDZ($A$1,$B29,F$1,$B$1)</f>
        <v>13.309699999999999</v>
      </c>
      <c r="G29" s="100">
        <f>_xll.EQNXTDZ($A$1,$B29,G$1,$B$1)</f>
        <v>24.255099999999999</v>
      </c>
      <c r="H29" s="100">
        <f>_xll.EQNXTDZ($A$1,$B29,H$1,$B$1)</f>
        <v>62.070700000000002</v>
      </c>
      <c r="I29" s="100">
        <f>_xll.EQNXTDZ($A$1,$B29,I$1,$B$1)</f>
        <v>0</v>
      </c>
      <c r="J29" s="100">
        <f>_xll.EQNXTDZ($A$1,$B29,J$1,$B$1)</f>
        <v>28.621300000000002</v>
      </c>
      <c r="K29" s="100">
        <f>_xll.EQNXTDZ($A$1,$B29,K$1,$B$1)</f>
        <v>0</v>
      </c>
      <c r="L29" s="100">
        <f>_xll.EQNXTDZ($A$1,$B29,L$1,$B$1)</f>
        <v>0</v>
      </c>
      <c r="M29" s="100">
        <f>_xll.EQNXTDZ($A$1,$B29,M$1,$B$1)</f>
        <v>0</v>
      </c>
      <c r="N29" s="100">
        <f>_xll.EQNXTDZ($A$1,$B29,N$1,$B$1)</f>
        <v>0</v>
      </c>
      <c r="O29" s="100">
        <f>_xll.EQNXTDZ($A$1,$B29,O$1,$B$1)</f>
        <v>0</v>
      </c>
      <c r="P29" s="100">
        <f>_xll.EQNXTDZ($A$1,$B29,P$1,$B$1)</f>
        <v>0</v>
      </c>
      <c r="Q29" s="100">
        <f>_xll.EQNXTDZ($A$1,$B29,Q$1,$B$1)</f>
        <v>0</v>
      </c>
      <c r="R29" s="100">
        <f>_xll.EQNXTDZ($A$1,$B29,R$1,$B$1)</f>
        <v>-6.2293000000000003</v>
      </c>
      <c r="S29" s="100">
        <f>_xll.EQNXTDZ($A$1,$B29,S$1,$B$1)</f>
        <v>0</v>
      </c>
      <c r="T29" s="100">
        <f>_xll.EQNXTDZ($A$1,$B29,T$1,$B$1)</f>
        <v>0</v>
      </c>
      <c r="U29" s="100">
        <f>_xll.EQNXTDZ($A$1,$B29,U$1,$B$1)</f>
        <v>0</v>
      </c>
      <c r="V29" s="100">
        <f>_xll.EQNXTDZ($A$1,$B29,V$1,$B$1)</f>
        <v>0</v>
      </c>
      <c r="W29" s="100">
        <f>_xll.EQNXTDZ($A$1,$B29,W$1,$B$1)</f>
        <v>0</v>
      </c>
      <c r="X29" s="100">
        <f>_xll.EQNXTDZ($A$1,$B29,X$1,$B$1)</f>
        <v>-51.36</v>
      </c>
      <c r="Y29" s="100">
        <f>_xll.EQNXTDZ($A$1,$B29,Y$1,$B$1)</f>
        <v>-1194.4000000000001</v>
      </c>
      <c r="Z29" s="100">
        <f>_xll.EQNXTDZ($A$1,$B29,Z$1,$B$1)</f>
        <v>0</v>
      </c>
      <c r="AA29" s="100">
        <f>_xll.EQNXTDZ($A$1,$B29,AA$1,$B$1)</f>
        <v>0</v>
      </c>
      <c r="AB29" s="100">
        <f>_xll.EQNXTDZ($A$1,$B29,AB$1,$B$1)</f>
        <v>0</v>
      </c>
      <c r="AC29" s="100">
        <f>_xll.EQNXTDZ($A$1,$B29,AC$1,$B$1)</f>
        <v>0</v>
      </c>
      <c r="AD29" s="100">
        <f>_xll.EQNXTDZ($A$1,$B29,AD$1,$B$1)</f>
        <v>0</v>
      </c>
      <c r="AE29" s="100">
        <f>_xll.EQNXTDZ($A$1,$B29,AE$1,$B$1)</f>
        <v>0</v>
      </c>
      <c r="AF29" s="100">
        <f>_xll.EQNXTDZ($A$1,$B29,AF$1,$B$1)</f>
        <v>0</v>
      </c>
    </row>
    <row r="30" spans="1:32" x14ac:dyDescent="0.25">
      <c r="A30" t="s">
        <v>126</v>
      </c>
      <c r="B30" t="s">
        <v>155</v>
      </c>
      <c r="C30" s="100">
        <f>_xll.EQNXTDZ($A$1,$B30,C$1,$B$1)</f>
        <v>0</v>
      </c>
      <c r="D30" s="100">
        <f>_xll.EQNXTDZ($A$1,$B30,D$1,$B$1)</f>
        <v>0</v>
      </c>
      <c r="E30" s="100">
        <f>_xll.EQNXTDZ($A$1,$B30,E$1,$B$1)</f>
        <v>0</v>
      </c>
      <c r="F30" s="100">
        <f>_xll.EQNXTDZ($A$1,$B30,F$1,$B$1)</f>
        <v>0</v>
      </c>
      <c r="G30" s="100">
        <f>_xll.EQNXTDZ($A$1,$B30,G$1,$B$1)</f>
        <v>0</v>
      </c>
      <c r="H30" s="100">
        <f>_xll.EQNXTDZ($A$1,$B30,H$1,$B$1)</f>
        <v>6.2799999999999995E-2</v>
      </c>
      <c r="I30" s="100">
        <f>_xll.EQNXTDZ($A$1,$B30,I$1,$B$1)</f>
        <v>9.1600000000000001E-2</v>
      </c>
      <c r="J30" s="100">
        <f>_xll.EQNXTDZ($A$1,$B30,J$1,$B$1)</f>
        <v>0.14099999999999999</v>
      </c>
      <c r="K30" s="100">
        <f>_xll.EQNXTDZ($A$1,$B30,K$1,$B$1)</f>
        <v>0.18890000000000001</v>
      </c>
      <c r="L30" s="100">
        <f>_xll.EQNXTDZ($A$1,$B30,L$1,$B$1)</f>
        <v>0</v>
      </c>
      <c r="M30" s="100">
        <f>_xll.EQNXTDZ($A$1,$B30,M$1,$B$1)</f>
        <v>0</v>
      </c>
      <c r="N30" s="100">
        <f>_xll.EQNXTDZ($A$1,$B30,N$1,$B$1)</f>
        <v>0</v>
      </c>
      <c r="O30" s="100">
        <f>_xll.EQNXTDZ($A$1,$B30,O$1,$B$1)</f>
        <v>0</v>
      </c>
      <c r="P30" s="100">
        <f>_xll.EQNXTDZ($A$1,$B30,P$1,$B$1)</f>
        <v>0</v>
      </c>
      <c r="Q30" s="100">
        <f>_xll.EQNXTDZ($A$1,$B30,Q$1,$B$1)</f>
        <v>0</v>
      </c>
      <c r="R30" s="100">
        <f>_xll.EQNXTDZ($A$1,$B30,R$1,$B$1)</f>
        <v>0</v>
      </c>
      <c r="S30" s="100">
        <f>_xll.EQNXTDZ($A$1,$B30,S$1,$B$1)</f>
        <v>0</v>
      </c>
      <c r="T30" s="100">
        <f>_xll.EQNXTDZ($A$1,$B30,T$1,$B$1)</f>
        <v>0</v>
      </c>
      <c r="U30" s="100">
        <f>_xll.EQNXTDZ($A$1,$B30,U$1,$B$1)</f>
        <v>0</v>
      </c>
      <c r="V30" s="100">
        <f>_xll.EQNXTDZ($A$1,$B30,V$1,$B$1)</f>
        <v>-18.7332</v>
      </c>
      <c r="W30" s="100">
        <f>_xll.EQNXTDZ($A$1,$B30,W$1,$B$1)</f>
        <v>0</v>
      </c>
      <c r="X30" s="100">
        <f>_xll.EQNXTDZ($A$1,$B30,X$1,$B$1)</f>
        <v>-9.5</v>
      </c>
      <c r="Y30" s="100">
        <f>_xll.EQNXTDZ($A$1,$B30,Y$1,$B$1)</f>
        <v>-109.14</v>
      </c>
      <c r="Z30" s="100">
        <f>_xll.EQNXTDZ($A$1,$B30,Z$1,$B$1)</f>
        <v>483.6</v>
      </c>
      <c r="AA30" s="100">
        <f>_xll.EQNXTDZ($A$1,$B30,AA$1,$B$1)</f>
        <v>446.19</v>
      </c>
      <c r="AB30" s="100">
        <f>_xll.EQNXTDZ($A$1,$B30,AB$1,$B$1)</f>
        <v>1408.34</v>
      </c>
      <c r="AC30" s="100">
        <f>_xll.EQNXTDZ($A$1,$B30,AC$1,$B$1)</f>
        <v>0</v>
      </c>
      <c r="AD30" s="100">
        <f>_xll.EQNXTDZ($A$1,$B30,AD$1,$B$1)</f>
        <v>0</v>
      </c>
      <c r="AE30" s="100">
        <f>_xll.EQNXTDZ($A$1,$B30,AE$1,$B$1)</f>
        <v>0</v>
      </c>
      <c r="AF30" s="100">
        <f>_xll.EQNXTDZ($A$1,$B30,AF$1,$B$1)</f>
        <v>0</v>
      </c>
    </row>
    <row r="31" spans="1:32" x14ac:dyDescent="0.25">
      <c r="A31" t="s">
        <v>127</v>
      </c>
      <c r="B31" t="s">
        <v>156</v>
      </c>
      <c r="C31" s="100">
        <f>_xll.EQNXTDZ($A$1,$B31,C$1,$B$1)</f>
        <v>0</v>
      </c>
      <c r="D31" s="100">
        <f>_xll.EQNXTDZ($A$1,$B31,D$1,$B$1)</f>
        <v>0</v>
      </c>
      <c r="E31" s="100">
        <f>_xll.EQNXTDZ($A$1,$B31,E$1,$B$1)</f>
        <v>0</v>
      </c>
      <c r="F31" s="100">
        <f>_xll.EQNXTDZ($A$1,$B31,F$1,$B$1)</f>
        <v>0</v>
      </c>
      <c r="G31" s="100">
        <f>_xll.EQNXTDZ($A$1,$B31,G$1,$B$1)</f>
        <v>0</v>
      </c>
      <c r="H31" s="100">
        <f>_xll.EQNXTDZ($A$1,$B31,H$1,$B$1)</f>
        <v>0</v>
      </c>
      <c r="I31" s="100">
        <f>_xll.EQNXTDZ($A$1,$B31,I$1,$B$1)</f>
        <v>0</v>
      </c>
      <c r="J31" s="100">
        <f>_xll.EQNXTDZ($A$1,$B31,J$1,$B$1)</f>
        <v>0</v>
      </c>
      <c r="K31" s="100">
        <f>_xll.EQNXTDZ($A$1,$B31,K$1,$B$1)</f>
        <v>0</v>
      </c>
      <c r="L31" s="100">
        <f>_xll.EQNXTDZ($A$1,$B31,L$1,$B$1)</f>
        <v>0</v>
      </c>
      <c r="M31" s="100">
        <f>_xll.EQNXTDZ($A$1,$B31,M$1,$B$1)</f>
        <v>0</v>
      </c>
      <c r="N31" s="100">
        <f>_xll.EQNXTDZ($A$1,$B31,N$1,$B$1)</f>
        <v>0</v>
      </c>
      <c r="O31" s="100">
        <f>_xll.EQNXTDZ($A$1,$B31,O$1,$B$1)</f>
        <v>0</v>
      </c>
      <c r="P31" s="100">
        <f>_xll.EQNXTDZ($A$1,$B31,P$1,$B$1)</f>
        <v>0</v>
      </c>
      <c r="Q31" s="100">
        <f>_xll.EQNXTDZ($A$1,$B31,Q$1,$B$1)</f>
        <v>0</v>
      </c>
      <c r="R31" s="100">
        <f>_xll.EQNXTDZ($A$1,$B31,R$1,$B$1)</f>
        <v>0</v>
      </c>
      <c r="S31" s="100">
        <f>_xll.EQNXTDZ($A$1,$B31,S$1,$B$1)</f>
        <v>0</v>
      </c>
      <c r="T31" s="100">
        <f>_xll.EQNXTDZ($A$1,$B31,T$1,$B$1)</f>
        <v>0</v>
      </c>
      <c r="U31" s="100">
        <f>_xll.EQNXTDZ($A$1,$B31,U$1,$B$1)</f>
        <v>0</v>
      </c>
      <c r="V31" s="100">
        <f>_xll.EQNXTDZ($A$1,$B31,V$1,$B$1)</f>
        <v>0</v>
      </c>
      <c r="W31" s="100">
        <f>_xll.EQNXTDZ($A$1,$B31,W$1,$B$1)</f>
        <v>0</v>
      </c>
      <c r="X31" s="100">
        <f>_xll.EQNXTDZ($A$1,$B31,X$1,$B$1)</f>
        <v>0</v>
      </c>
      <c r="Y31" s="100">
        <f>_xll.EQNXTDZ($A$1,$B31,Y$1,$B$1)</f>
        <v>0</v>
      </c>
      <c r="Z31" s="100">
        <f>_xll.EQNXTDZ($A$1,$B31,Z$1,$B$1)</f>
        <v>0</v>
      </c>
      <c r="AA31" s="100">
        <f>_xll.EQNXTDZ($A$1,$B31,AA$1,$B$1)</f>
        <v>0</v>
      </c>
      <c r="AB31" s="100">
        <f>_xll.EQNXTDZ($A$1,$B31,AB$1,$B$1)</f>
        <v>0</v>
      </c>
      <c r="AC31" s="100">
        <f>_xll.EQNXTDZ($A$1,$B31,AC$1,$B$1)</f>
        <v>0</v>
      </c>
      <c r="AD31" s="100">
        <f>_xll.EQNXTDZ($A$1,$B31,AD$1,$B$1)</f>
        <v>0</v>
      </c>
      <c r="AE31" s="100">
        <f>_xll.EQNXTDZ($A$1,$B31,AE$1,$B$1)</f>
        <v>0</v>
      </c>
      <c r="AF31" s="100">
        <f>_xll.EQNXTDZ($A$1,$B31,AF$1,$B$1)</f>
        <v>0</v>
      </c>
    </row>
    <row r="32" spans="1:32" x14ac:dyDescent="0.25">
      <c r="A32" t="s">
        <v>23</v>
      </c>
      <c r="B32" t="s">
        <v>157</v>
      </c>
      <c r="C32" s="100">
        <f>_xll.EQNXTDZ($A$1,$B32,C$1,$B$1)</f>
        <v>0</v>
      </c>
      <c r="D32" s="100">
        <f>_xll.EQNXTDZ($A$1,$B32,D$1,$B$1)</f>
        <v>0</v>
      </c>
      <c r="E32" s="100">
        <f>_xll.EQNXTDZ($A$1,$B32,E$1,$B$1)</f>
        <v>0</v>
      </c>
      <c r="F32" s="100">
        <f>_xll.EQNXTDZ($A$1,$B32,F$1,$B$1)</f>
        <v>0</v>
      </c>
      <c r="G32" s="100">
        <f>_xll.EQNXTDZ($A$1,$B32,G$1,$B$1)</f>
        <v>0</v>
      </c>
      <c r="H32" s="100">
        <f>_xll.EQNXTDZ($A$1,$B32,H$1,$B$1)</f>
        <v>0</v>
      </c>
      <c r="I32" s="100">
        <f>_xll.EQNXTDZ($A$1,$B32,I$1,$B$1)</f>
        <v>0</v>
      </c>
      <c r="J32" s="100">
        <f>_xll.EQNXTDZ($A$1,$B32,J$1,$B$1)</f>
        <v>0</v>
      </c>
      <c r="K32" s="100">
        <f>_xll.EQNXTDZ($A$1,$B32,K$1,$B$1)</f>
        <v>0</v>
      </c>
      <c r="L32" s="100">
        <f>_xll.EQNXTDZ($A$1,$B32,L$1,$B$1)</f>
        <v>0</v>
      </c>
      <c r="M32" s="100">
        <f>_xll.EQNXTDZ($A$1,$B32,M$1,$B$1)</f>
        <v>0</v>
      </c>
      <c r="N32" s="100">
        <f>_xll.EQNXTDZ($A$1,$B32,N$1,$B$1)</f>
        <v>0</v>
      </c>
      <c r="O32" s="100">
        <f>_xll.EQNXTDZ($A$1,$B32,O$1,$B$1)</f>
        <v>0</v>
      </c>
      <c r="P32" s="100">
        <f>_xll.EQNXTDZ($A$1,$B32,P$1,$B$1)</f>
        <v>0</v>
      </c>
      <c r="Q32" s="100">
        <f>_xll.EQNXTDZ($A$1,$B32,Q$1,$B$1)</f>
        <v>0</v>
      </c>
      <c r="R32" s="100">
        <f>_xll.EQNXTDZ($A$1,$B32,R$1,$B$1)</f>
        <v>0</v>
      </c>
      <c r="S32" s="100">
        <f>_xll.EQNXTDZ($A$1,$B32,S$1,$B$1)</f>
        <v>0</v>
      </c>
      <c r="T32" s="100">
        <f>_xll.EQNXTDZ($A$1,$B32,T$1,$B$1)</f>
        <v>0</v>
      </c>
      <c r="U32" s="100">
        <f>_xll.EQNXTDZ($A$1,$B32,U$1,$B$1)</f>
        <v>0</v>
      </c>
      <c r="V32" s="100">
        <f>_xll.EQNXTDZ($A$1,$B32,V$1,$B$1)</f>
        <v>0</v>
      </c>
      <c r="W32" s="100">
        <f>_xll.EQNXTDZ($A$1,$B32,W$1,$B$1)</f>
        <v>0</v>
      </c>
      <c r="X32" s="100">
        <f>_xll.EQNXTDZ($A$1,$B32,X$1,$B$1)</f>
        <v>0</v>
      </c>
      <c r="Y32" s="100">
        <f>_xll.EQNXTDZ($A$1,$B32,Y$1,$B$1)</f>
        <v>0</v>
      </c>
      <c r="Z32" s="100">
        <f>_xll.EQNXTDZ($A$1,$B32,Z$1,$B$1)</f>
        <v>0</v>
      </c>
      <c r="AA32" s="100">
        <f>_xll.EQNXTDZ($A$1,$B32,AA$1,$B$1)</f>
        <v>0</v>
      </c>
      <c r="AB32" s="100">
        <f>_xll.EQNXTDZ($A$1,$B32,AB$1,$B$1)</f>
        <v>-147.79</v>
      </c>
      <c r="AC32" s="100">
        <f>_xll.EQNXTDZ($A$1,$B32,AC$1,$B$1)</f>
        <v>0</v>
      </c>
      <c r="AD32" s="100">
        <f>_xll.EQNXTDZ($A$1,$B32,AD$1,$B$1)</f>
        <v>0</v>
      </c>
      <c r="AE32" s="100">
        <f>_xll.EQNXTDZ($A$1,$B32,AE$1,$B$1)</f>
        <v>0</v>
      </c>
      <c r="AF32" s="100">
        <f>_xll.EQNXTDZ($A$1,$B32,AF$1,$B$1)</f>
        <v>0</v>
      </c>
    </row>
    <row r="33" spans="1:32" x14ac:dyDescent="0.25">
      <c r="A33" t="s">
        <v>24</v>
      </c>
      <c r="B33" t="s">
        <v>158</v>
      </c>
      <c r="C33" s="100">
        <f>_xll.EQNXTDZ($A$1,$B33,C$1,$B$1)</f>
        <v>0</v>
      </c>
      <c r="D33" s="100">
        <f>_xll.EQNXTDZ($A$1,$B33,D$1,$B$1)</f>
        <v>0</v>
      </c>
      <c r="E33" s="100">
        <f>_xll.EQNXTDZ($A$1,$B33,E$1,$B$1)</f>
        <v>0</v>
      </c>
      <c r="F33" s="100">
        <f>_xll.EQNXTDZ($A$1,$B33,F$1,$B$1)</f>
        <v>0</v>
      </c>
      <c r="G33" s="100">
        <f>_xll.EQNXTDZ($A$1,$B33,G$1,$B$1)</f>
        <v>0</v>
      </c>
      <c r="H33" s="100">
        <f>_xll.EQNXTDZ($A$1,$B33,H$1,$B$1)</f>
        <v>0</v>
      </c>
      <c r="I33" s="100">
        <f>_xll.EQNXTDZ($A$1,$B33,I$1,$B$1)</f>
        <v>0</v>
      </c>
      <c r="J33" s="100">
        <f>_xll.EQNXTDZ($A$1,$B33,J$1,$B$1)</f>
        <v>0</v>
      </c>
      <c r="K33" s="100">
        <f>_xll.EQNXTDZ($A$1,$B33,K$1,$B$1)</f>
        <v>0</v>
      </c>
      <c r="L33" s="100">
        <f>_xll.EQNXTDZ($A$1,$B33,L$1,$B$1)</f>
        <v>0</v>
      </c>
      <c r="M33" s="100">
        <f>_xll.EQNXTDZ($A$1,$B33,M$1,$B$1)</f>
        <v>0</v>
      </c>
      <c r="N33" s="100">
        <f>_xll.EQNXTDZ($A$1,$B33,N$1,$B$1)</f>
        <v>0</v>
      </c>
      <c r="O33" s="100">
        <f>_xll.EQNXTDZ($A$1,$B33,O$1,$B$1)</f>
        <v>0</v>
      </c>
      <c r="P33" s="100">
        <f>_xll.EQNXTDZ($A$1,$B33,P$1,$B$1)</f>
        <v>0</v>
      </c>
      <c r="Q33" s="100">
        <f>_xll.EQNXTDZ($A$1,$B33,Q$1,$B$1)</f>
        <v>0</v>
      </c>
      <c r="R33" s="100">
        <f>_xll.EQNXTDZ($A$1,$B33,R$1,$B$1)</f>
        <v>0</v>
      </c>
      <c r="S33" s="100">
        <f>_xll.EQNXTDZ($A$1,$B33,S$1,$B$1)</f>
        <v>0</v>
      </c>
      <c r="T33" s="100">
        <f>_xll.EQNXTDZ($A$1,$B33,T$1,$B$1)</f>
        <v>0</v>
      </c>
      <c r="U33" s="100">
        <f>_xll.EQNXTDZ($A$1,$B33,U$1,$B$1)</f>
        <v>0</v>
      </c>
      <c r="V33" s="100">
        <f>_xll.EQNXTDZ($A$1,$B33,V$1,$B$1)</f>
        <v>0</v>
      </c>
      <c r="W33" s="100">
        <f>_xll.EQNXTDZ($A$1,$B33,W$1,$B$1)</f>
        <v>0</v>
      </c>
      <c r="X33" s="100">
        <f>_xll.EQNXTDZ($A$1,$B33,X$1,$B$1)</f>
        <v>7.0000000000000007E-2</v>
      </c>
      <c r="Y33" s="100">
        <f>_xll.EQNXTDZ($A$1,$B33,Y$1,$B$1)</f>
        <v>-0.01</v>
      </c>
      <c r="Z33" s="100">
        <f>_xll.EQNXTDZ($A$1,$B33,Z$1,$B$1)</f>
        <v>0</v>
      </c>
      <c r="AA33" s="100">
        <f>_xll.EQNXTDZ($A$1,$B33,AA$1,$B$1)</f>
        <v>0</v>
      </c>
      <c r="AB33" s="100">
        <f>_xll.EQNXTDZ($A$1,$B33,AB$1,$B$1)</f>
        <v>0</v>
      </c>
      <c r="AC33" s="100">
        <f>_xll.EQNXTDZ($A$1,$B33,AC$1,$B$1)</f>
        <v>0</v>
      </c>
      <c r="AD33" s="100">
        <f>_xll.EQNXTDZ($A$1,$B33,AD$1,$B$1)</f>
        <v>0</v>
      </c>
      <c r="AE33" s="100">
        <f>_xll.EQNXTDZ($A$1,$B33,AE$1,$B$1)</f>
        <v>0</v>
      </c>
      <c r="AF33" s="100">
        <f>_xll.EQNXTDZ($A$1,$B33,AF$1,$B$1)</f>
        <v>0</v>
      </c>
    </row>
    <row r="34" spans="1:32" x14ac:dyDescent="0.25">
      <c r="A34" t="s">
        <v>128</v>
      </c>
      <c r="B34" t="s">
        <v>159</v>
      </c>
      <c r="C34" s="100">
        <f>_xll.EQNXTDZ($A$1,$B34,C$1,$B$1)</f>
        <v>0</v>
      </c>
      <c r="D34" s="100">
        <f>_xll.EQNXTDZ($A$1,$B34,D$1,$B$1)</f>
        <v>0</v>
      </c>
      <c r="E34" s="100">
        <f>_xll.EQNXTDZ($A$1,$B34,E$1,$B$1)</f>
        <v>0</v>
      </c>
      <c r="F34" s="100">
        <f>_xll.EQNXTDZ($A$1,$B34,F$1,$B$1)</f>
        <v>0</v>
      </c>
      <c r="G34" s="100">
        <f>_xll.EQNXTDZ($A$1,$B34,G$1,$B$1)</f>
        <v>0</v>
      </c>
      <c r="H34" s="100">
        <f>_xll.EQNXTDZ($A$1,$B34,H$1,$B$1)</f>
        <v>0</v>
      </c>
      <c r="I34" s="100">
        <f>_xll.EQNXTDZ($A$1,$B34,I$1,$B$1)</f>
        <v>0</v>
      </c>
      <c r="J34" s="100">
        <f>_xll.EQNXTDZ($A$1,$B34,J$1,$B$1)</f>
        <v>0</v>
      </c>
      <c r="K34" s="100">
        <f>_xll.EQNXTDZ($A$1,$B34,K$1,$B$1)</f>
        <v>0</v>
      </c>
      <c r="L34" s="100">
        <f>_xll.EQNXTDZ($A$1,$B34,L$1,$B$1)</f>
        <v>0</v>
      </c>
      <c r="M34" s="100">
        <f>_xll.EQNXTDZ($A$1,$B34,M$1,$B$1)</f>
        <v>0</v>
      </c>
      <c r="N34" s="100">
        <f>_xll.EQNXTDZ($A$1,$B34,N$1,$B$1)</f>
        <v>0</v>
      </c>
      <c r="O34" s="100">
        <f>_xll.EQNXTDZ($A$1,$B34,O$1,$B$1)</f>
        <v>0</v>
      </c>
      <c r="P34" s="100">
        <f>_xll.EQNXTDZ($A$1,$B34,P$1,$B$1)</f>
        <v>0</v>
      </c>
      <c r="Q34" s="100">
        <f>_xll.EQNXTDZ($A$1,$B34,Q$1,$B$1)</f>
        <v>0</v>
      </c>
      <c r="R34" s="100">
        <f>_xll.EQNXTDZ($A$1,$B34,R$1,$B$1)</f>
        <v>0</v>
      </c>
      <c r="S34" s="100">
        <f>_xll.EQNXTDZ($A$1,$B34,S$1,$B$1)</f>
        <v>0</v>
      </c>
      <c r="T34" s="100">
        <f>_xll.EQNXTDZ($A$1,$B34,T$1,$B$1)</f>
        <v>0</v>
      </c>
      <c r="U34" s="100">
        <f>_xll.EQNXTDZ($A$1,$B34,U$1,$B$1)</f>
        <v>0</v>
      </c>
      <c r="V34" s="100">
        <f>_xll.EQNXTDZ($A$1,$B34,V$1,$B$1)</f>
        <v>0</v>
      </c>
      <c r="W34" s="100">
        <f>_xll.EQNXTDZ($A$1,$B34,W$1,$B$1)</f>
        <v>0</v>
      </c>
      <c r="X34" s="100">
        <f>_xll.EQNXTDZ($A$1,$B34,X$1,$B$1)</f>
        <v>0</v>
      </c>
      <c r="Y34" s="100">
        <f>_xll.EQNXTDZ($A$1,$B34,Y$1,$B$1)</f>
        <v>0</v>
      </c>
      <c r="Z34" s="100">
        <f>_xll.EQNXTDZ($A$1,$B34,Z$1,$B$1)</f>
        <v>0</v>
      </c>
      <c r="AA34" s="100">
        <f>_xll.EQNXTDZ($A$1,$B34,AA$1,$B$1)</f>
        <v>0</v>
      </c>
      <c r="AB34" s="100">
        <f>_xll.EQNXTDZ($A$1,$B34,AB$1,$B$1)</f>
        <v>0</v>
      </c>
      <c r="AC34" s="100">
        <f>_xll.EQNXTDZ($A$1,$B34,AC$1,$B$1)</f>
        <v>0</v>
      </c>
      <c r="AD34" s="100">
        <f>_xll.EQNXTDZ($A$1,$B34,AD$1,$B$1)</f>
        <v>0</v>
      </c>
      <c r="AE34" s="100">
        <f>_xll.EQNXTDZ($A$1,$B34,AE$1,$B$1)</f>
        <v>0</v>
      </c>
      <c r="AF34" s="100">
        <f>_xll.EQNXTDZ($A$1,$B34,AF$1,$B$1)</f>
        <v>0</v>
      </c>
    </row>
    <row r="35" spans="1:32" s="116" customFormat="1" x14ac:dyDescent="0.25">
      <c r="A35" s="116" t="s">
        <v>223</v>
      </c>
      <c r="B35" s="116" t="s">
        <v>224</v>
      </c>
      <c r="C35" s="100">
        <f>_xll.EQNXTDZ($A$1,$B35,C$1,$B$1)</f>
        <v>-72.3185</v>
      </c>
      <c r="D35" s="100">
        <f>_xll.EQNXTDZ($A$1,$B35,D$1,$B$1)</f>
        <v>-86.305499999999995</v>
      </c>
      <c r="E35" s="100">
        <f>_xll.EQNXTDZ($A$1,$B35,E$1,$B$1)</f>
        <v>-32.414099999999998</v>
      </c>
      <c r="F35" s="100">
        <f>_xll.EQNXTDZ($A$1,$B35,F$1,$B$1)</f>
        <v>-1.5716000000000001</v>
      </c>
      <c r="G35" s="100">
        <f>_xll.EQNXTDZ($A$1,$B35,G$1,$B$1)</f>
        <v>29.825399999999998</v>
      </c>
      <c r="H35" s="100">
        <f>_xll.EQNXTDZ($A$1,$B35,H$1,$B$1)</f>
        <v>42.052199999999999</v>
      </c>
      <c r="I35" s="100">
        <f>_xll.EQNXTDZ($A$1,$B35,I$1,$B$1)</f>
        <v>-30.656099999999999</v>
      </c>
      <c r="J35" s="100">
        <f>_xll.EQNXTDZ($A$1,$B35,J$1,$B$1)</f>
        <v>22.505400000000002</v>
      </c>
      <c r="K35" s="100">
        <f>_xll.EQNXTDZ($A$1,$B35,K$1,$B$1)</f>
        <v>28.414899999999999</v>
      </c>
      <c r="L35" s="100">
        <f>_xll.EQNXTDZ($A$1,$B35,L$1,$B$1)</f>
        <v>17.8887</v>
      </c>
      <c r="M35" s="100">
        <f>_xll.EQNXTDZ($A$1,$B35,M$1,$B$1)</f>
        <v>18.604800000000001</v>
      </c>
      <c r="N35" s="100">
        <f>_xll.EQNXTDZ($A$1,$B35,N$1,$B$1)</f>
        <v>3.7323</v>
      </c>
      <c r="O35" s="100">
        <f>_xll.EQNXTDZ($A$1,$B35,O$1,$B$1)</f>
        <v>1.9155</v>
      </c>
      <c r="P35" s="100">
        <f>_xll.EQNXTDZ($A$1,$B35,P$1,$B$1)</f>
        <v>-42.445700000000002</v>
      </c>
      <c r="Q35" s="100">
        <f>_xll.EQNXTDZ($A$1,$B35,Q$1,$B$1)</f>
        <v>-20.8184</v>
      </c>
      <c r="R35" s="100">
        <f>_xll.EQNXTDZ($A$1,$B35,R$1,$B$1)</f>
        <v>0.72119999999999995</v>
      </c>
      <c r="S35" s="100">
        <f>_xll.EQNXTDZ($A$1,$B35,S$1,$B$1)</f>
        <v>5.5720000000000001</v>
      </c>
      <c r="T35" s="100">
        <f>_xll.EQNXTDZ($A$1,$B35,T$1,$B$1)</f>
        <v>17.034099999999999</v>
      </c>
      <c r="U35" s="100">
        <f>_xll.EQNXTDZ($A$1,$B35,U$1,$B$1)</f>
        <v>20.633299999999998</v>
      </c>
      <c r="V35" s="100">
        <f>_xll.EQNXTDZ($A$1,$B35,V$1,$B$1)</f>
        <v>31.8264</v>
      </c>
      <c r="W35" s="100">
        <f>_xll.EQNXTDZ($A$1,$B35,W$1,$B$1)</f>
        <v>0.1268</v>
      </c>
      <c r="X35" s="100">
        <f>_xll.EQNXTDZ($A$1,$B35,X$1,$B$1)</f>
        <v>97.37</v>
      </c>
      <c r="Y35" s="100">
        <f>_xll.EQNXTDZ($A$1,$B35,Y$1,$B$1)</f>
        <v>-288.55</v>
      </c>
      <c r="Z35" s="100">
        <f>_xll.EQNXTDZ($A$1,$B35,Z$1,$B$1)</f>
        <v>1242.93</v>
      </c>
      <c r="AA35" s="100">
        <f>_xll.EQNXTDZ($A$1,$B35,AA$1,$B$1)</f>
        <v>1455.24</v>
      </c>
      <c r="AB35" s="100">
        <f>_xll.EQNXTDZ($A$1,$B35,AB$1,$B$1)</f>
        <v>3680.85</v>
      </c>
      <c r="AC35" s="100">
        <f>_xll.EQNXTDZ($A$1,$B35,AC$1,$B$1)</f>
        <v>0</v>
      </c>
      <c r="AD35" s="100">
        <f>_xll.EQNXTDZ($A$1,$B35,AD$1,$B$1)</f>
        <v>0</v>
      </c>
      <c r="AE35" s="100">
        <f>_xll.EQNXTDZ($A$1,$B35,AE$1,$B$1)</f>
        <v>0</v>
      </c>
      <c r="AF35" s="100">
        <f>_xll.EQNXTDZ($A$1,$B35,AF$1,$B$1)</f>
        <v>0</v>
      </c>
    </row>
    <row r="36" spans="1:32" x14ac:dyDescent="0.25">
      <c r="A36" t="s">
        <v>225</v>
      </c>
      <c r="B36" t="s">
        <v>226</v>
      </c>
      <c r="C36" s="100">
        <f>_xll.EQNXTDZ($A$1,$B36,C$1,$B$1)</f>
        <v>0</v>
      </c>
      <c r="D36" s="100">
        <f>_xll.EQNXTDZ($A$1,$B36,D$1,$B$1)</f>
        <v>0</v>
      </c>
      <c r="E36" s="100">
        <f>_xll.EQNXTDZ($A$1,$B36,E$1,$B$1)</f>
        <v>0</v>
      </c>
      <c r="F36" s="100">
        <f>_xll.EQNXTDZ($A$1,$B36,F$1,$B$1)</f>
        <v>0</v>
      </c>
      <c r="G36" s="100">
        <f>_xll.EQNXTDZ($A$1,$B36,G$1,$B$1)</f>
        <v>0</v>
      </c>
      <c r="H36" s="100">
        <f>_xll.EQNXTDZ($A$1,$B36,H$1,$B$1)</f>
        <v>0</v>
      </c>
      <c r="I36" s="100">
        <f>_xll.EQNXTDZ($A$1,$B36,I$1,$B$1)</f>
        <v>0</v>
      </c>
      <c r="J36" s="100">
        <f>_xll.EQNXTDZ($A$1,$B36,J$1,$B$1)</f>
        <v>0</v>
      </c>
      <c r="K36" s="100">
        <f>_xll.EQNXTDZ($A$1,$B36,K$1,$B$1)</f>
        <v>0</v>
      </c>
      <c r="L36" s="100">
        <f>_xll.EQNXTDZ($A$1,$B36,L$1,$B$1)</f>
        <v>0</v>
      </c>
      <c r="M36" s="100">
        <f>_xll.EQNXTDZ($A$1,$B36,M$1,$B$1)</f>
        <v>0</v>
      </c>
      <c r="N36" s="100">
        <f>_xll.EQNXTDZ($A$1,$B36,N$1,$B$1)</f>
        <v>0</v>
      </c>
      <c r="O36" s="100">
        <f>_xll.EQNXTDZ($A$1,$B36,O$1,$B$1)</f>
        <v>0</v>
      </c>
      <c r="P36" s="100">
        <f>_xll.EQNXTDZ($A$1,$B36,P$1,$B$1)</f>
        <v>0</v>
      </c>
      <c r="Q36" s="100">
        <f>_xll.EQNXTDZ($A$1,$B36,Q$1,$B$1)</f>
        <v>0</v>
      </c>
      <c r="R36" s="100">
        <f>_xll.EQNXTDZ($A$1,$B36,R$1,$B$1)</f>
        <v>0</v>
      </c>
      <c r="S36" s="100">
        <f>_xll.EQNXTDZ($A$1,$B36,S$1,$B$1)</f>
        <v>0</v>
      </c>
      <c r="T36" s="100">
        <f>_xll.EQNXTDZ($A$1,$B36,T$1,$B$1)</f>
        <v>0</v>
      </c>
      <c r="U36" s="100">
        <f>_xll.EQNXTDZ($A$1,$B36,U$1,$B$1)</f>
        <v>0</v>
      </c>
      <c r="V36" s="100">
        <f>_xll.EQNXTDZ($A$1,$B36,V$1,$B$1)</f>
        <v>0</v>
      </c>
      <c r="W36" s="100">
        <f>_xll.EQNXTDZ($A$1,$B36,W$1,$B$1)</f>
        <v>0</v>
      </c>
      <c r="X36" s="100">
        <f>_xll.EQNXTDZ($A$1,$B36,X$1,$B$1)</f>
        <v>0</v>
      </c>
      <c r="Y36" s="100">
        <f>_xll.EQNXTDZ($A$1,$B36,Y$1,$B$1)</f>
        <v>0</v>
      </c>
      <c r="Z36" s="100">
        <f>_xll.EQNXTDZ($A$1,$B36,Z$1,$B$1)</f>
        <v>0</v>
      </c>
      <c r="AA36" s="100">
        <f>_xll.EQNXTDZ($A$1,$B36,AA$1,$B$1)</f>
        <v>0</v>
      </c>
      <c r="AB36" s="100">
        <f>_xll.EQNXTDZ($A$1,$B36,AB$1,$B$1)</f>
        <v>0</v>
      </c>
      <c r="AC36" s="100">
        <f>_xll.EQNXTDZ($A$1,$B36,AC$1,$B$1)</f>
        <v>0</v>
      </c>
      <c r="AD36" s="100">
        <f>_xll.EQNXTDZ($A$1,$B36,AD$1,$B$1)</f>
        <v>0</v>
      </c>
      <c r="AE36" s="100">
        <f>_xll.EQNXTDZ($A$1,$B36,AE$1,$B$1)</f>
        <v>0</v>
      </c>
      <c r="AF36" s="100">
        <f>_xll.EQNXTDZ($A$1,$B36,AF$1,$B$1)</f>
        <v>0</v>
      </c>
    </row>
    <row r="39" spans="1:32" x14ac:dyDescent="0.25">
      <c r="A39" t="s">
        <v>110</v>
      </c>
      <c r="B39" t="s">
        <v>111</v>
      </c>
    </row>
    <row r="40" spans="1:32" x14ac:dyDescent="0.25">
      <c r="A40" t="s">
        <v>113</v>
      </c>
      <c r="B40" t="s">
        <v>175</v>
      </c>
      <c r="C40">
        <f>_xll.EQNXTDZ($A$1,$B40,C$1,$B$1)</f>
        <v>200103</v>
      </c>
      <c r="D40">
        <f>_xll.EQNXTDZ($A$1,$B40,D$1,$B$1)</f>
        <v>200203</v>
      </c>
      <c r="E40">
        <f>_xll.EQNXTDZ($A$1,$B40,E$1,$B$1)</f>
        <v>200303</v>
      </c>
      <c r="F40">
        <f>_xll.EQNXTDZ($A$1,$B40,F$1,$B$1)</f>
        <v>200403</v>
      </c>
      <c r="G40">
        <f>_xll.EQNXTDZ($A$1,$B40,G$1,$B$1)</f>
        <v>200503</v>
      </c>
      <c r="H40">
        <f>_xll.EQNXTDZ($A$1,$B40,H$1,$B$1)</f>
        <v>200603</v>
      </c>
      <c r="I40">
        <f>_xll.EQNXTDZ($A$1,$B40,I$1,$B$1)</f>
        <v>200703</v>
      </c>
      <c r="J40">
        <f>_xll.EQNXTDZ($A$1,$B40,J$1,$B$1)</f>
        <v>200803</v>
      </c>
      <c r="K40">
        <f>_xll.EQNXTDZ($A$1,$B40,K$1,$B$1)</f>
        <v>200903</v>
      </c>
      <c r="L40">
        <f>_xll.EQNXTDZ($A$1,$B40,L$1,$B$1)</f>
        <v>201003</v>
      </c>
      <c r="M40">
        <f>_xll.EQNXTDZ($A$1,$B40,M$1,$B$1)</f>
        <v>201103</v>
      </c>
      <c r="N40">
        <f>_xll.EQNXTDZ($A$1,$B40,N$1,$B$1)</f>
        <v>201203</v>
      </c>
      <c r="O40">
        <f>_xll.EQNXTDZ($A$1,$B40,O$1,$B$1)</f>
        <v>201303</v>
      </c>
      <c r="P40">
        <f>_xll.EQNXTDZ($A$1,$B40,P$1,$B$1)</f>
        <v>201403</v>
      </c>
      <c r="Q40">
        <f>_xll.EQNXTDZ($A$1,$B40,Q$1,$B$1)</f>
        <v>201503</v>
      </c>
      <c r="R40">
        <f>_xll.EQNXTDZ($A$1,$B40,R$1,$B$1)</f>
        <v>201603</v>
      </c>
      <c r="S40">
        <f>_xll.EQNXTDZ($A$1,$B40,S$1,$B$1)</f>
        <v>201703</v>
      </c>
      <c r="T40">
        <f>_xll.EQNXTDZ($A$1,$B40,T$1,$B$1)</f>
        <v>201803</v>
      </c>
      <c r="U40">
        <f>_xll.EQNXTDZ($A$1,$B40,U$1,$B$1)</f>
        <v>201903</v>
      </c>
      <c r="V40">
        <f>_xll.EQNXTDZ($A$1,$B40,V$1,$B$1)</f>
        <v>202003</v>
      </c>
      <c r="W40">
        <f>_xll.EQNXTDZ($A$1,$B40,W$1,$B$1)</f>
        <v>202103</v>
      </c>
      <c r="X40">
        <f>_xll.EQNXTDZ($A$1,$B40,X$1,$B$1)</f>
        <v>202203</v>
      </c>
      <c r="Y40">
        <f>_xll.EQNXTDZ($A$1,$B40,Y$1,$B$1)</f>
        <v>202303</v>
      </c>
      <c r="Z40">
        <f>_xll.EQNXTDZ($A$1,$B40,Z$1,$B$1)</f>
        <v>202403</v>
      </c>
      <c r="AA40">
        <f>_xll.EQNXTDZ($A$1,$B40,AA$1,$B$1)</f>
        <v>202503</v>
      </c>
      <c r="AB40">
        <f>_xll.EQNXTDZ($A$1,$B40,AB$1,$B$1)</f>
        <v>202603</v>
      </c>
      <c r="AC40">
        <f>_xll.EQNXTDZ($A$1,$B40,AC$1,$B$1)</f>
        <v>0</v>
      </c>
      <c r="AD40">
        <f>_xll.EQNXTDZ($A$1,$B40,AD$1,$B$1)</f>
        <v>0</v>
      </c>
      <c r="AE40">
        <f>_xll.EQNXTDZ($A$1,$B40,AE$1,$B$1)</f>
        <v>0</v>
      </c>
      <c r="AF40">
        <f>_xll.EQNXTDZ($A$1,$B40,AF$1,$B$1)</f>
        <v>0</v>
      </c>
    </row>
    <row r="41" spans="1:32" x14ac:dyDescent="0.25">
      <c r="A41" t="s">
        <v>41</v>
      </c>
      <c r="B41" t="s">
        <v>176</v>
      </c>
      <c r="C41" s="55">
        <f>_xll.EQNXTDZ($A$1,$B41,C$1,$B$1)</f>
        <v>39.430500000000002</v>
      </c>
      <c r="D41" s="55">
        <f>_xll.EQNXTDZ($A$1,$B41,D$1,$B$1)</f>
        <v>39.430500000000002</v>
      </c>
      <c r="E41" s="55">
        <f>_xll.EQNXTDZ($A$1,$B41,E$1,$B$1)</f>
        <v>39.430500000000002</v>
      </c>
      <c r="F41" s="55">
        <f>_xll.EQNXTDZ($A$1,$B41,F$1,$B$1)</f>
        <v>39.430500000000002</v>
      </c>
      <c r="G41" s="55">
        <f>_xll.EQNXTDZ($A$1,$B41,G$1,$B$1)</f>
        <v>39.430500000000002</v>
      </c>
      <c r="H41" s="55">
        <f>_xll.EQNXTDZ($A$1,$B41,H$1,$B$1)</f>
        <v>39.430500000000002</v>
      </c>
      <c r="I41" s="55">
        <f>_xll.EQNXTDZ($A$1,$B41,I$1,$B$1)</f>
        <v>21.430499999999999</v>
      </c>
      <c r="J41" s="55">
        <f>_xll.EQNXTDZ($A$1,$B41,J$1,$B$1)</f>
        <v>22.430499999999999</v>
      </c>
      <c r="K41" s="55">
        <f>_xll.EQNXTDZ($A$1,$B41,K$1,$B$1)</f>
        <v>22.430499999999999</v>
      </c>
      <c r="L41" s="55">
        <f>_xll.EQNXTDZ($A$1,$B41,L$1,$B$1)</f>
        <v>22.430499999999999</v>
      </c>
      <c r="M41" s="55">
        <f>_xll.EQNXTDZ($A$1,$B41,M$1,$B$1)</f>
        <v>22.430499999999999</v>
      </c>
      <c r="N41" s="55">
        <f>_xll.EQNXTDZ($A$1,$B41,N$1,$B$1)</f>
        <v>22.430499999999999</v>
      </c>
      <c r="O41" s="55">
        <f>_xll.EQNXTDZ($A$1,$B41,O$1,$B$1)</f>
        <v>22.430499999999999</v>
      </c>
      <c r="P41" s="55">
        <f>_xll.EQNXTDZ($A$1,$B41,P$1,$B$1)</f>
        <v>22.430499999999999</v>
      </c>
      <c r="Q41" s="55">
        <f>_xll.EQNXTDZ($A$1,$B41,Q$1,$B$1)</f>
        <v>22.430499999999999</v>
      </c>
      <c r="R41" s="55">
        <f>_xll.EQNXTDZ($A$1,$B41,R$1,$B$1)</f>
        <v>22.430499999999999</v>
      </c>
      <c r="S41" s="55">
        <f>_xll.EQNXTDZ($A$1,$B41,S$1,$B$1)</f>
        <v>22.430499999999999</v>
      </c>
      <c r="T41" s="55">
        <f>_xll.EQNXTDZ($A$1,$B41,T$1,$B$1)</f>
        <v>22.430499999999999</v>
      </c>
      <c r="U41" s="55">
        <f>_xll.EQNXTDZ($A$1,$B41,U$1,$B$1)</f>
        <v>22.430499999999999</v>
      </c>
      <c r="V41" s="55">
        <f>_xll.EQNXTDZ($A$1,$B41,V$1,$B$1)</f>
        <v>22.690100000000001</v>
      </c>
      <c r="W41" s="55">
        <f>_xll.EQNXTDZ($A$1,$B41,W$1,$B$1)</f>
        <v>25.347200000000001</v>
      </c>
      <c r="X41" s="55">
        <f>_xll.EQNXTDZ($A$1,$B41,X$1,$B$1)</f>
        <v>37.04</v>
      </c>
      <c r="Y41" s="55">
        <f>_xll.EQNXTDZ($A$1,$B41,Y$1,$B$1)</f>
        <v>50.48</v>
      </c>
      <c r="Z41" s="55">
        <f>_xll.EQNXTDZ($A$1,$B41,Z$1,$B$1)</f>
        <v>50.53</v>
      </c>
      <c r="AA41" s="55">
        <f>_xll.EQNXTDZ($A$1,$B41,AA$1,$B$1)</f>
        <v>52.32</v>
      </c>
      <c r="AB41" s="55">
        <f>_xll.EQNXTDZ($A$1,$B41,AB$1,$B$1)</f>
        <v>56.28</v>
      </c>
      <c r="AC41" s="55">
        <f>_xll.EQNXTDZ($A$1,$B41,AC$1,$B$1)</f>
        <v>0</v>
      </c>
      <c r="AD41" s="55">
        <f>_xll.EQNXTDZ($A$1,$B41,AD$1,$B$1)</f>
        <v>0</v>
      </c>
      <c r="AE41" s="55">
        <f>_xll.EQNXTDZ($A$1,$B41,AE$1,$B$1)</f>
        <v>0</v>
      </c>
      <c r="AF41" s="55">
        <f>_xll.EQNXTDZ($A$1,$B41,AF$1,$B$1)</f>
        <v>0</v>
      </c>
    </row>
    <row r="42" spans="1:32" x14ac:dyDescent="0.25">
      <c r="A42" t="s">
        <v>42</v>
      </c>
      <c r="B42" t="s">
        <v>177</v>
      </c>
      <c r="C42" s="55">
        <f>_xll.EQNXTDZ($A$1,$B42,C$1,$B$1)</f>
        <v>0</v>
      </c>
      <c r="D42" s="55">
        <f>_xll.EQNXTDZ($A$1,$B42,D$1,$B$1)</f>
        <v>0</v>
      </c>
      <c r="E42" s="55">
        <f>_xll.EQNXTDZ($A$1,$B42,E$1,$B$1)</f>
        <v>0</v>
      </c>
      <c r="F42" s="55">
        <f>_xll.EQNXTDZ($A$1,$B42,F$1,$B$1)</f>
        <v>0</v>
      </c>
      <c r="G42" s="55">
        <f>_xll.EQNXTDZ($A$1,$B42,G$1,$B$1)</f>
        <v>0</v>
      </c>
      <c r="H42" s="55">
        <f>_xll.EQNXTDZ($A$1,$B42,H$1,$B$1)</f>
        <v>0</v>
      </c>
      <c r="I42" s="55">
        <f>_xll.EQNXTDZ($A$1,$B42,I$1,$B$1)</f>
        <v>0</v>
      </c>
      <c r="J42" s="55">
        <f>_xll.EQNXTDZ($A$1,$B42,J$1,$B$1)</f>
        <v>0</v>
      </c>
      <c r="K42" s="55">
        <f>_xll.EQNXTDZ($A$1,$B42,K$1,$B$1)</f>
        <v>0</v>
      </c>
      <c r="L42" s="55">
        <f>_xll.EQNXTDZ($A$1,$B42,L$1,$B$1)</f>
        <v>0</v>
      </c>
      <c r="M42" s="55">
        <f>_xll.EQNXTDZ($A$1,$B42,M$1,$B$1)</f>
        <v>0</v>
      </c>
      <c r="N42" s="55">
        <f>_xll.EQNXTDZ($A$1,$B42,N$1,$B$1)</f>
        <v>0</v>
      </c>
      <c r="O42" s="55">
        <f>_xll.EQNXTDZ($A$1,$B42,O$1,$B$1)</f>
        <v>0</v>
      </c>
      <c r="P42" s="55">
        <f>_xll.EQNXTDZ($A$1,$B42,P$1,$B$1)</f>
        <v>0</v>
      </c>
      <c r="Q42" s="55">
        <f>_xll.EQNXTDZ($A$1,$B42,Q$1,$B$1)</f>
        <v>0</v>
      </c>
      <c r="R42" s="55">
        <f>_xll.EQNXTDZ($A$1,$B42,R$1,$B$1)</f>
        <v>0</v>
      </c>
      <c r="S42" s="55">
        <f>_xll.EQNXTDZ($A$1,$B42,S$1,$B$1)</f>
        <v>0</v>
      </c>
      <c r="T42" s="55">
        <f>_xll.EQNXTDZ($A$1,$B42,T$1,$B$1)</f>
        <v>0</v>
      </c>
      <c r="U42" s="55">
        <f>_xll.EQNXTDZ($A$1,$B42,U$1,$B$1)</f>
        <v>2.9289000000000001</v>
      </c>
      <c r="V42" s="55">
        <f>_xll.EQNXTDZ($A$1,$B42,V$1,$B$1)</f>
        <v>3.0550000000000002</v>
      </c>
      <c r="W42" s="55">
        <f>_xll.EQNXTDZ($A$1,$B42,W$1,$B$1)</f>
        <v>16.328800000000001</v>
      </c>
      <c r="X42" s="55">
        <f>_xll.EQNXTDZ($A$1,$B42,X$1,$B$1)</f>
        <v>16.149999999999999</v>
      </c>
      <c r="Y42" s="55">
        <f>_xll.EQNXTDZ($A$1,$B42,Y$1,$B$1)</f>
        <v>7.29</v>
      </c>
      <c r="Z42" s="55">
        <f>_xll.EQNXTDZ($A$1,$B42,Z$1,$B$1)</f>
        <v>37.58</v>
      </c>
      <c r="AA42" s="55">
        <f>_xll.EQNXTDZ($A$1,$B42,AA$1,$B$1)</f>
        <v>1043.83</v>
      </c>
      <c r="AB42" s="55">
        <f>_xll.EQNXTDZ($A$1,$B42,AB$1,$B$1)</f>
        <v>271</v>
      </c>
      <c r="AC42" s="55">
        <f>_xll.EQNXTDZ($A$1,$B42,AC$1,$B$1)</f>
        <v>0</v>
      </c>
      <c r="AD42" s="55">
        <f>_xll.EQNXTDZ($A$1,$B42,AD$1,$B$1)</f>
        <v>0</v>
      </c>
      <c r="AE42" s="55">
        <f>_xll.EQNXTDZ($A$1,$B42,AE$1,$B$1)</f>
        <v>0</v>
      </c>
      <c r="AF42" s="55">
        <f>_xll.EQNXTDZ($A$1,$B42,AF$1,$B$1)</f>
        <v>0</v>
      </c>
    </row>
    <row r="43" spans="1:32" x14ac:dyDescent="0.25">
      <c r="A43" t="s">
        <v>43</v>
      </c>
      <c r="B43" t="s">
        <v>178</v>
      </c>
      <c r="C43" s="55">
        <f>_xll.EQNXTDZ($A$1,$B43,C$1,$B$1)</f>
        <v>-28.336600000000001</v>
      </c>
      <c r="D43" s="55">
        <f>_xll.EQNXTDZ($A$1,$B43,D$1,$B$1)</f>
        <v>-114.6459</v>
      </c>
      <c r="E43" s="55">
        <f>_xll.EQNXTDZ($A$1,$B43,E$1,$B$1)</f>
        <v>-147.41079999999999</v>
      </c>
      <c r="F43" s="55">
        <f>_xll.EQNXTDZ($A$1,$B43,F$1,$B$1)</f>
        <v>-148.21360000000001</v>
      </c>
      <c r="G43" s="55">
        <f>_xll.EQNXTDZ($A$1,$B43,G$1,$B$1)</f>
        <v>-118.6306</v>
      </c>
      <c r="H43" s="55">
        <f>_xll.EQNXTDZ($A$1,$B43,H$1,$B$1)</f>
        <v>-53.971499999999999</v>
      </c>
      <c r="I43" s="55">
        <f>_xll.EQNXTDZ($A$1,$B43,I$1,$B$1)</f>
        <v>-65.9696</v>
      </c>
      <c r="J43" s="55">
        <f>_xll.EQNXTDZ($A$1,$B43,J$1,$B$1)</f>
        <v>-24.072600000000001</v>
      </c>
      <c r="K43" s="55">
        <f>_xll.EQNXTDZ($A$1,$B43,K$1,$B$1)</f>
        <v>60.437100000000001</v>
      </c>
      <c r="L43" s="55">
        <f>_xll.EQNXTDZ($A$1,$B43,L$1,$B$1)</f>
        <v>78.236199999999997</v>
      </c>
      <c r="M43" s="55">
        <f>_xll.EQNXTDZ($A$1,$B43,M$1,$B$1)</f>
        <v>96.770700000000005</v>
      </c>
      <c r="N43" s="55">
        <f>_xll.EQNXTDZ($A$1,$B43,N$1,$B$1)</f>
        <v>100.503</v>
      </c>
      <c r="O43" s="55">
        <f>_xll.EQNXTDZ($A$1,$B43,O$1,$B$1)</f>
        <v>102.41849999999999</v>
      </c>
      <c r="P43" s="55">
        <f>_xll.EQNXTDZ($A$1,$B43,P$1,$B$1)</f>
        <v>59.972799999999999</v>
      </c>
      <c r="Q43" s="55">
        <f>_xll.EQNXTDZ($A$1,$B43,Q$1,$B$1)</f>
        <v>38.818800000000003</v>
      </c>
      <c r="R43" s="55">
        <f>_xll.EQNXTDZ($A$1,$B43,R$1,$B$1)</f>
        <v>39.54</v>
      </c>
      <c r="S43" s="55">
        <f>_xll.EQNXTDZ($A$1,$B43,S$1,$B$1)</f>
        <v>45.193199999999997</v>
      </c>
      <c r="T43" s="55">
        <f>_xll.EQNXTDZ($A$1,$B43,T$1,$B$1)</f>
        <v>62.003799999999998</v>
      </c>
      <c r="U43" s="55">
        <f>_xll.EQNXTDZ($A$1,$B43,U$1,$B$1)</f>
        <v>82.894099999999995</v>
      </c>
      <c r="V43" s="55">
        <f>_xll.EQNXTDZ($A$1,$B43,V$1,$B$1)</f>
        <v>118.6604</v>
      </c>
      <c r="W43" s="55">
        <f>_xll.EQNXTDZ($A$1,$B43,W$1,$B$1)</f>
        <v>140.42930000000001</v>
      </c>
      <c r="X43" s="55">
        <f>_xll.EQNXTDZ($A$1,$B43,X$1,$B$1)</f>
        <v>428.39</v>
      </c>
      <c r="Y43" s="55">
        <f>_xll.EQNXTDZ($A$1,$B43,Y$1,$B$1)</f>
        <v>1471.18</v>
      </c>
      <c r="Z43" s="55">
        <f>_xll.EQNXTDZ($A$1,$B43,Z$1,$B$1)</f>
        <v>2722.76</v>
      </c>
      <c r="AA43" s="55">
        <f>_xll.EQNXTDZ($A$1,$B43,AA$1,$B$1)</f>
        <v>5363.93</v>
      </c>
      <c r="AB43" s="55">
        <f>_xll.EQNXTDZ($A$1,$B43,AB$1,$B$1)</f>
        <v>13543.61</v>
      </c>
      <c r="AC43" s="55">
        <f>_xll.EQNXTDZ($A$1,$B43,AC$1,$B$1)</f>
        <v>0</v>
      </c>
      <c r="AD43" s="55">
        <f>_xll.EQNXTDZ($A$1,$B43,AD$1,$B$1)</f>
        <v>0</v>
      </c>
      <c r="AE43" s="55">
        <f>_xll.EQNXTDZ($A$1,$B43,AE$1,$B$1)</f>
        <v>0</v>
      </c>
      <c r="AF43" s="55">
        <f>_xll.EQNXTDZ($A$1,$B43,AF$1,$B$1)</f>
        <v>0</v>
      </c>
    </row>
    <row r="44" spans="1:32" x14ac:dyDescent="0.25">
      <c r="A44" t="s">
        <v>44</v>
      </c>
      <c r="B44" t="s">
        <v>179</v>
      </c>
      <c r="C44" s="55">
        <f>_xll.EQNXTDZ($A$1,$B44,C$1,$B$1)</f>
        <v>11.0939</v>
      </c>
      <c r="D44" s="55">
        <f>_xll.EQNXTDZ($A$1,$B44,D$1,$B$1)</f>
        <v>-75.215400000000002</v>
      </c>
      <c r="E44" s="55">
        <f>_xll.EQNXTDZ($A$1,$B44,E$1,$B$1)</f>
        <v>-107.9803</v>
      </c>
      <c r="F44" s="55">
        <f>_xll.EQNXTDZ($A$1,$B44,F$1,$B$1)</f>
        <v>-108.7831</v>
      </c>
      <c r="G44" s="55">
        <f>_xll.EQNXTDZ($A$1,$B44,G$1,$B$1)</f>
        <v>-79.200100000000006</v>
      </c>
      <c r="H44" s="55">
        <f>_xll.EQNXTDZ($A$1,$B44,H$1,$B$1)</f>
        <v>-14.541</v>
      </c>
      <c r="I44" s="55">
        <f>_xll.EQNXTDZ($A$1,$B44,I$1,$B$1)</f>
        <v>-44.539099999999998</v>
      </c>
      <c r="J44" s="55">
        <f>_xll.EQNXTDZ($A$1,$B44,J$1,$B$1)</f>
        <v>-1.6420999999999999</v>
      </c>
      <c r="K44" s="55">
        <f>_xll.EQNXTDZ($A$1,$B44,K$1,$B$1)</f>
        <v>82.867599999999996</v>
      </c>
      <c r="L44" s="55">
        <f>_xll.EQNXTDZ($A$1,$B44,L$1,$B$1)</f>
        <v>100.66670000000001</v>
      </c>
      <c r="M44" s="55">
        <f>_xll.EQNXTDZ($A$1,$B44,M$1,$B$1)</f>
        <v>119.2012</v>
      </c>
      <c r="N44" s="55">
        <f>_xll.EQNXTDZ($A$1,$B44,N$1,$B$1)</f>
        <v>122.9335</v>
      </c>
      <c r="O44" s="55">
        <f>_xll.EQNXTDZ($A$1,$B44,O$1,$B$1)</f>
        <v>124.849</v>
      </c>
      <c r="P44" s="55">
        <f>_xll.EQNXTDZ($A$1,$B44,P$1,$B$1)</f>
        <v>82.403300000000002</v>
      </c>
      <c r="Q44" s="55">
        <f>_xll.EQNXTDZ($A$1,$B44,Q$1,$B$1)</f>
        <v>61.249299999999998</v>
      </c>
      <c r="R44" s="55">
        <f>_xll.EQNXTDZ($A$1,$B44,R$1,$B$1)</f>
        <v>61.970500000000001</v>
      </c>
      <c r="S44" s="55">
        <f>_xll.EQNXTDZ($A$1,$B44,S$1,$B$1)</f>
        <v>67.623699999999999</v>
      </c>
      <c r="T44" s="55">
        <f>_xll.EQNXTDZ($A$1,$B44,T$1,$B$1)</f>
        <v>84.434299999999993</v>
      </c>
      <c r="U44" s="55">
        <f>_xll.EQNXTDZ($A$1,$B44,U$1,$B$1)</f>
        <v>108.2535</v>
      </c>
      <c r="V44" s="55">
        <f>_xll.EQNXTDZ($A$1,$B44,V$1,$B$1)</f>
        <v>144.40549999999999</v>
      </c>
      <c r="W44" s="55">
        <f>_xll.EQNXTDZ($A$1,$B44,W$1,$B$1)</f>
        <v>182.1053</v>
      </c>
      <c r="X44" s="55">
        <f>_xll.EQNXTDZ($A$1,$B44,X$1,$B$1)</f>
        <v>481.58</v>
      </c>
      <c r="Y44" s="55">
        <f>_xll.EQNXTDZ($A$1,$B44,Y$1,$B$1)</f>
        <v>1528.95</v>
      </c>
      <c r="Z44" s="55">
        <f>_xll.EQNXTDZ($A$1,$B44,Z$1,$B$1)</f>
        <v>2810.87</v>
      </c>
      <c r="AA44" s="55">
        <f>_xll.EQNXTDZ($A$1,$B44,AA$1,$B$1)</f>
        <v>6460.08</v>
      </c>
      <c r="AB44" s="55">
        <f>_xll.EQNXTDZ($A$1,$B44,AB$1,$B$1)</f>
        <v>13870.89</v>
      </c>
      <c r="AC44" s="55">
        <f>_xll.EQNXTDZ($A$1,$B44,AC$1,$B$1)</f>
        <v>0</v>
      </c>
      <c r="AD44" s="55">
        <f>_xll.EQNXTDZ($A$1,$B44,AD$1,$B$1)</f>
        <v>0</v>
      </c>
      <c r="AE44" s="55">
        <f>_xll.EQNXTDZ($A$1,$B44,AE$1,$B$1)</f>
        <v>0</v>
      </c>
      <c r="AF44" s="55">
        <f>_xll.EQNXTDZ($A$1,$B44,AF$1,$B$1)</f>
        <v>0</v>
      </c>
    </row>
    <row r="45" spans="1:32" x14ac:dyDescent="0.25">
      <c r="A45" t="s">
        <v>23</v>
      </c>
      <c r="B45" t="s">
        <v>180</v>
      </c>
      <c r="C45" s="55">
        <f>_xll.EQNXTDZ($A$1,$B45,C$1,$B$1)</f>
        <v>0</v>
      </c>
      <c r="D45" s="55">
        <f>_xll.EQNXTDZ($A$1,$B45,D$1,$B$1)</f>
        <v>0</v>
      </c>
      <c r="E45" s="55">
        <f>_xll.EQNXTDZ($A$1,$B45,E$1,$B$1)</f>
        <v>0</v>
      </c>
      <c r="F45" s="55">
        <f>_xll.EQNXTDZ($A$1,$B45,F$1,$B$1)</f>
        <v>0</v>
      </c>
      <c r="G45" s="55">
        <f>_xll.EQNXTDZ($A$1,$B45,G$1,$B$1)</f>
        <v>0</v>
      </c>
      <c r="H45" s="55">
        <f>_xll.EQNXTDZ($A$1,$B45,H$1,$B$1)</f>
        <v>0</v>
      </c>
      <c r="I45" s="55">
        <f>_xll.EQNXTDZ($A$1,$B45,I$1,$B$1)</f>
        <v>0</v>
      </c>
      <c r="J45" s="55">
        <f>_xll.EQNXTDZ($A$1,$B45,J$1,$B$1)</f>
        <v>0</v>
      </c>
      <c r="K45" s="55">
        <f>_xll.EQNXTDZ($A$1,$B45,K$1,$B$1)</f>
        <v>0</v>
      </c>
      <c r="L45" s="55">
        <f>_xll.EQNXTDZ($A$1,$B45,L$1,$B$1)</f>
        <v>0</v>
      </c>
      <c r="M45" s="55">
        <f>_xll.EQNXTDZ($A$1,$B45,M$1,$B$1)</f>
        <v>0</v>
      </c>
      <c r="N45" s="55">
        <f>_xll.EQNXTDZ($A$1,$B45,N$1,$B$1)</f>
        <v>0</v>
      </c>
      <c r="O45" s="55">
        <f>_xll.EQNXTDZ($A$1,$B45,O$1,$B$1)</f>
        <v>0</v>
      </c>
      <c r="P45" s="55">
        <f>_xll.EQNXTDZ($A$1,$B45,P$1,$B$1)</f>
        <v>0</v>
      </c>
      <c r="Q45" s="55">
        <f>_xll.EQNXTDZ($A$1,$B45,Q$1,$B$1)</f>
        <v>0</v>
      </c>
      <c r="R45" s="55">
        <f>_xll.EQNXTDZ($A$1,$B45,R$1,$B$1)</f>
        <v>0</v>
      </c>
      <c r="S45" s="55">
        <f>_xll.EQNXTDZ($A$1,$B45,S$1,$B$1)</f>
        <v>0</v>
      </c>
      <c r="T45" s="55">
        <f>_xll.EQNXTDZ($A$1,$B45,T$1,$B$1)</f>
        <v>0</v>
      </c>
      <c r="U45" s="55">
        <f>_xll.EQNXTDZ($A$1,$B45,U$1,$B$1)</f>
        <v>0</v>
      </c>
      <c r="V45" s="55">
        <f>_xll.EQNXTDZ($A$1,$B45,V$1,$B$1)</f>
        <v>0</v>
      </c>
      <c r="W45" s="55">
        <f>_xll.EQNXTDZ($A$1,$B45,W$1,$B$1)</f>
        <v>0</v>
      </c>
      <c r="X45" s="55">
        <f>_xll.EQNXTDZ($A$1,$B45,X$1,$B$1)</f>
        <v>0</v>
      </c>
      <c r="Y45" s="55">
        <f>_xll.EQNXTDZ($A$1,$B45,Y$1,$B$1)</f>
        <v>0</v>
      </c>
      <c r="Z45" s="55">
        <f>_xll.EQNXTDZ($A$1,$B45,Z$1,$B$1)</f>
        <v>0</v>
      </c>
      <c r="AA45" s="55">
        <f>_xll.EQNXTDZ($A$1,$B45,AA$1,$B$1)</f>
        <v>0</v>
      </c>
      <c r="AB45" s="55">
        <f>_xll.EQNXTDZ($A$1,$B45,AB$1,$B$1)</f>
        <v>395.16</v>
      </c>
      <c r="AC45" s="55">
        <f>_xll.EQNXTDZ($A$1,$B45,AC$1,$B$1)</f>
        <v>0</v>
      </c>
      <c r="AD45" s="55">
        <f>_xll.EQNXTDZ($A$1,$B45,AD$1,$B$1)</f>
        <v>0</v>
      </c>
      <c r="AE45" s="55">
        <f>_xll.EQNXTDZ($A$1,$B45,AE$1,$B$1)</f>
        <v>0</v>
      </c>
      <c r="AF45" s="55">
        <f>_xll.EQNXTDZ($A$1,$B45,AF$1,$B$1)</f>
        <v>0</v>
      </c>
    </row>
    <row r="46" spans="1:32" x14ac:dyDescent="0.25">
      <c r="A46" t="s">
        <v>160</v>
      </c>
      <c r="B46" t="s">
        <v>181</v>
      </c>
      <c r="C46" s="55">
        <f>_xll.EQNXTDZ($A$1,$B46,C$1,$B$1)</f>
        <v>0</v>
      </c>
      <c r="D46" s="55">
        <f>_xll.EQNXTDZ($A$1,$B46,D$1,$B$1)</f>
        <v>0</v>
      </c>
      <c r="E46" s="55">
        <f>_xll.EQNXTDZ($A$1,$B46,E$1,$B$1)</f>
        <v>0</v>
      </c>
      <c r="F46" s="55">
        <f>_xll.EQNXTDZ($A$1,$B46,F$1,$B$1)</f>
        <v>0</v>
      </c>
      <c r="G46" s="55">
        <f>_xll.EQNXTDZ($A$1,$B46,G$1,$B$1)</f>
        <v>0</v>
      </c>
      <c r="H46" s="55">
        <f>_xll.EQNXTDZ($A$1,$B46,H$1,$B$1)</f>
        <v>0</v>
      </c>
      <c r="I46" s="55">
        <f>_xll.EQNXTDZ($A$1,$B46,I$1,$B$1)</f>
        <v>0</v>
      </c>
      <c r="J46" s="55">
        <f>_xll.EQNXTDZ($A$1,$B46,J$1,$B$1)</f>
        <v>0</v>
      </c>
      <c r="K46" s="55">
        <f>_xll.EQNXTDZ($A$1,$B46,K$1,$B$1)</f>
        <v>0</v>
      </c>
      <c r="L46" s="55">
        <f>_xll.EQNXTDZ($A$1,$B46,L$1,$B$1)</f>
        <v>0</v>
      </c>
      <c r="M46" s="55">
        <f>_xll.EQNXTDZ($A$1,$B46,M$1,$B$1)</f>
        <v>0</v>
      </c>
      <c r="N46" s="55">
        <f>_xll.EQNXTDZ($A$1,$B46,N$1,$B$1)</f>
        <v>0</v>
      </c>
      <c r="O46" s="55">
        <f>_xll.EQNXTDZ($A$1,$B46,O$1,$B$1)</f>
        <v>0</v>
      </c>
      <c r="P46" s="55">
        <f>_xll.EQNXTDZ($A$1,$B46,P$1,$B$1)</f>
        <v>0</v>
      </c>
      <c r="Q46" s="55">
        <f>_xll.EQNXTDZ($A$1,$B46,Q$1,$B$1)</f>
        <v>0</v>
      </c>
      <c r="R46" s="55">
        <f>_xll.EQNXTDZ($A$1,$B46,R$1,$B$1)</f>
        <v>0</v>
      </c>
      <c r="S46" s="55">
        <f>_xll.EQNXTDZ($A$1,$B46,S$1,$B$1)</f>
        <v>0</v>
      </c>
      <c r="T46" s="55">
        <f>_xll.EQNXTDZ($A$1,$B46,T$1,$B$1)</f>
        <v>0</v>
      </c>
      <c r="U46" s="55">
        <f>_xll.EQNXTDZ($A$1,$B46,U$1,$B$1)</f>
        <v>0</v>
      </c>
      <c r="V46" s="55">
        <f>_xll.EQNXTDZ($A$1,$B46,V$1,$B$1)</f>
        <v>0</v>
      </c>
      <c r="W46" s="55">
        <f>_xll.EQNXTDZ($A$1,$B46,W$1,$B$1)</f>
        <v>0</v>
      </c>
      <c r="X46" s="55">
        <f>_xll.EQNXTDZ($A$1,$B46,X$1,$B$1)</f>
        <v>0</v>
      </c>
      <c r="Y46" s="55">
        <f>_xll.EQNXTDZ($A$1,$B46,Y$1,$B$1)</f>
        <v>0</v>
      </c>
      <c r="Z46" s="55">
        <f>_xll.EQNXTDZ($A$1,$B46,Z$1,$B$1)</f>
        <v>0</v>
      </c>
      <c r="AA46" s="55">
        <f>_xll.EQNXTDZ($A$1,$B46,AA$1,$B$1)</f>
        <v>0</v>
      </c>
      <c r="AB46" s="55">
        <f>_xll.EQNXTDZ($A$1,$B46,AB$1,$B$1)</f>
        <v>0</v>
      </c>
      <c r="AC46" s="55">
        <f>_xll.EQNXTDZ($A$1,$B46,AC$1,$B$1)</f>
        <v>0</v>
      </c>
      <c r="AD46" s="55">
        <f>_xll.EQNXTDZ($A$1,$B46,AD$1,$B$1)</f>
        <v>0</v>
      </c>
      <c r="AE46" s="55">
        <f>_xll.EQNXTDZ($A$1,$B46,AE$1,$B$1)</f>
        <v>0</v>
      </c>
      <c r="AF46" s="55">
        <f>_xll.EQNXTDZ($A$1,$B46,AF$1,$B$1)</f>
        <v>0</v>
      </c>
    </row>
    <row r="47" spans="1:32" x14ac:dyDescent="0.25">
      <c r="A47" t="s">
        <v>45</v>
      </c>
      <c r="B47" t="s">
        <v>182</v>
      </c>
      <c r="C47" s="55">
        <f>_xll.EQNXTDZ($A$1,$B47,C$1,$B$1)</f>
        <v>361.21530000000001</v>
      </c>
      <c r="D47" s="55">
        <f>_xll.EQNXTDZ($A$1,$B47,D$1,$B$1)</f>
        <v>454.98759999999999</v>
      </c>
      <c r="E47" s="55">
        <f>_xll.EQNXTDZ($A$1,$B47,E$1,$B$1)</f>
        <v>478.03149999999999</v>
      </c>
      <c r="F47" s="55">
        <f>_xll.EQNXTDZ($A$1,$B47,F$1,$B$1)</f>
        <v>458.10410000000002</v>
      </c>
      <c r="G47" s="55">
        <f>_xll.EQNXTDZ($A$1,$B47,G$1,$B$1)</f>
        <v>305.89069999999998</v>
      </c>
      <c r="H47" s="55">
        <f>_xll.EQNXTDZ($A$1,$B47,H$1,$B$1)</f>
        <v>205.86850000000001</v>
      </c>
      <c r="I47" s="55">
        <f>_xll.EQNXTDZ($A$1,$B47,I$1,$B$1)</f>
        <v>188.58580000000001</v>
      </c>
      <c r="J47" s="55">
        <f>_xll.EQNXTDZ($A$1,$B47,J$1,$B$1)</f>
        <v>124.3943</v>
      </c>
      <c r="K47" s="55">
        <f>_xll.EQNXTDZ($A$1,$B47,K$1,$B$1)</f>
        <v>55.172199999999997</v>
      </c>
      <c r="L47" s="55">
        <f>_xll.EQNXTDZ($A$1,$B47,L$1,$B$1)</f>
        <v>35.913699999999999</v>
      </c>
      <c r="M47" s="55">
        <f>_xll.EQNXTDZ($A$1,$B47,M$1,$B$1)</f>
        <v>22.565799999999999</v>
      </c>
      <c r="N47" s="55">
        <f>_xll.EQNXTDZ($A$1,$B47,N$1,$B$1)</f>
        <v>16.931899999999999</v>
      </c>
      <c r="O47" s="55">
        <f>_xll.EQNXTDZ($A$1,$B47,O$1,$B$1)</f>
        <v>10.8203</v>
      </c>
      <c r="P47" s="55">
        <f>_xll.EQNXTDZ($A$1,$B47,P$1,$B$1)</f>
        <v>5.8982000000000001</v>
      </c>
      <c r="Q47" s="55">
        <f>_xll.EQNXTDZ($A$1,$B47,Q$1,$B$1)</f>
        <v>0.46839999999999998</v>
      </c>
      <c r="R47" s="55">
        <f>_xll.EQNXTDZ($A$1,$B47,R$1,$B$1)</f>
        <v>0.25779999999999997</v>
      </c>
      <c r="S47" s="55">
        <f>_xll.EQNXTDZ($A$1,$B47,S$1,$B$1)</f>
        <v>4.7100000000000003E-2</v>
      </c>
      <c r="T47" s="55">
        <f>_xll.EQNXTDZ($A$1,$B47,T$1,$B$1)</f>
        <v>2.7568999999999999</v>
      </c>
      <c r="U47" s="55">
        <f>_xll.EQNXTDZ($A$1,$B47,U$1,$B$1)</f>
        <v>52.521299999999997</v>
      </c>
      <c r="V47" s="55">
        <f>_xll.EQNXTDZ($A$1,$B47,V$1,$B$1)</f>
        <v>58.526499999999999</v>
      </c>
      <c r="W47" s="55">
        <f>_xll.EQNXTDZ($A$1,$B47,W$1,$B$1)</f>
        <v>67.1434</v>
      </c>
      <c r="X47" s="55">
        <f>_xll.EQNXTDZ($A$1,$B47,X$1,$B$1)</f>
        <v>56.72</v>
      </c>
      <c r="Y47" s="55">
        <f>_xll.EQNXTDZ($A$1,$B47,Y$1,$B$1)</f>
        <v>0</v>
      </c>
      <c r="Z47" s="55">
        <f>_xll.EQNXTDZ($A$1,$B47,Z$1,$B$1)</f>
        <v>0</v>
      </c>
      <c r="AA47" s="55">
        <f>_xll.EQNXTDZ($A$1,$B47,AA$1,$B$1)</f>
        <v>752.64</v>
      </c>
      <c r="AB47" s="55">
        <f>_xll.EQNXTDZ($A$1,$B47,AB$1,$B$1)</f>
        <v>3827.02</v>
      </c>
      <c r="AC47" s="55">
        <f>_xll.EQNXTDZ($A$1,$B47,AC$1,$B$1)</f>
        <v>0</v>
      </c>
      <c r="AD47" s="55">
        <f>_xll.EQNXTDZ($A$1,$B47,AD$1,$B$1)</f>
        <v>0</v>
      </c>
      <c r="AE47" s="55">
        <f>_xll.EQNXTDZ($A$1,$B47,AE$1,$B$1)</f>
        <v>0</v>
      </c>
      <c r="AF47" s="55">
        <f>_xll.EQNXTDZ($A$1,$B47,AF$1,$B$1)</f>
        <v>0</v>
      </c>
    </row>
    <row r="48" spans="1:32" x14ac:dyDescent="0.25">
      <c r="A48" t="s">
        <v>46</v>
      </c>
      <c r="B48" t="s">
        <v>183</v>
      </c>
      <c r="C48" s="55">
        <f>_xll.EQNXTDZ($A$1,$B48,C$1,$B$1)</f>
        <v>43.743000000000002</v>
      </c>
      <c r="D48" s="55">
        <f>_xll.EQNXTDZ($A$1,$B48,D$1,$B$1)</f>
        <v>23.887499999999999</v>
      </c>
      <c r="E48" s="55">
        <f>_xll.EQNXTDZ($A$1,$B48,E$1,$B$1)</f>
        <v>28.9392</v>
      </c>
      <c r="F48" s="55">
        <f>_xll.EQNXTDZ($A$1,$B48,F$1,$B$1)</f>
        <v>27.6357</v>
      </c>
      <c r="G48" s="55">
        <f>_xll.EQNXTDZ($A$1,$B48,G$1,$B$1)</f>
        <v>4.5073999999999996</v>
      </c>
      <c r="H48" s="55">
        <f>_xll.EQNXTDZ($A$1,$B48,H$1,$B$1)</f>
        <v>4.5073999999999996</v>
      </c>
      <c r="I48" s="55">
        <f>_xll.EQNXTDZ($A$1,$B48,I$1,$B$1)</f>
        <v>4.4950999999999999</v>
      </c>
      <c r="J48" s="55">
        <f>_xll.EQNXTDZ($A$1,$B48,J$1,$B$1)</f>
        <v>10.743399999999999</v>
      </c>
      <c r="K48" s="55">
        <f>_xll.EQNXTDZ($A$1,$B48,K$1,$B$1)</f>
        <v>10.429500000000001</v>
      </c>
      <c r="L48" s="55">
        <f>_xll.EQNXTDZ($A$1,$B48,L$1,$B$1)</f>
        <v>9.5</v>
      </c>
      <c r="M48" s="55">
        <f>_xll.EQNXTDZ($A$1,$B48,M$1,$B$1)</f>
        <v>9.7651000000000003</v>
      </c>
      <c r="N48" s="55">
        <f>_xll.EQNXTDZ($A$1,$B48,N$1,$B$1)</f>
        <v>9.7651000000000003</v>
      </c>
      <c r="O48" s="55">
        <f>_xll.EQNXTDZ($A$1,$B48,O$1,$B$1)</f>
        <v>9.7651000000000003</v>
      </c>
      <c r="P48" s="55">
        <f>_xll.EQNXTDZ($A$1,$B48,P$1,$B$1)</f>
        <v>9.7651000000000003</v>
      </c>
      <c r="Q48" s="55">
        <f>_xll.EQNXTDZ($A$1,$B48,Q$1,$B$1)</f>
        <v>9.7651000000000003</v>
      </c>
      <c r="R48" s="55">
        <f>_xll.EQNXTDZ($A$1,$B48,R$1,$B$1)</f>
        <v>9.7863000000000007</v>
      </c>
      <c r="S48" s="55">
        <f>_xll.EQNXTDZ($A$1,$B48,S$1,$B$1)</f>
        <v>9.2434999999999992</v>
      </c>
      <c r="T48" s="55">
        <f>_xll.EQNXTDZ($A$1,$B48,T$1,$B$1)</f>
        <v>7.2770000000000001</v>
      </c>
      <c r="U48" s="55">
        <f>_xll.EQNXTDZ($A$1,$B48,U$1,$B$1)</f>
        <v>30.096699999999998</v>
      </c>
      <c r="V48" s="55">
        <f>_xll.EQNXTDZ($A$1,$B48,V$1,$B$1)</f>
        <v>22.369199999999999</v>
      </c>
      <c r="W48" s="55">
        <f>_xll.EQNXTDZ($A$1,$B48,W$1,$B$1)</f>
        <v>26.0228</v>
      </c>
      <c r="X48" s="55">
        <f>_xll.EQNXTDZ($A$1,$B48,X$1,$B$1)</f>
        <v>0</v>
      </c>
      <c r="Y48" s="55">
        <f>_xll.EQNXTDZ($A$1,$B48,Y$1,$B$1)</f>
        <v>0</v>
      </c>
      <c r="Z48" s="55">
        <f>_xll.EQNXTDZ($A$1,$B48,Z$1,$B$1)</f>
        <v>0</v>
      </c>
      <c r="AA48" s="55">
        <f>_xll.EQNXTDZ($A$1,$B48,AA$1,$B$1)</f>
        <v>1.28</v>
      </c>
      <c r="AB48" s="55">
        <f>_xll.EQNXTDZ($A$1,$B48,AB$1,$B$1)</f>
        <v>10022.24</v>
      </c>
      <c r="AC48" s="55">
        <f>_xll.EQNXTDZ($A$1,$B48,AC$1,$B$1)</f>
        <v>0</v>
      </c>
      <c r="AD48" s="55">
        <f>_xll.EQNXTDZ($A$1,$B48,AD$1,$B$1)</f>
        <v>0</v>
      </c>
      <c r="AE48" s="55">
        <f>_xll.EQNXTDZ($A$1,$B48,AE$1,$B$1)</f>
        <v>0</v>
      </c>
      <c r="AF48" s="55">
        <f>_xll.EQNXTDZ($A$1,$B48,AF$1,$B$1)</f>
        <v>0</v>
      </c>
    </row>
    <row r="49" spans="1:32" x14ac:dyDescent="0.25">
      <c r="A49" t="s">
        <v>78</v>
      </c>
      <c r="B49" t="s">
        <v>184</v>
      </c>
      <c r="C49" s="55">
        <f>_xll.EQNXTDZ($A$1,$B49,C$1,$B$1)</f>
        <v>0</v>
      </c>
      <c r="D49" s="55">
        <f>_xll.EQNXTDZ($A$1,$B49,D$1,$B$1)</f>
        <v>0</v>
      </c>
      <c r="E49" s="55">
        <f>_xll.EQNXTDZ($A$1,$B49,E$1,$B$1)</f>
        <v>0</v>
      </c>
      <c r="F49" s="55">
        <f>_xll.EQNXTDZ($A$1,$B49,F$1,$B$1)</f>
        <v>0</v>
      </c>
      <c r="G49" s="55">
        <f>_xll.EQNXTDZ($A$1,$B49,G$1,$B$1)</f>
        <v>0</v>
      </c>
      <c r="H49" s="55">
        <f>_xll.EQNXTDZ($A$1,$B49,H$1,$B$1)</f>
        <v>0</v>
      </c>
      <c r="I49" s="55">
        <f>_xll.EQNXTDZ($A$1,$B49,I$1,$B$1)</f>
        <v>0</v>
      </c>
      <c r="J49" s="55">
        <f>_xll.EQNXTDZ($A$1,$B49,J$1,$B$1)</f>
        <v>0</v>
      </c>
      <c r="K49" s="55">
        <f>_xll.EQNXTDZ($A$1,$B49,K$1,$B$1)</f>
        <v>0</v>
      </c>
      <c r="L49" s="55">
        <f>_xll.EQNXTDZ($A$1,$B49,L$1,$B$1)</f>
        <v>0</v>
      </c>
      <c r="M49" s="55">
        <f>_xll.EQNXTDZ($A$1,$B49,M$1,$B$1)</f>
        <v>0</v>
      </c>
      <c r="N49" s="55">
        <f>_xll.EQNXTDZ($A$1,$B49,N$1,$B$1)</f>
        <v>0</v>
      </c>
      <c r="O49" s="55">
        <f>_xll.EQNXTDZ($A$1,$B49,O$1,$B$1)</f>
        <v>0</v>
      </c>
      <c r="P49" s="55">
        <f>_xll.EQNXTDZ($A$1,$B49,P$1,$B$1)</f>
        <v>0</v>
      </c>
      <c r="Q49" s="55">
        <f>_xll.EQNXTDZ($A$1,$B49,Q$1,$B$1)</f>
        <v>0</v>
      </c>
      <c r="R49" s="55">
        <f>_xll.EQNXTDZ($A$1,$B49,R$1,$B$1)</f>
        <v>0</v>
      </c>
      <c r="S49" s="55">
        <f>_xll.EQNXTDZ($A$1,$B49,S$1,$B$1)</f>
        <v>0</v>
      </c>
      <c r="T49" s="55">
        <f>_xll.EQNXTDZ($A$1,$B49,T$1,$B$1)</f>
        <v>0</v>
      </c>
      <c r="U49" s="55">
        <f>_xll.EQNXTDZ($A$1,$B49,U$1,$B$1)</f>
        <v>0</v>
      </c>
      <c r="V49" s="55">
        <f>_xll.EQNXTDZ($A$1,$B49,V$1,$B$1)</f>
        <v>-18.7332</v>
      </c>
      <c r="W49" s="55">
        <f>_xll.EQNXTDZ($A$1,$B49,W$1,$B$1)</f>
        <v>-18.7332</v>
      </c>
      <c r="X49" s="55">
        <f>_xll.EQNXTDZ($A$1,$B49,X$1,$B$1)</f>
        <v>-28.24</v>
      </c>
      <c r="Y49" s="55">
        <f>_xll.EQNXTDZ($A$1,$B49,Y$1,$B$1)</f>
        <v>-137.38</v>
      </c>
      <c r="Z49" s="55">
        <f>_xll.EQNXTDZ($A$1,$B49,Z$1,$B$1)</f>
        <v>86.36</v>
      </c>
      <c r="AA49" s="55">
        <f>_xll.EQNXTDZ($A$1,$B49,AA$1,$B$1)</f>
        <v>75.52</v>
      </c>
      <c r="AB49" s="55">
        <f>_xll.EQNXTDZ($A$1,$B49,AB$1,$B$1)</f>
        <v>201.65</v>
      </c>
      <c r="AC49" s="55">
        <f>_xll.EQNXTDZ($A$1,$B49,AC$1,$B$1)</f>
        <v>0</v>
      </c>
      <c r="AD49" s="55">
        <f>_xll.EQNXTDZ($A$1,$B49,AD$1,$B$1)</f>
        <v>0</v>
      </c>
      <c r="AE49" s="55">
        <f>_xll.EQNXTDZ($A$1,$B49,AE$1,$B$1)</f>
        <v>0</v>
      </c>
      <c r="AF49" s="55">
        <f>_xll.EQNXTDZ($A$1,$B49,AF$1,$B$1)</f>
        <v>0</v>
      </c>
    </row>
    <row r="50" spans="1:32" x14ac:dyDescent="0.25">
      <c r="A50" t="s">
        <v>66</v>
      </c>
      <c r="B50" t="s">
        <v>185</v>
      </c>
      <c r="C50" s="55">
        <f>_xll.EQNXTDZ($A$1,$B50,C$1,$B$1)</f>
        <v>0</v>
      </c>
      <c r="D50" s="55">
        <f>_xll.EQNXTDZ($A$1,$B50,D$1,$B$1)</f>
        <v>0</v>
      </c>
      <c r="E50" s="55">
        <f>_xll.EQNXTDZ($A$1,$B50,E$1,$B$1)</f>
        <v>0</v>
      </c>
      <c r="F50" s="55">
        <f>_xll.EQNXTDZ($A$1,$B50,F$1,$B$1)</f>
        <v>0</v>
      </c>
      <c r="G50" s="55">
        <f>_xll.EQNXTDZ($A$1,$B50,G$1,$B$1)</f>
        <v>0</v>
      </c>
      <c r="H50" s="55">
        <f>_xll.EQNXTDZ($A$1,$B50,H$1,$B$1)</f>
        <v>0</v>
      </c>
      <c r="I50" s="55">
        <f>_xll.EQNXTDZ($A$1,$B50,I$1,$B$1)</f>
        <v>0</v>
      </c>
      <c r="J50" s="55">
        <f>_xll.EQNXTDZ($A$1,$B50,J$1,$B$1)</f>
        <v>0</v>
      </c>
      <c r="K50" s="55">
        <f>_xll.EQNXTDZ($A$1,$B50,K$1,$B$1)</f>
        <v>0</v>
      </c>
      <c r="L50" s="55">
        <f>_xll.EQNXTDZ($A$1,$B50,L$1,$B$1)</f>
        <v>0</v>
      </c>
      <c r="M50" s="55">
        <f>_xll.EQNXTDZ($A$1,$B50,M$1,$B$1)</f>
        <v>0</v>
      </c>
      <c r="N50" s="55">
        <f>_xll.EQNXTDZ($A$1,$B50,N$1,$B$1)</f>
        <v>0</v>
      </c>
      <c r="O50" s="55">
        <f>_xll.EQNXTDZ($A$1,$B50,O$1,$B$1)</f>
        <v>0</v>
      </c>
      <c r="P50" s="55">
        <f>_xll.EQNXTDZ($A$1,$B50,P$1,$B$1)</f>
        <v>23.434100000000001</v>
      </c>
      <c r="Q50" s="55">
        <f>_xll.EQNXTDZ($A$1,$B50,Q$1,$B$1)</f>
        <v>146.43219999999999</v>
      </c>
      <c r="R50" s="55">
        <f>_xll.EQNXTDZ($A$1,$B50,R$1,$B$1)</f>
        <v>220.26589999999999</v>
      </c>
      <c r="S50" s="55">
        <f>_xll.EQNXTDZ($A$1,$B50,S$1,$B$1)</f>
        <v>277.14519999999999</v>
      </c>
      <c r="T50" s="55">
        <f>_xll.EQNXTDZ($A$1,$B50,T$1,$B$1)</f>
        <v>363.00510000000003</v>
      </c>
      <c r="U50" s="55">
        <f>_xll.EQNXTDZ($A$1,$B50,U$1,$B$1)</f>
        <v>304.947</v>
      </c>
      <c r="V50" s="55">
        <f>_xll.EQNXTDZ($A$1,$B50,V$1,$B$1)</f>
        <v>278.23</v>
      </c>
      <c r="W50" s="55">
        <f>_xll.EQNXTDZ($A$1,$B50,W$1,$B$1)</f>
        <v>282.81130000000002</v>
      </c>
      <c r="X50" s="55">
        <f>_xll.EQNXTDZ($A$1,$B50,X$1,$B$1)</f>
        <v>161.86000000000001</v>
      </c>
      <c r="Y50" s="55">
        <f>_xll.EQNXTDZ($A$1,$B50,Y$1,$B$1)</f>
        <v>2.19</v>
      </c>
      <c r="Z50" s="55">
        <f>_xll.EQNXTDZ($A$1,$B50,Z$1,$B$1)</f>
        <v>29.44</v>
      </c>
      <c r="AA50" s="55">
        <f>_xll.EQNXTDZ($A$1,$B50,AA$1,$B$1)</f>
        <v>35.92</v>
      </c>
      <c r="AB50" s="55">
        <f>_xll.EQNXTDZ($A$1,$B50,AB$1,$B$1)</f>
        <v>1114.68</v>
      </c>
      <c r="AC50" s="55">
        <f>_xll.EQNXTDZ($A$1,$B50,AC$1,$B$1)</f>
        <v>0</v>
      </c>
      <c r="AD50" s="55">
        <f>_xll.EQNXTDZ($A$1,$B50,AD$1,$B$1)</f>
        <v>0</v>
      </c>
      <c r="AE50" s="55">
        <f>_xll.EQNXTDZ($A$1,$B50,AE$1,$B$1)</f>
        <v>0</v>
      </c>
      <c r="AF50" s="55">
        <f>_xll.EQNXTDZ($A$1,$B50,AF$1,$B$1)</f>
        <v>0</v>
      </c>
    </row>
    <row r="51" spans="1:32" x14ac:dyDescent="0.25">
      <c r="A51" t="s">
        <v>161</v>
      </c>
      <c r="B51" t="s">
        <v>186</v>
      </c>
      <c r="C51" s="55">
        <f>_xll.EQNXTDZ($A$1,$B51,C$1,$B$1)</f>
        <v>0</v>
      </c>
      <c r="D51" s="55">
        <f>_xll.EQNXTDZ($A$1,$B51,D$1,$B$1)</f>
        <v>0</v>
      </c>
      <c r="E51" s="55">
        <f>_xll.EQNXTDZ($A$1,$B51,E$1,$B$1)</f>
        <v>0</v>
      </c>
      <c r="F51" s="55">
        <f>_xll.EQNXTDZ($A$1,$B51,F$1,$B$1)</f>
        <v>0</v>
      </c>
      <c r="G51" s="55">
        <f>_xll.EQNXTDZ($A$1,$B51,G$1,$B$1)</f>
        <v>0</v>
      </c>
      <c r="H51" s="55">
        <f>_xll.EQNXTDZ($A$1,$B51,H$1,$B$1)</f>
        <v>0</v>
      </c>
      <c r="I51" s="55">
        <f>_xll.EQNXTDZ($A$1,$B51,I$1,$B$1)</f>
        <v>0</v>
      </c>
      <c r="J51" s="55">
        <f>_xll.EQNXTDZ($A$1,$B51,J$1,$B$1)</f>
        <v>0</v>
      </c>
      <c r="K51" s="55">
        <f>_xll.EQNXTDZ($A$1,$B51,K$1,$B$1)</f>
        <v>0</v>
      </c>
      <c r="L51" s="55">
        <f>_xll.EQNXTDZ($A$1,$B51,L$1,$B$1)</f>
        <v>0</v>
      </c>
      <c r="M51" s="55">
        <f>_xll.EQNXTDZ($A$1,$B51,M$1,$B$1)</f>
        <v>0</v>
      </c>
      <c r="N51" s="55">
        <f>_xll.EQNXTDZ($A$1,$B51,N$1,$B$1)</f>
        <v>0</v>
      </c>
      <c r="O51" s="55">
        <f>_xll.EQNXTDZ($A$1,$B51,O$1,$B$1)</f>
        <v>0</v>
      </c>
      <c r="P51" s="55">
        <f>_xll.EQNXTDZ($A$1,$B51,P$1,$B$1)</f>
        <v>135.5615</v>
      </c>
      <c r="Q51" s="55">
        <f>_xll.EQNXTDZ($A$1,$B51,Q$1,$B$1)</f>
        <v>125.8</v>
      </c>
      <c r="R51" s="55">
        <f>_xll.EQNXTDZ($A$1,$B51,R$1,$B$1)</f>
        <v>96.154300000000006</v>
      </c>
      <c r="S51" s="55">
        <f>_xll.EQNXTDZ($A$1,$B51,S$1,$B$1)</f>
        <v>54.019500000000001</v>
      </c>
      <c r="T51" s="55">
        <f>_xll.EQNXTDZ($A$1,$B51,T$1,$B$1)</f>
        <v>0</v>
      </c>
      <c r="U51" s="55">
        <f>_xll.EQNXTDZ($A$1,$B51,U$1,$B$1)</f>
        <v>0</v>
      </c>
      <c r="V51" s="55">
        <f>_xll.EQNXTDZ($A$1,$B51,V$1,$B$1)</f>
        <v>0</v>
      </c>
      <c r="W51" s="55">
        <f>_xll.EQNXTDZ($A$1,$B51,W$1,$B$1)</f>
        <v>0</v>
      </c>
      <c r="X51" s="55">
        <f>_xll.EQNXTDZ($A$1,$B51,X$1,$B$1)</f>
        <v>0</v>
      </c>
      <c r="Y51" s="55">
        <f>_xll.EQNXTDZ($A$1,$B51,Y$1,$B$1)</f>
        <v>0</v>
      </c>
      <c r="Z51" s="55">
        <f>_xll.EQNXTDZ($A$1,$B51,Z$1,$B$1)</f>
        <v>0</v>
      </c>
      <c r="AA51" s="55">
        <f>_xll.EQNXTDZ($A$1,$B51,AA$1,$B$1)</f>
        <v>0</v>
      </c>
      <c r="AB51" s="55">
        <f>_xll.EQNXTDZ($A$1,$B51,AB$1,$B$1)</f>
        <v>0</v>
      </c>
      <c r="AC51" s="55">
        <f>_xll.EQNXTDZ($A$1,$B51,AC$1,$B$1)</f>
        <v>0</v>
      </c>
      <c r="AD51" s="55">
        <f>_xll.EQNXTDZ($A$1,$B51,AD$1,$B$1)</f>
        <v>0</v>
      </c>
      <c r="AE51" s="55">
        <f>_xll.EQNXTDZ($A$1,$B51,AE$1,$B$1)</f>
        <v>0</v>
      </c>
      <c r="AF51" s="55">
        <f>_xll.EQNXTDZ($A$1,$B51,AF$1,$B$1)</f>
        <v>0</v>
      </c>
    </row>
    <row r="52" spans="1:32" x14ac:dyDescent="0.25">
      <c r="A52" t="s">
        <v>68</v>
      </c>
      <c r="B52" t="s">
        <v>187</v>
      </c>
      <c r="C52" s="55">
        <f>_xll.EQNXTDZ($A$1,$B52,C$1,$B$1)</f>
        <v>0</v>
      </c>
      <c r="D52" s="55">
        <f>_xll.EQNXTDZ($A$1,$B52,D$1,$B$1)</f>
        <v>0</v>
      </c>
      <c r="E52" s="55">
        <f>_xll.EQNXTDZ($A$1,$B52,E$1,$B$1)</f>
        <v>0</v>
      </c>
      <c r="F52" s="55">
        <f>_xll.EQNXTDZ($A$1,$B52,F$1,$B$1)</f>
        <v>0</v>
      </c>
      <c r="G52" s="55">
        <f>_xll.EQNXTDZ($A$1,$B52,G$1,$B$1)</f>
        <v>0</v>
      </c>
      <c r="H52" s="55">
        <f>_xll.EQNXTDZ($A$1,$B52,H$1,$B$1)</f>
        <v>0</v>
      </c>
      <c r="I52" s="55">
        <f>_xll.EQNXTDZ($A$1,$B52,I$1,$B$1)</f>
        <v>0</v>
      </c>
      <c r="J52" s="55">
        <f>_xll.EQNXTDZ($A$1,$B52,J$1,$B$1)</f>
        <v>0</v>
      </c>
      <c r="K52" s="55">
        <f>_xll.EQNXTDZ($A$1,$B52,K$1,$B$1)</f>
        <v>0</v>
      </c>
      <c r="L52" s="55">
        <f>_xll.EQNXTDZ($A$1,$B52,L$1,$B$1)</f>
        <v>0</v>
      </c>
      <c r="M52" s="55">
        <f>_xll.EQNXTDZ($A$1,$B52,M$1,$B$1)</f>
        <v>2.4438</v>
      </c>
      <c r="N52" s="55">
        <f>_xll.EQNXTDZ($A$1,$B52,N$1,$B$1)</f>
        <v>2.8159999999999998</v>
      </c>
      <c r="O52" s="55">
        <f>_xll.EQNXTDZ($A$1,$B52,O$1,$B$1)</f>
        <v>3.1892</v>
      </c>
      <c r="P52" s="55">
        <f>_xll.EQNXTDZ($A$1,$B52,P$1,$B$1)</f>
        <v>3.5512000000000001</v>
      </c>
      <c r="Q52" s="55">
        <f>_xll.EQNXTDZ($A$1,$B52,Q$1,$B$1)</f>
        <v>4.1352000000000002</v>
      </c>
      <c r="R52" s="55">
        <f>_xll.EQNXTDZ($A$1,$B52,R$1,$B$1)</f>
        <v>3.8730000000000002</v>
      </c>
      <c r="S52" s="55">
        <f>_xll.EQNXTDZ($A$1,$B52,S$1,$B$1)</f>
        <v>3.9622000000000002</v>
      </c>
      <c r="T52" s="55">
        <f>_xll.EQNXTDZ($A$1,$B52,T$1,$B$1)</f>
        <v>4.3483000000000001</v>
      </c>
      <c r="U52" s="55">
        <f>_xll.EQNXTDZ($A$1,$B52,U$1,$B$1)</f>
        <v>5.0865999999999998</v>
      </c>
      <c r="V52" s="55">
        <f>_xll.EQNXTDZ($A$1,$B52,V$1,$B$1)</f>
        <v>5.7308000000000003</v>
      </c>
      <c r="W52" s="55">
        <f>_xll.EQNXTDZ($A$1,$B52,W$1,$B$1)</f>
        <v>5.7370000000000001</v>
      </c>
      <c r="X52" s="55">
        <f>_xll.EQNXTDZ($A$1,$B52,X$1,$B$1)</f>
        <v>5.36</v>
      </c>
      <c r="Y52" s="55">
        <f>_xll.EQNXTDZ($A$1,$B52,Y$1,$B$1)</f>
        <v>22.56</v>
      </c>
      <c r="Z52" s="55">
        <f>_xll.EQNXTDZ($A$1,$B52,Z$1,$B$1)</f>
        <v>24.89</v>
      </c>
      <c r="AA52" s="55">
        <f>_xll.EQNXTDZ($A$1,$B52,AA$1,$B$1)</f>
        <v>28.76</v>
      </c>
      <c r="AB52" s="55">
        <f>_xll.EQNXTDZ($A$1,$B52,AB$1,$B$1)</f>
        <v>120.28</v>
      </c>
      <c r="AC52" s="55">
        <f>_xll.EQNXTDZ($A$1,$B52,AC$1,$B$1)</f>
        <v>0</v>
      </c>
      <c r="AD52" s="55">
        <f>_xll.EQNXTDZ($A$1,$B52,AD$1,$B$1)</f>
        <v>0</v>
      </c>
      <c r="AE52" s="55">
        <f>_xll.EQNXTDZ($A$1,$B52,AE$1,$B$1)</f>
        <v>0</v>
      </c>
      <c r="AF52" s="55">
        <f>_xll.EQNXTDZ($A$1,$B52,AF$1,$B$1)</f>
        <v>0</v>
      </c>
    </row>
    <row r="53" spans="1:32" x14ac:dyDescent="0.25">
      <c r="A53" t="s">
        <v>162</v>
      </c>
      <c r="B53" t="s">
        <v>188</v>
      </c>
      <c r="C53" s="55">
        <f>_xll.EQNXTDZ($A$1,$B53,C$1,$B$1)</f>
        <v>404.95830000000001</v>
      </c>
      <c r="D53" s="55">
        <f>_xll.EQNXTDZ($A$1,$B53,D$1,$B$1)</f>
        <v>478.87509999999997</v>
      </c>
      <c r="E53" s="55">
        <f>_xll.EQNXTDZ($A$1,$B53,E$1,$B$1)</f>
        <v>506.97070000000002</v>
      </c>
      <c r="F53" s="55">
        <f>_xll.EQNXTDZ($A$1,$B53,F$1,$B$1)</f>
        <v>485.7398</v>
      </c>
      <c r="G53" s="55">
        <f>_xll.EQNXTDZ($A$1,$B53,G$1,$B$1)</f>
        <v>310.3981</v>
      </c>
      <c r="H53" s="55">
        <f>_xll.EQNXTDZ($A$1,$B53,H$1,$B$1)</f>
        <v>210.3759</v>
      </c>
      <c r="I53" s="55">
        <f>_xll.EQNXTDZ($A$1,$B53,I$1,$B$1)</f>
        <v>193.08090000000001</v>
      </c>
      <c r="J53" s="55">
        <f>_xll.EQNXTDZ($A$1,$B53,J$1,$B$1)</f>
        <v>135.1377</v>
      </c>
      <c r="K53" s="55">
        <f>_xll.EQNXTDZ($A$1,$B53,K$1,$B$1)</f>
        <v>65.601699999999994</v>
      </c>
      <c r="L53" s="55">
        <f>_xll.EQNXTDZ($A$1,$B53,L$1,$B$1)</f>
        <v>45.413699999999999</v>
      </c>
      <c r="M53" s="55">
        <f>_xll.EQNXTDZ($A$1,$B53,M$1,$B$1)</f>
        <v>34.774700000000003</v>
      </c>
      <c r="N53" s="55">
        <f>_xll.EQNXTDZ($A$1,$B53,N$1,$B$1)</f>
        <v>29.513000000000002</v>
      </c>
      <c r="O53" s="55">
        <f>_xll.EQNXTDZ($A$1,$B53,O$1,$B$1)</f>
        <v>23.7746</v>
      </c>
      <c r="P53" s="55">
        <f>_xll.EQNXTDZ($A$1,$B53,P$1,$B$1)</f>
        <v>178.21010000000001</v>
      </c>
      <c r="Q53" s="55">
        <f>_xll.EQNXTDZ($A$1,$B53,Q$1,$B$1)</f>
        <v>286.60090000000002</v>
      </c>
      <c r="R53" s="55">
        <f>_xll.EQNXTDZ($A$1,$B53,R$1,$B$1)</f>
        <v>330.33730000000003</v>
      </c>
      <c r="S53" s="55">
        <f>_xll.EQNXTDZ($A$1,$B53,S$1,$B$1)</f>
        <v>344.41750000000002</v>
      </c>
      <c r="T53" s="55">
        <f>_xll.EQNXTDZ($A$1,$B53,T$1,$B$1)</f>
        <v>377.38729999999998</v>
      </c>
      <c r="U53" s="55">
        <f>_xll.EQNXTDZ($A$1,$B53,U$1,$B$1)</f>
        <v>392.65159999999997</v>
      </c>
      <c r="V53" s="55">
        <f>_xll.EQNXTDZ($A$1,$B53,V$1,$B$1)</f>
        <v>346.12329999999997</v>
      </c>
      <c r="W53" s="55">
        <f>_xll.EQNXTDZ($A$1,$B53,W$1,$B$1)</f>
        <v>362.98129999999998</v>
      </c>
      <c r="X53" s="55">
        <f>_xll.EQNXTDZ($A$1,$B53,X$1,$B$1)</f>
        <v>195.7</v>
      </c>
      <c r="Y53" s="55">
        <f>_xll.EQNXTDZ($A$1,$B53,Y$1,$B$1)</f>
        <v>-112.63</v>
      </c>
      <c r="Z53" s="55">
        <f>_xll.EQNXTDZ($A$1,$B53,Z$1,$B$1)</f>
        <v>140.69</v>
      </c>
      <c r="AA53" s="55">
        <f>_xll.EQNXTDZ($A$1,$B53,AA$1,$B$1)</f>
        <v>894.12</v>
      </c>
      <c r="AB53" s="55">
        <f>_xll.EQNXTDZ($A$1,$B53,AB$1,$B$1)</f>
        <v>15285.87</v>
      </c>
      <c r="AC53" s="55">
        <f>_xll.EQNXTDZ($A$1,$B53,AC$1,$B$1)</f>
        <v>0</v>
      </c>
      <c r="AD53" s="55">
        <f>_xll.EQNXTDZ($A$1,$B53,AD$1,$B$1)</f>
        <v>0</v>
      </c>
      <c r="AE53" s="55">
        <f>_xll.EQNXTDZ($A$1,$B53,AE$1,$B$1)</f>
        <v>0</v>
      </c>
      <c r="AF53" s="55">
        <f>_xll.EQNXTDZ($A$1,$B53,AF$1,$B$1)</f>
        <v>0</v>
      </c>
    </row>
    <row r="54" spans="1:32" x14ac:dyDescent="0.25">
      <c r="A54" t="s">
        <v>70</v>
      </c>
      <c r="B54" t="s">
        <v>189</v>
      </c>
      <c r="C54" s="55">
        <f>_xll.EQNXTDZ($A$1,$B54,C$1,$B$1)</f>
        <v>15.784700000000001</v>
      </c>
      <c r="D54" s="55">
        <f>_xll.EQNXTDZ($A$1,$B54,D$1,$B$1)</f>
        <v>23.4971</v>
      </c>
      <c r="E54" s="55">
        <f>_xll.EQNXTDZ($A$1,$B54,E$1,$B$1)</f>
        <v>12.744999999999999</v>
      </c>
      <c r="F54" s="55">
        <f>_xll.EQNXTDZ($A$1,$B54,F$1,$B$1)</f>
        <v>19.428799999999999</v>
      </c>
      <c r="G54" s="55">
        <f>_xll.EQNXTDZ($A$1,$B54,G$1,$B$1)</f>
        <v>4.7138999999999998</v>
      </c>
      <c r="H54" s="55">
        <f>_xll.EQNXTDZ($A$1,$B54,H$1,$B$1)</f>
        <v>85.248000000000005</v>
      </c>
      <c r="I54" s="55">
        <f>_xll.EQNXTDZ($A$1,$B54,I$1,$B$1)</f>
        <v>72.0398</v>
      </c>
      <c r="J54" s="55">
        <f>_xll.EQNXTDZ($A$1,$B54,J$1,$B$1)</f>
        <v>107.32989999999999</v>
      </c>
      <c r="K54" s="55">
        <f>_xll.EQNXTDZ($A$1,$B54,K$1,$B$1)</f>
        <v>245.78569999999999</v>
      </c>
      <c r="L54" s="55">
        <f>_xll.EQNXTDZ($A$1,$B54,L$1,$B$1)</f>
        <v>214.97</v>
      </c>
      <c r="M54" s="55">
        <f>_xll.EQNXTDZ($A$1,$B54,M$1,$B$1)</f>
        <v>286.48250000000002</v>
      </c>
      <c r="N54" s="55">
        <f>_xll.EQNXTDZ($A$1,$B54,N$1,$B$1)</f>
        <v>325.459</v>
      </c>
      <c r="O54" s="55">
        <f>_xll.EQNXTDZ($A$1,$B54,O$1,$B$1)</f>
        <v>223.7311</v>
      </c>
      <c r="P54" s="55">
        <f>_xll.EQNXTDZ($A$1,$B54,P$1,$B$1)</f>
        <v>122.747</v>
      </c>
      <c r="Q54" s="55">
        <f>_xll.EQNXTDZ($A$1,$B54,Q$1,$B$1)</f>
        <v>64.572699999999998</v>
      </c>
      <c r="R54" s="55">
        <f>_xll.EQNXTDZ($A$1,$B54,R$1,$B$1)</f>
        <v>64.067099999999996</v>
      </c>
      <c r="S54" s="55">
        <f>_xll.EQNXTDZ($A$1,$B54,S$1,$B$1)</f>
        <v>59.886200000000002</v>
      </c>
      <c r="T54" s="55">
        <f>_xll.EQNXTDZ($A$1,$B54,T$1,$B$1)</f>
        <v>67.603300000000004</v>
      </c>
      <c r="U54" s="55">
        <f>_xll.EQNXTDZ($A$1,$B54,U$1,$B$1)</f>
        <v>64.027299999999997</v>
      </c>
      <c r="V54" s="55">
        <f>_xll.EQNXTDZ($A$1,$B54,V$1,$B$1)</f>
        <v>61.123800000000003</v>
      </c>
      <c r="W54" s="55">
        <f>_xll.EQNXTDZ($A$1,$B54,W$1,$B$1)</f>
        <v>35.252200000000002</v>
      </c>
      <c r="X54" s="55">
        <f>_xll.EQNXTDZ($A$1,$B54,X$1,$B$1)</f>
        <v>15.18</v>
      </c>
      <c r="Y54" s="55">
        <f>_xll.EQNXTDZ($A$1,$B54,Y$1,$B$1)</f>
        <v>74.53</v>
      </c>
      <c r="Z54" s="55">
        <f>_xll.EQNXTDZ($A$1,$B54,Z$1,$B$1)</f>
        <v>395.08</v>
      </c>
      <c r="AA54" s="55">
        <f>_xll.EQNXTDZ($A$1,$B54,AA$1,$B$1)</f>
        <v>108.03</v>
      </c>
      <c r="AB54" s="55">
        <f>_xll.EQNXTDZ($A$1,$B54,AB$1,$B$1)</f>
        <v>2664.23</v>
      </c>
      <c r="AC54" s="55">
        <f>_xll.EQNXTDZ($A$1,$B54,AC$1,$B$1)</f>
        <v>0</v>
      </c>
      <c r="AD54" s="55">
        <f>_xll.EQNXTDZ($A$1,$B54,AD$1,$B$1)</f>
        <v>0</v>
      </c>
      <c r="AE54" s="55">
        <f>_xll.EQNXTDZ($A$1,$B54,AE$1,$B$1)</f>
        <v>0</v>
      </c>
      <c r="AF54" s="55">
        <f>_xll.EQNXTDZ($A$1,$B54,AF$1,$B$1)</f>
        <v>0</v>
      </c>
    </row>
    <row r="55" spans="1:32" x14ac:dyDescent="0.25">
      <c r="A55" t="s">
        <v>71</v>
      </c>
      <c r="B55" t="s">
        <v>190</v>
      </c>
      <c r="C55" s="55">
        <f>_xll.EQNXTDZ($A$1,$B55,C$1,$B$1)</f>
        <v>10.4268</v>
      </c>
      <c r="D55" s="55">
        <f>_xll.EQNXTDZ($A$1,$B55,D$1,$B$1)</f>
        <v>15.927300000000001</v>
      </c>
      <c r="E55" s="55">
        <f>_xll.EQNXTDZ($A$1,$B55,E$1,$B$1)</f>
        <v>13.220599999999999</v>
      </c>
      <c r="F55" s="55">
        <f>_xll.EQNXTDZ($A$1,$B55,F$1,$B$1)</f>
        <v>17.398099999999999</v>
      </c>
      <c r="G55" s="55">
        <f>_xll.EQNXTDZ($A$1,$B55,G$1,$B$1)</f>
        <v>18.198699999999999</v>
      </c>
      <c r="H55" s="55">
        <f>_xll.EQNXTDZ($A$1,$B55,H$1,$B$1)</f>
        <v>32.614800000000002</v>
      </c>
      <c r="I55" s="55">
        <f>_xll.EQNXTDZ($A$1,$B55,I$1,$B$1)</f>
        <v>85.7273</v>
      </c>
      <c r="J55" s="55">
        <f>_xll.EQNXTDZ($A$1,$B55,J$1,$B$1)</f>
        <v>64.923299999999998</v>
      </c>
      <c r="K55" s="55">
        <f>_xll.EQNXTDZ($A$1,$B55,K$1,$B$1)</f>
        <v>62.319600000000001</v>
      </c>
      <c r="L55" s="55">
        <f>_xll.EQNXTDZ($A$1,$B55,L$1,$B$1)</f>
        <v>81.376099999999994</v>
      </c>
      <c r="M55" s="55">
        <f>_xll.EQNXTDZ($A$1,$B55,M$1,$B$1)</f>
        <v>69.942099999999996</v>
      </c>
      <c r="N55" s="55">
        <f>_xll.EQNXTDZ($A$1,$B55,N$1,$B$1)</f>
        <v>72.4208</v>
      </c>
      <c r="O55" s="55">
        <f>_xll.EQNXTDZ($A$1,$B55,O$1,$B$1)</f>
        <v>84.893500000000003</v>
      </c>
      <c r="P55" s="55">
        <f>_xll.EQNXTDZ($A$1,$B55,P$1,$B$1)</f>
        <v>59.476199999999999</v>
      </c>
      <c r="Q55" s="55">
        <f>_xll.EQNXTDZ($A$1,$B55,Q$1,$B$1)</f>
        <v>9.6050000000000004</v>
      </c>
      <c r="R55" s="55">
        <f>_xll.EQNXTDZ($A$1,$B55,R$1,$B$1)</f>
        <v>4.9503000000000004</v>
      </c>
      <c r="S55" s="55">
        <f>_xll.EQNXTDZ($A$1,$B55,S$1,$B$1)</f>
        <v>12.183199999999999</v>
      </c>
      <c r="T55" s="55">
        <f>_xll.EQNXTDZ($A$1,$B55,T$1,$B$1)</f>
        <v>5.3083</v>
      </c>
      <c r="U55" s="55">
        <f>_xll.EQNXTDZ($A$1,$B55,U$1,$B$1)</f>
        <v>15.0082</v>
      </c>
      <c r="V55" s="55">
        <f>_xll.EQNXTDZ($A$1,$B55,V$1,$B$1)</f>
        <v>39.356400000000001</v>
      </c>
      <c r="W55" s="55">
        <f>_xll.EQNXTDZ($A$1,$B55,W$1,$B$1)</f>
        <v>101.1493</v>
      </c>
      <c r="X55" s="55">
        <f>_xll.EQNXTDZ($A$1,$B55,X$1,$B$1)</f>
        <v>89.1</v>
      </c>
      <c r="Y55" s="55">
        <f>_xll.EQNXTDZ($A$1,$B55,Y$1,$B$1)</f>
        <v>385.68</v>
      </c>
      <c r="Z55" s="55">
        <f>_xll.EQNXTDZ($A$1,$B55,Z$1,$B$1)</f>
        <v>312.08999999999997</v>
      </c>
      <c r="AA55" s="55">
        <f>_xll.EQNXTDZ($A$1,$B55,AA$1,$B$1)</f>
        <v>1131.6099999999999</v>
      </c>
      <c r="AB55" s="55">
        <f>_xll.EQNXTDZ($A$1,$B55,AB$1,$B$1)</f>
        <v>7194.39</v>
      </c>
      <c r="AC55" s="55">
        <f>_xll.EQNXTDZ($A$1,$B55,AC$1,$B$1)</f>
        <v>0</v>
      </c>
      <c r="AD55" s="55">
        <f>_xll.EQNXTDZ($A$1,$B55,AD$1,$B$1)</f>
        <v>0</v>
      </c>
      <c r="AE55" s="55">
        <f>_xll.EQNXTDZ($A$1,$B55,AE$1,$B$1)</f>
        <v>0</v>
      </c>
      <c r="AF55" s="55">
        <f>_xll.EQNXTDZ($A$1,$B55,AF$1,$B$1)</f>
        <v>0</v>
      </c>
    </row>
    <row r="56" spans="1:32" x14ac:dyDescent="0.25">
      <c r="A56" t="s">
        <v>48</v>
      </c>
      <c r="B56" t="s">
        <v>191</v>
      </c>
      <c r="C56" s="55">
        <f>_xll.EQNXTDZ($A$1,$B56,C$1,$B$1)</f>
        <v>0</v>
      </c>
      <c r="D56" s="55">
        <f>_xll.EQNXTDZ($A$1,$B56,D$1,$B$1)</f>
        <v>0</v>
      </c>
      <c r="E56" s="55">
        <f>_xll.EQNXTDZ($A$1,$B56,E$1,$B$1)</f>
        <v>0</v>
      </c>
      <c r="F56" s="55">
        <f>_xll.EQNXTDZ($A$1,$B56,F$1,$B$1)</f>
        <v>0</v>
      </c>
      <c r="G56" s="55">
        <f>_xll.EQNXTDZ($A$1,$B56,G$1,$B$1)</f>
        <v>0</v>
      </c>
      <c r="H56" s="55">
        <f>_xll.EQNXTDZ($A$1,$B56,H$1,$B$1)</f>
        <v>0</v>
      </c>
      <c r="I56" s="55">
        <f>_xll.EQNXTDZ($A$1,$B56,I$1,$B$1)</f>
        <v>0</v>
      </c>
      <c r="J56" s="55">
        <f>_xll.EQNXTDZ($A$1,$B56,J$1,$B$1)</f>
        <v>0</v>
      </c>
      <c r="K56" s="55">
        <f>_xll.EQNXTDZ($A$1,$B56,K$1,$B$1)</f>
        <v>0</v>
      </c>
      <c r="L56" s="55">
        <f>_xll.EQNXTDZ($A$1,$B56,L$1,$B$1)</f>
        <v>0</v>
      </c>
      <c r="M56" s="55">
        <f>_xll.EQNXTDZ($A$1,$B56,M$1,$B$1)</f>
        <v>0</v>
      </c>
      <c r="N56" s="55">
        <f>_xll.EQNXTDZ($A$1,$B56,N$1,$B$1)</f>
        <v>0</v>
      </c>
      <c r="O56" s="55">
        <f>_xll.EQNXTDZ($A$1,$B56,O$1,$B$1)</f>
        <v>0</v>
      </c>
      <c r="P56" s="55">
        <f>_xll.EQNXTDZ($A$1,$B56,P$1,$B$1)</f>
        <v>0</v>
      </c>
      <c r="Q56" s="55">
        <f>_xll.EQNXTDZ($A$1,$B56,Q$1,$B$1)</f>
        <v>7.5</v>
      </c>
      <c r="R56" s="55">
        <f>_xll.EQNXTDZ($A$1,$B56,R$1,$B$1)</f>
        <v>1.9349000000000001</v>
      </c>
      <c r="S56" s="55">
        <f>_xll.EQNXTDZ($A$1,$B56,S$1,$B$1)</f>
        <v>16.5335</v>
      </c>
      <c r="T56" s="55">
        <f>_xll.EQNXTDZ($A$1,$B56,T$1,$B$1)</f>
        <v>19.1479</v>
      </c>
      <c r="U56" s="55">
        <f>_xll.EQNXTDZ($A$1,$B56,U$1,$B$1)</f>
        <v>2.6709000000000001</v>
      </c>
      <c r="V56" s="55">
        <f>_xll.EQNXTDZ($A$1,$B56,V$1,$B$1)</f>
        <v>17.988099999999999</v>
      </c>
      <c r="W56" s="55">
        <f>_xll.EQNXTDZ($A$1,$B56,W$1,$B$1)</f>
        <v>9.6936</v>
      </c>
      <c r="X56" s="55">
        <f>_xll.EQNXTDZ($A$1,$B56,X$1,$B$1)</f>
        <v>0</v>
      </c>
      <c r="Y56" s="55">
        <f>_xll.EQNXTDZ($A$1,$B56,Y$1,$B$1)</f>
        <v>0</v>
      </c>
      <c r="Z56" s="55">
        <f>_xll.EQNXTDZ($A$1,$B56,Z$1,$B$1)</f>
        <v>0</v>
      </c>
      <c r="AA56" s="55">
        <f>_xll.EQNXTDZ($A$1,$B56,AA$1,$B$1)</f>
        <v>279.93</v>
      </c>
      <c r="AB56" s="55">
        <f>_xll.EQNXTDZ($A$1,$B56,AB$1,$B$1)</f>
        <v>2028.58</v>
      </c>
      <c r="AC56" s="55">
        <f>_xll.EQNXTDZ($A$1,$B56,AC$1,$B$1)</f>
        <v>0</v>
      </c>
      <c r="AD56" s="55">
        <f>_xll.EQNXTDZ($A$1,$B56,AD$1,$B$1)</f>
        <v>0</v>
      </c>
      <c r="AE56" s="55">
        <f>_xll.EQNXTDZ($A$1,$B56,AE$1,$B$1)</f>
        <v>0</v>
      </c>
      <c r="AF56" s="55">
        <f>_xll.EQNXTDZ($A$1,$B56,AF$1,$B$1)</f>
        <v>0</v>
      </c>
    </row>
    <row r="57" spans="1:32" x14ac:dyDescent="0.25">
      <c r="A57" t="s">
        <v>72</v>
      </c>
      <c r="B57" t="s">
        <v>192</v>
      </c>
      <c r="C57" s="55">
        <f>_xll.EQNXTDZ($A$1,$B57,C$1,$B$1)</f>
        <v>1.2999999999999999E-3</v>
      </c>
      <c r="D57" s="55">
        <f>_xll.EQNXTDZ($A$1,$B57,D$1,$B$1)</f>
        <v>1.2999999999999999E-3</v>
      </c>
      <c r="E57" s="55">
        <f>_xll.EQNXTDZ($A$1,$B57,E$1,$B$1)</f>
        <v>0</v>
      </c>
      <c r="F57" s="55">
        <f>_xll.EQNXTDZ($A$1,$B57,F$1,$B$1)</f>
        <v>0</v>
      </c>
      <c r="G57" s="55">
        <f>_xll.EQNXTDZ($A$1,$B57,G$1,$B$1)</f>
        <v>0</v>
      </c>
      <c r="H57" s="55">
        <f>_xll.EQNXTDZ($A$1,$B57,H$1,$B$1)</f>
        <v>0</v>
      </c>
      <c r="I57" s="55">
        <f>_xll.EQNXTDZ($A$1,$B57,I$1,$B$1)</f>
        <v>1.1214</v>
      </c>
      <c r="J57" s="55">
        <f>_xll.EQNXTDZ($A$1,$B57,J$1,$B$1)</f>
        <v>1.5953999999999999</v>
      </c>
      <c r="K57" s="55">
        <f>_xll.EQNXTDZ($A$1,$B57,K$1,$B$1)</f>
        <v>2.4113000000000002</v>
      </c>
      <c r="L57" s="55">
        <f>_xll.EQNXTDZ($A$1,$B57,L$1,$B$1)</f>
        <v>1.5820000000000001</v>
      </c>
      <c r="M57" s="55">
        <f>_xll.EQNXTDZ($A$1,$B57,M$1,$B$1)</f>
        <v>0</v>
      </c>
      <c r="N57" s="55">
        <f>_xll.EQNXTDZ($A$1,$B57,N$1,$B$1)</f>
        <v>0</v>
      </c>
      <c r="O57" s="55">
        <f>_xll.EQNXTDZ($A$1,$B57,O$1,$B$1)</f>
        <v>0</v>
      </c>
      <c r="P57" s="55">
        <f>_xll.EQNXTDZ($A$1,$B57,P$1,$B$1)</f>
        <v>0</v>
      </c>
      <c r="Q57" s="55">
        <f>_xll.EQNXTDZ($A$1,$B57,Q$1,$B$1)</f>
        <v>0</v>
      </c>
      <c r="R57" s="55">
        <f>_xll.EQNXTDZ($A$1,$B57,R$1,$B$1)</f>
        <v>0</v>
      </c>
      <c r="S57" s="55">
        <f>_xll.EQNXTDZ($A$1,$B57,S$1,$B$1)</f>
        <v>2.0407999999999999</v>
      </c>
      <c r="T57" s="55">
        <f>_xll.EQNXTDZ($A$1,$B57,T$1,$B$1)</f>
        <v>2.2383999999999999</v>
      </c>
      <c r="U57" s="55">
        <f>_xll.EQNXTDZ($A$1,$B57,U$1,$B$1)</f>
        <v>8.2782</v>
      </c>
      <c r="V57" s="55">
        <f>_xll.EQNXTDZ($A$1,$B57,V$1,$B$1)</f>
        <v>14.375999999999999</v>
      </c>
      <c r="W57" s="55">
        <f>_xll.EQNXTDZ($A$1,$B57,W$1,$B$1)</f>
        <v>10.3386</v>
      </c>
      <c r="X57" s="55">
        <f>_xll.EQNXTDZ($A$1,$B57,X$1,$B$1)</f>
        <v>13.93</v>
      </c>
      <c r="Y57" s="55">
        <f>_xll.EQNXTDZ($A$1,$B57,Y$1,$B$1)</f>
        <v>12.12</v>
      </c>
      <c r="Z57" s="55">
        <f>_xll.EQNXTDZ($A$1,$B57,Z$1,$B$1)</f>
        <v>278.77</v>
      </c>
      <c r="AA57" s="55">
        <f>_xll.EQNXTDZ($A$1,$B57,AA$1,$B$1)</f>
        <v>725.09</v>
      </c>
      <c r="AB57" s="55">
        <f>_xll.EQNXTDZ($A$1,$B57,AB$1,$B$1)</f>
        <v>1795.07</v>
      </c>
      <c r="AC57" s="55">
        <f>_xll.EQNXTDZ($A$1,$B57,AC$1,$B$1)</f>
        <v>0</v>
      </c>
      <c r="AD57" s="55">
        <f>_xll.EQNXTDZ($A$1,$B57,AD$1,$B$1)</f>
        <v>0</v>
      </c>
      <c r="AE57" s="55">
        <f>_xll.EQNXTDZ($A$1,$B57,AE$1,$B$1)</f>
        <v>0</v>
      </c>
      <c r="AF57" s="55">
        <f>_xll.EQNXTDZ($A$1,$B57,AF$1,$B$1)</f>
        <v>0</v>
      </c>
    </row>
    <row r="58" spans="1:32" x14ac:dyDescent="0.25">
      <c r="A58" t="s">
        <v>163</v>
      </c>
      <c r="B58" t="s">
        <v>193</v>
      </c>
      <c r="C58" s="55">
        <f>_xll.EQNXTDZ($A$1,$B58,C$1,$B$1)</f>
        <v>0</v>
      </c>
      <c r="D58" s="55">
        <f>_xll.EQNXTDZ($A$1,$B58,D$1,$B$1)</f>
        <v>0</v>
      </c>
      <c r="E58" s="55">
        <f>_xll.EQNXTDZ($A$1,$B58,E$1,$B$1)</f>
        <v>0</v>
      </c>
      <c r="F58" s="55">
        <f>_xll.EQNXTDZ($A$1,$B58,F$1,$B$1)</f>
        <v>0</v>
      </c>
      <c r="G58" s="55">
        <f>_xll.EQNXTDZ($A$1,$B58,G$1,$B$1)</f>
        <v>0</v>
      </c>
      <c r="H58" s="55">
        <f>_xll.EQNXTDZ($A$1,$B58,H$1,$B$1)</f>
        <v>0</v>
      </c>
      <c r="I58" s="55">
        <f>_xll.EQNXTDZ($A$1,$B58,I$1,$B$1)</f>
        <v>0</v>
      </c>
      <c r="J58" s="55">
        <f>_xll.EQNXTDZ($A$1,$B58,J$1,$B$1)</f>
        <v>0</v>
      </c>
      <c r="K58" s="55">
        <f>_xll.EQNXTDZ($A$1,$B58,K$1,$B$1)</f>
        <v>0</v>
      </c>
      <c r="L58" s="55">
        <f>_xll.EQNXTDZ($A$1,$B58,L$1,$B$1)</f>
        <v>0</v>
      </c>
      <c r="M58" s="55">
        <f>_xll.EQNXTDZ($A$1,$B58,M$1,$B$1)</f>
        <v>0</v>
      </c>
      <c r="N58" s="55">
        <f>_xll.EQNXTDZ($A$1,$B58,N$1,$B$1)</f>
        <v>0</v>
      </c>
      <c r="O58" s="55">
        <f>_xll.EQNXTDZ($A$1,$B58,O$1,$B$1)</f>
        <v>0</v>
      </c>
      <c r="P58" s="55">
        <f>_xll.EQNXTDZ($A$1,$B58,P$1,$B$1)</f>
        <v>0</v>
      </c>
      <c r="Q58" s="55">
        <f>_xll.EQNXTDZ($A$1,$B58,Q$1,$B$1)</f>
        <v>0</v>
      </c>
      <c r="R58" s="55">
        <f>_xll.EQNXTDZ($A$1,$B58,R$1,$B$1)</f>
        <v>0</v>
      </c>
      <c r="S58" s="55">
        <f>_xll.EQNXTDZ($A$1,$B58,S$1,$B$1)</f>
        <v>0</v>
      </c>
      <c r="T58" s="55">
        <f>_xll.EQNXTDZ($A$1,$B58,T$1,$B$1)</f>
        <v>0</v>
      </c>
      <c r="U58" s="55">
        <f>_xll.EQNXTDZ($A$1,$B58,U$1,$B$1)</f>
        <v>0</v>
      </c>
      <c r="V58" s="55">
        <f>_xll.EQNXTDZ($A$1,$B58,V$1,$B$1)</f>
        <v>0</v>
      </c>
      <c r="W58" s="55">
        <f>_xll.EQNXTDZ($A$1,$B58,W$1,$B$1)</f>
        <v>0</v>
      </c>
      <c r="X58" s="55">
        <f>_xll.EQNXTDZ($A$1,$B58,X$1,$B$1)</f>
        <v>0</v>
      </c>
      <c r="Y58" s="55">
        <f>_xll.EQNXTDZ($A$1,$B58,Y$1,$B$1)</f>
        <v>0</v>
      </c>
      <c r="Z58" s="55">
        <f>_xll.EQNXTDZ($A$1,$B58,Z$1,$B$1)</f>
        <v>0</v>
      </c>
      <c r="AA58" s="55">
        <f>_xll.EQNXTDZ($A$1,$B58,AA$1,$B$1)</f>
        <v>0</v>
      </c>
      <c r="AB58" s="55">
        <f>_xll.EQNXTDZ($A$1,$B58,AB$1,$B$1)</f>
        <v>0</v>
      </c>
      <c r="AC58" s="55">
        <f>_xll.EQNXTDZ($A$1,$B58,AC$1,$B$1)</f>
        <v>0</v>
      </c>
      <c r="AD58" s="55">
        <f>_xll.EQNXTDZ($A$1,$B58,AD$1,$B$1)</f>
        <v>0</v>
      </c>
      <c r="AE58" s="55">
        <f>_xll.EQNXTDZ($A$1,$B58,AE$1,$B$1)</f>
        <v>0</v>
      </c>
      <c r="AF58" s="55">
        <f>_xll.EQNXTDZ($A$1,$B58,AF$1,$B$1)</f>
        <v>0</v>
      </c>
    </row>
    <row r="59" spans="1:32" x14ac:dyDescent="0.25">
      <c r="A59" t="s">
        <v>164</v>
      </c>
      <c r="B59" t="s">
        <v>194</v>
      </c>
      <c r="C59" s="55">
        <f>_xll.EQNXTDZ($A$1,$B59,C$1,$B$1)</f>
        <v>26.212800000000001</v>
      </c>
      <c r="D59" s="55">
        <f>_xll.EQNXTDZ($A$1,$B59,D$1,$B$1)</f>
        <v>39.425699999999999</v>
      </c>
      <c r="E59" s="55">
        <f>_xll.EQNXTDZ($A$1,$B59,E$1,$B$1)</f>
        <v>25.965599999999998</v>
      </c>
      <c r="F59" s="55">
        <f>_xll.EQNXTDZ($A$1,$B59,F$1,$B$1)</f>
        <v>36.826900000000002</v>
      </c>
      <c r="G59" s="55">
        <f>_xll.EQNXTDZ($A$1,$B59,G$1,$B$1)</f>
        <v>22.912600000000001</v>
      </c>
      <c r="H59" s="55">
        <f>_xll.EQNXTDZ($A$1,$B59,H$1,$B$1)</f>
        <v>117.86279999999999</v>
      </c>
      <c r="I59" s="55">
        <f>_xll.EQNXTDZ($A$1,$B59,I$1,$B$1)</f>
        <v>158.88849999999999</v>
      </c>
      <c r="J59" s="55">
        <f>_xll.EQNXTDZ($A$1,$B59,J$1,$B$1)</f>
        <v>173.8486</v>
      </c>
      <c r="K59" s="55">
        <f>_xll.EQNXTDZ($A$1,$B59,K$1,$B$1)</f>
        <v>310.51659999999998</v>
      </c>
      <c r="L59" s="55">
        <f>_xll.EQNXTDZ($A$1,$B59,L$1,$B$1)</f>
        <v>297.92809999999997</v>
      </c>
      <c r="M59" s="55">
        <f>_xll.EQNXTDZ($A$1,$B59,M$1,$B$1)</f>
        <v>356.4246</v>
      </c>
      <c r="N59" s="55">
        <f>_xll.EQNXTDZ($A$1,$B59,N$1,$B$1)</f>
        <v>397.87979999999999</v>
      </c>
      <c r="O59" s="55">
        <f>_xll.EQNXTDZ($A$1,$B59,O$1,$B$1)</f>
        <v>308.62459999999999</v>
      </c>
      <c r="P59" s="55">
        <f>_xll.EQNXTDZ($A$1,$B59,P$1,$B$1)</f>
        <v>182.22319999999999</v>
      </c>
      <c r="Q59" s="55">
        <f>_xll.EQNXTDZ($A$1,$B59,Q$1,$B$1)</f>
        <v>81.677700000000002</v>
      </c>
      <c r="R59" s="55">
        <f>_xll.EQNXTDZ($A$1,$B59,R$1,$B$1)</f>
        <v>70.952299999999994</v>
      </c>
      <c r="S59" s="55">
        <f>_xll.EQNXTDZ($A$1,$B59,S$1,$B$1)</f>
        <v>90.643699999999995</v>
      </c>
      <c r="T59" s="55">
        <f>_xll.EQNXTDZ($A$1,$B59,T$1,$B$1)</f>
        <v>94.297899999999998</v>
      </c>
      <c r="U59" s="55">
        <f>_xll.EQNXTDZ($A$1,$B59,U$1,$B$1)</f>
        <v>89.9846</v>
      </c>
      <c r="V59" s="55">
        <f>_xll.EQNXTDZ($A$1,$B59,V$1,$B$1)</f>
        <v>132.8443</v>
      </c>
      <c r="W59" s="55">
        <f>_xll.EQNXTDZ($A$1,$B59,W$1,$B$1)</f>
        <v>156.43369999999999</v>
      </c>
      <c r="X59" s="55">
        <f>_xll.EQNXTDZ($A$1,$B59,X$1,$B$1)</f>
        <v>118.21</v>
      </c>
      <c r="Y59" s="55">
        <f>_xll.EQNXTDZ($A$1,$B59,Y$1,$B$1)</f>
        <v>472.33</v>
      </c>
      <c r="Z59" s="55">
        <f>_xll.EQNXTDZ($A$1,$B59,Z$1,$B$1)</f>
        <v>985.94</v>
      </c>
      <c r="AA59" s="55">
        <f>_xll.EQNXTDZ($A$1,$B59,AA$1,$B$1)</f>
        <v>2244.66</v>
      </c>
      <c r="AB59" s="55">
        <f>_xll.EQNXTDZ($A$1,$B59,AB$1,$B$1)</f>
        <v>13682.27</v>
      </c>
      <c r="AC59" s="55">
        <f>_xll.EQNXTDZ($A$1,$B59,AC$1,$B$1)</f>
        <v>0</v>
      </c>
      <c r="AD59" s="55">
        <f>_xll.EQNXTDZ($A$1,$B59,AD$1,$B$1)</f>
        <v>0</v>
      </c>
      <c r="AE59" s="55">
        <f>_xll.EQNXTDZ($A$1,$B59,AE$1,$B$1)</f>
        <v>0</v>
      </c>
      <c r="AF59" s="55">
        <f>_xll.EQNXTDZ($A$1,$B59,AF$1,$B$1)</f>
        <v>0</v>
      </c>
    </row>
    <row r="60" spans="1:32" x14ac:dyDescent="0.25">
      <c r="A60" t="s">
        <v>165</v>
      </c>
      <c r="B60" t="s">
        <v>195</v>
      </c>
      <c r="C60" s="55">
        <f>_xll.EQNXTDZ($A$1,$B60,C$1,$B$1)</f>
        <v>442.26499999999999</v>
      </c>
      <c r="D60" s="55">
        <f>_xll.EQNXTDZ($A$1,$B60,D$1,$B$1)</f>
        <v>443.08539999999999</v>
      </c>
      <c r="E60" s="55">
        <f>_xll.EQNXTDZ($A$1,$B60,E$1,$B$1)</f>
        <v>424.95600000000002</v>
      </c>
      <c r="F60" s="55">
        <f>_xll.EQNXTDZ($A$1,$B60,F$1,$B$1)</f>
        <v>413.78359999999998</v>
      </c>
      <c r="G60" s="55">
        <f>_xll.EQNXTDZ($A$1,$B60,G$1,$B$1)</f>
        <v>254.11060000000001</v>
      </c>
      <c r="H60" s="55">
        <f>_xll.EQNXTDZ($A$1,$B60,H$1,$B$1)</f>
        <v>313.6977</v>
      </c>
      <c r="I60" s="55">
        <f>_xll.EQNXTDZ($A$1,$B60,I$1,$B$1)</f>
        <v>307.43029999999999</v>
      </c>
      <c r="J60" s="55">
        <f>_xll.EQNXTDZ($A$1,$B60,J$1,$B$1)</f>
        <v>307.3442</v>
      </c>
      <c r="K60" s="55">
        <f>_xll.EQNXTDZ($A$1,$B60,K$1,$B$1)</f>
        <v>458.98590000000002</v>
      </c>
      <c r="L60" s="55">
        <f>_xll.EQNXTDZ($A$1,$B60,L$1,$B$1)</f>
        <v>444.00850000000003</v>
      </c>
      <c r="M60" s="55">
        <f>_xll.EQNXTDZ($A$1,$B60,M$1,$B$1)</f>
        <v>510.40050000000002</v>
      </c>
      <c r="N60" s="55">
        <f>_xll.EQNXTDZ($A$1,$B60,N$1,$B$1)</f>
        <v>550.32629999999995</v>
      </c>
      <c r="O60" s="55">
        <f>_xll.EQNXTDZ($A$1,$B60,O$1,$B$1)</f>
        <v>457.2482</v>
      </c>
      <c r="P60" s="55">
        <f>_xll.EQNXTDZ($A$1,$B60,P$1,$B$1)</f>
        <v>442.83659999999998</v>
      </c>
      <c r="Q60" s="55">
        <f>_xll.EQNXTDZ($A$1,$B60,Q$1,$B$1)</f>
        <v>429.52789999999999</v>
      </c>
      <c r="R60" s="55">
        <f>_xll.EQNXTDZ($A$1,$B60,R$1,$B$1)</f>
        <v>463.26010000000002</v>
      </c>
      <c r="S60" s="55">
        <f>_xll.EQNXTDZ($A$1,$B60,S$1,$B$1)</f>
        <v>502.68490000000003</v>
      </c>
      <c r="T60" s="55">
        <f>_xll.EQNXTDZ($A$1,$B60,T$1,$B$1)</f>
        <v>556.11950000000002</v>
      </c>
      <c r="U60" s="55">
        <f>_xll.EQNXTDZ($A$1,$B60,U$1,$B$1)</f>
        <v>590.88969999999995</v>
      </c>
      <c r="V60" s="55">
        <f>_xll.EQNXTDZ($A$1,$B60,V$1,$B$1)</f>
        <v>623.37310000000002</v>
      </c>
      <c r="W60" s="55">
        <f>_xll.EQNXTDZ($A$1,$B60,W$1,$B$1)</f>
        <v>701.52030000000002</v>
      </c>
      <c r="X60" s="55">
        <f>_xll.EQNXTDZ($A$1,$B60,X$1,$B$1)</f>
        <v>795.49</v>
      </c>
      <c r="Y60" s="55">
        <f>_xll.EQNXTDZ($A$1,$B60,Y$1,$B$1)</f>
        <v>1888.65</v>
      </c>
      <c r="Z60" s="55">
        <f>_xll.EQNXTDZ($A$1,$B60,Z$1,$B$1)</f>
        <v>3937.5</v>
      </c>
      <c r="AA60" s="55">
        <f>_xll.EQNXTDZ($A$1,$B60,AA$1,$B$1)</f>
        <v>9598.86</v>
      </c>
      <c r="AB60" s="55">
        <f>_xll.EQNXTDZ($A$1,$B60,AB$1,$B$1)</f>
        <v>43234.19</v>
      </c>
      <c r="AC60" s="55">
        <f>_xll.EQNXTDZ($A$1,$B60,AC$1,$B$1)</f>
        <v>0</v>
      </c>
      <c r="AD60" s="55">
        <f>_xll.EQNXTDZ($A$1,$B60,AD$1,$B$1)</f>
        <v>0</v>
      </c>
      <c r="AE60" s="55">
        <f>_xll.EQNXTDZ($A$1,$B60,AE$1,$B$1)</f>
        <v>0</v>
      </c>
      <c r="AF60" s="55">
        <f>_xll.EQNXTDZ($A$1,$B60,AF$1,$B$1)</f>
        <v>0</v>
      </c>
    </row>
    <row r="61" spans="1:32" x14ac:dyDescent="0.25">
      <c r="A61" t="s">
        <v>166</v>
      </c>
      <c r="B61" t="s">
        <v>196</v>
      </c>
      <c r="C61" s="55">
        <f>_xll.EQNXTDZ($A$1,$B61,C$1,$B$1)</f>
        <v>0</v>
      </c>
      <c r="D61" s="55">
        <f>_xll.EQNXTDZ($A$1,$B61,D$1,$B$1)</f>
        <v>0</v>
      </c>
      <c r="E61" s="55">
        <f>_xll.EQNXTDZ($A$1,$B61,E$1,$B$1)</f>
        <v>0</v>
      </c>
      <c r="F61" s="55">
        <f>_xll.EQNXTDZ($A$1,$B61,F$1,$B$1)</f>
        <v>0</v>
      </c>
      <c r="G61" s="55">
        <f>_xll.EQNXTDZ($A$1,$B61,G$1,$B$1)</f>
        <v>0</v>
      </c>
      <c r="H61" s="55">
        <f>_xll.EQNXTDZ($A$1,$B61,H$1,$B$1)</f>
        <v>0</v>
      </c>
      <c r="I61" s="55">
        <f>_xll.EQNXTDZ($A$1,$B61,I$1,$B$1)</f>
        <v>0</v>
      </c>
      <c r="J61" s="55">
        <f>_xll.EQNXTDZ($A$1,$B61,J$1,$B$1)</f>
        <v>0</v>
      </c>
      <c r="K61" s="55">
        <f>_xll.EQNXTDZ($A$1,$B61,K$1,$B$1)</f>
        <v>0</v>
      </c>
      <c r="L61" s="55">
        <f>_xll.EQNXTDZ($A$1,$B61,L$1,$B$1)</f>
        <v>0</v>
      </c>
      <c r="M61" s="55">
        <f>_xll.EQNXTDZ($A$1,$B61,M$1,$B$1)</f>
        <v>0</v>
      </c>
      <c r="N61" s="55">
        <f>_xll.EQNXTDZ($A$1,$B61,N$1,$B$1)</f>
        <v>0</v>
      </c>
      <c r="O61" s="55">
        <f>_xll.EQNXTDZ($A$1,$B61,O$1,$B$1)</f>
        <v>0</v>
      </c>
      <c r="P61" s="55">
        <f>_xll.EQNXTDZ($A$1,$B61,P$1,$B$1)</f>
        <v>0</v>
      </c>
      <c r="Q61" s="55">
        <f>_xll.EQNXTDZ($A$1,$B61,Q$1,$B$1)</f>
        <v>0</v>
      </c>
      <c r="R61" s="55">
        <f>_xll.EQNXTDZ($A$1,$B61,R$1,$B$1)</f>
        <v>0</v>
      </c>
      <c r="S61" s="55">
        <f>_xll.EQNXTDZ($A$1,$B61,S$1,$B$1)</f>
        <v>0</v>
      </c>
      <c r="T61" s="55">
        <f>_xll.EQNXTDZ($A$1,$B61,T$1,$B$1)</f>
        <v>0</v>
      </c>
      <c r="U61" s="55">
        <f>_xll.EQNXTDZ($A$1,$B61,U$1,$B$1)</f>
        <v>0</v>
      </c>
      <c r="V61" s="55">
        <f>_xll.EQNXTDZ($A$1,$B61,V$1,$B$1)</f>
        <v>0</v>
      </c>
      <c r="W61" s="55">
        <f>_xll.EQNXTDZ($A$1,$B61,W$1,$B$1)</f>
        <v>0</v>
      </c>
      <c r="X61" s="55">
        <f>_xll.EQNXTDZ($A$1,$B61,X$1,$B$1)</f>
        <v>0</v>
      </c>
      <c r="Y61" s="55">
        <f>_xll.EQNXTDZ($A$1,$B61,Y$1,$B$1)</f>
        <v>0</v>
      </c>
      <c r="Z61" s="55">
        <f>_xll.EQNXTDZ($A$1,$B61,Z$1,$B$1)</f>
        <v>0</v>
      </c>
      <c r="AA61" s="55">
        <f>_xll.EQNXTDZ($A$1,$B61,AA$1,$B$1)</f>
        <v>0</v>
      </c>
      <c r="AB61" s="55">
        <f>_xll.EQNXTDZ($A$1,$B61,AB$1,$B$1)</f>
        <v>0</v>
      </c>
      <c r="AC61" s="55">
        <f>_xll.EQNXTDZ($A$1,$B61,AC$1,$B$1)</f>
        <v>0</v>
      </c>
      <c r="AD61" s="55">
        <f>_xll.EQNXTDZ($A$1,$B61,AD$1,$B$1)</f>
        <v>0</v>
      </c>
      <c r="AE61" s="55">
        <f>_xll.EQNXTDZ($A$1,$B61,AE$1,$B$1)</f>
        <v>0</v>
      </c>
      <c r="AF61" s="55">
        <f>_xll.EQNXTDZ($A$1,$B61,AF$1,$B$1)</f>
        <v>0</v>
      </c>
    </row>
    <row r="62" spans="1:32" x14ac:dyDescent="0.25">
      <c r="A62" t="s">
        <v>50</v>
      </c>
      <c r="B62" t="s">
        <v>197</v>
      </c>
      <c r="C62" s="55">
        <f>_xll.EQNXTDZ($A$1,$B62,C$1,$B$1)</f>
        <v>304.06909999999999</v>
      </c>
      <c r="D62" s="55">
        <f>_xll.EQNXTDZ($A$1,$B62,D$1,$B$1)</f>
        <v>303.6044</v>
      </c>
      <c r="E62" s="55">
        <f>_xll.EQNXTDZ($A$1,$B62,E$1,$B$1)</f>
        <v>304.03550000000001</v>
      </c>
      <c r="F62" s="55">
        <f>_xll.EQNXTDZ($A$1,$B62,F$1,$B$1)</f>
        <v>306.06959999999998</v>
      </c>
      <c r="G62" s="55">
        <f>_xll.EQNXTDZ($A$1,$B62,G$1,$B$1)</f>
        <v>306.45999999999998</v>
      </c>
      <c r="H62" s="55">
        <f>_xll.EQNXTDZ($A$1,$B62,H$1,$B$1)</f>
        <v>387.58800000000002</v>
      </c>
      <c r="I62" s="55">
        <f>_xll.EQNXTDZ($A$1,$B62,I$1,$B$1)</f>
        <v>398.51650000000001</v>
      </c>
      <c r="J62" s="55">
        <f>_xll.EQNXTDZ($A$1,$B62,J$1,$B$1)</f>
        <v>393.09480000000002</v>
      </c>
      <c r="K62" s="55">
        <f>_xll.EQNXTDZ($A$1,$B62,K$1,$B$1)</f>
        <v>347.46170000000001</v>
      </c>
      <c r="L62" s="55">
        <f>_xll.EQNXTDZ($A$1,$B62,L$1,$B$1)</f>
        <v>334.46890000000002</v>
      </c>
      <c r="M62" s="55">
        <f>_xll.EQNXTDZ($A$1,$B62,M$1,$B$1)</f>
        <v>507.35980000000001</v>
      </c>
      <c r="N62" s="55">
        <f>_xll.EQNXTDZ($A$1,$B62,N$1,$B$1)</f>
        <v>515.80669999999998</v>
      </c>
      <c r="O62" s="55">
        <f>_xll.EQNXTDZ($A$1,$B62,O$1,$B$1)</f>
        <v>520.4239</v>
      </c>
      <c r="P62" s="55">
        <f>_xll.EQNXTDZ($A$1,$B62,P$1,$B$1)</f>
        <v>527.56029999999998</v>
      </c>
      <c r="Q62" s="55">
        <f>_xll.EQNXTDZ($A$1,$B62,Q$1,$B$1)</f>
        <v>534.08339999999998</v>
      </c>
      <c r="R62" s="55">
        <f>_xll.EQNXTDZ($A$1,$B62,R$1,$B$1)</f>
        <v>566.36419999999998</v>
      </c>
      <c r="S62" s="55">
        <f>_xll.EQNXTDZ($A$1,$B62,S$1,$B$1)</f>
        <v>605.75049999999999</v>
      </c>
      <c r="T62" s="55">
        <f>_xll.EQNXTDZ($A$1,$B62,T$1,$B$1)</f>
        <v>647.51909999999998</v>
      </c>
      <c r="U62" s="55">
        <f>_xll.EQNXTDZ($A$1,$B62,U$1,$B$1)</f>
        <v>671.78650000000005</v>
      </c>
      <c r="V62" s="55">
        <f>_xll.EQNXTDZ($A$1,$B62,V$1,$B$1)</f>
        <v>704.63260000000002</v>
      </c>
      <c r="W62" s="55">
        <f>_xll.EQNXTDZ($A$1,$B62,W$1,$B$1)</f>
        <v>706.20119999999997</v>
      </c>
      <c r="X62" s="55">
        <f>_xll.EQNXTDZ($A$1,$B62,X$1,$B$1)</f>
        <v>761.44</v>
      </c>
      <c r="Y62" s="55">
        <f>_xll.EQNXTDZ($A$1,$B62,Y$1,$B$1)</f>
        <v>916.24</v>
      </c>
      <c r="Z62" s="55">
        <f>_xll.EQNXTDZ($A$1,$B62,Z$1,$B$1)</f>
        <v>1665.44</v>
      </c>
      <c r="AA62" s="55">
        <f>_xll.EQNXTDZ($A$1,$B62,AA$1,$B$1)</f>
        <v>2203.75</v>
      </c>
      <c r="AB62" s="55">
        <f>_xll.EQNXTDZ($A$1,$B62,AB$1,$B$1)</f>
        <v>18940.14</v>
      </c>
      <c r="AC62" s="55">
        <f>_xll.EQNXTDZ($A$1,$B62,AC$1,$B$1)</f>
        <v>0</v>
      </c>
      <c r="AD62" s="55">
        <f>_xll.EQNXTDZ($A$1,$B62,AD$1,$B$1)</f>
        <v>0</v>
      </c>
      <c r="AE62" s="55">
        <f>_xll.EQNXTDZ($A$1,$B62,AE$1,$B$1)</f>
        <v>0</v>
      </c>
      <c r="AF62" s="55">
        <f>_xll.EQNXTDZ($A$1,$B62,AF$1,$B$1)</f>
        <v>0</v>
      </c>
    </row>
    <row r="63" spans="1:32" x14ac:dyDescent="0.25">
      <c r="A63" t="s">
        <v>51</v>
      </c>
      <c r="B63" t="s">
        <v>198</v>
      </c>
      <c r="C63" s="55">
        <f>_xll.EQNXTDZ($A$1,$B63,C$1,$B$1)</f>
        <v>74.650899999999993</v>
      </c>
      <c r="D63" s="55">
        <f>_xll.EQNXTDZ($A$1,$B63,D$1,$B$1)</f>
        <v>90.485299999999995</v>
      </c>
      <c r="E63" s="55">
        <f>_xll.EQNXTDZ($A$1,$B63,E$1,$B$1)</f>
        <v>106.37820000000001</v>
      </c>
      <c r="F63" s="55">
        <f>_xll.EQNXTDZ($A$1,$B63,F$1,$B$1)</f>
        <v>122.35590000000001</v>
      </c>
      <c r="G63" s="55">
        <f>_xll.EQNXTDZ($A$1,$B63,G$1,$B$1)</f>
        <v>138.4299</v>
      </c>
      <c r="H63" s="55">
        <f>_xll.EQNXTDZ($A$1,$B63,H$1,$B$1)</f>
        <v>154.26079999999999</v>
      </c>
      <c r="I63" s="55">
        <f>_xll.EQNXTDZ($A$1,$B63,I$1,$B$1)</f>
        <v>174.9358</v>
      </c>
      <c r="J63" s="55">
        <f>_xll.EQNXTDZ($A$1,$B63,J$1,$B$1)</f>
        <v>195.8451</v>
      </c>
      <c r="K63" s="55">
        <f>_xll.EQNXTDZ($A$1,$B63,K$1,$B$1)</f>
        <v>156.63550000000001</v>
      </c>
      <c r="L63" s="55">
        <f>_xll.EQNXTDZ($A$1,$B63,L$1,$B$1)</f>
        <v>173.02629999999999</v>
      </c>
      <c r="M63" s="55">
        <f>_xll.EQNXTDZ($A$1,$B63,M$1,$B$1)</f>
        <v>172.98840000000001</v>
      </c>
      <c r="N63" s="55">
        <f>_xll.EQNXTDZ($A$1,$B63,N$1,$B$1)</f>
        <v>198.9982</v>
      </c>
      <c r="O63" s="55">
        <f>_xll.EQNXTDZ($A$1,$B63,O$1,$B$1)</f>
        <v>225.512</v>
      </c>
      <c r="P63" s="55">
        <f>_xll.EQNXTDZ($A$1,$B63,P$1,$B$1)</f>
        <v>252.19049999999999</v>
      </c>
      <c r="Q63" s="55">
        <f>_xll.EQNXTDZ($A$1,$B63,Q$1,$B$1)</f>
        <v>263.06119999999999</v>
      </c>
      <c r="R63" s="55">
        <f>_xll.EQNXTDZ($A$1,$B63,R$1,$B$1)</f>
        <v>273.70479999999998</v>
      </c>
      <c r="S63" s="55">
        <f>_xll.EQNXTDZ($A$1,$B63,S$1,$B$1)</f>
        <v>285.8621</v>
      </c>
      <c r="T63" s="55">
        <f>_xll.EQNXTDZ($A$1,$B63,T$1,$B$1)</f>
        <v>299.28390000000002</v>
      </c>
      <c r="U63" s="55">
        <f>_xll.EQNXTDZ($A$1,$B63,U$1,$B$1)</f>
        <v>313.61</v>
      </c>
      <c r="V63" s="55">
        <f>_xll.EQNXTDZ($A$1,$B63,V$1,$B$1)</f>
        <v>330.70530000000002</v>
      </c>
      <c r="W63" s="55">
        <f>_xll.EQNXTDZ($A$1,$B63,W$1,$B$1)</f>
        <v>344.52659999999997</v>
      </c>
      <c r="X63" s="55">
        <f>_xll.EQNXTDZ($A$1,$B63,X$1,$B$1)</f>
        <v>361.78</v>
      </c>
      <c r="Y63" s="55">
        <f>_xll.EQNXTDZ($A$1,$B63,Y$1,$B$1)</f>
        <v>383.87</v>
      </c>
      <c r="Z63" s="55">
        <f>_xll.EQNXTDZ($A$1,$B63,Z$1,$B$1)</f>
        <v>430.74</v>
      </c>
      <c r="AA63" s="55">
        <f>_xll.EQNXTDZ($A$1,$B63,AA$1,$B$1)</f>
        <v>513.23</v>
      </c>
      <c r="AB63" s="55">
        <f>_xll.EQNXTDZ($A$1,$B63,AB$1,$B$1)</f>
        <v>5751.2</v>
      </c>
      <c r="AC63" s="55">
        <f>_xll.EQNXTDZ($A$1,$B63,AC$1,$B$1)</f>
        <v>0</v>
      </c>
      <c r="AD63" s="55">
        <f>_xll.EQNXTDZ($A$1,$B63,AD$1,$B$1)</f>
        <v>0</v>
      </c>
      <c r="AE63" s="55">
        <f>_xll.EQNXTDZ($A$1,$B63,AE$1,$B$1)</f>
        <v>0</v>
      </c>
      <c r="AF63" s="55">
        <f>_xll.EQNXTDZ($A$1,$B63,AF$1,$B$1)</f>
        <v>0</v>
      </c>
    </row>
    <row r="64" spans="1:32" x14ac:dyDescent="0.25">
      <c r="A64" t="s">
        <v>52</v>
      </c>
      <c r="B64" t="s">
        <v>199</v>
      </c>
      <c r="C64" s="55">
        <f>_xll.EQNXTDZ($A$1,$B64,C$1,$B$1)</f>
        <v>0</v>
      </c>
      <c r="D64" s="55">
        <f>_xll.EQNXTDZ($A$1,$B64,D$1,$B$1)</f>
        <v>0</v>
      </c>
      <c r="E64" s="55">
        <f>_xll.EQNXTDZ($A$1,$B64,E$1,$B$1)</f>
        <v>0</v>
      </c>
      <c r="F64" s="55">
        <f>_xll.EQNXTDZ($A$1,$B64,F$1,$B$1)</f>
        <v>0</v>
      </c>
      <c r="G64" s="55">
        <f>_xll.EQNXTDZ($A$1,$B64,G$1,$B$1)</f>
        <v>0</v>
      </c>
      <c r="H64" s="55">
        <f>_xll.EQNXTDZ($A$1,$B64,H$1,$B$1)</f>
        <v>0</v>
      </c>
      <c r="I64" s="55">
        <f>_xll.EQNXTDZ($A$1,$B64,I$1,$B$1)</f>
        <v>0</v>
      </c>
      <c r="J64" s="55">
        <f>_xll.EQNXTDZ($A$1,$B64,J$1,$B$1)</f>
        <v>0</v>
      </c>
      <c r="K64" s="55">
        <f>_xll.EQNXTDZ($A$1,$B64,K$1,$B$1)</f>
        <v>0</v>
      </c>
      <c r="L64" s="55">
        <f>_xll.EQNXTDZ($A$1,$B64,L$1,$B$1)</f>
        <v>0</v>
      </c>
      <c r="M64" s="55">
        <f>_xll.EQNXTDZ($A$1,$B64,M$1,$B$1)</f>
        <v>0</v>
      </c>
      <c r="N64" s="55">
        <f>_xll.EQNXTDZ($A$1,$B64,N$1,$B$1)</f>
        <v>0</v>
      </c>
      <c r="O64" s="55">
        <f>_xll.EQNXTDZ($A$1,$B64,O$1,$B$1)</f>
        <v>0</v>
      </c>
      <c r="P64" s="55">
        <f>_xll.EQNXTDZ($A$1,$B64,P$1,$B$1)</f>
        <v>0</v>
      </c>
      <c r="Q64" s="55">
        <f>_xll.EQNXTDZ($A$1,$B64,Q$1,$B$1)</f>
        <v>0</v>
      </c>
      <c r="R64" s="55">
        <f>_xll.EQNXTDZ($A$1,$B64,R$1,$B$1)</f>
        <v>0</v>
      </c>
      <c r="S64" s="55">
        <f>_xll.EQNXTDZ($A$1,$B64,S$1,$B$1)</f>
        <v>0</v>
      </c>
      <c r="T64" s="55">
        <f>_xll.EQNXTDZ($A$1,$B64,T$1,$B$1)</f>
        <v>0</v>
      </c>
      <c r="U64" s="55">
        <f>_xll.EQNXTDZ($A$1,$B64,U$1,$B$1)</f>
        <v>0</v>
      </c>
      <c r="V64" s="55">
        <f>_xll.EQNXTDZ($A$1,$B64,V$1,$B$1)</f>
        <v>0</v>
      </c>
      <c r="W64" s="55">
        <f>_xll.EQNXTDZ($A$1,$B64,W$1,$B$1)</f>
        <v>0</v>
      </c>
      <c r="X64" s="55">
        <f>_xll.EQNXTDZ($A$1,$B64,X$1,$B$1)</f>
        <v>0</v>
      </c>
      <c r="Y64" s="55">
        <f>_xll.EQNXTDZ($A$1,$B64,Y$1,$B$1)</f>
        <v>0</v>
      </c>
      <c r="Z64" s="55">
        <f>_xll.EQNXTDZ($A$1,$B64,Z$1,$B$1)</f>
        <v>0</v>
      </c>
      <c r="AA64" s="55">
        <f>_xll.EQNXTDZ($A$1,$B64,AA$1,$B$1)</f>
        <v>0</v>
      </c>
      <c r="AB64" s="55">
        <f>_xll.EQNXTDZ($A$1,$B64,AB$1,$B$1)</f>
        <v>20.07</v>
      </c>
      <c r="AC64" s="55">
        <f>_xll.EQNXTDZ($A$1,$B64,AC$1,$B$1)</f>
        <v>0</v>
      </c>
      <c r="AD64" s="55">
        <f>_xll.EQNXTDZ($A$1,$B64,AD$1,$B$1)</f>
        <v>0</v>
      </c>
      <c r="AE64" s="55">
        <f>_xll.EQNXTDZ($A$1,$B64,AE$1,$B$1)</f>
        <v>0</v>
      </c>
      <c r="AF64" s="55">
        <f>_xll.EQNXTDZ($A$1,$B64,AF$1,$B$1)</f>
        <v>0</v>
      </c>
    </row>
    <row r="65" spans="1:32" x14ac:dyDescent="0.25">
      <c r="A65" t="s">
        <v>53</v>
      </c>
      <c r="B65" t="s">
        <v>200</v>
      </c>
      <c r="C65" s="55">
        <f>_xll.EQNXTDZ($A$1,$B65,C$1,$B$1)</f>
        <v>229.41820000000001</v>
      </c>
      <c r="D65" s="55">
        <f>_xll.EQNXTDZ($A$1,$B65,D$1,$B$1)</f>
        <v>213.1191</v>
      </c>
      <c r="E65" s="55">
        <f>_xll.EQNXTDZ($A$1,$B65,E$1,$B$1)</f>
        <v>197.65729999999999</v>
      </c>
      <c r="F65" s="55">
        <f>_xll.EQNXTDZ($A$1,$B65,F$1,$B$1)</f>
        <v>183.71369999999999</v>
      </c>
      <c r="G65" s="55">
        <f>_xll.EQNXTDZ($A$1,$B65,G$1,$B$1)</f>
        <v>168.0301</v>
      </c>
      <c r="H65" s="55">
        <f>_xll.EQNXTDZ($A$1,$B65,H$1,$B$1)</f>
        <v>233.3272</v>
      </c>
      <c r="I65" s="55">
        <f>_xll.EQNXTDZ($A$1,$B65,I$1,$B$1)</f>
        <v>223.58070000000001</v>
      </c>
      <c r="J65" s="55">
        <f>_xll.EQNXTDZ($A$1,$B65,J$1,$B$1)</f>
        <v>197.24969999999999</v>
      </c>
      <c r="K65" s="55">
        <f>_xll.EQNXTDZ($A$1,$B65,K$1,$B$1)</f>
        <v>190.8262</v>
      </c>
      <c r="L65" s="55">
        <f>_xll.EQNXTDZ($A$1,$B65,L$1,$B$1)</f>
        <v>161.4426</v>
      </c>
      <c r="M65" s="55">
        <f>_xll.EQNXTDZ($A$1,$B65,M$1,$B$1)</f>
        <v>334.37139999999999</v>
      </c>
      <c r="N65" s="55">
        <f>_xll.EQNXTDZ($A$1,$B65,N$1,$B$1)</f>
        <v>316.80849999999998</v>
      </c>
      <c r="O65" s="55">
        <f>_xll.EQNXTDZ($A$1,$B65,O$1,$B$1)</f>
        <v>294.9119</v>
      </c>
      <c r="P65" s="55">
        <f>_xll.EQNXTDZ($A$1,$B65,P$1,$B$1)</f>
        <v>275.3698</v>
      </c>
      <c r="Q65" s="55">
        <f>_xll.EQNXTDZ($A$1,$B65,Q$1,$B$1)</f>
        <v>271.0222</v>
      </c>
      <c r="R65" s="55">
        <f>_xll.EQNXTDZ($A$1,$B65,R$1,$B$1)</f>
        <v>292.65940000000001</v>
      </c>
      <c r="S65" s="55">
        <f>_xll.EQNXTDZ($A$1,$B65,S$1,$B$1)</f>
        <v>319.88839999999999</v>
      </c>
      <c r="T65" s="55">
        <f>_xll.EQNXTDZ($A$1,$B65,T$1,$B$1)</f>
        <v>348.23520000000002</v>
      </c>
      <c r="U65" s="55">
        <f>_xll.EQNXTDZ($A$1,$B65,U$1,$B$1)</f>
        <v>358.17649999999998</v>
      </c>
      <c r="V65" s="55">
        <f>_xll.EQNXTDZ($A$1,$B65,V$1,$B$1)</f>
        <v>373.9273</v>
      </c>
      <c r="W65" s="55">
        <f>_xll.EQNXTDZ($A$1,$B65,W$1,$B$1)</f>
        <v>361.6746</v>
      </c>
      <c r="X65" s="55">
        <f>_xll.EQNXTDZ($A$1,$B65,X$1,$B$1)</f>
        <v>399.66</v>
      </c>
      <c r="Y65" s="55">
        <f>_xll.EQNXTDZ($A$1,$B65,Y$1,$B$1)</f>
        <v>532.37</v>
      </c>
      <c r="Z65" s="55">
        <f>_xll.EQNXTDZ($A$1,$B65,Z$1,$B$1)</f>
        <v>1234.7</v>
      </c>
      <c r="AA65" s="55">
        <f>_xll.EQNXTDZ($A$1,$B65,AA$1,$B$1)</f>
        <v>1690.52</v>
      </c>
      <c r="AB65" s="55">
        <f>_xll.EQNXTDZ($A$1,$B65,AB$1,$B$1)</f>
        <v>13168.87</v>
      </c>
      <c r="AC65" s="55">
        <f>_xll.EQNXTDZ($A$1,$B65,AC$1,$B$1)</f>
        <v>0</v>
      </c>
      <c r="AD65" s="55">
        <f>_xll.EQNXTDZ($A$1,$B65,AD$1,$B$1)</f>
        <v>0</v>
      </c>
      <c r="AE65" s="55">
        <f>_xll.EQNXTDZ($A$1,$B65,AE$1,$B$1)</f>
        <v>0</v>
      </c>
      <c r="AF65" s="55">
        <f>_xll.EQNXTDZ($A$1,$B65,AF$1,$B$1)</f>
        <v>0</v>
      </c>
    </row>
    <row r="66" spans="1:32" x14ac:dyDescent="0.25">
      <c r="A66" t="s">
        <v>167</v>
      </c>
      <c r="B66" t="s">
        <v>201</v>
      </c>
      <c r="C66" s="55">
        <f>_xll.EQNXTDZ($A$1,$B66,C$1,$B$1)</f>
        <v>0</v>
      </c>
      <c r="D66" s="55">
        <f>_xll.EQNXTDZ($A$1,$B66,D$1,$B$1)</f>
        <v>0</v>
      </c>
      <c r="E66" s="55">
        <f>_xll.EQNXTDZ($A$1,$B66,E$1,$B$1)</f>
        <v>0</v>
      </c>
      <c r="F66" s="55">
        <f>_xll.EQNXTDZ($A$1,$B66,F$1,$B$1)</f>
        <v>0</v>
      </c>
      <c r="G66" s="55">
        <f>_xll.EQNXTDZ($A$1,$B66,G$1,$B$1)</f>
        <v>0</v>
      </c>
      <c r="H66" s="55">
        <f>_xll.EQNXTDZ($A$1,$B66,H$1,$B$1)</f>
        <v>0</v>
      </c>
      <c r="I66" s="55">
        <f>_xll.EQNXTDZ($A$1,$B66,I$1,$B$1)</f>
        <v>0</v>
      </c>
      <c r="J66" s="55">
        <f>_xll.EQNXTDZ($A$1,$B66,J$1,$B$1)</f>
        <v>0</v>
      </c>
      <c r="K66" s="55">
        <f>_xll.EQNXTDZ($A$1,$B66,K$1,$B$1)</f>
        <v>0</v>
      </c>
      <c r="L66" s="55">
        <f>_xll.EQNXTDZ($A$1,$B66,L$1,$B$1)</f>
        <v>0</v>
      </c>
      <c r="M66" s="55">
        <f>_xll.EQNXTDZ($A$1,$B66,M$1,$B$1)</f>
        <v>0</v>
      </c>
      <c r="N66" s="55">
        <f>_xll.EQNXTDZ($A$1,$B66,N$1,$B$1)</f>
        <v>0</v>
      </c>
      <c r="O66" s="55">
        <f>_xll.EQNXTDZ($A$1,$B66,O$1,$B$1)</f>
        <v>0</v>
      </c>
      <c r="P66" s="55">
        <f>_xll.EQNXTDZ($A$1,$B66,P$1,$B$1)</f>
        <v>0</v>
      </c>
      <c r="Q66" s="55">
        <f>_xll.EQNXTDZ($A$1,$B66,Q$1,$B$1)</f>
        <v>0</v>
      </c>
      <c r="R66" s="55">
        <f>_xll.EQNXTDZ($A$1,$B66,R$1,$B$1)</f>
        <v>0</v>
      </c>
      <c r="S66" s="55">
        <f>_xll.EQNXTDZ($A$1,$B66,S$1,$B$1)</f>
        <v>0</v>
      </c>
      <c r="T66" s="55">
        <f>_xll.EQNXTDZ($A$1,$B66,T$1,$B$1)</f>
        <v>0</v>
      </c>
      <c r="U66" s="55">
        <f>_xll.EQNXTDZ($A$1,$B66,U$1,$B$1)</f>
        <v>0</v>
      </c>
      <c r="V66" s="55">
        <f>_xll.EQNXTDZ($A$1,$B66,V$1,$B$1)</f>
        <v>0</v>
      </c>
      <c r="W66" s="55">
        <f>_xll.EQNXTDZ($A$1,$B66,W$1,$B$1)</f>
        <v>0</v>
      </c>
      <c r="X66" s="55">
        <f>_xll.EQNXTDZ($A$1,$B66,X$1,$B$1)</f>
        <v>0</v>
      </c>
      <c r="Y66" s="55">
        <f>_xll.EQNXTDZ($A$1,$B66,Y$1,$B$1)</f>
        <v>0</v>
      </c>
      <c r="Z66" s="55">
        <f>_xll.EQNXTDZ($A$1,$B66,Z$1,$B$1)</f>
        <v>0</v>
      </c>
      <c r="AA66" s="55">
        <f>_xll.EQNXTDZ($A$1,$B66,AA$1,$B$1)</f>
        <v>0</v>
      </c>
      <c r="AB66" s="55">
        <f>_xll.EQNXTDZ($A$1,$B66,AB$1,$B$1)</f>
        <v>0</v>
      </c>
      <c r="AC66" s="55">
        <f>_xll.EQNXTDZ($A$1,$B66,AC$1,$B$1)</f>
        <v>0</v>
      </c>
      <c r="AD66" s="55">
        <f>_xll.EQNXTDZ($A$1,$B66,AD$1,$B$1)</f>
        <v>0</v>
      </c>
      <c r="AE66" s="55">
        <f>_xll.EQNXTDZ($A$1,$B66,AE$1,$B$1)</f>
        <v>0</v>
      </c>
      <c r="AF66" s="55">
        <f>_xll.EQNXTDZ($A$1,$B66,AF$1,$B$1)</f>
        <v>0</v>
      </c>
    </row>
    <row r="67" spans="1:32" x14ac:dyDescent="0.25">
      <c r="A67" t="s">
        <v>56</v>
      </c>
      <c r="B67" t="s">
        <v>202</v>
      </c>
      <c r="C67" s="55">
        <f>_xll.EQNXTDZ($A$1,$B67,C$1,$B$1)</f>
        <v>121.59439999999999</v>
      </c>
      <c r="D67" s="55">
        <f>_xll.EQNXTDZ($A$1,$B67,D$1,$B$1)</f>
        <v>122.3562</v>
      </c>
      <c r="E67" s="55">
        <f>_xll.EQNXTDZ($A$1,$B67,E$1,$B$1)</f>
        <v>122.4431</v>
      </c>
      <c r="F67" s="55">
        <f>_xll.EQNXTDZ($A$1,$B67,F$1,$B$1)</f>
        <v>120.1534</v>
      </c>
      <c r="G67" s="55">
        <f>_xll.EQNXTDZ($A$1,$B67,G$1,$B$1)</f>
        <v>16.954000000000001</v>
      </c>
      <c r="H67" s="55">
        <f>_xll.EQNXTDZ($A$1,$B67,H$1,$B$1)</f>
        <v>0.24</v>
      </c>
      <c r="I67" s="55">
        <f>_xll.EQNXTDZ($A$1,$B67,I$1,$B$1)</f>
        <v>1.0167999999999999</v>
      </c>
      <c r="J67" s="55">
        <f>_xll.EQNXTDZ($A$1,$B67,J$1,$B$1)</f>
        <v>3.8056000000000001</v>
      </c>
      <c r="K67" s="55">
        <f>_xll.EQNXTDZ($A$1,$B67,K$1,$B$1)</f>
        <v>73.322800000000001</v>
      </c>
      <c r="L67" s="55">
        <f>_xll.EQNXTDZ($A$1,$B67,L$1,$B$1)</f>
        <v>157.4975</v>
      </c>
      <c r="M67" s="55">
        <f>_xll.EQNXTDZ($A$1,$B67,M$1,$B$1)</f>
        <v>4.0090000000000003</v>
      </c>
      <c r="N67" s="55">
        <f>_xll.EQNXTDZ($A$1,$B67,N$1,$B$1)</f>
        <v>2.0246</v>
      </c>
      <c r="O67" s="55">
        <f>_xll.EQNXTDZ($A$1,$B67,O$1,$B$1)</f>
        <v>3.9407999999999999</v>
      </c>
      <c r="P67" s="55">
        <f>_xll.EQNXTDZ($A$1,$B67,P$1,$B$1)</f>
        <v>4.6936</v>
      </c>
      <c r="Q67" s="55">
        <f>_xll.EQNXTDZ($A$1,$B67,Q$1,$B$1)</f>
        <v>5.4031000000000002</v>
      </c>
      <c r="R67" s="55">
        <f>_xll.EQNXTDZ($A$1,$B67,R$1,$B$1)</f>
        <v>7.2565</v>
      </c>
      <c r="S67" s="55">
        <f>_xll.EQNXTDZ($A$1,$B67,S$1,$B$1)</f>
        <v>8.4588000000000001</v>
      </c>
      <c r="T67" s="55">
        <f>_xll.EQNXTDZ($A$1,$B67,T$1,$B$1)</f>
        <v>22.991700000000002</v>
      </c>
      <c r="U67" s="55">
        <f>_xll.EQNXTDZ($A$1,$B67,U$1,$B$1)</f>
        <v>36.1967</v>
      </c>
      <c r="V67" s="55">
        <f>_xll.EQNXTDZ($A$1,$B67,V$1,$B$1)</f>
        <v>42.365900000000003</v>
      </c>
      <c r="W67" s="55">
        <f>_xll.EQNXTDZ($A$1,$B67,W$1,$B$1)</f>
        <v>84.71</v>
      </c>
      <c r="X67" s="55">
        <f>_xll.EQNXTDZ($A$1,$B67,X$1,$B$1)</f>
        <v>85.88</v>
      </c>
      <c r="Y67" s="55">
        <f>_xll.EQNXTDZ($A$1,$B67,Y$1,$B$1)</f>
        <v>297.87</v>
      </c>
      <c r="Z67" s="55">
        <f>_xll.EQNXTDZ($A$1,$B67,Z$1,$B$1)</f>
        <v>1268.1500000000001</v>
      </c>
      <c r="AA67" s="55">
        <f>_xll.EQNXTDZ($A$1,$B67,AA$1,$B$1)</f>
        <v>4267.26</v>
      </c>
      <c r="AB67" s="55">
        <f>_xll.EQNXTDZ($A$1,$B67,AB$1,$B$1)</f>
        <v>13946.08</v>
      </c>
      <c r="AC67" s="55">
        <f>_xll.EQNXTDZ($A$1,$B67,AC$1,$B$1)</f>
        <v>0</v>
      </c>
      <c r="AD67" s="55">
        <f>_xll.EQNXTDZ($A$1,$B67,AD$1,$B$1)</f>
        <v>0</v>
      </c>
      <c r="AE67" s="55">
        <f>_xll.EQNXTDZ($A$1,$B67,AE$1,$B$1)</f>
        <v>0</v>
      </c>
      <c r="AF67" s="55">
        <f>_xll.EQNXTDZ($A$1,$B67,AF$1,$B$1)</f>
        <v>0</v>
      </c>
    </row>
    <row r="68" spans="1:32" x14ac:dyDescent="0.25">
      <c r="A68" t="s">
        <v>168</v>
      </c>
      <c r="B68" t="s">
        <v>203</v>
      </c>
      <c r="C68" s="55">
        <f>_xll.EQNXTDZ($A$1,$B68,C$1,$B$1)</f>
        <v>0</v>
      </c>
      <c r="D68" s="55">
        <f>_xll.EQNXTDZ($A$1,$B68,D$1,$B$1)</f>
        <v>0</v>
      </c>
      <c r="E68" s="55">
        <f>_xll.EQNXTDZ($A$1,$B68,E$1,$B$1)</f>
        <v>0</v>
      </c>
      <c r="F68" s="55">
        <f>_xll.EQNXTDZ($A$1,$B68,F$1,$B$1)</f>
        <v>0</v>
      </c>
      <c r="G68" s="55">
        <f>_xll.EQNXTDZ($A$1,$B68,G$1,$B$1)</f>
        <v>0</v>
      </c>
      <c r="H68" s="55">
        <f>_xll.EQNXTDZ($A$1,$B68,H$1,$B$1)</f>
        <v>0</v>
      </c>
      <c r="I68" s="55">
        <f>_xll.EQNXTDZ($A$1,$B68,I$1,$B$1)</f>
        <v>0</v>
      </c>
      <c r="J68" s="55">
        <f>_xll.EQNXTDZ($A$1,$B68,J$1,$B$1)</f>
        <v>0</v>
      </c>
      <c r="K68" s="55">
        <f>_xll.EQNXTDZ($A$1,$B68,K$1,$B$1)</f>
        <v>0</v>
      </c>
      <c r="L68" s="55">
        <f>_xll.EQNXTDZ($A$1,$B68,L$1,$B$1)</f>
        <v>0</v>
      </c>
      <c r="M68" s="55">
        <f>_xll.EQNXTDZ($A$1,$B68,M$1,$B$1)</f>
        <v>0</v>
      </c>
      <c r="N68" s="55">
        <f>_xll.EQNXTDZ($A$1,$B68,N$1,$B$1)</f>
        <v>0</v>
      </c>
      <c r="O68" s="55">
        <f>_xll.EQNXTDZ($A$1,$B68,O$1,$B$1)</f>
        <v>0</v>
      </c>
      <c r="P68" s="55">
        <f>_xll.EQNXTDZ($A$1,$B68,P$1,$B$1)</f>
        <v>0</v>
      </c>
      <c r="Q68" s="55">
        <f>_xll.EQNXTDZ($A$1,$B68,Q$1,$B$1)</f>
        <v>0</v>
      </c>
      <c r="R68" s="55">
        <f>_xll.EQNXTDZ($A$1,$B68,R$1,$B$1)</f>
        <v>0</v>
      </c>
      <c r="S68" s="55">
        <f>_xll.EQNXTDZ($A$1,$B68,S$1,$B$1)</f>
        <v>0</v>
      </c>
      <c r="T68" s="55">
        <f>_xll.EQNXTDZ($A$1,$B68,T$1,$B$1)</f>
        <v>0</v>
      </c>
      <c r="U68" s="55">
        <f>_xll.EQNXTDZ($A$1,$B68,U$1,$B$1)</f>
        <v>0</v>
      </c>
      <c r="V68" s="55">
        <f>_xll.EQNXTDZ($A$1,$B68,V$1,$B$1)</f>
        <v>0</v>
      </c>
      <c r="W68" s="55">
        <f>_xll.EQNXTDZ($A$1,$B68,W$1,$B$1)</f>
        <v>0</v>
      </c>
      <c r="X68" s="55">
        <f>_xll.EQNXTDZ($A$1,$B68,X$1,$B$1)</f>
        <v>0</v>
      </c>
      <c r="Y68" s="55">
        <f>_xll.EQNXTDZ($A$1,$B68,Y$1,$B$1)</f>
        <v>0</v>
      </c>
      <c r="Z68" s="55">
        <f>_xll.EQNXTDZ($A$1,$B68,Z$1,$B$1)</f>
        <v>0</v>
      </c>
      <c r="AA68" s="55">
        <f>_xll.EQNXTDZ($A$1,$B68,AA$1,$B$1)</f>
        <v>0</v>
      </c>
      <c r="AB68" s="55">
        <f>_xll.EQNXTDZ($A$1,$B68,AB$1,$B$1)</f>
        <v>0</v>
      </c>
      <c r="AC68" s="55">
        <f>_xll.EQNXTDZ($A$1,$B68,AC$1,$B$1)</f>
        <v>0</v>
      </c>
      <c r="AD68" s="55">
        <f>_xll.EQNXTDZ($A$1,$B68,AD$1,$B$1)</f>
        <v>0</v>
      </c>
      <c r="AE68" s="55">
        <f>_xll.EQNXTDZ($A$1,$B68,AE$1,$B$1)</f>
        <v>0</v>
      </c>
      <c r="AF68" s="55">
        <f>_xll.EQNXTDZ($A$1,$B68,AF$1,$B$1)</f>
        <v>0</v>
      </c>
    </row>
    <row r="69" spans="1:32" x14ac:dyDescent="0.25">
      <c r="A69" t="s">
        <v>169</v>
      </c>
      <c r="B69" t="s">
        <v>204</v>
      </c>
      <c r="C69" s="55">
        <f>_xll.EQNXTDZ($A$1,$B69,C$1,$B$1)</f>
        <v>0</v>
      </c>
      <c r="D69" s="55">
        <f>_xll.EQNXTDZ($A$1,$B69,D$1,$B$1)</f>
        <v>0</v>
      </c>
      <c r="E69" s="55">
        <f>_xll.EQNXTDZ($A$1,$B69,E$1,$B$1)</f>
        <v>0</v>
      </c>
      <c r="F69" s="55">
        <f>_xll.EQNXTDZ($A$1,$B69,F$1,$B$1)</f>
        <v>0</v>
      </c>
      <c r="G69" s="55">
        <f>_xll.EQNXTDZ($A$1,$B69,G$1,$B$1)</f>
        <v>0</v>
      </c>
      <c r="H69" s="55">
        <f>_xll.EQNXTDZ($A$1,$B69,H$1,$B$1)</f>
        <v>0</v>
      </c>
      <c r="I69" s="55">
        <f>_xll.EQNXTDZ($A$1,$B69,I$1,$B$1)</f>
        <v>0</v>
      </c>
      <c r="J69" s="55">
        <f>_xll.EQNXTDZ($A$1,$B69,J$1,$B$1)</f>
        <v>0</v>
      </c>
      <c r="K69" s="55">
        <f>_xll.EQNXTDZ($A$1,$B69,K$1,$B$1)</f>
        <v>0</v>
      </c>
      <c r="L69" s="55">
        <f>_xll.EQNXTDZ($A$1,$B69,L$1,$B$1)</f>
        <v>0</v>
      </c>
      <c r="M69" s="55">
        <f>_xll.EQNXTDZ($A$1,$B69,M$1,$B$1)</f>
        <v>0</v>
      </c>
      <c r="N69" s="55">
        <f>_xll.EQNXTDZ($A$1,$B69,N$1,$B$1)</f>
        <v>0</v>
      </c>
      <c r="O69" s="55">
        <f>_xll.EQNXTDZ($A$1,$B69,O$1,$B$1)</f>
        <v>0</v>
      </c>
      <c r="P69" s="55">
        <f>_xll.EQNXTDZ($A$1,$B69,P$1,$B$1)</f>
        <v>0</v>
      </c>
      <c r="Q69" s="55">
        <f>_xll.EQNXTDZ($A$1,$B69,Q$1,$B$1)</f>
        <v>0</v>
      </c>
      <c r="R69" s="55">
        <f>_xll.EQNXTDZ($A$1,$B69,R$1,$B$1)</f>
        <v>0</v>
      </c>
      <c r="S69" s="55">
        <f>_xll.EQNXTDZ($A$1,$B69,S$1,$B$1)</f>
        <v>0</v>
      </c>
      <c r="T69" s="55">
        <f>_xll.EQNXTDZ($A$1,$B69,T$1,$B$1)</f>
        <v>0</v>
      </c>
      <c r="U69" s="55">
        <f>_xll.EQNXTDZ($A$1,$B69,U$1,$B$1)</f>
        <v>0</v>
      </c>
      <c r="V69" s="55">
        <f>_xll.EQNXTDZ($A$1,$B69,V$1,$B$1)</f>
        <v>0</v>
      </c>
      <c r="W69" s="55">
        <f>_xll.EQNXTDZ($A$1,$B69,W$1,$B$1)</f>
        <v>0</v>
      </c>
      <c r="X69" s="55">
        <f>_xll.EQNXTDZ($A$1,$B69,X$1,$B$1)</f>
        <v>0</v>
      </c>
      <c r="Y69" s="55">
        <f>_xll.EQNXTDZ($A$1,$B69,Y$1,$B$1)</f>
        <v>0</v>
      </c>
      <c r="Z69" s="55">
        <f>_xll.EQNXTDZ($A$1,$B69,Z$1,$B$1)</f>
        <v>0</v>
      </c>
      <c r="AA69" s="55">
        <f>_xll.EQNXTDZ($A$1,$B69,AA$1,$B$1)</f>
        <v>0</v>
      </c>
      <c r="AB69" s="55">
        <f>_xll.EQNXTDZ($A$1,$B69,AB$1,$B$1)</f>
        <v>0</v>
      </c>
      <c r="AC69" s="55">
        <f>_xll.EQNXTDZ($A$1,$B69,AC$1,$B$1)</f>
        <v>0</v>
      </c>
      <c r="AD69" s="55">
        <f>_xll.EQNXTDZ($A$1,$B69,AD$1,$B$1)</f>
        <v>0</v>
      </c>
      <c r="AE69" s="55">
        <f>_xll.EQNXTDZ($A$1,$B69,AE$1,$B$1)</f>
        <v>0</v>
      </c>
      <c r="AF69" s="55">
        <f>_xll.EQNXTDZ($A$1,$B69,AF$1,$B$1)</f>
        <v>0</v>
      </c>
    </row>
    <row r="70" spans="1:32" x14ac:dyDescent="0.25">
      <c r="A70" t="s">
        <v>170</v>
      </c>
      <c r="B70" t="s">
        <v>205</v>
      </c>
      <c r="C70" s="55">
        <f>_xll.EQNXTDZ($A$1,$B70,C$1,$B$1)</f>
        <v>0</v>
      </c>
      <c r="D70" s="55">
        <f>_xll.EQNXTDZ($A$1,$B70,D$1,$B$1)</f>
        <v>0</v>
      </c>
      <c r="E70" s="55">
        <f>_xll.EQNXTDZ($A$1,$B70,E$1,$B$1)</f>
        <v>0</v>
      </c>
      <c r="F70" s="55">
        <f>_xll.EQNXTDZ($A$1,$B70,F$1,$B$1)</f>
        <v>0</v>
      </c>
      <c r="G70" s="55">
        <f>_xll.EQNXTDZ($A$1,$B70,G$1,$B$1)</f>
        <v>0</v>
      </c>
      <c r="H70" s="55">
        <f>_xll.EQNXTDZ($A$1,$B70,H$1,$B$1)</f>
        <v>0</v>
      </c>
      <c r="I70" s="55">
        <f>_xll.EQNXTDZ($A$1,$B70,I$1,$B$1)</f>
        <v>0</v>
      </c>
      <c r="J70" s="55">
        <f>_xll.EQNXTDZ($A$1,$B70,J$1,$B$1)</f>
        <v>0</v>
      </c>
      <c r="K70" s="55">
        <f>_xll.EQNXTDZ($A$1,$B70,K$1,$B$1)</f>
        <v>0</v>
      </c>
      <c r="L70" s="55">
        <f>_xll.EQNXTDZ($A$1,$B70,L$1,$B$1)</f>
        <v>0</v>
      </c>
      <c r="M70" s="55">
        <f>_xll.EQNXTDZ($A$1,$B70,M$1,$B$1)</f>
        <v>0</v>
      </c>
      <c r="N70" s="55">
        <f>_xll.EQNXTDZ($A$1,$B70,N$1,$B$1)</f>
        <v>0</v>
      </c>
      <c r="O70" s="55">
        <f>_xll.EQNXTDZ($A$1,$B70,O$1,$B$1)</f>
        <v>0</v>
      </c>
      <c r="P70" s="55">
        <f>_xll.EQNXTDZ($A$1,$B70,P$1,$B$1)</f>
        <v>0</v>
      </c>
      <c r="Q70" s="55">
        <f>_xll.EQNXTDZ($A$1,$B70,Q$1,$B$1)</f>
        <v>0</v>
      </c>
      <c r="R70" s="55">
        <f>_xll.EQNXTDZ($A$1,$B70,R$1,$B$1)</f>
        <v>0</v>
      </c>
      <c r="S70" s="55">
        <f>_xll.EQNXTDZ($A$1,$B70,S$1,$B$1)</f>
        <v>0</v>
      </c>
      <c r="T70" s="55">
        <f>_xll.EQNXTDZ($A$1,$B70,T$1,$B$1)</f>
        <v>0</v>
      </c>
      <c r="U70" s="55">
        <f>_xll.EQNXTDZ($A$1,$B70,U$1,$B$1)</f>
        <v>0</v>
      </c>
      <c r="V70" s="55">
        <f>_xll.EQNXTDZ($A$1,$B70,V$1,$B$1)</f>
        <v>0</v>
      </c>
      <c r="W70" s="55">
        <f>_xll.EQNXTDZ($A$1,$B70,W$1,$B$1)</f>
        <v>0</v>
      </c>
      <c r="X70" s="55">
        <f>_xll.EQNXTDZ($A$1,$B70,X$1,$B$1)</f>
        <v>0</v>
      </c>
      <c r="Y70" s="55">
        <f>_xll.EQNXTDZ($A$1,$B70,Y$1,$B$1)</f>
        <v>0</v>
      </c>
      <c r="Z70" s="55">
        <f>_xll.EQNXTDZ($A$1,$B70,Z$1,$B$1)</f>
        <v>0</v>
      </c>
      <c r="AA70" s="55">
        <f>_xll.EQNXTDZ($A$1,$B70,AA$1,$B$1)</f>
        <v>0</v>
      </c>
      <c r="AB70" s="55">
        <f>_xll.EQNXTDZ($A$1,$B70,AB$1,$B$1)</f>
        <v>0</v>
      </c>
      <c r="AC70" s="55">
        <f>_xll.EQNXTDZ($A$1,$B70,AC$1,$B$1)</f>
        <v>0</v>
      </c>
      <c r="AD70" s="55">
        <f>_xll.EQNXTDZ($A$1,$B70,AD$1,$B$1)</f>
        <v>0</v>
      </c>
      <c r="AE70" s="55">
        <f>_xll.EQNXTDZ($A$1,$B70,AE$1,$B$1)</f>
        <v>0</v>
      </c>
      <c r="AF70" s="55">
        <f>_xll.EQNXTDZ($A$1,$B70,AF$1,$B$1)</f>
        <v>0</v>
      </c>
    </row>
    <row r="71" spans="1:32" x14ac:dyDescent="0.25">
      <c r="A71" t="s">
        <v>58</v>
      </c>
      <c r="B71" t="s">
        <v>206</v>
      </c>
      <c r="C71" s="55">
        <f>_xll.EQNXTDZ($A$1,$B71,C$1,$B$1)</f>
        <v>1.5741000000000001</v>
      </c>
      <c r="D71" s="55">
        <f>_xll.EQNXTDZ($A$1,$B71,D$1,$B$1)</f>
        <v>1.5741000000000001</v>
      </c>
      <c r="E71" s="55">
        <f>_xll.EQNXTDZ($A$1,$B71,E$1,$B$1)</f>
        <v>1E-3</v>
      </c>
      <c r="F71" s="55">
        <f>_xll.EQNXTDZ($A$1,$B71,F$1,$B$1)</f>
        <v>1E-3</v>
      </c>
      <c r="G71" s="55">
        <f>_xll.EQNXTDZ($A$1,$B71,G$1,$B$1)</f>
        <v>1E-3</v>
      </c>
      <c r="H71" s="55">
        <f>_xll.EQNXTDZ($A$1,$B71,H$1,$B$1)</f>
        <v>1E-3</v>
      </c>
      <c r="I71" s="55">
        <f>_xll.EQNXTDZ($A$1,$B71,I$1,$B$1)</f>
        <v>1E-3</v>
      </c>
      <c r="J71" s="55">
        <f>_xll.EQNXTDZ($A$1,$B71,J$1,$B$1)</f>
        <v>0</v>
      </c>
      <c r="K71" s="55">
        <f>_xll.EQNXTDZ($A$1,$B71,K$1,$B$1)</f>
        <v>0</v>
      </c>
      <c r="L71" s="55">
        <f>_xll.EQNXTDZ($A$1,$B71,L$1,$B$1)</f>
        <v>8.8000000000000007</v>
      </c>
      <c r="M71" s="55">
        <f>_xll.EQNXTDZ($A$1,$B71,M$1,$B$1)</f>
        <v>1.2500000000000001E-2</v>
      </c>
      <c r="N71" s="55">
        <f>_xll.EQNXTDZ($A$1,$B71,N$1,$B$1)</f>
        <v>1.2500000000000001E-2</v>
      </c>
      <c r="O71" s="55">
        <f>_xll.EQNXTDZ($A$1,$B71,O$1,$B$1)</f>
        <v>1.2500000000000001E-2</v>
      </c>
      <c r="P71" s="55">
        <f>_xll.EQNXTDZ($A$1,$B71,P$1,$B$1)</f>
        <v>3.15E-2</v>
      </c>
      <c r="Q71" s="55">
        <f>_xll.EQNXTDZ($A$1,$B71,Q$1,$B$1)</f>
        <v>8.1600000000000006E-2</v>
      </c>
      <c r="R71" s="55">
        <f>_xll.EQNXTDZ($A$1,$B71,R$1,$B$1)</f>
        <v>0.13150000000000001</v>
      </c>
      <c r="S71" s="55">
        <f>_xll.EQNXTDZ($A$1,$B71,S$1,$B$1)</f>
        <v>0.13150000000000001</v>
      </c>
      <c r="T71" s="55">
        <f>_xll.EQNXTDZ($A$1,$B71,T$1,$B$1)</f>
        <v>0.13150000000000001</v>
      </c>
      <c r="U71" s="55">
        <f>_xll.EQNXTDZ($A$1,$B71,U$1,$B$1)</f>
        <v>0.13150000000000001</v>
      </c>
      <c r="V71" s="55">
        <f>_xll.EQNXTDZ($A$1,$B71,V$1,$B$1)</f>
        <v>0.13150000000000001</v>
      </c>
      <c r="W71" s="55">
        <f>_xll.EQNXTDZ($A$1,$B71,W$1,$B$1)</f>
        <v>0.13550000000000001</v>
      </c>
      <c r="X71" s="55">
        <f>_xll.EQNXTDZ($A$1,$B71,X$1,$B$1)</f>
        <v>0.14000000000000001</v>
      </c>
      <c r="Y71" s="55">
        <f>_xll.EQNXTDZ($A$1,$B71,Y$1,$B$1)</f>
        <v>0.04</v>
      </c>
      <c r="Z71" s="55">
        <f>_xll.EQNXTDZ($A$1,$B71,Z$1,$B$1)</f>
        <v>0.04</v>
      </c>
      <c r="AA71" s="55">
        <f>_xll.EQNXTDZ($A$1,$B71,AA$1,$B$1)</f>
        <v>0.03</v>
      </c>
      <c r="AB71" s="55">
        <f>_xll.EQNXTDZ($A$1,$B71,AB$1,$B$1)</f>
        <v>560.63</v>
      </c>
      <c r="AC71" s="55">
        <f>_xll.EQNXTDZ($A$1,$B71,AC$1,$B$1)</f>
        <v>0</v>
      </c>
      <c r="AD71" s="55">
        <f>_xll.EQNXTDZ($A$1,$B71,AD$1,$B$1)</f>
        <v>0</v>
      </c>
      <c r="AE71" s="55">
        <f>_xll.EQNXTDZ($A$1,$B71,AE$1,$B$1)</f>
        <v>0</v>
      </c>
      <c r="AF71" s="55">
        <f>_xll.EQNXTDZ($A$1,$B71,AF$1,$B$1)</f>
        <v>0</v>
      </c>
    </row>
    <row r="72" spans="1:32" x14ac:dyDescent="0.25">
      <c r="A72" t="s">
        <v>59</v>
      </c>
      <c r="B72" t="s">
        <v>207</v>
      </c>
      <c r="C72" s="55">
        <f>_xll.EQNXTDZ($A$1,$B72,C$1,$B$1)</f>
        <v>0</v>
      </c>
      <c r="D72" s="55">
        <f>_xll.EQNXTDZ($A$1,$B72,D$1,$B$1)</f>
        <v>0</v>
      </c>
      <c r="E72" s="55">
        <f>_xll.EQNXTDZ($A$1,$B72,E$1,$B$1)</f>
        <v>0</v>
      </c>
      <c r="F72" s="55">
        <f>_xll.EQNXTDZ($A$1,$B72,F$1,$B$1)</f>
        <v>0</v>
      </c>
      <c r="G72" s="55">
        <f>_xll.EQNXTDZ($A$1,$B72,G$1,$B$1)</f>
        <v>0</v>
      </c>
      <c r="H72" s="55">
        <f>_xll.EQNXTDZ($A$1,$B72,H$1,$B$1)</f>
        <v>0</v>
      </c>
      <c r="I72" s="55">
        <f>_xll.EQNXTDZ($A$1,$B72,I$1,$B$1)</f>
        <v>0</v>
      </c>
      <c r="J72" s="55">
        <f>_xll.EQNXTDZ($A$1,$B72,J$1,$B$1)</f>
        <v>0</v>
      </c>
      <c r="K72" s="55">
        <f>_xll.EQNXTDZ($A$1,$B72,K$1,$B$1)</f>
        <v>0</v>
      </c>
      <c r="L72" s="55">
        <f>_xll.EQNXTDZ($A$1,$B72,L$1,$B$1)</f>
        <v>0</v>
      </c>
      <c r="M72" s="55">
        <f>_xll.EQNXTDZ($A$1,$B72,M$1,$B$1)</f>
        <v>39.348999999999997</v>
      </c>
      <c r="N72" s="55">
        <f>_xll.EQNXTDZ($A$1,$B72,N$1,$B$1)</f>
        <v>39.359699999999997</v>
      </c>
      <c r="O72" s="55">
        <f>_xll.EQNXTDZ($A$1,$B72,O$1,$B$1)</f>
        <v>40.073</v>
      </c>
      <c r="P72" s="55">
        <f>_xll.EQNXTDZ($A$1,$B72,P$1,$B$1)</f>
        <v>38.374499999999998</v>
      </c>
      <c r="Q72" s="55">
        <f>_xll.EQNXTDZ($A$1,$B72,Q$1,$B$1)</f>
        <v>38.957999999999998</v>
      </c>
      <c r="R72" s="55">
        <f>_xll.EQNXTDZ($A$1,$B72,R$1,$B$1)</f>
        <v>38.810200000000002</v>
      </c>
      <c r="S72" s="55">
        <f>_xll.EQNXTDZ($A$1,$B72,S$1,$B$1)</f>
        <v>38.822000000000003</v>
      </c>
      <c r="T72" s="55">
        <f>_xll.EQNXTDZ($A$1,$B72,T$1,$B$1)</f>
        <v>38.5182</v>
      </c>
      <c r="U72" s="55">
        <f>_xll.EQNXTDZ($A$1,$B72,U$1,$B$1)</f>
        <v>0.62790000000000001</v>
      </c>
      <c r="V72" s="55">
        <f>_xll.EQNXTDZ($A$1,$B72,V$1,$B$1)</f>
        <v>0.64890000000000003</v>
      </c>
      <c r="W72" s="55">
        <f>_xll.EQNXTDZ($A$1,$B72,W$1,$B$1)</f>
        <v>0.72670000000000001</v>
      </c>
      <c r="X72" s="55">
        <f>_xll.EQNXTDZ($A$1,$B72,X$1,$B$1)</f>
        <v>0.87</v>
      </c>
      <c r="Y72" s="55">
        <f>_xll.EQNXTDZ($A$1,$B72,Y$1,$B$1)</f>
        <v>136.38</v>
      </c>
      <c r="Z72" s="55">
        <f>_xll.EQNXTDZ($A$1,$B72,Z$1,$B$1)</f>
        <v>307.19</v>
      </c>
      <c r="AA72" s="55">
        <f>_xll.EQNXTDZ($A$1,$B72,AA$1,$B$1)</f>
        <v>582.51</v>
      </c>
      <c r="AB72" s="55">
        <f>_xll.EQNXTDZ($A$1,$B72,AB$1,$B$1)</f>
        <v>3621.79</v>
      </c>
      <c r="AC72" s="55">
        <f>_xll.EQNXTDZ($A$1,$B72,AC$1,$B$1)</f>
        <v>0</v>
      </c>
      <c r="AD72" s="55">
        <f>_xll.EQNXTDZ($A$1,$B72,AD$1,$B$1)</f>
        <v>0</v>
      </c>
      <c r="AE72" s="55">
        <f>_xll.EQNXTDZ($A$1,$B72,AE$1,$B$1)</f>
        <v>0</v>
      </c>
      <c r="AF72" s="55">
        <f>_xll.EQNXTDZ($A$1,$B72,AF$1,$B$1)</f>
        <v>0</v>
      </c>
    </row>
    <row r="73" spans="1:32" x14ac:dyDescent="0.25">
      <c r="A73" t="s">
        <v>60</v>
      </c>
      <c r="B73" t="s">
        <v>208</v>
      </c>
      <c r="C73" s="55">
        <f>_xll.EQNXTDZ($A$1,$B73,C$1,$B$1)</f>
        <v>0</v>
      </c>
      <c r="D73" s="55">
        <f>_xll.EQNXTDZ($A$1,$B73,D$1,$B$1)</f>
        <v>0</v>
      </c>
      <c r="E73" s="55">
        <f>_xll.EQNXTDZ($A$1,$B73,E$1,$B$1)</f>
        <v>0</v>
      </c>
      <c r="F73" s="55">
        <f>_xll.EQNXTDZ($A$1,$B73,F$1,$B$1)</f>
        <v>0</v>
      </c>
      <c r="G73" s="55">
        <f>_xll.EQNXTDZ($A$1,$B73,G$1,$B$1)</f>
        <v>0</v>
      </c>
      <c r="H73" s="55">
        <f>_xll.EQNXTDZ($A$1,$B73,H$1,$B$1)</f>
        <v>0</v>
      </c>
      <c r="I73" s="55">
        <f>_xll.EQNXTDZ($A$1,$B73,I$1,$B$1)</f>
        <v>0</v>
      </c>
      <c r="J73" s="55">
        <f>_xll.EQNXTDZ($A$1,$B73,J$1,$B$1)</f>
        <v>0</v>
      </c>
      <c r="K73" s="55">
        <f>_xll.EQNXTDZ($A$1,$B73,K$1,$B$1)</f>
        <v>0</v>
      </c>
      <c r="L73" s="55">
        <f>_xll.EQNXTDZ($A$1,$B73,L$1,$B$1)</f>
        <v>0</v>
      </c>
      <c r="M73" s="55">
        <f>_xll.EQNXTDZ($A$1,$B73,M$1,$B$1)</f>
        <v>0</v>
      </c>
      <c r="N73" s="55">
        <f>_xll.EQNXTDZ($A$1,$B73,N$1,$B$1)</f>
        <v>0</v>
      </c>
      <c r="O73" s="55">
        <f>_xll.EQNXTDZ($A$1,$B73,O$1,$B$1)</f>
        <v>0</v>
      </c>
      <c r="P73" s="55">
        <f>_xll.EQNXTDZ($A$1,$B73,P$1,$B$1)</f>
        <v>0</v>
      </c>
      <c r="Q73" s="55">
        <f>_xll.EQNXTDZ($A$1,$B73,Q$1,$B$1)</f>
        <v>0</v>
      </c>
      <c r="R73" s="55">
        <f>_xll.EQNXTDZ($A$1,$B73,R$1,$B$1)</f>
        <v>0</v>
      </c>
      <c r="S73" s="55">
        <f>_xll.EQNXTDZ($A$1,$B73,S$1,$B$1)</f>
        <v>0</v>
      </c>
      <c r="T73" s="55">
        <f>_xll.EQNXTDZ($A$1,$B73,T$1,$B$1)</f>
        <v>0</v>
      </c>
      <c r="U73" s="55">
        <f>_xll.EQNXTDZ($A$1,$B73,U$1,$B$1)</f>
        <v>0</v>
      </c>
      <c r="V73" s="55">
        <f>_xll.EQNXTDZ($A$1,$B73,V$1,$B$1)</f>
        <v>0</v>
      </c>
      <c r="W73" s="55">
        <f>_xll.EQNXTDZ($A$1,$B73,W$1,$B$1)</f>
        <v>0</v>
      </c>
      <c r="X73" s="55">
        <f>_xll.EQNXTDZ($A$1,$B73,X$1,$B$1)</f>
        <v>0</v>
      </c>
      <c r="Y73" s="55">
        <f>_xll.EQNXTDZ($A$1,$B73,Y$1,$B$1)</f>
        <v>0</v>
      </c>
      <c r="Z73" s="55">
        <f>_xll.EQNXTDZ($A$1,$B73,Z$1,$B$1)</f>
        <v>0</v>
      </c>
      <c r="AA73" s="55">
        <f>_xll.EQNXTDZ($A$1,$B73,AA$1,$B$1)</f>
        <v>23.38</v>
      </c>
      <c r="AB73" s="55">
        <f>_xll.EQNXTDZ($A$1,$B73,AB$1,$B$1)</f>
        <v>528.6</v>
      </c>
      <c r="AC73" s="55">
        <f>_xll.EQNXTDZ($A$1,$B73,AC$1,$B$1)</f>
        <v>0</v>
      </c>
      <c r="AD73" s="55">
        <f>_xll.EQNXTDZ($A$1,$B73,AD$1,$B$1)</f>
        <v>0</v>
      </c>
      <c r="AE73" s="55">
        <f>_xll.EQNXTDZ($A$1,$B73,AE$1,$B$1)</f>
        <v>0</v>
      </c>
      <c r="AF73" s="55">
        <f>_xll.EQNXTDZ($A$1,$B73,AF$1,$B$1)</f>
        <v>0</v>
      </c>
    </row>
    <row r="74" spans="1:32" x14ac:dyDescent="0.25">
      <c r="A74" t="s">
        <v>171</v>
      </c>
      <c r="B74" t="s">
        <v>209</v>
      </c>
      <c r="C74" s="55">
        <f>_xll.EQNXTDZ($A$1,$B74,C$1,$B$1)</f>
        <v>352.58670000000001</v>
      </c>
      <c r="D74" s="55">
        <f>_xll.EQNXTDZ($A$1,$B74,D$1,$B$1)</f>
        <v>337.04939999999999</v>
      </c>
      <c r="E74" s="55">
        <f>_xll.EQNXTDZ($A$1,$B74,E$1,$B$1)</f>
        <v>320.10140000000001</v>
      </c>
      <c r="F74" s="55">
        <f>_xll.EQNXTDZ($A$1,$B74,F$1,$B$1)</f>
        <v>303.86810000000003</v>
      </c>
      <c r="G74" s="55">
        <f>_xll.EQNXTDZ($A$1,$B74,G$1,$B$1)</f>
        <v>184.98509999999999</v>
      </c>
      <c r="H74" s="55">
        <f>_xll.EQNXTDZ($A$1,$B74,H$1,$B$1)</f>
        <v>233.56819999999999</v>
      </c>
      <c r="I74" s="55">
        <f>_xll.EQNXTDZ($A$1,$B74,I$1,$B$1)</f>
        <v>224.5985</v>
      </c>
      <c r="J74" s="55">
        <f>_xll.EQNXTDZ($A$1,$B74,J$1,$B$1)</f>
        <v>201.05529999999999</v>
      </c>
      <c r="K74" s="55">
        <f>_xll.EQNXTDZ($A$1,$B74,K$1,$B$1)</f>
        <v>264.149</v>
      </c>
      <c r="L74" s="55">
        <f>_xll.EQNXTDZ($A$1,$B74,L$1,$B$1)</f>
        <v>327.74009999999998</v>
      </c>
      <c r="M74" s="55">
        <f>_xll.EQNXTDZ($A$1,$B74,M$1,$B$1)</f>
        <v>377.74189999999999</v>
      </c>
      <c r="N74" s="55">
        <f>_xll.EQNXTDZ($A$1,$B74,N$1,$B$1)</f>
        <v>358.20530000000002</v>
      </c>
      <c r="O74" s="55">
        <f>_xll.EQNXTDZ($A$1,$B74,O$1,$B$1)</f>
        <v>338.93819999999999</v>
      </c>
      <c r="P74" s="55">
        <f>_xll.EQNXTDZ($A$1,$B74,P$1,$B$1)</f>
        <v>318.46940000000001</v>
      </c>
      <c r="Q74" s="55">
        <f>_xll.EQNXTDZ($A$1,$B74,Q$1,$B$1)</f>
        <v>315.4649</v>
      </c>
      <c r="R74" s="55">
        <f>_xll.EQNXTDZ($A$1,$B74,R$1,$B$1)</f>
        <v>338.85759999999999</v>
      </c>
      <c r="S74" s="55">
        <f>_xll.EQNXTDZ($A$1,$B74,S$1,$B$1)</f>
        <v>367.30070000000001</v>
      </c>
      <c r="T74" s="55">
        <f>_xll.EQNXTDZ($A$1,$B74,T$1,$B$1)</f>
        <v>409.8766</v>
      </c>
      <c r="U74" s="55">
        <f>_xll.EQNXTDZ($A$1,$B74,U$1,$B$1)</f>
        <v>395.13260000000002</v>
      </c>
      <c r="V74" s="55">
        <f>_xll.EQNXTDZ($A$1,$B74,V$1,$B$1)</f>
        <v>417.0736</v>
      </c>
      <c r="W74" s="55">
        <f>_xll.EQNXTDZ($A$1,$B74,W$1,$B$1)</f>
        <v>447.24680000000001</v>
      </c>
      <c r="X74" s="55">
        <f>_xll.EQNXTDZ($A$1,$B74,X$1,$B$1)</f>
        <v>486.55</v>
      </c>
      <c r="Y74" s="55">
        <f>_xll.EQNXTDZ($A$1,$B74,Y$1,$B$1)</f>
        <v>966.66</v>
      </c>
      <c r="Z74" s="55">
        <f>_xll.EQNXTDZ($A$1,$B74,Z$1,$B$1)</f>
        <v>2810.08</v>
      </c>
      <c r="AA74" s="55">
        <f>_xll.EQNXTDZ($A$1,$B74,AA$1,$B$1)</f>
        <v>6563.7</v>
      </c>
      <c r="AB74" s="55">
        <f>_xll.EQNXTDZ($A$1,$B74,AB$1,$B$1)</f>
        <v>31825.97</v>
      </c>
      <c r="AC74" s="55">
        <f>_xll.EQNXTDZ($A$1,$B74,AC$1,$B$1)</f>
        <v>0</v>
      </c>
      <c r="AD74" s="55">
        <f>_xll.EQNXTDZ($A$1,$B74,AD$1,$B$1)</f>
        <v>0</v>
      </c>
      <c r="AE74" s="55">
        <f>_xll.EQNXTDZ($A$1,$B74,AE$1,$B$1)</f>
        <v>0</v>
      </c>
      <c r="AF74" s="55">
        <f>_xll.EQNXTDZ($A$1,$B74,AF$1,$B$1)</f>
        <v>0</v>
      </c>
    </row>
    <row r="75" spans="1:32" x14ac:dyDescent="0.25">
      <c r="A75" t="s">
        <v>75</v>
      </c>
      <c r="B75" t="s">
        <v>210</v>
      </c>
      <c r="C75" s="55">
        <f>_xll.EQNXTDZ($A$1,$B75,C$1,$B$1)</f>
        <v>0</v>
      </c>
      <c r="D75" s="55">
        <f>_xll.EQNXTDZ($A$1,$B75,D$1,$B$1)</f>
        <v>0</v>
      </c>
      <c r="E75" s="55">
        <f>_xll.EQNXTDZ($A$1,$B75,E$1,$B$1)</f>
        <v>0</v>
      </c>
      <c r="F75" s="55">
        <f>_xll.EQNXTDZ($A$1,$B75,F$1,$B$1)</f>
        <v>0</v>
      </c>
      <c r="G75" s="55">
        <f>_xll.EQNXTDZ($A$1,$B75,G$1,$B$1)</f>
        <v>0</v>
      </c>
      <c r="H75" s="55">
        <f>_xll.EQNXTDZ($A$1,$B75,H$1,$B$1)</f>
        <v>0</v>
      </c>
      <c r="I75" s="55">
        <f>_xll.EQNXTDZ($A$1,$B75,I$1,$B$1)</f>
        <v>0</v>
      </c>
      <c r="J75" s="55">
        <f>_xll.EQNXTDZ($A$1,$B75,J$1,$B$1)</f>
        <v>0</v>
      </c>
      <c r="K75" s="55">
        <f>_xll.EQNXTDZ($A$1,$B75,K$1,$B$1)</f>
        <v>0</v>
      </c>
      <c r="L75" s="55">
        <f>_xll.EQNXTDZ($A$1,$B75,L$1,$B$1)</f>
        <v>0</v>
      </c>
      <c r="M75" s="55">
        <f>_xll.EQNXTDZ($A$1,$B75,M$1,$B$1)</f>
        <v>0</v>
      </c>
      <c r="N75" s="55">
        <f>_xll.EQNXTDZ($A$1,$B75,N$1,$B$1)</f>
        <v>0</v>
      </c>
      <c r="O75" s="55">
        <f>_xll.EQNXTDZ($A$1,$B75,O$1,$B$1)</f>
        <v>0</v>
      </c>
      <c r="P75" s="55">
        <f>_xll.EQNXTDZ($A$1,$B75,P$1,$B$1)</f>
        <v>0</v>
      </c>
      <c r="Q75" s="55">
        <f>_xll.EQNXTDZ($A$1,$B75,Q$1,$B$1)</f>
        <v>0</v>
      </c>
      <c r="R75" s="55">
        <f>_xll.EQNXTDZ($A$1,$B75,R$1,$B$1)</f>
        <v>0</v>
      </c>
      <c r="S75" s="55">
        <f>_xll.EQNXTDZ($A$1,$B75,S$1,$B$1)</f>
        <v>0</v>
      </c>
      <c r="T75" s="55">
        <f>_xll.EQNXTDZ($A$1,$B75,T$1,$B$1)</f>
        <v>0</v>
      </c>
      <c r="U75" s="55">
        <f>_xll.EQNXTDZ($A$1,$B75,U$1,$B$1)</f>
        <v>0</v>
      </c>
      <c r="V75" s="55">
        <f>_xll.EQNXTDZ($A$1,$B75,V$1,$B$1)</f>
        <v>0</v>
      </c>
      <c r="W75" s="55">
        <f>_xll.EQNXTDZ($A$1,$B75,W$1,$B$1)</f>
        <v>0</v>
      </c>
      <c r="X75" s="55">
        <f>_xll.EQNXTDZ($A$1,$B75,X$1,$B$1)</f>
        <v>0</v>
      </c>
      <c r="Y75" s="55">
        <f>_xll.EQNXTDZ($A$1,$B75,Y$1,$B$1)</f>
        <v>36.79</v>
      </c>
      <c r="Z75" s="55">
        <f>_xll.EQNXTDZ($A$1,$B75,Z$1,$B$1)</f>
        <v>29.03</v>
      </c>
      <c r="AA75" s="55">
        <f>_xll.EQNXTDZ($A$1,$B75,AA$1,$B$1)</f>
        <v>75.06</v>
      </c>
      <c r="AB75" s="55">
        <f>_xll.EQNXTDZ($A$1,$B75,AB$1,$B$1)</f>
        <v>105.06</v>
      </c>
      <c r="AC75" s="55">
        <f>_xll.EQNXTDZ($A$1,$B75,AC$1,$B$1)</f>
        <v>0</v>
      </c>
      <c r="AD75" s="55">
        <f>_xll.EQNXTDZ($A$1,$B75,AD$1,$B$1)</f>
        <v>0</v>
      </c>
      <c r="AE75" s="55">
        <f>_xll.EQNXTDZ($A$1,$B75,AE$1,$B$1)</f>
        <v>0</v>
      </c>
      <c r="AF75" s="55">
        <f>_xll.EQNXTDZ($A$1,$B75,AF$1,$B$1)</f>
        <v>0</v>
      </c>
    </row>
    <row r="76" spans="1:32" x14ac:dyDescent="0.25">
      <c r="A76" t="s">
        <v>61</v>
      </c>
      <c r="B76" t="s">
        <v>211</v>
      </c>
      <c r="C76" s="55">
        <f>_xll.EQNXTDZ($A$1,$B76,C$1,$B$1)</f>
        <v>8.5373999999999999</v>
      </c>
      <c r="D76" s="55">
        <f>_xll.EQNXTDZ($A$1,$B76,D$1,$B$1)</f>
        <v>7.6409000000000002</v>
      </c>
      <c r="E76" s="55">
        <f>_xll.EQNXTDZ($A$1,$B76,E$1,$B$1)</f>
        <v>9.5106999999999999</v>
      </c>
      <c r="F76" s="55">
        <f>_xll.EQNXTDZ($A$1,$B76,F$1,$B$1)</f>
        <v>16.239599999999999</v>
      </c>
      <c r="G76" s="55">
        <f>_xll.EQNXTDZ($A$1,$B76,G$1,$B$1)</f>
        <v>13.2265</v>
      </c>
      <c r="H76" s="55">
        <f>_xll.EQNXTDZ($A$1,$B76,H$1,$B$1)</f>
        <v>44.177999999999997</v>
      </c>
      <c r="I76" s="55">
        <f>_xll.EQNXTDZ($A$1,$B76,I$1,$B$1)</f>
        <v>15.722200000000001</v>
      </c>
      <c r="J76" s="55">
        <f>_xll.EQNXTDZ($A$1,$B76,J$1,$B$1)</f>
        <v>39.663899999999998</v>
      </c>
      <c r="K76" s="55">
        <f>_xll.EQNXTDZ($A$1,$B76,K$1,$B$1)</f>
        <v>50.347000000000001</v>
      </c>
      <c r="L76" s="55">
        <f>_xll.EQNXTDZ($A$1,$B76,L$1,$B$1)</f>
        <v>31.7319</v>
      </c>
      <c r="M76" s="55">
        <f>_xll.EQNXTDZ($A$1,$B76,M$1,$B$1)</f>
        <v>58.201000000000001</v>
      </c>
      <c r="N76" s="55">
        <f>_xll.EQNXTDZ($A$1,$B76,N$1,$B$1)</f>
        <v>78.768000000000001</v>
      </c>
      <c r="O76" s="55">
        <f>_xll.EQNXTDZ($A$1,$B76,O$1,$B$1)</f>
        <v>31.145700000000001</v>
      </c>
      <c r="P76" s="55">
        <f>_xll.EQNXTDZ($A$1,$B76,P$1,$B$1)</f>
        <v>48.968299999999999</v>
      </c>
      <c r="Q76" s="55">
        <f>_xll.EQNXTDZ($A$1,$B76,Q$1,$B$1)</f>
        <v>30.712</v>
      </c>
      <c r="R76" s="55">
        <f>_xll.EQNXTDZ($A$1,$B76,R$1,$B$1)</f>
        <v>56.540999999999997</v>
      </c>
      <c r="S76" s="55">
        <f>_xll.EQNXTDZ($A$1,$B76,S$1,$B$1)</f>
        <v>68.136899999999997</v>
      </c>
      <c r="T76" s="55">
        <f>_xll.EQNXTDZ($A$1,$B76,T$1,$B$1)</f>
        <v>67.858500000000006</v>
      </c>
      <c r="U76" s="55">
        <f>_xll.EQNXTDZ($A$1,$B76,U$1,$B$1)</f>
        <v>73.640900000000002</v>
      </c>
      <c r="V76" s="55">
        <f>_xll.EQNXTDZ($A$1,$B76,V$1,$B$1)</f>
        <v>84.116799999999998</v>
      </c>
      <c r="W76" s="55">
        <f>_xll.EQNXTDZ($A$1,$B76,W$1,$B$1)</f>
        <v>115.71</v>
      </c>
      <c r="X76" s="55">
        <f>_xll.EQNXTDZ($A$1,$B76,X$1,$B$1)</f>
        <v>166.84</v>
      </c>
      <c r="Y76" s="55">
        <f>_xll.EQNXTDZ($A$1,$B76,Y$1,$B$1)</f>
        <v>269.74</v>
      </c>
      <c r="Z76" s="55">
        <f>_xll.EQNXTDZ($A$1,$B76,Z$1,$B$1)</f>
        <v>231.09</v>
      </c>
      <c r="AA76" s="55">
        <f>_xll.EQNXTDZ($A$1,$B76,AA$1,$B$1)</f>
        <v>432.72</v>
      </c>
      <c r="AB76" s="55">
        <f>_xll.EQNXTDZ($A$1,$B76,AB$1,$B$1)</f>
        <v>2659.6</v>
      </c>
      <c r="AC76" s="55">
        <f>_xll.EQNXTDZ($A$1,$B76,AC$1,$B$1)</f>
        <v>0</v>
      </c>
      <c r="AD76" s="55">
        <f>_xll.EQNXTDZ($A$1,$B76,AD$1,$B$1)</f>
        <v>0</v>
      </c>
      <c r="AE76" s="55">
        <f>_xll.EQNXTDZ($A$1,$B76,AE$1,$B$1)</f>
        <v>0</v>
      </c>
      <c r="AF76" s="55">
        <f>_xll.EQNXTDZ($A$1,$B76,AF$1,$B$1)</f>
        <v>0</v>
      </c>
    </row>
    <row r="77" spans="1:32" x14ac:dyDescent="0.25">
      <c r="A77" t="s">
        <v>62</v>
      </c>
      <c r="B77" t="s">
        <v>212</v>
      </c>
      <c r="C77" s="55">
        <f>_xll.EQNXTDZ($A$1,$B77,C$1,$B$1)</f>
        <v>47.821100000000001</v>
      </c>
      <c r="D77" s="55">
        <f>_xll.EQNXTDZ($A$1,$B77,D$1,$B$1)</f>
        <v>37.9056</v>
      </c>
      <c r="E77" s="55">
        <f>_xll.EQNXTDZ($A$1,$B77,E$1,$B$1)</f>
        <v>56.502400000000002</v>
      </c>
      <c r="F77" s="55">
        <f>_xll.EQNXTDZ($A$1,$B77,F$1,$B$1)</f>
        <v>85.223500000000001</v>
      </c>
      <c r="G77" s="55">
        <f>_xll.EQNXTDZ($A$1,$B77,G$1,$B$1)</f>
        <v>50.834600000000002</v>
      </c>
      <c r="H77" s="55">
        <f>_xll.EQNXTDZ($A$1,$B77,H$1,$B$1)</f>
        <v>19.471499999999999</v>
      </c>
      <c r="I77" s="55">
        <f>_xll.EQNXTDZ($A$1,$B77,I$1,$B$1)</f>
        <v>21.7301</v>
      </c>
      <c r="J77" s="55">
        <f>_xll.EQNXTDZ($A$1,$B77,J$1,$B$1)</f>
        <v>11.500299999999999</v>
      </c>
      <c r="K77" s="55">
        <f>_xll.EQNXTDZ($A$1,$B77,K$1,$B$1)</f>
        <v>79.848299999999995</v>
      </c>
      <c r="L77" s="55">
        <f>_xll.EQNXTDZ($A$1,$B77,L$1,$B$1)</f>
        <v>10.7163</v>
      </c>
      <c r="M77" s="55">
        <f>_xll.EQNXTDZ($A$1,$B77,M$1,$B$1)</f>
        <v>20.328099999999999</v>
      </c>
      <c r="N77" s="55">
        <f>_xll.EQNXTDZ($A$1,$B77,N$1,$B$1)</f>
        <v>49.417099999999998</v>
      </c>
      <c r="O77" s="55">
        <f>_xll.EQNXTDZ($A$1,$B77,O$1,$B$1)</f>
        <v>36.5426</v>
      </c>
      <c r="P77" s="55">
        <f>_xll.EQNXTDZ($A$1,$B77,P$1,$B$1)</f>
        <v>21.0731</v>
      </c>
      <c r="Q77" s="55">
        <f>_xll.EQNXTDZ($A$1,$B77,Q$1,$B$1)</f>
        <v>22.426100000000002</v>
      </c>
      <c r="R77" s="55">
        <f>_xll.EQNXTDZ($A$1,$B77,R$1,$B$1)</f>
        <v>21.721</v>
      </c>
      <c r="S77" s="55">
        <f>_xll.EQNXTDZ($A$1,$B77,S$1,$B$1)</f>
        <v>10.9466</v>
      </c>
      <c r="T77" s="55">
        <f>_xll.EQNXTDZ($A$1,$B77,T$1,$B$1)</f>
        <v>15.5383</v>
      </c>
      <c r="U77" s="55">
        <f>_xll.EQNXTDZ($A$1,$B77,U$1,$B$1)</f>
        <v>23.099699999999999</v>
      </c>
      <c r="V77" s="55">
        <f>_xll.EQNXTDZ($A$1,$B77,V$1,$B$1)</f>
        <v>7.8875000000000002</v>
      </c>
      <c r="W77" s="55">
        <f>_xll.EQNXTDZ($A$1,$B77,W$1,$B$1)</f>
        <v>6.9112</v>
      </c>
      <c r="X77" s="55">
        <f>_xll.EQNXTDZ($A$1,$B77,X$1,$B$1)</f>
        <v>23.74</v>
      </c>
      <c r="Y77" s="55">
        <f>_xll.EQNXTDZ($A$1,$B77,Y$1,$B$1)</f>
        <v>24.5</v>
      </c>
      <c r="Z77" s="55">
        <f>_xll.EQNXTDZ($A$1,$B77,Z$1,$B$1)</f>
        <v>79.91</v>
      </c>
      <c r="AA77" s="55">
        <f>_xll.EQNXTDZ($A$1,$B77,AA$1,$B$1)</f>
        <v>171.42</v>
      </c>
      <c r="AB77" s="55">
        <f>_xll.EQNXTDZ($A$1,$B77,AB$1,$B$1)</f>
        <v>1480.51</v>
      </c>
      <c r="AC77" s="55">
        <f>_xll.EQNXTDZ($A$1,$B77,AC$1,$B$1)</f>
        <v>0</v>
      </c>
      <c r="AD77" s="55">
        <f>_xll.EQNXTDZ($A$1,$B77,AD$1,$B$1)</f>
        <v>0</v>
      </c>
      <c r="AE77" s="55">
        <f>_xll.EQNXTDZ($A$1,$B77,AE$1,$B$1)</f>
        <v>0</v>
      </c>
      <c r="AF77" s="55">
        <f>_xll.EQNXTDZ($A$1,$B77,AF$1,$B$1)</f>
        <v>0</v>
      </c>
    </row>
    <row r="78" spans="1:32" x14ac:dyDescent="0.25">
      <c r="A78" t="s">
        <v>76</v>
      </c>
      <c r="B78" t="s">
        <v>213</v>
      </c>
      <c r="C78" s="55">
        <f>_xll.EQNXTDZ($A$1,$B78,C$1,$B$1)</f>
        <v>1.1180000000000001</v>
      </c>
      <c r="D78" s="55">
        <f>_xll.EQNXTDZ($A$1,$B78,D$1,$B$1)</f>
        <v>0.30640000000000001</v>
      </c>
      <c r="E78" s="55">
        <f>_xll.EQNXTDZ($A$1,$B78,E$1,$B$1)</f>
        <v>0.57030000000000003</v>
      </c>
      <c r="F78" s="55">
        <f>_xll.EQNXTDZ($A$1,$B78,F$1,$B$1)</f>
        <v>0.45829999999999999</v>
      </c>
      <c r="G78" s="55">
        <f>_xll.EQNXTDZ($A$1,$B78,G$1,$B$1)</f>
        <v>1.0617000000000001</v>
      </c>
      <c r="H78" s="55">
        <f>_xll.EQNXTDZ($A$1,$B78,H$1,$B$1)</f>
        <v>1.3373999999999999</v>
      </c>
      <c r="I78" s="55">
        <f>_xll.EQNXTDZ($A$1,$B78,I$1,$B$1)</f>
        <v>0.58540000000000003</v>
      </c>
      <c r="J78" s="55">
        <f>_xll.EQNXTDZ($A$1,$B78,J$1,$B$1)</f>
        <v>0.87250000000000005</v>
      </c>
      <c r="K78" s="55">
        <f>_xll.EQNXTDZ($A$1,$B78,K$1,$B$1)</f>
        <v>7.8864999999999998</v>
      </c>
      <c r="L78" s="55">
        <f>_xll.EQNXTDZ($A$1,$B78,L$1,$B$1)</f>
        <v>4.9074</v>
      </c>
      <c r="M78" s="55">
        <f>_xll.EQNXTDZ($A$1,$B78,M$1,$B$1)</f>
        <v>7.8395000000000001</v>
      </c>
      <c r="N78" s="55">
        <f>_xll.EQNXTDZ($A$1,$B78,N$1,$B$1)</f>
        <v>12.0482</v>
      </c>
      <c r="O78" s="55">
        <f>_xll.EQNXTDZ($A$1,$B78,O$1,$B$1)</f>
        <v>7.8563000000000001</v>
      </c>
      <c r="P78" s="55">
        <f>_xll.EQNXTDZ($A$1,$B78,P$1,$B$1)</f>
        <v>9.8574000000000002</v>
      </c>
      <c r="Q78" s="55">
        <f>_xll.EQNXTDZ($A$1,$B78,Q$1,$B$1)</f>
        <v>10.1624</v>
      </c>
      <c r="R78" s="55">
        <f>_xll.EQNXTDZ($A$1,$B78,R$1,$B$1)</f>
        <v>7.4734999999999996</v>
      </c>
      <c r="S78" s="55">
        <f>_xll.EQNXTDZ($A$1,$B78,S$1,$B$1)</f>
        <v>8.1606000000000005</v>
      </c>
      <c r="T78" s="55">
        <f>_xll.EQNXTDZ($A$1,$B78,T$1,$B$1)</f>
        <v>7.1341999999999999</v>
      </c>
      <c r="U78" s="55">
        <f>_xll.EQNXTDZ($A$1,$B78,U$1,$B$1)</f>
        <v>8.4517000000000007</v>
      </c>
      <c r="V78" s="55">
        <f>_xll.EQNXTDZ($A$1,$B78,V$1,$B$1)</f>
        <v>18.5977</v>
      </c>
      <c r="W78" s="55">
        <f>_xll.EQNXTDZ($A$1,$B78,W$1,$B$1)</f>
        <v>8.0375999999999994</v>
      </c>
      <c r="X78" s="55">
        <f>_xll.EQNXTDZ($A$1,$B78,X$1,$B$1)</f>
        <v>21.87</v>
      </c>
      <c r="Y78" s="55">
        <f>_xll.EQNXTDZ($A$1,$B78,Y$1,$B$1)</f>
        <v>264.54000000000002</v>
      </c>
      <c r="Z78" s="55">
        <f>_xll.EQNXTDZ($A$1,$B78,Z$1,$B$1)</f>
        <v>287.13</v>
      </c>
      <c r="AA78" s="55">
        <f>_xll.EQNXTDZ($A$1,$B78,AA$1,$B$1)</f>
        <v>740.87</v>
      </c>
      <c r="AB78" s="55">
        <f>_xll.EQNXTDZ($A$1,$B78,AB$1,$B$1)</f>
        <v>2702.93</v>
      </c>
      <c r="AC78" s="55">
        <f>_xll.EQNXTDZ($A$1,$B78,AC$1,$B$1)</f>
        <v>0</v>
      </c>
      <c r="AD78" s="55">
        <f>_xll.EQNXTDZ($A$1,$B78,AD$1,$B$1)</f>
        <v>0</v>
      </c>
      <c r="AE78" s="55">
        <f>_xll.EQNXTDZ($A$1,$B78,AE$1,$B$1)</f>
        <v>0</v>
      </c>
      <c r="AF78" s="55">
        <f>_xll.EQNXTDZ($A$1,$B78,AF$1,$B$1)</f>
        <v>0</v>
      </c>
    </row>
    <row r="79" spans="1:32" x14ac:dyDescent="0.25">
      <c r="A79" t="s">
        <v>63</v>
      </c>
      <c r="B79" t="s">
        <v>214</v>
      </c>
      <c r="C79" s="55">
        <f>_xll.EQNXTDZ($A$1,$B79,C$1,$B$1)</f>
        <v>2.1139999999999999</v>
      </c>
      <c r="D79" s="55">
        <f>_xll.EQNXTDZ($A$1,$B79,D$1,$B$1)</f>
        <v>1.7189000000000001</v>
      </c>
      <c r="E79" s="55">
        <f>_xll.EQNXTDZ($A$1,$B79,E$1,$B$1)</f>
        <v>1.5225</v>
      </c>
      <c r="F79" s="55">
        <f>_xll.EQNXTDZ($A$1,$B79,F$1,$B$1)</f>
        <v>0</v>
      </c>
      <c r="G79" s="55">
        <f>_xll.EQNXTDZ($A$1,$B79,G$1,$B$1)</f>
        <v>1.9055</v>
      </c>
      <c r="H79" s="55">
        <f>_xll.EQNXTDZ($A$1,$B79,H$1,$B$1)</f>
        <v>6.0342000000000002</v>
      </c>
      <c r="I79" s="55">
        <f>_xll.EQNXTDZ($A$1,$B79,I$1,$B$1)</f>
        <v>40.557899999999997</v>
      </c>
      <c r="J79" s="55">
        <f>_xll.EQNXTDZ($A$1,$B79,J$1,$B$1)</f>
        <v>44.141800000000003</v>
      </c>
      <c r="K79" s="55">
        <f>_xll.EQNXTDZ($A$1,$B79,K$1,$B$1)</f>
        <v>47.453899999999997</v>
      </c>
      <c r="L79" s="55">
        <f>_xll.EQNXTDZ($A$1,$B79,L$1,$B$1)</f>
        <v>42.642800000000001</v>
      </c>
      <c r="M79" s="55">
        <f>_xll.EQNXTDZ($A$1,$B79,M$1,$B$1)</f>
        <v>0</v>
      </c>
      <c r="N79" s="55">
        <f>_xll.EQNXTDZ($A$1,$B79,N$1,$B$1)</f>
        <v>0</v>
      </c>
      <c r="O79" s="55">
        <f>_xll.EQNXTDZ($A$1,$B79,O$1,$B$1)</f>
        <v>0</v>
      </c>
      <c r="P79" s="55">
        <f>_xll.EQNXTDZ($A$1,$B79,P$1,$B$1)</f>
        <v>0</v>
      </c>
      <c r="Q79" s="55">
        <f>_xll.EQNXTDZ($A$1,$B79,Q$1,$B$1)</f>
        <v>0</v>
      </c>
      <c r="R79" s="55">
        <f>_xll.EQNXTDZ($A$1,$B79,R$1,$B$1)</f>
        <v>0</v>
      </c>
      <c r="S79" s="55">
        <f>_xll.EQNXTDZ($A$1,$B79,S$1,$B$1)</f>
        <v>3.1593</v>
      </c>
      <c r="T79" s="55">
        <f>_xll.EQNXTDZ($A$1,$B79,T$1,$B$1)</f>
        <v>1.4882</v>
      </c>
      <c r="U79" s="55">
        <f>_xll.EQNXTDZ($A$1,$B79,U$1,$B$1)</f>
        <v>1.2816000000000001</v>
      </c>
      <c r="V79" s="55">
        <f>_xll.EQNXTDZ($A$1,$B79,V$1,$B$1)</f>
        <v>1.4510000000000001</v>
      </c>
      <c r="W79" s="55">
        <f>_xll.EQNXTDZ($A$1,$B79,W$1,$B$1)</f>
        <v>1.9957</v>
      </c>
      <c r="X79" s="55">
        <f>_xll.EQNXTDZ($A$1,$B79,X$1,$B$1)</f>
        <v>2.12</v>
      </c>
      <c r="Y79" s="55">
        <f>_xll.EQNXTDZ($A$1,$B79,Y$1,$B$1)</f>
        <v>10.87</v>
      </c>
      <c r="Z79" s="55">
        <f>_xll.EQNXTDZ($A$1,$B79,Z$1,$B$1)</f>
        <v>17.600000000000001</v>
      </c>
      <c r="AA79" s="55">
        <f>_xll.EQNXTDZ($A$1,$B79,AA$1,$B$1)</f>
        <v>81.88</v>
      </c>
      <c r="AB79" s="55">
        <f>_xll.EQNXTDZ($A$1,$B79,AB$1,$B$1)</f>
        <v>399.84</v>
      </c>
      <c r="AC79" s="55">
        <f>_xll.EQNXTDZ($A$1,$B79,AC$1,$B$1)</f>
        <v>0</v>
      </c>
      <c r="AD79" s="55">
        <f>_xll.EQNXTDZ($A$1,$B79,AD$1,$B$1)</f>
        <v>0</v>
      </c>
      <c r="AE79" s="55">
        <f>_xll.EQNXTDZ($A$1,$B79,AE$1,$B$1)</f>
        <v>0</v>
      </c>
      <c r="AF79" s="55">
        <f>_xll.EQNXTDZ($A$1,$B79,AF$1,$B$1)</f>
        <v>0</v>
      </c>
    </row>
    <row r="80" spans="1:32" x14ac:dyDescent="0.25">
      <c r="A80" t="s">
        <v>64</v>
      </c>
      <c r="B80" t="s">
        <v>215</v>
      </c>
      <c r="C80" s="55">
        <f>_xll.EQNXTDZ($A$1,$B80,C$1,$B$1)</f>
        <v>27.598199999999999</v>
      </c>
      <c r="D80" s="55">
        <f>_xll.EQNXTDZ($A$1,$B80,D$1,$B$1)</f>
        <v>56.652700000000003</v>
      </c>
      <c r="E80" s="55">
        <f>_xll.EQNXTDZ($A$1,$B80,E$1,$B$1)</f>
        <v>35.6145</v>
      </c>
      <c r="F80" s="55">
        <f>_xll.EQNXTDZ($A$1,$B80,F$1,$B$1)</f>
        <v>7.4645000000000001</v>
      </c>
      <c r="G80" s="55">
        <f>_xll.EQNXTDZ($A$1,$B80,G$1,$B$1)</f>
        <v>2.0663999999999998</v>
      </c>
      <c r="H80" s="55">
        <f>_xll.EQNXTDZ($A$1,$B80,H$1,$B$1)</f>
        <v>8.8848000000000003</v>
      </c>
      <c r="I80" s="55">
        <f>_xll.EQNXTDZ($A$1,$B80,I$1,$B$1)</f>
        <v>3.8092000000000001</v>
      </c>
      <c r="J80" s="55">
        <f>_xll.EQNXTDZ($A$1,$B80,J$1,$B$1)</f>
        <v>9.6519999999999992</v>
      </c>
      <c r="K80" s="55">
        <f>_xll.EQNXTDZ($A$1,$B80,K$1,$B$1)</f>
        <v>8.8373000000000008</v>
      </c>
      <c r="L80" s="55">
        <f>_xll.EQNXTDZ($A$1,$B80,L$1,$B$1)</f>
        <v>25.809899999999999</v>
      </c>
      <c r="M80" s="55">
        <f>_xll.EQNXTDZ($A$1,$B80,M$1,$B$1)</f>
        <v>45.828899999999997</v>
      </c>
      <c r="N80" s="55">
        <f>_xll.EQNXTDZ($A$1,$B80,N$1,$B$1)</f>
        <v>51.425699999999999</v>
      </c>
      <c r="O80" s="55">
        <f>_xll.EQNXTDZ($A$1,$B80,O$1,$B$1)</f>
        <v>42.302300000000002</v>
      </c>
      <c r="P80" s="55">
        <f>_xll.EQNXTDZ($A$1,$B80,P$1,$B$1)</f>
        <v>44.468400000000003</v>
      </c>
      <c r="Q80" s="55">
        <f>_xll.EQNXTDZ($A$1,$B80,Q$1,$B$1)</f>
        <v>50.762500000000003</v>
      </c>
      <c r="R80" s="55">
        <f>_xll.EQNXTDZ($A$1,$B80,R$1,$B$1)</f>
        <v>38.667000000000002</v>
      </c>
      <c r="S80" s="55">
        <f>_xll.EQNXTDZ($A$1,$B80,S$1,$B$1)</f>
        <v>44.980800000000002</v>
      </c>
      <c r="T80" s="55">
        <f>_xll.EQNXTDZ($A$1,$B80,T$1,$B$1)</f>
        <v>54.223700000000001</v>
      </c>
      <c r="U80" s="55">
        <f>_xll.EQNXTDZ($A$1,$B80,U$1,$B$1)</f>
        <v>89.283199999999994</v>
      </c>
      <c r="V80" s="55">
        <f>_xll.EQNXTDZ($A$1,$B80,V$1,$B$1)</f>
        <v>94.246499999999997</v>
      </c>
      <c r="W80" s="55">
        <f>_xll.EQNXTDZ($A$1,$B80,W$1,$B$1)</f>
        <v>121.619</v>
      </c>
      <c r="X80" s="55">
        <f>_xll.EQNXTDZ($A$1,$B80,X$1,$B$1)</f>
        <v>94.37</v>
      </c>
      <c r="Y80" s="55">
        <f>_xll.EQNXTDZ($A$1,$B80,Y$1,$B$1)</f>
        <v>315.55</v>
      </c>
      <c r="Z80" s="55">
        <f>_xll.EQNXTDZ($A$1,$B80,Z$1,$B$1)</f>
        <v>482.66</v>
      </c>
      <c r="AA80" s="55">
        <f>_xll.EQNXTDZ($A$1,$B80,AA$1,$B$1)</f>
        <v>1533.21</v>
      </c>
      <c r="AB80" s="55">
        <f>_xll.EQNXTDZ($A$1,$B80,AB$1,$B$1)</f>
        <v>4060.28</v>
      </c>
      <c r="AC80" s="55">
        <f>_xll.EQNXTDZ($A$1,$B80,AC$1,$B$1)</f>
        <v>0</v>
      </c>
      <c r="AD80" s="55">
        <f>_xll.EQNXTDZ($A$1,$B80,AD$1,$B$1)</f>
        <v>0</v>
      </c>
      <c r="AE80" s="55">
        <f>_xll.EQNXTDZ($A$1,$B80,AE$1,$B$1)</f>
        <v>0</v>
      </c>
      <c r="AF80" s="55">
        <f>_xll.EQNXTDZ($A$1,$B80,AF$1,$B$1)</f>
        <v>0</v>
      </c>
    </row>
    <row r="81" spans="1:32" x14ac:dyDescent="0.25">
      <c r="A81" t="s">
        <v>172</v>
      </c>
      <c r="B81" t="s">
        <v>216</v>
      </c>
      <c r="C81" s="55">
        <f>_xll.EQNXTDZ($A$1,$B81,C$1,$B$1)</f>
        <v>0</v>
      </c>
      <c r="D81" s="55">
        <f>_xll.EQNXTDZ($A$1,$B81,D$1,$B$1)</f>
        <v>0</v>
      </c>
      <c r="E81" s="55">
        <f>_xll.EQNXTDZ($A$1,$B81,E$1,$B$1)</f>
        <v>0</v>
      </c>
      <c r="F81" s="55">
        <f>_xll.EQNXTDZ($A$1,$B81,F$1,$B$1)</f>
        <v>0</v>
      </c>
      <c r="G81" s="55">
        <f>_xll.EQNXTDZ($A$1,$B81,G$1,$B$1)</f>
        <v>0</v>
      </c>
      <c r="H81" s="55">
        <f>_xll.EQNXTDZ($A$1,$B81,H$1,$B$1)</f>
        <v>0</v>
      </c>
      <c r="I81" s="55">
        <f>_xll.EQNXTDZ($A$1,$B81,I$1,$B$1)</f>
        <v>0</v>
      </c>
      <c r="J81" s="55">
        <f>_xll.EQNXTDZ($A$1,$B81,J$1,$B$1)</f>
        <v>0</v>
      </c>
      <c r="K81" s="55">
        <f>_xll.EQNXTDZ($A$1,$B81,K$1,$B$1)</f>
        <v>0</v>
      </c>
      <c r="L81" s="55">
        <f>_xll.EQNXTDZ($A$1,$B81,L$1,$B$1)</f>
        <v>0</v>
      </c>
      <c r="M81" s="55">
        <f>_xll.EQNXTDZ($A$1,$B81,M$1,$B$1)</f>
        <v>0</v>
      </c>
      <c r="N81" s="55">
        <f>_xll.EQNXTDZ($A$1,$B81,N$1,$B$1)</f>
        <v>0</v>
      </c>
      <c r="O81" s="55">
        <f>_xll.EQNXTDZ($A$1,$B81,O$1,$B$1)</f>
        <v>0</v>
      </c>
      <c r="P81" s="55">
        <f>_xll.EQNXTDZ($A$1,$B81,P$1,$B$1)</f>
        <v>0</v>
      </c>
      <c r="Q81" s="55">
        <f>_xll.EQNXTDZ($A$1,$B81,Q$1,$B$1)</f>
        <v>0</v>
      </c>
      <c r="R81" s="55">
        <f>_xll.EQNXTDZ($A$1,$B81,R$1,$B$1)</f>
        <v>0</v>
      </c>
      <c r="S81" s="55">
        <f>_xll.EQNXTDZ($A$1,$B81,S$1,$B$1)</f>
        <v>0</v>
      </c>
      <c r="T81" s="55">
        <f>_xll.EQNXTDZ($A$1,$B81,T$1,$B$1)</f>
        <v>0</v>
      </c>
      <c r="U81" s="55">
        <f>_xll.EQNXTDZ($A$1,$B81,U$1,$B$1)</f>
        <v>0</v>
      </c>
      <c r="V81" s="55">
        <f>_xll.EQNXTDZ($A$1,$B81,V$1,$B$1)</f>
        <v>0</v>
      </c>
      <c r="W81" s="55">
        <f>_xll.EQNXTDZ($A$1,$B81,W$1,$B$1)</f>
        <v>0</v>
      </c>
      <c r="X81" s="55">
        <f>_xll.EQNXTDZ($A$1,$B81,X$1,$B$1)</f>
        <v>0</v>
      </c>
      <c r="Y81" s="55">
        <f>_xll.EQNXTDZ($A$1,$B81,Y$1,$B$1)</f>
        <v>0</v>
      </c>
      <c r="Z81" s="55">
        <f>_xll.EQNXTDZ($A$1,$B81,Z$1,$B$1)</f>
        <v>0</v>
      </c>
      <c r="AA81" s="55">
        <f>_xll.EQNXTDZ($A$1,$B81,AA$1,$B$1)</f>
        <v>0</v>
      </c>
      <c r="AB81" s="55">
        <f>_xll.EQNXTDZ($A$1,$B81,AB$1,$B$1)</f>
        <v>0</v>
      </c>
      <c r="AC81" s="55">
        <f>_xll.EQNXTDZ($A$1,$B81,AC$1,$B$1)</f>
        <v>0</v>
      </c>
      <c r="AD81" s="55">
        <f>_xll.EQNXTDZ($A$1,$B81,AD$1,$B$1)</f>
        <v>0</v>
      </c>
      <c r="AE81" s="55">
        <f>_xll.EQNXTDZ($A$1,$B81,AE$1,$B$1)</f>
        <v>0</v>
      </c>
      <c r="AF81" s="55">
        <f>_xll.EQNXTDZ($A$1,$B81,AF$1,$B$1)</f>
        <v>0</v>
      </c>
    </row>
    <row r="82" spans="1:32" x14ac:dyDescent="0.25">
      <c r="A82" t="s">
        <v>173</v>
      </c>
      <c r="B82" t="s">
        <v>217</v>
      </c>
      <c r="C82" s="55">
        <f>_xll.EQNXTDZ($A$1,$B82,C$1,$B$1)</f>
        <v>87.188699999999997</v>
      </c>
      <c r="D82" s="55">
        <f>_xll.EQNXTDZ($A$1,$B82,D$1,$B$1)</f>
        <v>104.22450000000001</v>
      </c>
      <c r="E82" s="55">
        <f>_xll.EQNXTDZ($A$1,$B82,E$1,$B$1)</f>
        <v>103.7204</v>
      </c>
      <c r="F82" s="55">
        <f>_xll.EQNXTDZ($A$1,$B82,F$1,$B$1)</f>
        <v>109.38590000000001</v>
      </c>
      <c r="G82" s="55">
        <f>_xll.EQNXTDZ($A$1,$B82,G$1,$B$1)</f>
        <v>69.094700000000003</v>
      </c>
      <c r="H82" s="55">
        <f>_xll.EQNXTDZ($A$1,$B82,H$1,$B$1)</f>
        <v>79.905900000000003</v>
      </c>
      <c r="I82" s="55">
        <f>_xll.EQNXTDZ($A$1,$B82,I$1,$B$1)</f>
        <v>82.404799999999994</v>
      </c>
      <c r="J82" s="55">
        <f>_xll.EQNXTDZ($A$1,$B82,J$1,$B$1)</f>
        <v>105.8305</v>
      </c>
      <c r="K82" s="55">
        <f>_xll.EQNXTDZ($A$1,$B82,K$1,$B$1)</f>
        <v>194.37299999999999</v>
      </c>
      <c r="L82" s="55">
        <f>_xll.EQNXTDZ($A$1,$B82,L$1,$B$1)</f>
        <v>115.8083</v>
      </c>
      <c r="M82" s="55">
        <f>_xll.EQNXTDZ($A$1,$B82,M$1,$B$1)</f>
        <v>132.19749999999999</v>
      </c>
      <c r="N82" s="55">
        <f>_xll.EQNXTDZ($A$1,$B82,N$1,$B$1)</f>
        <v>191.65899999999999</v>
      </c>
      <c r="O82" s="55">
        <f>_xll.EQNXTDZ($A$1,$B82,O$1,$B$1)</f>
        <v>117.84690000000001</v>
      </c>
      <c r="P82" s="55">
        <f>_xll.EQNXTDZ($A$1,$B82,P$1,$B$1)</f>
        <v>124.3672</v>
      </c>
      <c r="Q82" s="55">
        <f>_xll.EQNXTDZ($A$1,$B82,Q$1,$B$1)</f>
        <v>114.063</v>
      </c>
      <c r="R82" s="55">
        <f>_xll.EQNXTDZ($A$1,$B82,R$1,$B$1)</f>
        <v>124.4025</v>
      </c>
      <c r="S82" s="55">
        <f>_xll.EQNXTDZ($A$1,$B82,S$1,$B$1)</f>
        <v>135.38419999999999</v>
      </c>
      <c r="T82" s="55">
        <f>_xll.EQNXTDZ($A$1,$B82,T$1,$B$1)</f>
        <v>146.24289999999999</v>
      </c>
      <c r="U82" s="55">
        <f>_xll.EQNXTDZ($A$1,$B82,U$1,$B$1)</f>
        <v>195.75710000000001</v>
      </c>
      <c r="V82" s="55">
        <f>_xll.EQNXTDZ($A$1,$B82,V$1,$B$1)</f>
        <v>206.29949999999999</v>
      </c>
      <c r="W82" s="55">
        <f>_xll.EQNXTDZ($A$1,$B82,W$1,$B$1)</f>
        <v>254.27350000000001</v>
      </c>
      <c r="X82" s="55">
        <f>_xll.EQNXTDZ($A$1,$B82,X$1,$B$1)</f>
        <v>308.94</v>
      </c>
      <c r="Y82" s="55">
        <f>_xll.EQNXTDZ($A$1,$B82,Y$1,$B$1)</f>
        <v>921.99</v>
      </c>
      <c r="Z82" s="55">
        <f>_xll.EQNXTDZ($A$1,$B82,Z$1,$B$1)</f>
        <v>1127.42</v>
      </c>
      <c r="AA82" s="55">
        <f>_xll.EQNXTDZ($A$1,$B82,AA$1,$B$1)</f>
        <v>3035.16</v>
      </c>
      <c r="AB82" s="55">
        <f>_xll.EQNXTDZ($A$1,$B82,AB$1,$B$1)</f>
        <v>11408.22</v>
      </c>
      <c r="AC82" s="55">
        <f>_xll.EQNXTDZ($A$1,$B82,AC$1,$B$1)</f>
        <v>0</v>
      </c>
      <c r="AD82" s="55">
        <f>_xll.EQNXTDZ($A$1,$B82,AD$1,$B$1)</f>
        <v>0</v>
      </c>
      <c r="AE82" s="55">
        <f>_xll.EQNXTDZ($A$1,$B82,AE$1,$B$1)</f>
        <v>0</v>
      </c>
      <c r="AF82" s="55">
        <f>_xll.EQNXTDZ($A$1,$B82,AF$1,$B$1)</f>
        <v>0</v>
      </c>
    </row>
    <row r="83" spans="1:32" x14ac:dyDescent="0.25">
      <c r="A83" t="s">
        <v>79</v>
      </c>
      <c r="B83" t="s">
        <v>218</v>
      </c>
      <c r="C83" s="55">
        <f>_xll.EQNXTDZ($A$1,$B83,C$1,$B$1)</f>
        <v>2.4895999999999998</v>
      </c>
      <c r="D83" s="55">
        <f>_xll.EQNXTDZ($A$1,$B83,D$1,$B$1)</f>
        <v>1.8115000000000001</v>
      </c>
      <c r="E83" s="55">
        <f>_xll.EQNXTDZ($A$1,$B83,E$1,$B$1)</f>
        <v>1.1342000000000001</v>
      </c>
      <c r="F83" s="55">
        <f>_xll.EQNXTDZ($A$1,$B83,F$1,$B$1)</f>
        <v>0.52959999999999996</v>
      </c>
      <c r="G83" s="55">
        <f>_xll.EQNXTDZ($A$1,$B83,G$1,$B$1)</f>
        <v>3.0800000000000001E-2</v>
      </c>
      <c r="H83" s="55">
        <f>_xll.EQNXTDZ($A$1,$B83,H$1,$B$1)</f>
        <v>0.22359999999999999</v>
      </c>
      <c r="I83" s="55">
        <f>_xll.EQNXTDZ($A$1,$B83,I$1,$B$1)</f>
        <v>0.42699999999999999</v>
      </c>
      <c r="J83" s="55">
        <f>_xll.EQNXTDZ($A$1,$B83,J$1,$B$1)</f>
        <v>0.45839999999999997</v>
      </c>
      <c r="K83" s="55">
        <f>_xll.EQNXTDZ($A$1,$B83,K$1,$B$1)</f>
        <v>0.46389999999999998</v>
      </c>
      <c r="L83" s="55">
        <f>_xll.EQNXTDZ($A$1,$B83,L$1,$B$1)</f>
        <v>0.46010000000000001</v>
      </c>
      <c r="M83" s="55">
        <f>_xll.EQNXTDZ($A$1,$B83,M$1,$B$1)</f>
        <v>0.46110000000000001</v>
      </c>
      <c r="N83" s="55">
        <f>_xll.EQNXTDZ($A$1,$B83,N$1,$B$1)</f>
        <v>0.46200000000000002</v>
      </c>
      <c r="O83" s="55">
        <f>_xll.EQNXTDZ($A$1,$B83,O$1,$B$1)</f>
        <v>0.46310000000000001</v>
      </c>
      <c r="P83" s="55">
        <f>_xll.EQNXTDZ($A$1,$B83,P$1,$B$1)</f>
        <v>0</v>
      </c>
      <c r="Q83" s="55">
        <f>_xll.EQNXTDZ($A$1,$B83,Q$1,$B$1)</f>
        <v>0</v>
      </c>
      <c r="R83" s="55">
        <f>_xll.EQNXTDZ($A$1,$B83,R$1,$B$1)</f>
        <v>0</v>
      </c>
      <c r="S83" s="55">
        <f>_xll.EQNXTDZ($A$1,$B83,S$1,$B$1)</f>
        <v>0</v>
      </c>
      <c r="T83" s="55">
        <f>_xll.EQNXTDZ($A$1,$B83,T$1,$B$1)</f>
        <v>0</v>
      </c>
      <c r="U83" s="55">
        <f>_xll.EQNXTDZ($A$1,$B83,U$1,$B$1)</f>
        <v>0</v>
      </c>
      <c r="V83" s="55">
        <f>_xll.EQNXTDZ($A$1,$B83,V$1,$B$1)</f>
        <v>0</v>
      </c>
      <c r="W83" s="55">
        <f>_xll.EQNXTDZ($A$1,$B83,W$1,$B$1)</f>
        <v>0</v>
      </c>
      <c r="X83" s="55">
        <f>_xll.EQNXTDZ($A$1,$B83,X$1,$B$1)</f>
        <v>0</v>
      </c>
      <c r="Y83" s="55">
        <f>_xll.EQNXTDZ($A$1,$B83,Y$1,$B$1)</f>
        <v>0</v>
      </c>
      <c r="Z83" s="55">
        <f>_xll.EQNXTDZ($A$1,$B83,Z$1,$B$1)</f>
        <v>0</v>
      </c>
      <c r="AA83" s="55">
        <f>_xll.EQNXTDZ($A$1,$B83,AA$1,$B$1)</f>
        <v>0</v>
      </c>
      <c r="AB83" s="55">
        <f>_xll.EQNXTDZ($A$1,$B83,AB$1,$B$1)</f>
        <v>0</v>
      </c>
      <c r="AC83" s="55">
        <f>_xll.EQNXTDZ($A$1,$B83,AC$1,$B$1)</f>
        <v>0</v>
      </c>
      <c r="AD83" s="55">
        <f>_xll.EQNXTDZ($A$1,$B83,AD$1,$B$1)</f>
        <v>0</v>
      </c>
      <c r="AE83" s="55">
        <f>_xll.EQNXTDZ($A$1,$B83,AE$1,$B$1)</f>
        <v>0</v>
      </c>
      <c r="AF83" s="55">
        <f>_xll.EQNXTDZ($A$1,$B83,AF$1,$B$1)</f>
        <v>0</v>
      </c>
    </row>
    <row r="84" spans="1:32" x14ac:dyDescent="0.25">
      <c r="A84" t="s">
        <v>174</v>
      </c>
      <c r="B84" t="s">
        <v>219</v>
      </c>
      <c r="C84" s="55">
        <f>_xll.EQNXTDZ($A$1,$B84,C$1,$B$1)</f>
        <v>442.26499999999999</v>
      </c>
      <c r="D84" s="55">
        <f>_xll.EQNXTDZ($A$1,$B84,D$1,$B$1)</f>
        <v>443.08539999999999</v>
      </c>
      <c r="E84" s="55">
        <f>_xll.EQNXTDZ($A$1,$B84,E$1,$B$1)</f>
        <v>424.95600000000002</v>
      </c>
      <c r="F84" s="55">
        <f>_xll.EQNXTDZ($A$1,$B84,F$1,$B$1)</f>
        <v>413.78359999999998</v>
      </c>
      <c r="G84" s="55">
        <f>_xll.EQNXTDZ($A$1,$B84,G$1,$B$1)</f>
        <v>254.11060000000001</v>
      </c>
      <c r="H84" s="55">
        <f>_xll.EQNXTDZ($A$1,$B84,H$1,$B$1)</f>
        <v>313.6977</v>
      </c>
      <c r="I84" s="55">
        <f>_xll.EQNXTDZ($A$1,$B84,I$1,$B$1)</f>
        <v>307.43029999999999</v>
      </c>
      <c r="J84" s="55">
        <f>_xll.EQNXTDZ($A$1,$B84,J$1,$B$1)</f>
        <v>307.3442</v>
      </c>
      <c r="K84" s="55">
        <f>_xll.EQNXTDZ($A$1,$B84,K$1,$B$1)</f>
        <v>458.98590000000002</v>
      </c>
      <c r="L84" s="55">
        <f>_xll.EQNXTDZ($A$1,$B84,L$1,$B$1)</f>
        <v>444.00850000000003</v>
      </c>
      <c r="M84" s="55">
        <f>_xll.EQNXTDZ($A$1,$B84,M$1,$B$1)</f>
        <v>510.40050000000002</v>
      </c>
      <c r="N84" s="55">
        <f>_xll.EQNXTDZ($A$1,$B84,N$1,$B$1)</f>
        <v>550.32629999999995</v>
      </c>
      <c r="O84" s="55">
        <f>_xll.EQNXTDZ($A$1,$B84,O$1,$B$1)</f>
        <v>457.2482</v>
      </c>
      <c r="P84" s="55">
        <f>_xll.EQNXTDZ($A$1,$B84,P$1,$B$1)</f>
        <v>442.83659999999998</v>
      </c>
      <c r="Q84" s="55">
        <f>_xll.EQNXTDZ($A$1,$B84,Q$1,$B$1)</f>
        <v>429.52789999999999</v>
      </c>
      <c r="R84" s="55">
        <f>_xll.EQNXTDZ($A$1,$B84,R$1,$B$1)</f>
        <v>463.26010000000002</v>
      </c>
      <c r="S84" s="55">
        <f>_xll.EQNXTDZ($A$1,$B84,S$1,$B$1)</f>
        <v>502.68490000000003</v>
      </c>
      <c r="T84" s="55">
        <f>_xll.EQNXTDZ($A$1,$B84,T$1,$B$1)</f>
        <v>556.11950000000002</v>
      </c>
      <c r="U84" s="55">
        <f>_xll.EQNXTDZ($A$1,$B84,U$1,$B$1)</f>
        <v>590.88969999999995</v>
      </c>
      <c r="V84" s="55">
        <f>_xll.EQNXTDZ($A$1,$B84,V$1,$B$1)</f>
        <v>623.37310000000002</v>
      </c>
      <c r="W84" s="55">
        <f>_xll.EQNXTDZ($A$1,$B84,W$1,$B$1)</f>
        <v>701.52030000000002</v>
      </c>
      <c r="X84" s="55">
        <f>_xll.EQNXTDZ($A$1,$B84,X$1,$B$1)</f>
        <v>795.49</v>
      </c>
      <c r="Y84" s="55">
        <f>_xll.EQNXTDZ($A$1,$B84,Y$1,$B$1)</f>
        <v>1888.65</v>
      </c>
      <c r="Z84" s="55">
        <f>_xll.EQNXTDZ($A$1,$B84,Z$1,$B$1)</f>
        <v>3937.5</v>
      </c>
      <c r="AA84" s="55">
        <f>_xll.EQNXTDZ($A$1,$B84,AA$1,$B$1)</f>
        <v>9598.86</v>
      </c>
      <c r="AB84" s="55">
        <f>_xll.EQNXTDZ($A$1,$B84,AB$1,$B$1)</f>
        <v>43234.19</v>
      </c>
      <c r="AC84" s="55">
        <f>_xll.EQNXTDZ($A$1,$B84,AC$1,$B$1)</f>
        <v>0</v>
      </c>
      <c r="AD84" s="55">
        <f>_xll.EQNXTDZ($A$1,$B84,AD$1,$B$1)</f>
        <v>0</v>
      </c>
      <c r="AE84" s="55">
        <f>_xll.EQNXTDZ($A$1,$B84,AE$1,$B$1)</f>
        <v>0</v>
      </c>
      <c r="AF84" s="55">
        <f>_xll.EQNXTDZ($A$1,$B84,AF$1,$B$1)</f>
        <v>0</v>
      </c>
    </row>
    <row r="85" spans="1:32" x14ac:dyDescent="0.25">
      <c r="A85" t="s">
        <v>81</v>
      </c>
      <c r="B85" t="s">
        <v>220</v>
      </c>
      <c r="C85" s="55">
        <f>_xll.EQNXTDZ($A$1,$B85,C$1,$B$1)</f>
        <v>91.451800000000006</v>
      </c>
      <c r="D85" s="55">
        <f>_xll.EQNXTDZ($A$1,$B85,D$1,$B$1)</f>
        <v>91.451800000000006</v>
      </c>
      <c r="E85" s="55">
        <f>_xll.EQNXTDZ($A$1,$B85,E$1,$B$1)</f>
        <v>42.0443</v>
      </c>
      <c r="F85" s="55">
        <f>_xll.EQNXTDZ($A$1,$B85,F$1,$B$1)</f>
        <v>21.226800000000001</v>
      </c>
      <c r="G85" s="55">
        <f>_xll.EQNXTDZ($A$1,$B85,G$1,$B$1)</f>
        <v>3.0409000000000002</v>
      </c>
      <c r="H85" s="55">
        <f>_xll.EQNXTDZ($A$1,$B85,H$1,$B$1)</f>
        <v>6.0858999999999996</v>
      </c>
      <c r="I85" s="55">
        <f>_xll.EQNXTDZ($A$1,$B85,I$1,$B$1)</f>
        <v>6.0990000000000002</v>
      </c>
      <c r="J85" s="55">
        <f>_xll.EQNXTDZ($A$1,$B85,J$1,$B$1)</f>
        <v>2.9632999999999998</v>
      </c>
      <c r="K85" s="55">
        <f>_xll.EQNXTDZ($A$1,$B85,K$1,$B$1)</f>
        <v>4.1718999999999999</v>
      </c>
      <c r="L85" s="55">
        <f>_xll.EQNXTDZ($A$1,$B85,L$1,$B$1)</f>
        <v>11.2639</v>
      </c>
      <c r="M85" s="55">
        <f>_xll.EQNXTDZ($A$1,$B85,M$1,$B$1)</f>
        <v>6.3430999999999997</v>
      </c>
      <c r="N85" s="55">
        <f>_xll.EQNXTDZ($A$1,$B85,N$1,$B$1)</f>
        <v>7.0590999999999999</v>
      </c>
      <c r="O85" s="55">
        <f>_xll.EQNXTDZ($A$1,$B85,O$1,$B$1)</f>
        <v>6.2409999999999997</v>
      </c>
      <c r="P85" s="55">
        <f>_xll.EQNXTDZ($A$1,$B85,P$1,$B$1)</f>
        <v>6.7183000000000002</v>
      </c>
      <c r="Q85" s="55">
        <f>_xll.EQNXTDZ($A$1,$B85,Q$1,$B$1)</f>
        <v>7.2291999999999996</v>
      </c>
      <c r="R85" s="55">
        <f>_xll.EQNXTDZ($A$1,$B85,R$1,$B$1)</f>
        <v>6.9673999999999996</v>
      </c>
      <c r="S85" s="55">
        <f>_xll.EQNXTDZ($A$1,$B85,S$1,$B$1)</f>
        <v>13.8459</v>
      </c>
      <c r="T85" s="55">
        <f>_xll.EQNXTDZ($A$1,$B85,T$1,$B$1)</f>
        <v>15.4331</v>
      </c>
      <c r="U85" s="55">
        <f>_xll.EQNXTDZ($A$1,$B85,U$1,$B$1)</f>
        <v>16.1996</v>
      </c>
      <c r="V85" s="55">
        <f>_xll.EQNXTDZ($A$1,$B85,V$1,$B$1)</f>
        <v>13.1991</v>
      </c>
      <c r="W85" s="55">
        <f>_xll.EQNXTDZ($A$1,$B85,W$1,$B$1)</f>
        <v>13.090299999999999</v>
      </c>
      <c r="X85" s="55">
        <f>_xll.EQNXTDZ($A$1,$B85,X$1,$B$1)</f>
        <v>65.66</v>
      </c>
      <c r="Y85" s="55">
        <f>_xll.EQNXTDZ($A$1,$B85,Y$1,$B$1)</f>
        <v>100.06</v>
      </c>
      <c r="Z85" s="55">
        <f>_xll.EQNXTDZ($A$1,$B85,Z$1,$B$1)</f>
        <v>101.08</v>
      </c>
      <c r="AA85" s="55">
        <f>_xll.EQNXTDZ($A$1,$B85,AA$1,$B$1)</f>
        <v>2005.59</v>
      </c>
      <c r="AB85" s="55">
        <f>_xll.EQNXTDZ($A$1,$B85,AB$1,$B$1)</f>
        <v>7233.81</v>
      </c>
      <c r="AC85" s="55">
        <f>_xll.EQNXTDZ($A$1,$B85,AC$1,$B$1)</f>
        <v>0</v>
      </c>
      <c r="AD85" s="55">
        <f>_xll.EQNXTDZ($A$1,$B85,AD$1,$B$1)</f>
        <v>0</v>
      </c>
      <c r="AE85" s="55">
        <f>_xll.EQNXTDZ($A$1,$B85,AE$1,$B$1)</f>
        <v>0</v>
      </c>
      <c r="AF85" s="55">
        <f>_xll.EQNXTDZ($A$1,$B85,AF$1,$B$1)</f>
        <v>0</v>
      </c>
    </row>
    <row r="86" spans="1:32" x14ac:dyDescent="0.25">
      <c r="A86" t="s">
        <v>239</v>
      </c>
      <c r="B86" t="s">
        <v>221</v>
      </c>
      <c r="C86" s="55">
        <f>_xll.EQNXTDZ($A$1,$B86,C$1,$B$1)</f>
        <v>0</v>
      </c>
      <c r="D86" s="55">
        <f>_xll.EQNXTDZ($A$1,$B86,D$1,$B$1)</f>
        <v>0</v>
      </c>
      <c r="E86" s="55">
        <f>_xll.EQNXTDZ($A$1,$B86,E$1,$B$1)</f>
        <v>0</v>
      </c>
      <c r="F86" s="55">
        <f>_xll.EQNXTDZ($A$1,$B86,F$1,$B$1)</f>
        <v>0</v>
      </c>
      <c r="G86" s="55">
        <f>_xll.EQNXTDZ($A$1,$B86,G$1,$B$1)</f>
        <v>0</v>
      </c>
      <c r="H86" s="55">
        <f>_xll.EQNXTDZ($A$1,$B86,H$1,$B$1)</f>
        <v>0</v>
      </c>
      <c r="I86" s="55">
        <f>_xll.EQNXTDZ($A$1,$B86,I$1,$B$1)</f>
        <v>0</v>
      </c>
      <c r="J86" s="55">
        <f>_xll.EQNXTDZ($A$1,$B86,J$1,$B$1)</f>
        <v>0</v>
      </c>
      <c r="K86" s="55">
        <f>_xll.EQNXTDZ($A$1,$B86,K$1,$B$1)</f>
        <v>0</v>
      </c>
      <c r="L86" s="55">
        <f>_xll.EQNXTDZ($A$1,$B86,L$1,$B$1)</f>
        <v>0</v>
      </c>
      <c r="M86" s="55">
        <f>_xll.EQNXTDZ($A$1,$B86,M$1,$B$1)</f>
        <v>0</v>
      </c>
      <c r="N86" s="55">
        <f>_xll.EQNXTDZ($A$1,$B86,N$1,$B$1)</f>
        <v>0</v>
      </c>
      <c r="O86" s="55">
        <f>_xll.EQNXTDZ($A$1,$B86,O$1,$B$1)</f>
        <v>0</v>
      </c>
      <c r="P86" s="55">
        <f>_xll.EQNXTDZ($A$1,$B86,P$1,$B$1)</f>
        <v>0</v>
      </c>
      <c r="Q86" s="55">
        <f>_xll.EQNXTDZ($A$1,$B86,Q$1,$B$1)</f>
        <v>0</v>
      </c>
      <c r="R86" s="55">
        <f>_xll.EQNXTDZ($A$1,$B86,R$1,$B$1)</f>
        <v>0</v>
      </c>
      <c r="S86" s="55">
        <f>_xll.EQNXTDZ($A$1,$B86,S$1,$B$1)</f>
        <v>0</v>
      </c>
      <c r="T86" s="55">
        <f>_xll.EQNXTDZ($A$1,$B86,T$1,$B$1)</f>
        <v>0</v>
      </c>
      <c r="U86" s="55">
        <f>_xll.EQNXTDZ($A$1,$B86,U$1,$B$1)</f>
        <v>0</v>
      </c>
      <c r="V86" s="55">
        <f>_xll.EQNXTDZ($A$1,$B86,V$1,$B$1)</f>
        <v>0</v>
      </c>
      <c r="W86" s="55">
        <f>_xll.EQNXTDZ($A$1,$B86,W$1,$B$1)</f>
        <v>0</v>
      </c>
      <c r="X86" s="55">
        <f>_xll.EQNXTDZ($A$1,$B86,X$1,$B$1)</f>
        <v>0</v>
      </c>
      <c r="Y86" s="55">
        <f>_xll.EQNXTDZ($A$1,$B86,Y$1,$B$1)</f>
        <v>0</v>
      </c>
      <c r="Z86" s="55">
        <f>_xll.EQNXTDZ($A$1,$B86,Z$1,$B$1)</f>
        <v>0</v>
      </c>
      <c r="AA86" s="55">
        <f>_xll.EQNXTDZ($A$1,$B86,AA$1,$B$1)</f>
        <v>0</v>
      </c>
      <c r="AB86" s="55">
        <f>_xll.EQNXTDZ($A$1,$B86,AB$1,$B$1)</f>
        <v>1695.1</v>
      </c>
      <c r="AC86" s="55">
        <f>_xll.EQNXTDZ($A$1,$B86,AC$1,$B$1)</f>
        <v>0</v>
      </c>
      <c r="AD86" s="55">
        <f>_xll.EQNXTDZ($A$1,$B86,AD$1,$B$1)</f>
        <v>0</v>
      </c>
      <c r="AE86" s="55">
        <f>_xll.EQNXTDZ($A$1,$B86,AE$1,$B$1)</f>
        <v>0</v>
      </c>
      <c r="AF86" s="55">
        <f>_xll.EQNXTDZ($A$1,$B86,AF$1,$B$1)</f>
        <v>0</v>
      </c>
    </row>
    <row r="87" spans="1:32" x14ac:dyDescent="0.25">
      <c r="A87" t="s">
        <v>227</v>
      </c>
      <c r="B87" t="s">
        <v>231</v>
      </c>
      <c r="C87" s="55">
        <f>_xll.EQNXTDZ($A$1,$B87,C$1,$B$1)</f>
        <v>0</v>
      </c>
      <c r="D87" s="55">
        <f>_xll.EQNXTDZ($A$1,$B87,D$1,$B$1)</f>
        <v>0</v>
      </c>
      <c r="E87" s="55">
        <f>_xll.EQNXTDZ($A$1,$B87,E$1,$B$1)</f>
        <v>0</v>
      </c>
      <c r="F87" s="55">
        <f>_xll.EQNXTDZ($A$1,$B87,F$1,$B$1)</f>
        <v>0</v>
      </c>
      <c r="G87" s="55">
        <f>_xll.EQNXTDZ($A$1,$B87,G$1,$B$1)</f>
        <v>0</v>
      </c>
      <c r="H87" s="55">
        <f>_xll.EQNXTDZ($A$1,$B87,H$1,$B$1)</f>
        <v>0</v>
      </c>
      <c r="I87" s="55">
        <f>_xll.EQNXTDZ($A$1,$B87,I$1,$B$1)</f>
        <v>0</v>
      </c>
      <c r="J87" s="55">
        <f>_xll.EQNXTDZ($A$1,$B87,J$1,$B$1)</f>
        <v>0</v>
      </c>
      <c r="K87" s="55">
        <f>_xll.EQNXTDZ($A$1,$B87,K$1,$B$1)</f>
        <v>0</v>
      </c>
      <c r="L87" s="55">
        <f>_xll.EQNXTDZ($A$1,$B87,L$1,$B$1)</f>
        <v>0</v>
      </c>
      <c r="M87" s="55">
        <f>_xll.EQNXTDZ($A$1,$B87,M$1,$B$1)</f>
        <v>0</v>
      </c>
      <c r="N87" s="55">
        <f>_xll.EQNXTDZ($A$1,$B87,N$1,$B$1)</f>
        <v>0</v>
      </c>
      <c r="O87" s="55">
        <f>_xll.EQNXTDZ($A$1,$B87,O$1,$B$1)</f>
        <v>0</v>
      </c>
      <c r="P87" s="55">
        <f>_xll.EQNXTDZ($A$1,$B87,P$1,$B$1)</f>
        <v>0</v>
      </c>
      <c r="Q87" s="55">
        <f>_xll.EQNXTDZ($A$1,$B87,Q$1,$B$1)</f>
        <v>0</v>
      </c>
      <c r="R87" s="55">
        <f>_xll.EQNXTDZ($A$1,$B87,R$1,$B$1)</f>
        <v>0</v>
      </c>
      <c r="S87" s="55">
        <f>_xll.EQNXTDZ($A$1,$B87,S$1,$B$1)</f>
        <v>0</v>
      </c>
      <c r="T87" s="55">
        <f>_xll.EQNXTDZ($A$1,$B87,T$1,$B$1)</f>
        <v>0</v>
      </c>
      <c r="U87" s="55">
        <f>_xll.EQNXTDZ($A$1,$B87,U$1,$B$1)</f>
        <v>0</v>
      </c>
      <c r="V87" s="55">
        <f>_xll.EQNXTDZ($A$1,$B87,V$1,$B$1)</f>
        <v>0</v>
      </c>
      <c r="W87" s="55">
        <f>_xll.EQNXTDZ($A$1,$B87,W$1,$B$1)</f>
        <v>19.7226</v>
      </c>
      <c r="X87" s="55">
        <f>_xll.EQNXTDZ($A$1,$B87,X$1,$B$1)</f>
        <v>18.88</v>
      </c>
      <c r="Y87" s="55">
        <f>_xll.EQNXTDZ($A$1,$B87,Y$1,$B$1)</f>
        <v>0</v>
      </c>
      <c r="Z87" s="55">
        <f>_xll.EQNXTDZ($A$1,$B87,Z$1,$B$1)</f>
        <v>0</v>
      </c>
      <c r="AA87" s="55">
        <f>_xll.EQNXTDZ($A$1,$B87,AA$1,$B$1)</f>
        <v>0</v>
      </c>
      <c r="AB87" s="55">
        <f>_xll.EQNXTDZ($A$1,$B87,AB$1,$B$1)</f>
        <v>0</v>
      </c>
      <c r="AC87" s="55">
        <f>_xll.EQNXTDZ($A$1,$B87,AC$1,$B$1)</f>
        <v>0</v>
      </c>
      <c r="AD87" s="55">
        <f>_xll.EQNXTDZ($A$1,$B87,AD$1,$B$1)</f>
        <v>0</v>
      </c>
      <c r="AE87" s="55">
        <f>_xll.EQNXTDZ($A$1,$B87,AE$1,$B$1)</f>
        <v>0</v>
      </c>
      <c r="AF87" s="55">
        <f>_xll.EQNXTDZ($A$1,$B87,AF$1,$B$1)</f>
        <v>0</v>
      </c>
    </row>
    <row r="88" spans="1:32" x14ac:dyDescent="0.25">
      <c r="A88" t="s">
        <v>228</v>
      </c>
      <c r="B88" t="s">
        <v>232</v>
      </c>
      <c r="C88" s="55">
        <f>_xll.EQNXTDZ($A$1,$B88,C$1,$B$1)</f>
        <v>0</v>
      </c>
      <c r="D88" s="55">
        <f>_xll.EQNXTDZ($A$1,$B88,D$1,$B$1)</f>
        <v>0</v>
      </c>
      <c r="E88" s="55">
        <f>_xll.EQNXTDZ($A$1,$B88,E$1,$B$1)</f>
        <v>0</v>
      </c>
      <c r="F88" s="55">
        <f>_xll.EQNXTDZ($A$1,$B88,F$1,$B$1)</f>
        <v>0</v>
      </c>
      <c r="G88" s="55">
        <f>_xll.EQNXTDZ($A$1,$B88,G$1,$B$1)</f>
        <v>0</v>
      </c>
      <c r="H88" s="55">
        <f>_xll.EQNXTDZ($A$1,$B88,H$1,$B$1)</f>
        <v>0</v>
      </c>
      <c r="I88" s="55">
        <f>_xll.EQNXTDZ($A$1,$B88,I$1,$B$1)</f>
        <v>0</v>
      </c>
      <c r="J88" s="55">
        <f>_xll.EQNXTDZ($A$1,$B88,J$1,$B$1)</f>
        <v>0</v>
      </c>
      <c r="K88" s="55">
        <f>_xll.EQNXTDZ($A$1,$B88,K$1,$B$1)</f>
        <v>0</v>
      </c>
      <c r="L88" s="55">
        <f>_xll.EQNXTDZ($A$1,$B88,L$1,$B$1)</f>
        <v>0</v>
      </c>
      <c r="M88" s="55">
        <f>_xll.EQNXTDZ($A$1,$B88,M$1,$B$1)</f>
        <v>5.6414</v>
      </c>
      <c r="N88" s="55">
        <f>_xll.EQNXTDZ($A$1,$B88,N$1,$B$1)</f>
        <v>5.6414</v>
      </c>
      <c r="O88" s="55">
        <f>_xll.EQNXTDZ($A$1,$B88,O$1,$B$1)</f>
        <v>5.6414</v>
      </c>
      <c r="P88" s="55">
        <f>_xll.EQNXTDZ($A$1,$B88,P$1,$B$1)</f>
        <v>5.7469000000000001</v>
      </c>
      <c r="Q88" s="55">
        <f>_xll.EQNXTDZ($A$1,$B88,Q$1,$B$1)</f>
        <v>5.3621999999999996</v>
      </c>
      <c r="R88" s="55">
        <f>_xll.EQNXTDZ($A$1,$B88,R$1,$B$1)</f>
        <v>0.21060000000000001</v>
      </c>
      <c r="S88" s="55">
        <f>_xll.EQNXTDZ($A$1,$B88,S$1,$B$1)</f>
        <v>0.21060000000000001</v>
      </c>
      <c r="T88" s="55">
        <f>_xll.EQNXTDZ($A$1,$B88,T$1,$B$1)</f>
        <v>0.32290000000000002</v>
      </c>
      <c r="U88" s="55">
        <f>_xll.EQNXTDZ($A$1,$B88,U$1,$B$1)</f>
        <v>7.2191999999999998</v>
      </c>
      <c r="V88" s="55">
        <f>_xll.EQNXTDZ($A$1,$B88,V$1,$B$1)</f>
        <v>21.687899999999999</v>
      </c>
      <c r="W88" s="55">
        <f>_xll.EQNXTDZ($A$1,$B88,W$1,$B$1)</f>
        <v>51.268999999999998</v>
      </c>
      <c r="X88" s="55">
        <f>_xll.EQNXTDZ($A$1,$B88,X$1,$B$1)</f>
        <v>19.82</v>
      </c>
      <c r="Y88" s="55">
        <f>_xll.EQNXTDZ($A$1,$B88,Y$1,$B$1)</f>
        <v>1.57</v>
      </c>
      <c r="Z88" s="55">
        <f>_xll.EQNXTDZ($A$1,$B88,Z$1,$B$1)</f>
        <v>0</v>
      </c>
      <c r="AA88" s="55">
        <f>_xll.EQNXTDZ($A$1,$B88,AA$1,$B$1)</f>
        <v>0</v>
      </c>
      <c r="AB88" s="55">
        <f>_xll.EQNXTDZ($A$1,$B88,AB$1,$B$1)</f>
        <v>4502.6000000000004</v>
      </c>
      <c r="AC88" s="55">
        <f>_xll.EQNXTDZ($A$1,$B88,AC$1,$B$1)</f>
        <v>0</v>
      </c>
      <c r="AD88" s="55">
        <f>_xll.EQNXTDZ($A$1,$B88,AD$1,$B$1)</f>
        <v>0</v>
      </c>
      <c r="AE88" s="55">
        <f>_xll.EQNXTDZ($A$1,$B88,AE$1,$B$1)</f>
        <v>0</v>
      </c>
      <c r="AF88" s="55">
        <f>_xll.EQNXTDZ($A$1,$B88,AF$1,$B$1)</f>
        <v>0</v>
      </c>
    </row>
    <row r="89" spans="1:32" x14ac:dyDescent="0.25">
      <c r="A89" t="s">
        <v>229</v>
      </c>
      <c r="B89" t="s">
        <v>233</v>
      </c>
      <c r="C89" s="55">
        <f>_xll.EQNXTDZ($A$1,$B89,C$1,$B$1)</f>
        <v>0</v>
      </c>
      <c r="D89" s="55">
        <f>_xll.EQNXTDZ($A$1,$B89,D$1,$B$1)</f>
        <v>0</v>
      </c>
      <c r="E89" s="55">
        <f>_xll.EQNXTDZ($A$1,$B89,E$1,$B$1)</f>
        <v>0</v>
      </c>
      <c r="F89" s="55">
        <f>_xll.EQNXTDZ($A$1,$B89,F$1,$B$1)</f>
        <v>0</v>
      </c>
      <c r="G89" s="55">
        <f>_xll.EQNXTDZ($A$1,$B89,G$1,$B$1)</f>
        <v>0</v>
      </c>
      <c r="H89" s="55">
        <f>_xll.EQNXTDZ($A$1,$B89,H$1,$B$1)</f>
        <v>0</v>
      </c>
      <c r="I89" s="55">
        <f>_xll.EQNXTDZ($A$1,$B89,I$1,$B$1)</f>
        <v>0</v>
      </c>
      <c r="J89" s="55">
        <f>_xll.EQNXTDZ($A$1,$B89,J$1,$B$1)</f>
        <v>0</v>
      </c>
      <c r="K89" s="55">
        <f>_xll.EQNXTDZ($A$1,$B89,K$1,$B$1)</f>
        <v>0</v>
      </c>
      <c r="L89" s="55">
        <f>_xll.EQNXTDZ($A$1,$B89,L$1,$B$1)</f>
        <v>0</v>
      </c>
      <c r="M89" s="55">
        <f>_xll.EQNXTDZ($A$1,$B89,M$1,$B$1)</f>
        <v>0</v>
      </c>
      <c r="N89" s="55">
        <f>_xll.EQNXTDZ($A$1,$B89,N$1,$B$1)</f>
        <v>0</v>
      </c>
      <c r="O89" s="55">
        <f>_xll.EQNXTDZ($A$1,$B89,O$1,$B$1)</f>
        <v>0</v>
      </c>
      <c r="P89" s="55">
        <f>_xll.EQNXTDZ($A$1,$B89,P$1,$B$1)</f>
        <v>0</v>
      </c>
      <c r="Q89" s="55">
        <f>_xll.EQNXTDZ($A$1,$B89,Q$1,$B$1)</f>
        <v>0</v>
      </c>
      <c r="R89" s="55">
        <f>_xll.EQNXTDZ($A$1,$B89,R$1,$B$1)</f>
        <v>0</v>
      </c>
      <c r="S89" s="55">
        <f>_xll.EQNXTDZ($A$1,$B89,S$1,$B$1)</f>
        <v>0</v>
      </c>
      <c r="T89" s="55">
        <f>_xll.EQNXTDZ($A$1,$B89,T$1,$B$1)</f>
        <v>0</v>
      </c>
      <c r="U89" s="55">
        <f>_xll.EQNXTDZ($A$1,$B89,U$1,$B$1)</f>
        <v>0</v>
      </c>
      <c r="V89" s="55">
        <f>_xll.EQNXTDZ($A$1,$B89,V$1,$B$1)</f>
        <v>0</v>
      </c>
      <c r="W89" s="55">
        <f>_xll.EQNXTDZ($A$1,$B89,W$1,$B$1)</f>
        <v>0</v>
      </c>
      <c r="X89" s="55">
        <f>_xll.EQNXTDZ($A$1,$B89,X$1,$B$1)</f>
        <v>0</v>
      </c>
      <c r="Y89" s="55">
        <f>_xll.EQNXTDZ($A$1,$B89,Y$1,$B$1)</f>
        <v>0</v>
      </c>
      <c r="Z89" s="55">
        <f>_xll.EQNXTDZ($A$1,$B89,Z$1,$B$1)</f>
        <v>0</v>
      </c>
      <c r="AA89" s="55">
        <f>_xll.EQNXTDZ($A$1,$B89,AA$1,$B$1)</f>
        <v>0</v>
      </c>
      <c r="AB89" s="55">
        <f>_xll.EQNXTDZ($A$1,$B89,AB$1,$B$1)</f>
        <v>0</v>
      </c>
      <c r="AC89" s="55">
        <f>_xll.EQNXTDZ($A$1,$B89,AC$1,$B$1)</f>
        <v>0</v>
      </c>
      <c r="AD89" s="55">
        <f>_xll.EQNXTDZ($A$1,$B89,AD$1,$B$1)</f>
        <v>0</v>
      </c>
      <c r="AE89" s="55">
        <f>_xll.EQNXTDZ($A$1,$B89,AE$1,$B$1)</f>
        <v>0</v>
      </c>
      <c r="AF89" s="55">
        <f>_xll.EQNXTDZ($A$1,$B89,AF$1,$B$1)</f>
        <v>0</v>
      </c>
    </row>
    <row r="90" spans="1:32" x14ac:dyDescent="0.25">
      <c r="A90" t="s">
        <v>230</v>
      </c>
      <c r="B90" t="s">
        <v>234</v>
      </c>
      <c r="C90" s="55">
        <f>_xll.EQNXTDZ($A$1,$B90,C$1,$B$1)</f>
        <v>0</v>
      </c>
      <c r="D90" s="55">
        <f>_xll.EQNXTDZ($A$1,$B90,D$1,$B$1)</f>
        <v>0</v>
      </c>
      <c r="E90" s="55">
        <f>_xll.EQNXTDZ($A$1,$B90,E$1,$B$1)</f>
        <v>0</v>
      </c>
      <c r="F90" s="55">
        <f>_xll.EQNXTDZ($A$1,$B90,F$1,$B$1)</f>
        <v>0</v>
      </c>
      <c r="G90" s="55">
        <f>_xll.EQNXTDZ($A$1,$B90,G$1,$B$1)</f>
        <v>0</v>
      </c>
      <c r="H90" s="55">
        <f>_xll.EQNXTDZ($A$1,$B90,H$1,$B$1)</f>
        <v>0</v>
      </c>
      <c r="I90" s="55">
        <f>_xll.EQNXTDZ($A$1,$B90,I$1,$B$1)</f>
        <v>0</v>
      </c>
      <c r="J90" s="55">
        <f>_xll.EQNXTDZ($A$1,$B90,J$1,$B$1)</f>
        <v>0</v>
      </c>
      <c r="K90" s="55">
        <f>_xll.EQNXTDZ($A$1,$B90,K$1,$B$1)</f>
        <v>0</v>
      </c>
      <c r="L90" s="55">
        <f>_xll.EQNXTDZ($A$1,$B90,L$1,$B$1)</f>
        <v>0</v>
      </c>
      <c r="M90" s="55">
        <f>_xll.EQNXTDZ($A$1,$B90,M$1,$B$1)</f>
        <v>0</v>
      </c>
      <c r="N90" s="55">
        <f>_xll.EQNXTDZ($A$1,$B90,N$1,$B$1)</f>
        <v>0</v>
      </c>
      <c r="O90" s="55">
        <f>_xll.EQNXTDZ($A$1,$B90,O$1,$B$1)</f>
        <v>0</v>
      </c>
      <c r="P90" s="55">
        <f>_xll.EQNXTDZ($A$1,$B90,P$1,$B$1)</f>
        <v>0</v>
      </c>
      <c r="Q90" s="55">
        <f>_xll.EQNXTDZ($A$1,$B90,Q$1,$B$1)</f>
        <v>0</v>
      </c>
      <c r="R90" s="55">
        <f>_xll.EQNXTDZ($A$1,$B90,R$1,$B$1)</f>
        <v>0</v>
      </c>
      <c r="S90" s="55">
        <f>_xll.EQNXTDZ($A$1,$B90,S$1,$B$1)</f>
        <v>0</v>
      </c>
      <c r="T90" s="55">
        <f>_xll.EQNXTDZ($A$1,$B90,T$1,$B$1)</f>
        <v>0</v>
      </c>
      <c r="U90" s="55">
        <f>_xll.EQNXTDZ($A$1,$B90,U$1,$B$1)</f>
        <v>0</v>
      </c>
      <c r="V90" s="55">
        <f>_xll.EQNXTDZ($A$1,$B90,V$1,$B$1)</f>
        <v>0</v>
      </c>
      <c r="W90" s="55">
        <f>_xll.EQNXTDZ($A$1,$B90,W$1,$B$1)</f>
        <v>0</v>
      </c>
      <c r="X90" s="55">
        <f>_xll.EQNXTDZ($A$1,$B90,X$1,$B$1)</f>
        <v>0</v>
      </c>
      <c r="Y90" s="55">
        <f>_xll.EQNXTDZ($A$1,$B90,Y$1,$B$1)</f>
        <v>0</v>
      </c>
      <c r="Z90" s="55">
        <f>_xll.EQNXTDZ($A$1,$B90,Z$1,$B$1)</f>
        <v>0</v>
      </c>
      <c r="AA90" s="55">
        <f>_xll.EQNXTDZ($A$1,$B90,AA$1,$B$1)</f>
        <v>0</v>
      </c>
      <c r="AB90" s="55">
        <f>_xll.EQNXTDZ($A$1,$B90,AB$1,$B$1)</f>
        <v>0</v>
      </c>
      <c r="AC90" s="55">
        <f>_xll.EQNXTDZ($A$1,$B90,AC$1,$B$1)</f>
        <v>0</v>
      </c>
      <c r="AD90" s="55">
        <f>_xll.EQNXTDZ($A$1,$B90,AD$1,$B$1)</f>
        <v>0</v>
      </c>
      <c r="AE90" s="55">
        <f>_xll.EQNXTDZ($A$1,$B90,AE$1,$B$1)</f>
        <v>0</v>
      </c>
      <c r="AF90" s="55">
        <f>_xll.EQNXTDZ($A$1,$B90,AF$1,$B$1)</f>
        <v>0</v>
      </c>
    </row>
    <row r="91" spans="1:32" x14ac:dyDescent="0.25">
      <c r="A91" t="s">
        <v>238</v>
      </c>
      <c r="B91" t="s">
        <v>235</v>
      </c>
      <c r="C91" s="55">
        <f>_xll.EQNXTDZ($A$1,$B91,C$1,$B$1)</f>
        <v>0</v>
      </c>
      <c r="D91" s="55">
        <f>_xll.EQNXTDZ($A$1,$B91,D$1,$B$1)</f>
        <v>0</v>
      </c>
      <c r="E91" s="55">
        <f>_xll.EQNXTDZ($A$1,$B91,E$1,$B$1)</f>
        <v>0</v>
      </c>
      <c r="F91" s="55">
        <f>_xll.EQNXTDZ($A$1,$B91,F$1,$B$1)</f>
        <v>0</v>
      </c>
      <c r="G91" s="55">
        <f>_xll.EQNXTDZ($A$1,$B91,G$1,$B$1)</f>
        <v>0</v>
      </c>
      <c r="H91" s="55">
        <f>_xll.EQNXTDZ($A$1,$B91,H$1,$B$1)</f>
        <v>0</v>
      </c>
      <c r="I91" s="55">
        <f>_xll.EQNXTDZ($A$1,$B91,I$1,$B$1)</f>
        <v>0</v>
      </c>
      <c r="J91" s="55">
        <f>_xll.EQNXTDZ($A$1,$B91,J$1,$B$1)</f>
        <v>0</v>
      </c>
      <c r="K91" s="55">
        <f>_xll.EQNXTDZ($A$1,$B91,K$1,$B$1)</f>
        <v>0</v>
      </c>
      <c r="L91" s="55">
        <f>_xll.EQNXTDZ($A$1,$B91,L$1,$B$1)</f>
        <v>0</v>
      </c>
      <c r="M91" s="55">
        <f>_xll.EQNXTDZ($A$1,$B91,M$1,$B$1)</f>
        <v>0</v>
      </c>
      <c r="N91" s="55">
        <f>_xll.EQNXTDZ($A$1,$B91,N$1,$B$1)</f>
        <v>0</v>
      </c>
      <c r="O91" s="55">
        <f>_xll.EQNXTDZ($A$1,$B91,O$1,$B$1)</f>
        <v>0</v>
      </c>
      <c r="P91" s="55">
        <f>_xll.EQNXTDZ($A$1,$B91,P$1,$B$1)</f>
        <v>0</v>
      </c>
      <c r="Q91" s="55">
        <f>_xll.EQNXTDZ($A$1,$B91,Q$1,$B$1)</f>
        <v>0</v>
      </c>
      <c r="R91" s="55">
        <f>_xll.EQNXTDZ($A$1,$B91,R$1,$B$1)</f>
        <v>0</v>
      </c>
      <c r="S91" s="55">
        <f>_xll.EQNXTDZ($A$1,$B91,S$1,$B$1)</f>
        <v>0</v>
      </c>
      <c r="T91" s="55">
        <f>_xll.EQNXTDZ($A$1,$B91,T$1,$B$1)</f>
        <v>0</v>
      </c>
      <c r="U91" s="55">
        <f>_xll.EQNXTDZ($A$1,$B91,U$1,$B$1)</f>
        <v>0</v>
      </c>
      <c r="V91" s="55">
        <f>_xll.EQNXTDZ($A$1,$B91,V$1,$B$1)</f>
        <v>0</v>
      </c>
      <c r="W91" s="55">
        <f>_xll.EQNXTDZ($A$1,$B91,W$1,$B$1)</f>
        <v>0</v>
      </c>
      <c r="X91" s="55">
        <f>_xll.EQNXTDZ($A$1,$B91,X$1,$B$1)</f>
        <v>0</v>
      </c>
      <c r="Y91" s="55">
        <f>_xll.EQNXTDZ($A$1,$B91,Y$1,$B$1)</f>
        <v>0</v>
      </c>
      <c r="Z91" s="55">
        <f>_xll.EQNXTDZ($A$1,$B91,Z$1,$B$1)</f>
        <v>0</v>
      </c>
      <c r="AA91" s="55">
        <f>_xll.EQNXTDZ($A$1,$B91,AA$1,$B$1)</f>
        <v>0</v>
      </c>
      <c r="AB91" s="55">
        <f>_xll.EQNXTDZ($A$1,$B91,AB$1,$B$1)</f>
        <v>1695.1</v>
      </c>
      <c r="AC91" s="55">
        <f>_xll.EQNXTDZ($A$1,$B91,AC$1,$B$1)</f>
        <v>0</v>
      </c>
      <c r="AD91" s="55">
        <f>_xll.EQNXTDZ($A$1,$B91,AD$1,$B$1)</f>
        <v>0</v>
      </c>
      <c r="AE91" s="55">
        <f>_xll.EQNXTDZ($A$1,$B91,AE$1,$B$1)</f>
        <v>0</v>
      </c>
      <c r="AF91" s="55">
        <f>_xll.EQNXTDZ($A$1,$B91,AF$1,$B$1)</f>
        <v>0</v>
      </c>
    </row>
    <row r="92" spans="1:32" x14ac:dyDescent="0.25">
      <c r="A92" t="s">
        <v>237</v>
      </c>
      <c r="B92" t="s">
        <v>236</v>
      </c>
      <c r="C92" s="55">
        <f>_xll.EQNXTDZ($A$1,$B92,C$1,$B$1)</f>
        <v>0</v>
      </c>
      <c r="D92" s="55">
        <f>_xll.EQNXTDZ($A$1,$B92,D$1,$B$1)</f>
        <v>0</v>
      </c>
      <c r="E92" s="55">
        <f>_xll.EQNXTDZ($A$1,$B92,E$1,$B$1)</f>
        <v>0</v>
      </c>
      <c r="F92" s="55">
        <f>_xll.EQNXTDZ($A$1,$B92,F$1,$B$1)</f>
        <v>0</v>
      </c>
      <c r="G92" s="55">
        <f>_xll.EQNXTDZ($A$1,$B92,G$1,$B$1)</f>
        <v>0</v>
      </c>
      <c r="H92" s="55">
        <f>_xll.EQNXTDZ($A$1,$B92,H$1,$B$1)</f>
        <v>0</v>
      </c>
      <c r="I92" s="55">
        <f>_xll.EQNXTDZ($A$1,$B92,I$1,$B$1)</f>
        <v>0</v>
      </c>
      <c r="J92" s="55">
        <f>_xll.EQNXTDZ($A$1,$B92,J$1,$B$1)</f>
        <v>0</v>
      </c>
      <c r="K92" s="55">
        <f>_xll.EQNXTDZ($A$1,$B92,K$1,$B$1)</f>
        <v>0</v>
      </c>
      <c r="L92" s="55">
        <f>_xll.EQNXTDZ($A$1,$B92,L$1,$B$1)</f>
        <v>0</v>
      </c>
      <c r="M92" s="55">
        <f>_xll.EQNXTDZ($A$1,$B92,M$1,$B$1)</f>
        <v>0</v>
      </c>
      <c r="N92" s="55">
        <f>_xll.EQNXTDZ($A$1,$B92,N$1,$B$1)</f>
        <v>0</v>
      </c>
      <c r="O92" s="55">
        <f>_xll.EQNXTDZ($A$1,$B92,O$1,$B$1)</f>
        <v>0</v>
      </c>
      <c r="P92" s="55">
        <f>_xll.EQNXTDZ($A$1,$B92,P$1,$B$1)</f>
        <v>0</v>
      </c>
      <c r="Q92" s="55">
        <f>_xll.EQNXTDZ($A$1,$B92,Q$1,$B$1)</f>
        <v>0</v>
      </c>
      <c r="R92" s="55">
        <f>_xll.EQNXTDZ($A$1,$B92,R$1,$B$1)</f>
        <v>0</v>
      </c>
      <c r="S92" s="55">
        <f>_xll.EQNXTDZ($A$1,$B92,S$1,$B$1)</f>
        <v>0</v>
      </c>
      <c r="T92" s="55">
        <f>_xll.EQNXTDZ($A$1,$B92,T$1,$B$1)</f>
        <v>0</v>
      </c>
      <c r="U92" s="55">
        <f>_xll.EQNXTDZ($A$1,$B92,U$1,$B$1)</f>
        <v>0</v>
      </c>
      <c r="V92" s="55">
        <f>_xll.EQNXTDZ($A$1,$B92,V$1,$B$1)</f>
        <v>0</v>
      </c>
      <c r="W92" s="55">
        <f>_xll.EQNXTDZ($A$1,$B92,W$1,$B$1)</f>
        <v>0</v>
      </c>
      <c r="X92" s="55">
        <f>_xll.EQNXTDZ($A$1,$B92,X$1,$B$1)</f>
        <v>0</v>
      </c>
      <c r="Y92" s="55">
        <f>_xll.EQNXTDZ($A$1,$B92,Y$1,$B$1)</f>
        <v>0</v>
      </c>
      <c r="Z92" s="55">
        <f>_xll.EQNXTDZ($A$1,$B92,Z$1,$B$1)</f>
        <v>0</v>
      </c>
      <c r="AA92" s="55">
        <f>_xll.EQNXTDZ($A$1,$B92,AA$1,$B$1)</f>
        <v>0</v>
      </c>
      <c r="AB92" s="55">
        <f>_xll.EQNXTDZ($A$1,$B92,AB$1,$B$1)</f>
        <v>0</v>
      </c>
      <c r="AC92" s="55">
        <f>_xll.EQNXTDZ($A$1,$B92,AC$1,$B$1)</f>
        <v>0</v>
      </c>
      <c r="AD92" s="55">
        <f>_xll.EQNXTDZ($A$1,$B92,AD$1,$B$1)</f>
        <v>0</v>
      </c>
      <c r="AE92" s="55">
        <f>_xll.EQNXTDZ($A$1,$B92,AE$1,$B$1)</f>
        <v>0</v>
      </c>
      <c r="AF92" s="55">
        <f>_xll.EQNXTDZ($A$1,$B92,AF$1,$B$1)</f>
        <v>0</v>
      </c>
    </row>
    <row r="93" spans="1:32" x14ac:dyDescent="0.25">
      <c r="A93" t="s">
        <v>83</v>
      </c>
      <c r="B93" t="s">
        <v>245</v>
      </c>
      <c r="C93" s="55">
        <f>_xll.EQNXTDZ($A$1,$B93,C$1,$B$1)</f>
        <v>8.0962999999999994</v>
      </c>
      <c r="D93" s="55">
        <f>_xll.EQNXTDZ($A$1,$B93,D$1,$B$1)</f>
        <v>22.150300000000001</v>
      </c>
      <c r="E93" s="55">
        <f>_xll.EQNXTDZ($A$1,$B93,E$1,$B$1)</f>
        <v>5.0511999999999997</v>
      </c>
      <c r="F93" s="55">
        <f>_xll.EQNXTDZ($A$1,$B93,F$1,$B$1)</f>
        <v>0.87170000000000003</v>
      </c>
      <c r="G93" s="55">
        <f>_xll.EQNXTDZ($A$1,$B93,G$1,$B$1)</f>
        <v>1.704</v>
      </c>
      <c r="H93" s="55">
        <f>_xll.EQNXTDZ($A$1,$B93,H$1,$B$1)</f>
        <v>4.8268000000000004</v>
      </c>
      <c r="I93" s="55">
        <f>_xll.EQNXTDZ($A$1,$B93,I$1,$B$1)</f>
        <v>4.8533999999999997</v>
      </c>
      <c r="J93" s="55">
        <f>_xll.EQNXTDZ($A$1,$B93,J$1,$B$1)</f>
        <v>1.7001999999999999</v>
      </c>
      <c r="K93" s="55">
        <f>_xll.EQNXTDZ($A$1,$B93,K$1,$B$1)</f>
        <v>0.39839999999999998</v>
      </c>
      <c r="L93" s="55">
        <f>_xll.EQNXTDZ($A$1,$B93,L$1,$B$1)</f>
        <v>0.38219999999999998</v>
      </c>
      <c r="M93" s="55">
        <f>_xll.EQNXTDZ($A$1,$B93,M$1,$B$1)</f>
        <v>2.4975000000000001</v>
      </c>
      <c r="N93" s="55">
        <f>_xll.EQNXTDZ($A$1,$B93,N$1,$B$1)</f>
        <v>2.4975000000000001</v>
      </c>
      <c r="O93" s="55">
        <f>_xll.EQNXTDZ($A$1,$B93,O$1,$B$1)</f>
        <v>1.4610000000000001</v>
      </c>
      <c r="P93" s="55">
        <f>_xll.EQNXTDZ($A$1,$B93,P$1,$B$1)</f>
        <v>1.4708000000000001</v>
      </c>
      <c r="Q93" s="55">
        <f>_xll.EQNXTDZ($A$1,$B93,Q$1,$B$1)</f>
        <v>1.6621999999999999</v>
      </c>
      <c r="R93" s="55">
        <f>_xll.EQNXTDZ($A$1,$B93,R$1,$B$1)</f>
        <v>1.9053</v>
      </c>
      <c r="S93" s="55">
        <f>_xll.EQNXTDZ($A$1,$B93,S$1,$B$1)</f>
        <v>7.8327</v>
      </c>
      <c r="T93" s="55">
        <f>_xll.EQNXTDZ($A$1,$B93,T$1,$B$1)</f>
        <v>7.7396000000000003</v>
      </c>
      <c r="U93" s="55">
        <f>_xll.EQNXTDZ($A$1,$B93,U$1,$B$1)</f>
        <v>7.3912000000000004</v>
      </c>
      <c r="V93" s="55">
        <f>_xll.EQNXTDZ($A$1,$B93,V$1,$B$1)</f>
        <v>7.3912000000000004</v>
      </c>
      <c r="W93" s="55">
        <f>_xll.EQNXTDZ($A$1,$B93,W$1,$B$1)</f>
        <v>7.5166000000000004</v>
      </c>
      <c r="X93" s="55">
        <f>_xll.EQNXTDZ($A$1,$B93,X$1,$B$1)</f>
        <v>52.1</v>
      </c>
      <c r="Y93" s="55">
        <f>_xll.EQNXTDZ($A$1,$B93,Y$1,$B$1)</f>
        <v>53.08</v>
      </c>
      <c r="Z93" s="55">
        <f>_xll.EQNXTDZ($A$1,$B93,Z$1,$B$1)</f>
        <v>51.79</v>
      </c>
      <c r="AA93" s="55">
        <f>_xll.EQNXTDZ($A$1,$B93,AA$1,$B$1)</f>
        <v>23.5</v>
      </c>
      <c r="AB93" s="55">
        <f>_xll.EQNXTDZ($A$1,$B93,AB$1,$B$1)</f>
        <v>264.27</v>
      </c>
      <c r="AC93" s="55">
        <f>_xll.EQNXTDZ($A$1,$B93,AC$1,$B$1)</f>
        <v>0</v>
      </c>
      <c r="AD93" s="55">
        <f>_xll.EQNXTDZ($A$1,$B93,AD$1,$B$1)</f>
        <v>0</v>
      </c>
      <c r="AE93" s="55">
        <f>_xll.EQNXTDZ($A$1,$B93,AE$1,$B$1)</f>
        <v>0</v>
      </c>
      <c r="AF93" s="55">
        <f>_xll.EQNXTDZ($A$1,$B93,AF$1,$B$1)</f>
        <v>0</v>
      </c>
    </row>
    <row r="94" spans="1:32" x14ac:dyDescent="0.25">
      <c r="A94" t="s">
        <v>240</v>
      </c>
      <c r="B94" t="s">
        <v>246</v>
      </c>
      <c r="C94" s="55">
        <f>_xll.EQNXTDZ($A$1,$B94,C$1,$B$1)</f>
        <v>0</v>
      </c>
      <c r="D94" s="55">
        <f>_xll.EQNXTDZ($A$1,$B94,D$1,$B$1)</f>
        <v>0</v>
      </c>
      <c r="E94" s="55">
        <f>_xll.EQNXTDZ($A$1,$B94,E$1,$B$1)</f>
        <v>0</v>
      </c>
      <c r="F94" s="55">
        <f>_xll.EQNXTDZ($A$1,$B94,F$1,$B$1)</f>
        <v>0</v>
      </c>
      <c r="G94" s="55">
        <f>_xll.EQNXTDZ($A$1,$B94,G$1,$B$1)</f>
        <v>0</v>
      </c>
      <c r="H94" s="55">
        <f>_xll.EQNXTDZ($A$1,$B94,H$1,$B$1)</f>
        <v>0</v>
      </c>
      <c r="I94" s="55">
        <f>_xll.EQNXTDZ($A$1,$B94,I$1,$B$1)</f>
        <v>0</v>
      </c>
      <c r="J94" s="55">
        <f>_xll.EQNXTDZ($A$1,$B94,J$1,$B$1)</f>
        <v>0</v>
      </c>
      <c r="K94" s="55">
        <f>_xll.EQNXTDZ($A$1,$B94,K$1,$B$1)</f>
        <v>0</v>
      </c>
      <c r="L94" s="55">
        <f>_xll.EQNXTDZ($A$1,$B94,L$1,$B$1)</f>
        <v>0</v>
      </c>
      <c r="M94" s="55">
        <f>_xll.EQNXTDZ($A$1,$B94,M$1,$B$1)</f>
        <v>0</v>
      </c>
      <c r="N94" s="55">
        <f>_xll.EQNXTDZ($A$1,$B94,N$1,$B$1)</f>
        <v>0</v>
      </c>
      <c r="O94" s="55">
        <f>_xll.EQNXTDZ($A$1,$B94,O$1,$B$1)</f>
        <v>0</v>
      </c>
      <c r="P94" s="55">
        <f>_xll.EQNXTDZ($A$1,$B94,P$1,$B$1)</f>
        <v>0</v>
      </c>
      <c r="Q94" s="55">
        <f>_xll.EQNXTDZ($A$1,$B94,Q$1,$B$1)</f>
        <v>0</v>
      </c>
      <c r="R94" s="55">
        <f>_xll.EQNXTDZ($A$1,$B94,R$1,$B$1)</f>
        <v>0</v>
      </c>
      <c r="S94" s="55">
        <f>_xll.EQNXTDZ($A$1,$B94,S$1,$B$1)</f>
        <v>0</v>
      </c>
      <c r="T94" s="55">
        <f>_xll.EQNXTDZ($A$1,$B94,T$1,$B$1)</f>
        <v>0</v>
      </c>
      <c r="U94" s="55">
        <f>_xll.EQNXTDZ($A$1,$B94,U$1,$B$1)</f>
        <v>0</v>
      </c>
      <c r="V94" s="55">
        <f>_xll.EQNXTDZ($A$1,$B94,V$1,$B$1)</f>
        <v>0</v>
      </c>
      <c r="W94" s="55">
        <f>_xll.EQNXTDZ($A$1,$B94,W$1,$B$1)</f>
        <v>0</v>
      </c>
      <c r="X94" s="55">
        <f>_xll.EQNXTDZ($A$1,$B94,X$1,$B$1)</f>
        <v>0</v>
      </c>
      <c r="Y94" s="55">
        <f>_xll.EQNXTDZ($A$1,$B94,Y$1,$B$1)</f>
        <v>0</v>
      </c>
      <c r="Z94" s="55">
        <f>_xll.EQNXTDZ($A$1,$B94,Z$1,$B$1)</f>
        <v>0</v>
      </c>
      <c r="AA94" s="55">
        <f>_xll.EQNXTDZ($A$1,$B94,AA$1,$B$1)</f>
        <v>0</v>
      </c>
      <c r="AB94" s="55">
        <f>_xll.EQNXTDZ($A$1,$B94,AB$1,$B$1)</f>
        <v>0</v>
      </c>
      <c r="AC94" s="55">
        <f>_xll.EQNXTDZ($A$1,$B94,AC$1,$B$1)</f>
        <v>0</v>
      </c>
      <c r="AD94" s="55">
        <f>_xll.EQNXTDZ($A$1,$B94,AD$1,$B$1)</f>
        <v>0</v>
      </c>
      <c r="AE94" s="55">
        <f>_xll.EQNXTDZ($A$1,$B94,AE$1,$B$1)</f>
        <v>0</v>
      </c>
      <c r="AF94" s="55">
        <f>_xll.EQNXTDZ($A$1,$B94,AF$1,$B$1)</f>
        <v>0</v>
      </c>
    </row>
    <row r="95" spans="1:32" x14ac:dyDescent="0.25">
      <c r="A95" t="s">
        <v>82</v>
      </c>
      <c r="B95" t="s">
        <v>247</v>
      </c>
      <c r="C95" s="55">
        <f>_xll.EQNXTDZ($A$1,$B95,C$1,$B$1)</f>
        <v>37.827500000000001</v>
      </c>
      <c r="D95" s="55">
        <f>_xll.EQNXTDZ($A$1,$B95,D$1,$B$1)</f>
        <v>37.827500000000001</v>
      </c>
      <c r="E95" s="55">
        <f>_xll.EQNXTDZ($A$1,$B95,E$1,$B$1)</f>
        <v>20.209599999999998</v>
      </c>
      <c r="F95" s="55">
        <f>_xll.EQNXTDZ($A$1,$B95,F$1,$B$1)</f>
        <v>3.5716000000000001</v>
      </c>
      <c r="G95" s="55">
        <f>_xll.EQNXTDZ($A$1,$B95,G$1,$B$1)</f>
        <v>1.3369</v>
      </c>
      <c r="H95" s="55">
        <f>_xll.EQNXTDZ($A$1,$B95,H$1,$B$1)</f>
        <v>1.2591000000000001</v>
      </c>
      <c r="I95" s="55">
        <f>_xll.EQNXTDZ($A$1,$B95,I$1,$B$1)</f>
        <v>1.2456</v>
      </c>
      <c r="J95" s="55">
        <f>_xll.EQNXTDZ($A$1,$B95,J$1,$B$1)</f>
        <v>1.2630999999999999</v>
      </c>
      <c r="K95" s="55">
        <f>_xll.EQNXTDZ($A$1,$B95,K$1,$B$1)</f>
        <v>3.7734999999999999</v>
      </c>
      <c r="L95" s="55">
        <f>_xll.EQNXTDZ($A$1,$B95,L$1,$B$1)</f>
        <v>4.1973000000000003</v>
      </c>
      <c r="M95" s="55">
        <f>_xll.EQNXTDZ($A$1,$B95,M$1,$B$1)</f>
        <v>3.8456000000000001</v>
      </c>
      <c r="N95" s="55">
        <f>_xll.EQNXTDZ($A$1,$B95,N$1,$B$1)</f>
        <v>4.5616000000000003</v>
      </c>
      <c r="O95" s="55">
        <f>_xll.EQNXTDZ($A$1,$B95,O$1,$B$1)</f>
        <v>4.78</v>
      </c>
      <c r="P95" s="55">
        <f>_xll.EQNXTDZ($A$1,$B95,P$1,$B$1)</f>
        <v>5.2474999999999996</v>
      </c>
      <c r="Q95" s="55">
        <f>_xll.EQNXTDZ($A$1,$B95,Q$1,$B$1)</f>
        <v>5.5670000000000002</v>
      </c>
      <c r="R95" s="55">
        <f>_xll.EQNXTDZ($A$1,$B95,R$1,$B$1)</f>
        <v>5.0621</v>
      </c>
      <c r="S95" s="55">
        <f>_xll.EQNXTDZ($A$1,$B95,S$1,$B$1)</f>
        <v>6.0132000000000003</v>
      </c>
      <c r="T95" s="55">
        <f>_xll.EQNXTDZ($A$1,$B95,T$1,$B$1)</f>
        <v>7.6935000000000002</v>
      </c>
      <c r="U95" s="55">
        <f>_xll.EQNXTDZ($A$1,$B95,U$1,$B$1)</f>
        <v>8.8084000000000007</v>
      </c>
      <c r="V95" s="55">
        <f>_xll.EQNXTDZ($A$1,$B95,V$1,$B$1)</f>
        <v>5.8079000000000001</v>
      </c>
      <c r="W95" s="55">
        <f>_xll.EQNXTDZ($A$1,$B95,W$1,$B$1)</f>
        <v>5.5736999999999997</v>
      </c>
      <c r="X95" s="55">
        <f>_xll.EQNXTDZ($A$1,$B95,X$1,$B$1)</f>
        <v>13.56</v>
      </c>
      <c r="Y95" s="55">
        <f>_xll.EQNXTDZ($A$1,$B95,Y$1,$B$1)</f>
        <v>46.98</v>
      </c>
      <c r="Z95" s="55">
        <f>_xll.EQNXTDZ($A$1,$B95,Z$1,$B$1)</f>
        <v>49.29</v>
      </c>
      <c r="AA95" s="55">
        <f>_xll.EQNXTDZ($A$1,$B95,AA$1,$B$1)</f>
        <v>1982.09</v>
      </c>
      <c r="AB95" s="55">
        <f>_xll.EQNXTDZ($A$1,$B95,AB$1,$B$1)</f>
        <v>6969.54</v>
      </c>
      <c r="AC95" s="55">
        <f>_xll.EQNXTDZ($A$1,$B95,AC$1,$B$1)</f>
        <v>0</v>
      </c>
      <c r="AD95" s="55">
        <f>_xll.EQNXTDZ($A$1,$B95,AD$1,$B$1)</f>
        <v>0</v>
      </c>
      <c r="AE95" s="55">
        <f>_xll.EQNXTDZ($A$1,$B95,AE$1,$B$1)</f>
        <v>0</v>
      </c>
      <c r="AF95" s="55">
        <f>_xll.EQNXTDZ($A$1,$B95,AF$1,$B$1)</f>
        <v>0</v>
      </c>
    </row>
    <row r="96" spans="1:32" x14ac:dyDescent="0.25">
      <c r="A96" t="s">
        <v>241</v>
      </c>
      <c r="B96" t="s">
        <v>248</v>
      </c>
      <c r="C96" s="55">
        <f>_xll.EQNXTDZ($A$1,$B96,C$1,$B$1)</f>
        <v>0</v>
      </c>
      <c r="D96" s="55">
        <f>_xll.EQNXTDZ($A$1,$B96,D$1,$B$1)</f>
        <v>0</v>
      </c>
      <c r="E96" s="55">
        <f>_xll.EQNXTDZ($A$1,$B96,E$1,$B$1)</f>
        <v>0</v>
      </c>
      <c r="F96" s="55">
        <f>_xll.EQNXTDZ($A$1,$B96,F$1,$B$1)</f>
        <v>0</v>
      </c>
      <c r="G96" s="55">
        <f>_xll.EQNXTDZ($A$1,$B96,G$1,$B$1)</f>
        <v>0</v>
      </c>
      <c r="H96" s="55">
        <f>_xll.EQNXTDZ($A$1,$B96,H$1,$B$1)</f>
        <v>0</v>
      </c>
      <c r="I96" s="55">
        <f>_xll.EQNXTDZ($A$1,$B96,I$1,$B$1)</f>
        <v>0</v>
      </c>
      <c r="J96" s="55">
        <f>_xll.EQNXTDZ($A$1,$B96,J$1,$B$1)</f>
        <v>0</v>
      </c>
      <c r="K96" s="55">
        <f>_xll.EQNXTDZ($A$1,$B96,K$1,$B$1)</f>
        <v>0</v>
      </c>
      <c r="L96" s="55">
        <f>_xll.EQNXTDZ($A$1,$B96,L$1,$B$1)</f>
        <v>0</v>
      </c>
      <c r="M96" s="55">
        <f>_xll.EQNXTDZ($A$1,$B96,M$1,$B$1)</f>
        <v>0</v>
      </c>
      <c r="N96" s="55">
        <f>_xll.EQNXTDZ($A$1,$B96,N$1,$B$1)</f>
        <v>0</v>
      </c>
      <c r="O96" s="55">
        <f>_xll.EQNXTDZ($A$1,$B96,O$1,$B$1)</f>
        <v>0</v>
      </c>
      <c r="P96" s="55">
        <f>_xll.EQNXTDZ($A$1,$B96,P$1,$B$1)</f>
        <v>0</v>
      </c>
      <c r="Q96" s="55">
        <f>_xll.EQNXTDZ($A$1,$B96,Q$1,$B$1)</f>
        <v>0</v>
      </c>
      <c r="R96" s="55">
        <f>_xll.EQNXTDZ($A$1,$B96,R$1,$B$1)</f>
        <v>0</v>
      </c>
      <c r="S96" s="55">
        <f>_xll.EQNXTDZ($A$1,$B96,S$1,$B$1)</f>
        <v>0</v>
      </c>
      <c r="T96" s="55">
        <f>_xll.EQNXTDZ($A$1,$B96,T$1,$B$1)</f>
        <v>0</v>
      </c>
      <c r="U96" s="55">
        <f>_xll.EQNXTDZ($A$1,$B96,U$1,$B$1)</f>
        <v>0</v>
      </c>
      <c r="V96" s="55">
        <f>_xll.EQNXTDZ($A$1,$B96,V$1,$B$1)</f>
        <v>0</v>
      </c>
      <c r="W96" s="55">
        <f>_xll.EQNXTDZ($A$1,$B96,W$1,$B$1)</f>
        <v>0</v>
      </c>
      <c r="X96" s="55">
        <f>_xll.EQNXTDZ($A$1,$B96,X$1,$B$1)</f>
        <v>0</v>
      </c>
      <c r="Y96" s="55">
        <f>_xll.EQNXTDZ($A$1,$B96,Y$1,$B$1)</f>
        <v>0</v>
      </c>
      <c r="Z96" s="55">
        <f>_xll.EQNXTDZ($A$1,$B96,Z$1,$B$1)</f>
        <v>0</v>
      </c>
      <c r="AA96" s="55">
        <f>_xll.EQNXTDZ($A$1,$B96,AA$1,$B$1)</f>
        <v>0</v>
      </c>
      <c r="AB96" s="55">
        <f>_xll.EQNXTDZ($A$1,$B96,AB$1,$B$1)</f>
        <v>0</v>
      </c>
      <c r="AC96" s="55">
        <f>_xll.EQNXTDZ($A$1,$B96,AC$1,$B$1)</f>
        <v>0</v>
      </c>
      <c r="AD96" s="55">
        <f>_xll.EQNXTDZ($A$1,$B96,AD$1,$B$1)</f>
        <v>0</v>
      </c>
      <c r="AE96" s="55">
        <f>_xll.EQNXTDZ($A$1,$B96,AE$1,$B$1)</f>
        <v>0</v>
      </c>
      <c r="AF96" s="55">
        <f>_xll.EQNXTDZ($A$1,$B96,AF$1,$B$1)</f>
        <v>0</v>
      </c>
    </row>
    <row r="97" spans="1:32" x14ac:dyDescent="0.25">
      <c r="A97" t="s">
        <v>242</v>
      </c>
      <c r="B97" t="s">
        <v>249</v>
      </c>
      <c r="C97" s="55">
        <f>_xll.EQNXTDZ($A$1,$B97,C$1,$B$1)</f>
        <v>19.986799999999999</v>
      </c>
      <c r="D97" s="55">
        <f>_xll.EQNXTDZ($A$1,$B97,D$1,$B$1)</f>
        <v>6.1905000000000001</v>
      </c>
      <c r="E97" s="55">
        <f>_xll.EQNXTDZ($A$1,$B97,E$1,$B$1)</f>
        <v>0</v>
      </c>
      <c r="F97" s="55">
        <f>_xll.EQNXTDZ($A$1,$B97,F$1,$B$1)</f>
        <v>0</v>
      </c>
      <c r="G97" s="55">
        <f>_xll.EQNXTDZ($A$1,$B97,G$1,$B$1)</f>
        <v>0</v>
      </c>
      <c r="H97" s="55">
        <f>_xll.EQNXTDZ($A$1,$B97,H$1,$B$1)</f>
        <v>0</v>
      </c>
      <c r="I97" s="55">
        <f>_xll.EQNXTDZ($A$1,$B97,I$1,$B$1)</f>
        <v>0</v>
      </c>
      <c r="J97" s="55">
        <f>_xll.EQNXTDZ($A$1,$B97,J$1,$B$1)</f>
        <v>0</v>
      </c>
      <c r="K97" s="55">
        <f>_xll.EQNXTDZ($A$1,$B97,K$1,$B$1)</f>
        <v>0</v>
      </c>
      <c r="L97" s="55">
        <f>_xll.EQNXTDZ($A$1,$B97,L$1,$B$1)</f>
        <v>6.6844000000000001</v>
      </c>
      <c r="M97" s="55">
        <f>_xll.EQNXTDZ($A$1,$B97,M$1,$B$1)</f>
        <v>0</v>
      </c>
      <c r="N97" s="55">
        <f>_xll.EQNXTDZ($A$1,$B97,N$1,$B$1)</f>
        <v>0</v>
      </c>
      <c r="O97" s="55">
        <f>_xll.EQNXTDZ($A$1,$B97,O$1,$B$1)</f>
        <v>0</v>
      </c>
      <c r="P97" s="55">
        <f>_xll.EQNXTDZ($A$1,$B97,P$1,$B$1)</f>
        <v>0</v>
      </c>
      <c r="Q97" s="55">
        <f>_xll.EQNXTDZ($A$1,$B97,Q$1,$B$1)</f>
        <v>0</v>
      </c>
      <c r="R97" s="55">
        <f>_xll.EQNXTDZ($A$1,$B97,R$1,$B$1)</f>
        <v>0</v>
      </c>
      <c r="S97" s="55">
        <f>_xll.EQNXTDZ($A$1,$B97,S$1,$B$1)</f>
        <v>0</v>
      </c>
      <c r="T97" s="55">
        <f>_xll.EQNXTDZ($A$1,$B97,T$1,$B$1)</f>
        <v>0</v>
      </c>
      <c r="U97" s="55">
        <f>_xll.EQNXTDZ($A$1,$B97,U$1,$B$1)</f>
        <v>0</v>
      </c>
      <c r="V97" s="55">
        <f>_xll.EQNXTDZ($A$1,$B97,V$1,$B$1)</f>
        <v>0</v>
      </c>
      <c r="W97" s="55">
        <f>_xll.EQNXTDZ($A$1,$B97,W$1,$B$1)</f>
        <v>0</v>
      </c>
      <c r="X97" s="55">
        <f>_xll.EQNXTDZ($A$1,$B97,X$1,$B$1)</f>
        <v>0</v>
      </c>
      <c r="Y97" s="55">
        <f>_xll.EQNXTDZ($A$1,$B97,Y$1,$B$1)</f>
        <v>0</v>
      </c>
      <c r="Z97" s="55">
        <f>_xll.EQNXTDZ($A$1,$B97,Z$1,$B$1)</f>
        <v>0</v>
      </c>
      <c r="AA97" s="55">
        <f>_xll.EQNXTDZ($A$1,$B97,AA$1,$B$1)</f>
        <v>0</v>
      </c>
      <c r="AB97" s="55">
        <f>_xll.EQNXTDZ($A$1,$B97,AB$1,$B$1)</f>
        <v>0</v>
      </c>
      <c r="AC97" s="55">
        <f>_xll.EQNXTDZ($A$1,$B97,AC$1,$B$1)</f>
        <v>0</v>
      </c>
      <c r="AD97" s="55">
        <f>_xll.EQNXTDZ($A$1,$B97,AD$1,$B$1)</f>
        <v>0</v>
      </c>
      <c r="AE97" s="55">
        <f>_xll.EQNXTDZ($A$1,$B97,AE$1,$B$1)</f>
        <v>0</v>
      </c>
      <c r="AF97" s="55">
        <f>_xll.EQNXTDZ($A$1,$B97,AF$1,$B$1)</f>
        <v>0</v>
      </c>
    </row>
    <row r="98" spans="1:32" x14ac:dyDescent="0.25">
      <c r="A98" t="s">
        <v>243</v>
      </c>
      <c r="B98" t="s">
        <v>250</v>
      </c>
      <c r="C98" s="55">
        <f>_xll.EQNXTDZ($A$1,$B98,C$1,$B$1)</f>
        <v>0.25769999999999998</v>
      </c>
      <c r="D98" s="55">
        <f>_xll.EQNXTDZ($A$1,$B98,D$1,$B$1)</f>
        <v>0</v>
      </c>
      <c r="E98" s="55">
        <f>_xll.EQNXTDZ($A$1,$B98,E$1,$B$1)</f>
        <v>0</v>
      </c>
      <c r="F98" s="55">
        <f>_xll.EQNXTDZ($A$1,$B98,F$1,$B$1)</f>
        <v>0</v>
      </c>
      <c r="G98" s="55">
        <f>_xll.EQNXTDZ($A$1,$B98,G$1,$B$1)</f>
        <v>0</v>
      </c>
      <c r="H98" s="55">
        <f>_xll.EQNXTDZ($A$1,$B98,H$1,$B$1)</f>
        <v>0</v>
      </c>
      <c r="I98" s="55">
        <f>_xll.EQNXTDZ($A$1,$B98,I$1,$B$1)</f>
        <v>0</v>
      </c>
      <c r="J98" s="55">
        <f>_xll.EQNXTDZ($A$1,$B98,J$1,$B$1)</f>
        <v>0</v>
      </c>
      <c r="K98" s="55">
        <f>_xll.EQNXTDZ($A$1,$B98,K$1,$B$1)</f>
        <v>0</v>
      </c>
      <c r="L98" s="55">
        <f>_xll.EQNXTDZ($A$1,$B98,L$1,$B$1)</f>
        <v>0</v>
      </c>
      <c r="M98" s="55">
        <f>_xll.EQNXTDZ($A$1,$B98,M$1,$B$1)</f>
        <v>0</v>
      </c>
      <c r="N98" s="55">
        <f>_xll.EQNXTDZ($A$1,$B98,N$1,$B$1)</f>
        <v>0</v>
      </c>
      <c r="O98" s="55">
        <f>_xll.EQNXTDZ($A$1,$B98,O$1,$B$1)</f>
        <v>0</v>
      </c>
      <c r="P98" s="55">
        <f>_xll.EQNXTDZ($A$1,$B98,P$1,$B$1)</f>
        <v>0</v>
      </c>
      <c r="Q98" s="55">
        <f>_xll.EQNXTDZ($A$1,$B98,Q$1,$B$1)</f>
        <v>0</v>
      </c>
      <c r="R98" s="55">
        <f>_xll.EQNXTDZ($A$1,$B98,R$1,$B$1)</f>
        <v>0</v>
      </c>
      <c r="S98" s="55">
        <f>_xll.EQNXTDZ($A$1,$B98,S$1,$B$1)</f>
        <v>0</v>
      </c>
      <c r="T98" s="55">
        <f>_xll.EQNXTDZ($A$1,$B98,T$1,$B$1)</f>
        <v>0</v>
      </c>
      <c r="U98" s="55">
        <f>_xll.EQNXTDZ($A$1,$B98,U$1,$B$1)</f>
        <v>0</v>
      </c>
      <c r="V98" s="55">
        <f>_xll.EQNXTDZ($A$1,$B98,V$1,$B$1)</f>
        <v>0</v>
      </c>
      <c r="W98" s="55">
        <f>_xll.EQNXTDZ($A$1,$B98,W$1,$B$1)</f>
        <v>0</v>
      </c>
      <c r="X98" s="55">
        <f>_xll.EQNXTDZ($A$1,$B98,X$1,$B$1)</f>
        <v>0</v>
      </c>
      <c r="Y98" s="55">
        <f>_xll.EQNXTDZ($A$1,$B98,Y$1,$B$1)</f>
        <v>0</v>
      </c>
      <c r="Z98" s="55">
        <f>_xll.EQNXTDZ($A$1,$B98,Z$1,$B$1)</f>
        <v>0</v>
      </c>
      <c r="AA98" s="55">
        <f>_xll.EQNXTDZ($A$1,$B98,AA$1,$B$1)</f>
        <v>0</v>
      </c>
      <c r="AB98" s="55">
        <f>_xll.EQNXTDZ($A$1,$B98,AB$1,$B$1)</f>
        <v>0</v>
      </c>
      <c r="AC98" s="55">
        <f>_xll.EQNXTDZ($A$1,$B98,AC$1,$B$1)</f>
        <v>0</v>
      </c>
      <c r="AD98" s="55">
        <f>_xll.EQNXTDZ($A$1,$B98,AD$1,$B$1)</f>
        <v>0</v>
      </c>
      <c r="AE98" s="55">
        <f>_xll.EQNXTDZ($A$1,$B98,AE$1,$B$1)</f>
        <v>0</v>
      </c>
      <c r="AF98" s="55">
        <f>_xll.EQNXTDZ($A$1,$B98,AF$1,$B$1)</f>
        <v>0</v>
      </c>
    </row>
    <row r="99" spans="1:32" x14ac:dyDescent="0.25">
      <c r="A99" t="s">
        <v>244</v>
      </c>
      <c r="B99" t="s">
        <v>251</v>
      </c>
      <c r="C99" s="55">
        <f>_xll.EQNXTDZ($A$1,$B99,C$1,$B$1)</f>
        <v>25.2835</v>
      </c>
      <c r="D99" s="55">
        <f>_xll.EQNXTDZ($A$1,$B99,D$1,$B$1)</f>
        <v>25.2835</v>
      </c>
      <c r="E99" s="55">
        <f>_xll.EQNXTDZ($A$1,$B99,E$1,$B$1)</f>
        <v>16.7835</v>
      </c>
      <c r="F99" s="55">
        <f>_xll.EQNXTDZ($A$1,$B99,F$1,$B$1)</f>
        <v>16.7835</v>
      </c>
      <c r="G99" s="55">
        <f>_xll.EQNXTDZ($A$1,$B99,G$1,$B$1)</f>
        <v>0</v>
      </c>
      <c r="H99" s="55">
        <f>_xll.EQNXTDZ($A$1,$B99,H$1,$B$1)</f>
        <v>0</v>
      </c>
      <c r="I99" s="55">
        <f>_xll.EQNXTDZ($A$1,$B99,I$1,$B$1)</f>
        <v>0</v>
      </c>
      <c r="J99" s="55">
        <f>_xll.EQNXTDZ($A$1,$B99,J$1,$B$1)</f>
        <v>0</v>
      </c>
      <c r="K99" s="55">
        <f>_xll.EQNXTDZ($A$1,$B99,K$1,$B$1)</f>
        <v>0</v>
      </c>
      <c r="L99" s="55">
        <f>_xll.EQNXTDZ($A$1,$B99,L$1,$B$1)</f>
        <v>0</v>
      </c>
      <c r="M99" s="55">
        <f>_xll.EQNXTDZ($A$1,$B99,M$1,$B$1)</f>
        <v>0</v>
      </c>
      <c r="N99" s="55">
        <f>_xll.EQNXTDZ($A$1,$B99,N$1,$B$1)</f>
        <v>0</v>
      </c>
      <c r="O99" s="55">
        <f>_xll.EQNXTDZ($A$1,$B99,O$1,$B$1)</f>
        <v>0</v>
      </c>
      <c r="P99" s="55">
        <f>_xll.EQNXTDZ($A$1,$B99,P$1,$B$1)</f>
        <v>0</v>
      </c>
      <c r="Q99" s="55">
        <f>_xll.EQNXTDZ($A$1,$B99,Q$1,$B$1)</f>
        <v>0</v>
      </c>
      <c r="R99" s="55">
        <f>_xll.EQNXTDZ($A$1,$B99,R$1,$B$1)</f>
        <v>0</v>
      </c>
      <c r="S99" s="55">
        <f>_xll.EQNXTDZ($A$1,$B99,S$1,$B$1)</f>
        <v>0</v>
      </c>
      <c r="T99" s="55">
        <f>_xll.EQNXTDZ($A$1,$B99,T$1,$B$1)</f>
        <v>0</v>
      </c>
      <c r="U99" s="55">
        <f>_xll.EQNXTDZ($A$1,$B99,U$1,$B$1)</f>
        <v>0</v>
      </c>
      <c r="V99" s="55">
        <f>_xll.EQNXTDZ($A$1,$B99,V$1,$B$1)</f>
        <v>0</v>
      </c>
      <c r="W99" s="55">
        <f>_xll.EQNXTDZ($A$1,$B99,W$1,$B$1)</f>
        <v>0</v>
      </c>
      <c r="X99" s="55">
        <f>_xll.EQNXTDZ($A$1,$B99,X$1,$B$1)</f>
        <v>0</v>
      </c>
      <c r="Y99" s="55">
        <f>_xll.EQNXTDZ($A$1,$B99,Y$1,$B$1)</f>
        <v>0</v>
      </c>
      <c r="Z99" s="55">
        <f>_xll.EQNXTDZ($A$1,$B99,Z$1,$B$1)</f>
        <v>0</v>
      </c>
      <c r="AA99" s="55">
        <f>_xll.EQNXTDZ($A$1,$B99,AA$1,$B$1)</f>
        <v>0</v>
      </c>
      <c r="AB99" s="55">
        <f>_xll.EQNXTDZ($A$1,$B99,AB$1,$B$1)</f>
        <v>0</v>
      </c>
      <c r="AC99" s="55">
        <f>_xll.EQNXTDZ($A$1,$B99,AC$1,$B$1)</f>
        <v>0</v>
      </c>
      <c r="AD99" s="55">
        <f>_xll.EQNXTDZ($A$1,$B99,AD$1,$B$1)</f>
        <v>0</v>
      </c>
      <c r="AE99" s="55">
        <f>_xll.EQNXTDZ($A$1,$B99,AE$1,$B$1)</f>
        <v>0</v>
      </c>
      <c r="AF99" s="55">
        <f>_xll.EQNXTDZ($A$1,$B99,AF$1,$B$1)</f>
        <v>0</v>
      </c>
    </row>
    <row r="100" spans="1:32" x14ac:dyDescent="0.25">
      <c r="C100" s="55"/>
    </row>
    <row r="101" spans="1:32" x14ac:dyDescent="0.25">
      <c r="C101" s="55"/>
    </row>
    <row r="102" spans="1:32" x14ac:dyDescent="0.25">
      <c r="C102" s="55"/>
    </row>
    <row r="103" spans="1:32" x14ac:dyDescent="0.25">
      <c r="A103" t="s">
        <v>110</v>
      </c>
      <c r="B103" t="s">
        <v>111</v>
      </c>
      <c r="C103" s="55"/>
    </row>
    <row r="104" spans="1:32" x14ac:dyDescent="0.25">
      <c r="A104" t="s">
        <v>314</v>
      </c>
      <c r="B104" t="s">
        <v>320</v>
      </c>
      <c r="C104" s="55">
        <f>_xll.EQNXTDZ($A$1,$B104,C$1,$B$1)</f>
        <v>16.258299999999998</v>
      </c>
      <c r="D104" s="55">
        <f>_xll.EQNXTDZ($A$1,$B104,D$1,$B$1)</f>
        <v>16.258299999999998</v>
      </c>
      <c r="E104" s="55">
        <f>_xll.EQNXTDZ($A$1,$B104,E$1,$B$1)</f>
        <v>16.258299999999998</v>
      </c>
      <c r="F104" s="55">
        <f>_xll.EQNXTDZ($A$1,$B104,F$1,$B$1)</f>
        <v>16.258299999999998</v>
      </c>
      <c r="G104" s="55">
        <f>_xll.EQNXTDZ($A$1,$B104,G$1,$B$1)</f>
        <v>16.258299999999998</v>
      </c>
      <c r="H104" s="55">
        <f>_xll.EQNXTDZ($A$1,$B104,H$1,$B$1)</f>
        <v>16.258299999999998</v>
      </c>
      <c r="I104" s="55">
        <f>_xll.EQNXTDZ($A$1,$B104,I$1,$B$1)</f>
        <v>21.258299999999998</v>
      </c>
      <c r="J104" s="55">
        <f>_xll.EQNXTDZ($A$1,$B104,J$1,$B$1)</f>
        <v>22.258299999999998</v>
      </c>
      <c r="K104" s="55">
        <f>_xll.EQNXTDZ($A$1,$B104,K$1,$B$1)</f>
        <v>22.258299999999998</v>
      </c>
      <c r="L104" s="55">
        <f>_xll.EQNXTDZ($A$1,$B104,L$1,$B$1)</f>
        <v>22.258299999999998</v>
      </c>
      <c r="M104" s="55">
        <f>_xll.EQNXTDZ($A$1,$B104,M$1,$B$1)</f>
        <v>22.258299999999998</v>
      </c>
      <c r="N104" s="55">
        <f>_xll.EQNXTDZ($A$1,$B104,N$1,$B$1)</f>
        <v>22.258299999999998</v>
      </c>
      <c r="O104" s="55">
        <f>_xll.EQNXTDZ($A$1,$B104,O$1,$B$1)</f>
        <v>22.258299999999998</v>
      </c>
      <c r="P104" s="55">
        <f>_xll.EQNXTDZ($A$1,$B104,P$1,$B$1)</f>
        <v>22.258299999999998</v>
      </c>
      <c r="Q104" s="55">
        <f>_xll.EQNXTDZ($A$1,$B104,Q$1,$B$1)</f>
        <v>22.258299999999998</v>
      </c>
      <c r="R104" s="55">
        <f>_xll.EQNXTDZ($A$1,$B104,R$1,$B$1)</f>
        <v>22.258299999999998</v>
      </c>
      <c r="S104" s="55">
        <f>_xll.EQNXTDZ($A$1,$B104,S$1,$B$1)</f>
        <v>22.258299999999998</v>
      </c>
      <c r="T104" s="55">
        <f>_xll.EQNXTDZ($A$1,$B104,T$1,$B$1)</f>
        <v>22.258299999999998</v>
      </c>
      <c r="U104" s="55">
        <f>_xll.EQNXTDZ($A$1,$B104,U$1,$B$1)</f>
        <v>22.258299999999998</v>
      </c>
      <c r="V104" s="55">
        <f>_xll.EQNXTDZ($A$1,$B104,V$1,$B$1)</f>
        <v>22.517900000000001</v>
      </c>
      <c r="W104" s="55">
        <f>_xll.EQNXTDZ($A$1,$B104,W$1,$B$1)</f>
        <v>25.175000000000001</v>
      </c>
      <c r="X104" s="55">
        <f>_xll.EQNXTDZ($A$1,$B104,X$1,$B$1)</f>
        <v>36.869999999999997</v>
      </c>
      <c r="Y104" s="55">
        <f>_xll.EQNXTDZ($A$1,$B104,Y$1,$B$1)</f>
        <v>50.48</v>
      </c>
      <c r="Z104" s="55">
        <f>_xll.EQNXTDZ($A$1,$B104,Z$1,$B$1)</f>
        <v>50.53</v>
      </c>
      <c r="AA104" s="55">
        <f>_xll.EQNXTDZ($A$1,$B104,AA$1,$B$1)</f>
        <v>52.32</v>
      </c>
      <c r="AB104" s="55">
        <f>_xll.EQNXTDZ($A$1,$B104,AB$1,$B$1)</f>
        <v>56.28</v>
      </c>
      <c r="AC104" s="55">
        <f>_xll.EQNXTDZ($A$1,$B104,AC$1,$B$1)</f>
        <v>0</v>
      </c>
      <c r="AD104" s="55">
        <f>_xll.EQNXTDZ($A$1,$B104,AD$1,$B$1)</f>
        <v>0</v>
      </c>
      <c r="AE104" s="55">
        <f>_xll.EQNXTDZ($A$1,$B104,AE$1,$B$1)</f>
        <v>0</v>
      </c>
      <c r="AF104" s="55">
        <f>_xll.EQNXTDZ($A$1,$B104,AF$1,$B$1)</f>
        <v>0</v>
      </c>
    </row>
    <row r="105" spans="1:32" x14ac:dyDescent="0.25">
      <c r="A105" t="s">
        <v>315</v>
      </c>
      <c r="B105" t="s">
        <v>321</v>
      </c>
      <c r="C105" s="55">
        <f>_xll.EQNXTDZ($A$1,$B105,C$1,$B$1)</f>
        <v>10</v>
      </c>
      <c r="D105" s="55">
        <f>_xll.EQNXTDZ($A$1,$B105,D$1,$B$1)</f>
        <v>10</v>
      </c>
      <c r="E105" s="55">
        <f>_xll.EQNXTDZ($A$1,$B105,E$1,$B$1)</f>
        <v>10</v>
      </c>
      <c r="F105" s="55">
        <f>_xll.EQNXTDZ($A$1,$B105,F$1,$B$1)</f>
        <v>10</v>
      </c>
      <c r="G105" s="55">
        <f>_xll.EQNXTDZ($A$1,$B105,G$1,$B$1)</f>
        <v>10</v>
      </c>
      <c r="H105" s="55">
        <f>_xll.EQNXTDZ($A$1,$B105,H$1,$B$1)</f>
        <v>10</v>
      </c>
      <c r="I105" s="55">
        <f>_xll.EQNXTDZ($A$1,$B105,I$1,$B$1)</f>
        <v>10</v>
      </c>
      <c r="J105" s="55">
        <f>_xll.EQNXTDZ($A$1,$B105,J$1,$B$1)</f>
        <v>2</v>
      </c>
      <c r="K105" s="55">
        <f>_xll.EQNXTDZ($A$1,$B105,K$1,$B$1)</f>
        <v>2</v>
      </c>
      <c r="L105" s="55">
        <f>_xll.EQNXTDZ($A$1,$B105,L$1,$B$1)</f>
        <v>2</v>
      </c>
      <c r="M105" s="55">
        <f>_xll.EQNXTDZ($A$1,$B105,M$1,$B$1)</f>
        <v>2</v>
      </c>
      <c r="N105" s="55">
        <f>_xll.EQNXTDZ($A$1,$B105,N$1,$B$1)</f>
        <v>2</v>
      </c>
      <c r="O105" s="55">
        <f>_xll.EQNXTDZ($A$1,$B105,O$1,$B$1)</f>
        <v>2</v>
      </c>
      <c r="P105" s="55">
        <f>_xll.EQNXTDZ($A$1,$B105,P$1,$B$1)</f>
        <v>2</v>
      </c>
      <c r="Q105" s="55">
        <f>_xll.EQNXTDZ($A$1,$B105,Q$1,$B$1)</f>
        <v>2</v>
      </c>
      <c r="R105" s="55">
        <f>_xll.EQNXTDZ($A$1,$B105,R$1,$B$1)</f>
        <v>2</v>
      </c>
      <c r="S105" s="55">
        <f>_xll.EQNXTDZ($A$1,$B105,S$1,$B$1)</f>
        <v>1</v>
      </c>
      <c r="T105" s="55">
        <f>_xll.EQNXTDZ($A$1,$B105,T$1,$B$1)</f>
        <v>1</v>
      </c>
      <c r="U105" s="55">
        <f>_xll.EQNXTDZ($A$1,$B105,U$1,$B$1)</f>
        <v>1</v>
      </c>
      <c r="V105" s="55">
        <f>_xll.EQNXTDZ($A$1,$B105,V$1,$B$1)</f>
        <v>1</v>
      </c>
      <c r="W105" s="55">
        <f>_xll.EQNXTDZ($A$1,$B105,W$1,$B$1)</f>
        <v>1</v>
      </c>
      <c r="X105" s="55">
        <f>_xll.EQNXTDZ($A$1,$B105,X$1,$B$1)</f>
        <v>1</v>
      </c>
      <c r="Y105" s="55">
        <f>_xll.EQNXTDZ($A$1,$B105,Y$1,$B$1)</f>
        <v>1</v>
      </c>
      <c r="Z105" s="55">
        <f>_xll.EQNXTDZ($A$1,$B105,Z$1,$B$1)</f>
        <v>1</v>
      </c>
      <c r="AA105" s="55">
        <f>_xll.EQNXTDZ($A$1,$B105,AA$1,$B$1)</f>
        <v>1</v>
      </c>
      <c r="AB105" s="55">
        <f>_xll.EQNXTDZ($A$1,$B105,AB$1,$B$1)</f>
        <v>1</v>
      </c>
      <c r="AC105" s="55">
        <f>_xll.EQNXTDZ($A$1,$B105,AC$1,$B$1)</f>
        <v>0</v>
      </c>
      <c r="AD105" s="55">
        <f>_xll.EQNXTDZ($A$1,$B105,AD$1,$B$1)</f>
        <v>0</v>
      </c>
      <c r="AE105" s="55">
        <f>_xll.EQNXTDZ($A$1,$B105,AE$1,$B$1)</f>
        <v>0</v>
      </c>
      <c r="AF105" s="55">
        <f>_xll.EQNXTDZ($A$1,$B105,AF$1,$B$1)</f>
        <v>0</v>
      </c>
    </row>
    <row r="106" spans="1:32" x14ac:dyDescent="0.25">
      <c r="A106" t="s">
        <v>316</v>
      </c>
      <c r="B106" t="s">
        <v>322</v>
      </c>
      <c r="C106" s="55">
        <f>_xll.EQNXTDZ($A$1,$B106,C$1,$B$1)</f>
        <v>0.41</v>
      </c>
      <c r="D106" s="55">
        <f>_xll.EQNXTDZ($A$1,$B106,D$1,$B$1)</f>
        <v>0.1</v>
      </c>
      <c r="E106" s="55">
        <f>_xll.EQNXTDZ($A$1,$B106,E$1,$B$1)</f>
        <v>0.155</v>
      </c>
      <c r="F106" s="55">
        <f>_xll.EQNXTDZ($A$1,$B106,F$1,$B$1)</f>
        <v>0.83899999999999997</v>
      </c>
      <c r="G106" s="55">
        <f>_xll.EQNXTDZ($A$1,$B106,G$1,$B$1)</f>
        <v>4.5350000000000001</v>
      </c>
      <c r="H106" s="55">
        <f>_xll.EQNXTDZ($A$1,$B106,H$1,$B$1)</f>
        <v>3.95</v>
      </c>
      <c r="I106" s="55">
        <f>_xll.EQNXTDZ($A$1,$B106,I$1,$B$1)</f>
        <v>2.5350000000000001</v>
      </c>
      <c r="J106" s="55">
        <f>_xll.EQNXTDZ($A$1,$B106,J$1,$B$1)</f>
        <v>37.700000000000003</v>
      </c>
      <c r="K106" s="55">
        <f>_xll.EQNXTDZ($A$1,$B106,K$1,$B$1)</f>
        <v>10.199999999999999</v>
      </c>
      <c r="L106" s="55">
        <f>_xll.EQNXTDZ($A$1,$B106,L$1,$B$1)</f>
        <v>14.8</v>
      </c>
      <c r="M106" s="55">
        <f>_xll.EQNXTDZ($A$1,$B106,M$1,$B$1)</f>
        <v>21.375</v>
      </c>
      <c r="N106" s="55">
        <f>_xll.EQNXTDZ($A$1,$B106,N$1,$B$1)</f>
        <v>12.8</v>
      </c>
      <c r="O106" s="55">
        <f>_xll.EQNXTDZ($A$1,$B106,O$1,$B$1)</f>
        <v>5.99</v>
      </c>
      <c r="P106" s="55">
        <f>_xll.EQNXTDZ($A$1,$B106,P$1,$B$1)</f>
        <v>3.9550000000000001</v>
      </c>
      <c r="Q106" s="55">
        <f>_xll.EQNXTDZ($A$1,$B106,Q$1,$B$1)</f>
        <v>3.1949999999999998</v>
      </c>
      <c r="R106" s="55">
        <f>_xll.EQNXTDZ($A$1,$B106,R$1,$B$1)</f>
        <v>10.1</v>
      </c>
      <c r="S106" s="55">
        <f>_xll.EQNXTDZ($A$1,$B106,S$1,$B$1)</f>
        <v>15.3</v>
      </c>
      <c r="T106" s="55">
        <f>_xll.EQNXTDZ($A$1,$B106,T$1,$B$1)</f>
        <v>15.3</v>
      </c>
      <c r="U106" s="55">
        <f>_xll.EQNXTDZ($A$1,$B106,U$1,$B$1)</f>
        <v>12.46</v>
      </c>
      <c r="V106" s="55">
        <f>_xll.EQNXTDZ($A$1,$B106,V$1,$B$1)</f>
        <v>5.76</v>
      </c>
      <c r="W106" s="55">
        <f>_xll.EQNXTDZ($A$1,$B106,W$1,$B$1)</f>
        <v>11</v>
      </c>
      <c r="X106" s="55">
        <f>_xll.EQNXTDZ($A$1,$B106,X$1,$B$1)</f>
        <v>132.65</v>
      </c>
      <c r="Y106" s="55">
        <f>_xll.EQNXTDZ($A$1,$B106,Y$1,$B$1)</f>
        <v>284.7</v>
      </c>
      <c r="Z106" s="55">
        <f>_xll.EQNXTDZ($A$1,$B106,Z$1,$B$1)</f>
        <v>602.95000000000005</v>
      </c>
      <c r="AA106" s="55">
        <f>_xll.EQNXTDZ($A$1,$B106,AA$1,$B$1)</f>
        <v>1285.5</v>
      </c>
      <c r="AB106" s="55">
        <f>_xll.EQNXTDZ($A$1,$B106,AB$1,$B$1)</f>
        <v>1270.7</v>
      </c>
      <c r="AC106" s="55">
        <f>_xll.EQNXTDZ($A$1,$B106,AC$1,$B$1)</f>
        <v>0</v>
      </c>
      <c r="AD106" s="55">
        <f>_xll.EQNXTDZ($A$1,$B106,AD$1,$B$1)</f>
        <v>0</v>
      </c>
      <c r="AE106" s="55">
        <f>_xll.EQNXTDZ($A$1,$B106,AE$1,$B$1)</f>
        <v>0</v>
      </c>
      <c r="AF106" s="55">
        <f>_xll.EQNXTDZ($A$1,$B106,AF$1,$B$1)</f>
        <v>0</v>
      </c>
    </row>
    <row r="107" spans="1:32" x14ac:dyDescent="0.25">
      <c r="A107" t="s">
        <v>317</v>
      </c>
      <c r="B107" t="s">
        <v>323</v>
      </c>
      <c r="C107" s="55">
        <f>_xll.EQNXTDZ($A$1,$B107,C$1,$B$1)</f>
        <v>1.1299999999999999</v>
      </c>
      <c r="D107" s="55">
        <f>_xll.EQNXTDZ($A$1,$B107,D$1,$B$1)</f>
        <v>0.35</v>
      </c>
      <c r="E107" s="55">
        <f>_xll.EQNXTDZ($A$1,$B107,E$1,$B$1)</f>
        <v>0.90500000000000003</v>
      </c>
      <c r="F107" s="55">
        <f>_xll.EQNXTDZ($A$1,$B107,F$1,$B$1)</f>
        <v>1.47</v>
      </c>
      <c r="G107" s="55">
        <f>_xll.EQNXTDZ($A$1,$B107,G$1,$B$1)</f>
        <v>5.08</v>
      </c>
      <c r="H107" s="55">
        <f>_xll.EQNXTDZ($A$1,$B107,H$1,$B$1)</f>
        <v>6.77</v>
      </c>
      <c r="I107" s="55">
        <f>_xll.EQNXTDZ($A$1,$B107,I$1,$B$1)</f>
        <v>4.67</v>
      </c>
      <c r="J107" s="55">
        <f>_xll.EQNXTDZ($A$1,$B107,J$1,$B$1)</f>
        <v>83</v>
      </c>
      <c r="K107" s="55">
        <f>_xll.EQNXTDZ($A$1,$B107,K$1,$B$1)</f>
        <v>40.875</v>
      </c>
      <c r="L107" s="55">
        <f>_xll.EQNXTDZ($A$1,$B107,L$1,$B$1)</f>
        <v>19.475000000000001</v>
      </c>
      <c r="M107" s="55">
        <f>_xll.EQNXTDZ($A$1,$B107,M$1,$B$1)</f>
        <v>37.4</v>
      </c>
      <c r="N107" s="55">
        <f>_xll.EQNXTDZ($A$1,$B107,N$1,$B$1)</f>
        <v>26</v>
      </c>
      <c r="O107" s="55">
        <f>_xll.EQNXTDZ($A$1,$B107,O$1,$B$1)</f>
        <v>13.375</v>
      </c>
      <c r="P107" s="55">
        <f>_xll.EQNXTDZ($A$1,$B107,P$1,$B$1)</f>
        <v>9.0749999999999993</v>
      </c>
      <c r="Q107" s="55">
        <f>_xll.EQNXTDZ($A$1,$B107,Q$1,$B$1)</f>
        <v>7.4050000000000002</v>
      </c>
      <c r="R107" s="55">
        <f>_xll.EQNXTDZ($A$1,$B107,R$1,$B$1)</f>
        <v>10.8</v>
      </c>
      <c r="S107" s="55">
        <f>_xll.EQNXTDZ($A$1,$B107,S$1,$B$1)</f>
        <v>20.399999999999999</v>
      </c>
      <c r="T107" s="55">
        <f>_xll.EQNXTDZ($A$1,$B107,T$1,$B$1)</f>
        <v>23</v>
      </c>
      <c r="U107" s="55">
        <f>_xll.EQNXTDZ($A$1,$B107,U$1,$B$1)</f>
        <v>19.899999999999999</v>
      </c>
      <c r="V107" s="55">
        <f>_xll.EQNXTDZ($A$1,$B107,V$1,$B$1)</f>
        <v>13.42</v>
      </c>
      <c r="W107" s="55">
        <f>_xll.EQNXTDZ($A$1,$B107,W$1,$B$1)</f>
        <v>17.489999999999998</v>
      </c>
      <c r="X107" s="55">
        <f>_xll.EQNXTDZ($A$1,$B107,X$1,$B$1)</f>
        <v>148.65</v>
      </c>
      <c r="Y107" s="55">
        <f>_xll.EQNXTDZ($A$1,$B107,Y$1,$B$1)</f>
        <v>324.8</v>
      </c>
      <c r="Z107" s="55">
        <f>_xll.EQNXTDZ($A$1,$B107,Z$1,$B$1)</f>
        <v>687.85</v>
      </c>
      <c r="AA107" s="55">
        <f>_xll.EQNXTDZ($A$1,$B107,AA$1,$B$1)</f>
        <v>1477.5</v>
      </c>
      <c r="AB107" s="55">
        <f>_xll.EQNXTDZ($A$1,$B107,AB$1,$B$1)</f>
        <v>1613.4</v>
      </c>
      <c r="AC107" s="55">
        <f>_xll.EQNXTDZ($A$1,$B107,AC$1,$B$1)</f>
        <v>0</v>
      </c>
      <c r="AD107" s="55">
        <f>_xll.EQNXTDZ($A$1,$B107,AD$1,$B$1)</f>
        <v>0</v>
      </c>
      <c r="AE107" s="55">
        <f>_xll.EQNXTDZ($A$1,$B107,AE$1,$B$1)</f>
        <v>0</v>
      </c>
      <c r="AF107" s="55">
        <f>_xll.EQNXTDZ($A$1,$B107,AF$1,$B$1)</f>
        <v>0</v>
      </c>
    </row>
    <row r="108" spans="1:32" x14ac:dyDescent="0.25">
      <c r="A108" t="s">
        <v>318</v>
      </c>
      <c r="B108" t="s">
        <v>324</v>
      </c>
      <c r="C108" s="55">
        <f>_xll.EQNXTDZ($A$1,$B108,C$1,$B$1)</f>
        <v>0.34499999999999997</v>
      </c>
      <c r="D108" s="55">
        <f>_xll.EQNXTDZ($A$1,$B108,D$1,$B$1)</f>
        <v>6.5000000000000002E-2</v>
      </c>
      <c r="E108" s="55">
        <f>_xll.EQNXTDZ($A$1,$B108,E$1,$B$1)</f>
        <v>0.08</v>
      </c>
      <c r="F108" s="55">
        <f>_xll.EQNXTDZ($A$1,$B108,F$1,$B$1)</f>
        <v>0.14499999999999999</v>
      </c>
      <c r="G108" s="55">
        <f>_xll.EQNXTDZ($A$1,$B108,G$1,$B$1)</f>
        <v>0.41699999999999998</v>
      </c>
      <c r="H108" s="55">
        <f>_xll.EQNXTDZ($A$1,$B108,H$1,$B$1)</f>
        <v>2.2050000000000001</v>
      </c>
      <c r="I108" s="55">
        <f>_xll.EQNXTDZ($A$1,$B108,I$1,$B$1)</f>
        <v>1.81</v>
      </c>
      <c r="J108" s="55">
        <f>_xll.EQNXTDZ($A$1,$B108,J$1,$B$1)</f>
        <v>2.3650000000000002</v>
      </c>
      <c r="K108" s="55">
        <f>_xll.EQNXTDZ($A$1,$B108,K$1,$B$1)</f>
        <v>7</v>
      </c>
      <c r="L108" s="55">
        <f>_xll.EQNXTDZ($A$1,$B108,L$1,$B$1)</f>
        <v>9.5500000000000007</v>
      </c>
      <c r="M108" s="55">
        <f>_xll.EQNXTDZ($A$1,$B108,M$1,$B$1)</f>
        <v>15</v>
      </c>
      <c r="N108" s="55">
        <f>_xll.EQNXTDZ($A$1,$B108,N$1,$B$1)</f>
        <v>10.675000000000001</v>
      </c>
      <c r="O108" s="55">
        <f>_xll.EQNXTDZ($A$1,$B108,O$1,$B$1)</f>
        <v>5.7750000000000004</v>
      </c>
      <c r="P108" s="55">
        <f>_xll.EQNXTDZ($A$1,$B108,P$1,$B$1)</f>
        <v>3.0750000000000002</v>
      </c>
      <c r="Q108" s="55">
        <f>_xll.EQNXTDZ($A$1,$B108,Q$1,$B$1)</f>
        <v>3.0550000000000002</v>
      </c>
      <c r="R108" s="55">
        <f>_xll.EQNXTDZ($A$1,$B108,R$1,$B$1)</f>
        <v>2.7749999999999999</v>
      </c>
      <c r="S108" s="55">
        <f>_xll.EQNXTDZ($A$1,$B108,S$1,$B$1)</f>
        <v>9.0500000000000007</v>
      </c>
      <c r="T108" s="55">
        <f>_xll.EQNXTDZ($A$1,$B108,T$1,$B$1)</f>
        <v>13.5</v>
      </c>
      <c r="U108" s="55">
        <f>_xll.EQNXTDZ($A$1,$B108,U$1,$B$1)</f>
        <v>10.5</v>
      </c>
      <c r="V108" s="55">
        <f>_xll.EQNXTDZ($A$1,$B108,V$1,$B$1)</f>
        <v>4.16</v>
      </c>
      <c r="W108" s="55">
        <f>_xll.EQNXTDZ($A$1,$B108,W$1,$B$1)</f>
        <v>4.12</v>
      </c>
      <c r="X108" s="55">
        <f>_xll.EQNXTDZ($A$1,$B108,X$1,$B$1)</f>
        <v>10.49</v>
      </c>
      <c r="Y108" s="55">
        <f>_xll.EQNXTDZ($A$1,$B108,Y$1,$B$1)</f>
        <v>126.1</v>
      </c>
      <c r="Z108" s="55">
        <f>_xll.EQNXTDZ($A$1,$B108,Z$1,$B$1)</f>
        <v>275</v>
      </c>
      <c r="AA108" s="55">
        <f>_xll.EQNXTDZ($A$1,$B108,AA$1,$B$1)</f>
        <v>592.1</v>
      </c>
      <c r="AB108" s="55">
        <f>_xll.EQNXTDZ($A$1,$B108,AB$1,$B$1)</f>
        <v>1005.05</v>
      </c>
      <c r="AC108" s="55">
        <f>_xll.EQNXTDZ($A$1,$B108,AC$1,$B$1)</f>
        <v>0</v>
      </c>
      <c r="AD108" s="55">
        <f>_xll.EQNXTDZ($A$1,$B108,AD$1,$B$1)</f>
        <v>0</v>
      </c>
      <c r="AE108" s="55">
        <f>_xll.EQNXTDZ($A$1,$B108,AE$1,$B$1)</f>
        <v>0</v>
      </c>
      <c r="AF108" s="55">
        <f>_xll.EQNXTDZ($A$1,$B108,AF$1,$B$1)</f>
        <v>0</v>
      </c>
    </row>
    <row r="109" spans="1:32" x14ac:dyDescent="0.25">
      <c r="A109" t="s">
        <v>319</v>
      </c>
      <c r="B109" t="s">
        <v>325</v>
      </c>
      <c r="C109" s="55">
        <f>_xll.EQNXTDZ($A$1,$B109,C$1,$B$1)</f>
        <v>6.6659030000000001</v>
      </c>
      <c r="D109" s="55">
        <f>_xll.EQNXTDZ($A$1,$B109,D$1,$B$1)</f>
        <v>1.6258300000000001</v>
      </c>
      <c r="E109" s="55">
        <f>_xll.EQNXTDZ($A$1,$B109,E$1,$B$1)</f>
        <v>2.5200364999999998</v>
      </c>
      <c r="F109" s="55">
        <f>_xll.EQNXTDZ($A$1,$B109,F$1,$B$1)</f>
        <v>13.640713699999999</v>
      </c>
      <c r="G109" s="55">
        <f>_xll.EQNXTDZ($A$1,$B109,G$1,$B$1)</f>
        <v>73.731390500000003</v>
      </c>
      <c r="H109" s="55">
        <f>_xll.EQNXTDZ($A$1,$B109,H$1,$B$1)</f>
        <v>64.220285000000004</v>
      </c>
      <c r="I109" s="55">
        <f>_xll.EQNXTDZ($A$1,$B109,I$1,$B$1)</f>
        <v>53.889790499999997</v>
      </c>
      <c r="J109" s="55">
        <f>_xll.EQNXTDZ($A$1,$B109,J$1,$B$1)</f>
        <v>839.13791000000003</v>
      </c>
      <c r="K109" s="55">
        <f>_xll.EQNXTDZ($A$1,$B109,K$1,$B$1)</f>
        <v>227.03466</v>
      </c>
      <c r="L109" s="55">
        <f>_xll.EQNXTDZ($A$1,$B109,L$1,$B$1)</f>
        <v>329.42284000000001</v>
      </c>
      <c r="M109" s="55">
        <f>_xll.EQNXTDZ($A$1,$B109,M$1,$B$1)</f>
        <v>475.7711625</v>
      </c>
      <c r="N109" s="55">
        <f>_xll.EQNXTDZ($A$1,$B109,N$1,$B$1)</f>
        <v>284.90624000000003</v>
      </c>
      <c r="O109" s="55">
        <f>_xll.EQNXTDZ($A$1,$B109,O$1,$B$1)</f>
        <v>133.32721699999999</v>
      </c>
      <c r="P109" s="55">
        <f>_xll.EQNXTDZ($A$1,$B109,P$1,$B$1)</f>
        <v>88.0315765</v>
      </c>
      <c r="Q109" s="55">
        <f>_xll.EQNXTDZ($A$1,$B109,Q$1,$B$1)</f>
        <v>71.115268499999999</v>
      </c>
      <c r="R109" s="55">
        <f>_xll.EQNXTDZ($A$1,$B109,R$1,$B$1)</f>
        <v>224.80883</v>
      </c>
      <c r="S109" s="55">
        <f>_xll.EQNXTDZ($A$1,$B109,S$1,$B$1)</f>
        <v>340.55198999999999</v>
      </c>
      <c r="T109" s="55">
        <f>_xll.EQNXTDZ($A$1,$B109,T$1,$B$1)</f>
        <v>340.55198999999999</v>
      </c>
      <c r="U109" s="55">
        <f>_xll.EQNXTDZ($A$1,$B109,U$1,$B$1)</f>
        <v>277.33841799999999</v>
      </c>
      <c r="V109" s="55">
        <f>_xll.EQNXTDZ($A$1,$B109,V$1,$B$1)</f>
        <v>129.703104</v>
      </c>
      <c r="W109" s="55">
        <f>_xll.EQNXTDZ($A$1,$B109,W$1,$B$1)</f>
        <v>276.92500000000001</v>
      </c>
      <c r="X109" s="55">
        <f>_xll.EQNXTDZ($A$1,$B109,X$1,$B$1)</f>
        <v>4890.8055000000004</v>
      </c>
      <c r="Y109" s="55">
        <f>_xll.EQNXTDZ($A$1,$B109,Y$1,$B$1)</f>
        <v>14371.656000000001</v>
      </c>
      <c r="Z109" s="55">
        <f>_xll.EQNXTDZ($A$1,$B109,Z$1,$B$1)</f>
        <v>30467.0635</v>
      </c>
      <c r="AA109" s="55">
        <f>_xll.EQNXTDZ($A$1,$B109,AA$1,$B$1)</f>
        <v>67257.36</v>
      </c>
      <c r="AB109" s="55">
        <f>_xll.EQNXTDZ($A$1,$B109,AB$1,$B$1)</f>
        <v>71514.995999999999</v>
      </c>
      <c r="AC109" s="55">
        <f>_xll.EQNXTDZ($A$1,$B109,AC$1,$B$1)</f>
        <v>0</v>
      </c>
      <c r="AD109" s="55">
        <f>_xll.EQNXTDZ($A$1,$B109,AD$1,$B$1)</f>
        <v>0</v>
      </c>
      <c r="AE109" s="55">
        <f>_xll.EQNXTDZ($A$1,$B109,AE$1,$B$1)</f>
        <v>0</v>
      </c>
      <c r="AF109" s="55">
        <f>_xll.EQNXTDZ($A$1,$B109,AF$1,$B$1)</f>
        <v>0</v>
      </c>
    </row>
    <row r="110" spans="1:32" x14ac:dyDescent="0.25">
      <c r="A110" t="s">
        <v>326</v>
      </c>
      <c r="B110" t="s">
        <v>328</v>
      </c>
      <c r="C110" s="55">
        <f>_xll.EQNXTDZ($A$1,$B110,C$1,$B$1)</f>
        <v>0</v>
      </c>
      <c r="D110" s="55">
        <f>_xll.EQNXTDZ($A$1,$B110,D$1,$B$1)</f>
        <v>0</v>
      </c>
      <c r="E110" s="55">
        <f>_xll.EQNXTDZ($A$1,$B110,E$1,$B$1)</f>
        <v>0</v>
      </c>
      <c r="F110" s="55">
        <f>_xll.EQNXTDZ($A$1,$B110,F$1,$B$1)</f>
        <v>0</v>
      </c>
      <c r="G110" s="55">
        <f>_xll.EQNXTDZ($A$1,$B110,G$1,$B$1)</f>
        <v>0</v>
      </c>
      <c r="H110" s="55">
        <f>_xll.EQNXTDZ($A$1,$B110,H$1,$B$1)</f>
        <v>0</v>
      </c>
      <c r="I110" s="55">
        <f>_xll.EQNXTDZ($A$1,$B110,I$1,$B$1)</f>
        <v>0</v>
      </c>
      <c r="J110" s="55">
        <f>_xll.EQNXTDZ($A$1,$B110,J$1,$B$1)</f>
        <v>0</v>
      </c>
      <c r="K110" s="55">
        <f>_xll.EQNXTDZ($A$1,$B110,K$1,$B$1)</f>
        <v>0</v>
      </c>
      <c r="L110" s="55">
        <f>_xll.EQNXTDZ($A$1,$B110,L$1,$B$1)</f>
        <v>0</v>
      </c>
      <c r="M110" s="55">
        <f>_xll.EQNXTDZ($A$1,$B110,M$1,$B$1)</f>
        <v>0</v>
      </c>
      <c r="N110" s="55">
        <f>_xll.EQNXTDZ($A$1,$B110,N$1,$B$1)</f>
        <v>0</v>
      </c>
      <c r="O110" s="55">
        <f>_xll.EQNXTDZ($A$1,$B110,O$1,$B$1)</f>
        <v>0</v>
      </c>
      <c r="P110" s="55">
        <f>_xll.EQNXTDZ($A$1,$B110,P$1,$B$1)</f>
        <v>0</v>
      </c>
      <c r="Q110" s="55">
        <f>_xll.EQNXTDZ($A$1,$B110,Q$1,$B$1)</f>
        <v>0</v>
      </c>
      <c r="R110" s="55">
        <f>_xll.EQNXTDZ($A$1,$B110,R$1,$B$1)</f>
        <v>0</v>
      </c>
      <c r="S110" s="55">
        <f>_xll.EQNXTDZ($A$1,$B110,S$1,$B$1)</f>
        <v>0</v>
      </c>
      <c r="T110" s="55">
        <f>_xll.EQNXTDZ($A$1,$B110,T$1,$B$1)</f>
        <v>0</v>
      </c>
      <c r="U110" s="55">
        <f>_xll.EQNXTDZ($A$1,$B110,U$1,$B$1)</f>
        <v>0</v>
      </c>
      <c r="V110" s="55">
        <f>_xll.EQNXTDZ($A$1,$B110,V$1,$B$1)</f>
        <v>0</v>
      </c>
      <c r="W110" s="55">
        <f>_xll.EQNXTDZ($A$1,$B110,W$1,$B$1)</f>
        <v>0</v>
      </c>
      <c r="X110" s="55">
        <f>_xll.EQNXTDZ($A$1,$B110,X$1,$B$1)</f>
        <v>0.5</v>
      </c>
      <c r="Y110" s="55">
        <f>_xll.EQNXTDZ($A$1,$B110,Y$1,$B$1)</f>
        <v>0</v>
      </c>
      <c r="Z110" s="55">
        <f>_xll.EQNXTDZ($A$1,$B110,Z$1,$B$1)</f>
        <v>1</v>
      </c>
      <c r="AA110" s="55">
        <f>_xll.EQNXTDZ($A$1,$B110,AA$1,$B$1)</f>
        <v>1</v>
      </c>
      <c r="AB110" s="55">
        <f>_xll.EQNXTDZ($A$1,$B110,AB$1,$B$1)</f>
        <v>1</v>
      </c>
      <c r="AC110" s="55">
        <f>_xll.EQNXTDZ($A$1,$B110,AC$1,$B$1)</f>
        <v>0</v>
      </c>
      <c r="AD110" s="55">
        <f>_xll.EQNXTDZ($A$1,$B110,AD$1,$B$1)</f>
        <v>0</v>
      </c>
      <c r="AE110" s="55">
        <f>_xll.EQNXTDZ($A$1,$B110,AE$1,$B$1)</f>
        <v>0</v>
      </c>
      <c r="AF110" s="55">
        <f>_xll.EQNXTDZ($A$1,$B110,AF$1,$B$1)</f>
        <v>0</v>
      </c>
    </row>
    <row r="111" spans="1:32" x14ac:dyDescent="0.25">
      <c r="A111" t="s">
        <v>252</v>
      </c>
      <c r="B111" t="s">
        <v>329</v>
      </c>
      <c r="C111" s="56">
        <f>_xll.EQNXTDZ($A$1,$B111,C$5)</f>
        <v>200103</v>
      </c>
      <c r="D111" s="56">
        <f>_xll.EQNXTDZ($A$1,$B111,D$5)</f>
        <v>200203</v>
      </c>
      <c r="E111" s="56">
        <f>_xll.EQNXTDZ($A$1,$B111,E$5)</f>
        <v>200303</v>
      </c>
      <c r="F111" s="56">
        <f>_xll.EQNXTDZ($A$1,$B111,F$5)</f>
        <v>200403</v>
      </c>
      <c r="G111" s="56">
        <f>_xll.EQNXTDZ($A$1,$B111,G$5)</f>
        <v>0</v>
      </c>
      <c r="H111" s="56">
        <f>_xll.EQNXTDZ($A$1,$B111,H$5)</f>
        <v>200603</v>
      </c>
      <c r="I111" s="56">
        <f>_xll.EQNXTDZ($A$1,$B111,I$5)</f>
        <v>200703</v>
      </c>
      <c r="J111" s="56">
        <f>_xll.EQNXTDZ($A$1,$B111,J$5)</f>
        <v>200803</v>
      </c>
      <c r="K111" s="56">
        <f>_xll.EQNXTDZ($A$1,$B111,K$5)</f>
        <v>200903</v>
      </c>
      <c r="L111" s="56">
        <f>_xll.EQNXTDZ($A$1,$B111,L$5)</f>
        <v>201003</v>
      </c>
      <c r="M111" s="56">
        <f>_xll.EQNXTDZ($A$1,$B111,M$5)</f>
        <v>201103</v>
      </c>
      <c r="N111" s="56">
        <f>_xll.EQNXTDZ($A$1,$B111,N$5)</f>
        <v>201203</v>
      </c>
      <c r="O111" s="56">
        <f>_xll.EQNXTDZ($A$1,$B111,O$5)</f>
        <v>201303</v>
      </c>
      <c r="P111" s="56">
        <f>_xll.EQNXTDZ($A$1,$B111,P$5)</f>
        <v>201403</v>
      </c>
      <c r="Q111" s="56">
        <f>_xll.EQNXTDZ($A$1,$B111,Q$5)</f>
        <v>201503</v>
      </c>
      <c r="R111" s="56">
        <f>_xll.EQNXTDZ($A$1,$B111,R$5)</f>
        <v>201603</v>
      </c>
      <c r="S111" s="56">
        <f>_xll.EQNXTDZ($A$1,$B111,S$5)</f>
        <v>201703</v>
      </c>
      <c r="T111" s="56">
        <f>_xll.EQNXTDZ($A$1,$B111,T$5)</f>
        <v>201803</v>
      </c>
      <c r="U111" s="56">
        <f>_xll.EQNXTDZ($A$1,$B111,U$5)</f>
        <v>201903</v>
      </c>
      <c r="V111" s="56">
        <f>_xll.EQNXTDZ($A$1,$B111,V$5)</f>
        <v>202003</v>
      </c>
      <c r="W111" s="56">
        <f>_xll.EQNXTDZ($A$1,$B111,W$5)</f>
        <v>202103</v>
      </c>
      <c r="X111" s="56">
        <f>_xll.EQNXTDZ($A$1,$B111,X$5)</f>
        <v>202203</v>
      </c>
      <c r="Y111" s="56">
        <f>_xll.EQNXTDZ($A$1,$B111,Y$5)</f>
        <v>202303</v>
      </c>
      <c r="Z111" s="56">
        <f>_xll.EQNXTDZ($A$1,$B111,Z$5)</f>
        <v>202403</v>
      </c>
      <c r="AA111" s="56">
        <f>_xll.EQNXTDZ($A$1,$B111,AA$5)</f>
        <v>202503</v>
      </c>
      <c r="AB111" s="56">
        <f>_xll.EQNXTDZ($A$1,$B111,AB$5)</f>
        <v>202603</v>
      </c>
      <c r="AC111" s="56">
        <f>_xll.EQNXTDZ($A$1,$B111,AC$5)</f>
        <v>0</v>
      </c>
      <c r="AD111" s="56">
        <f>_xll.EQNXTDZ($A$1,$B111,AD$5)</f>
        <v>0</v>
      </c>
      <c r="AE111" s="56">
        <f>_xll.EQNXTDZ($A$1,$B111,AE$5)</f>
        <v>0</v>
      </c>
      <c r="AF111" s="56">
        <f>_xll.EQNXTDZ($A$1,$B111,AF$5)</f>
        <v>0</v>
      </c>
    </row>
    <row r="112" spans="1:32" x14ac:dyDescent="0.25">
      <c r="A112" t="s">
        <v>327</v>
      </c>
      <c r="B112" t="s">
        <v>330</v>
      </c>
      <c r="C112" s="56">
        <f>_xll.EQNXTDZ($A$1,$B112,C$5)</f>
        <v>32.99</v>
      </c>
      <c r="D112" s="56">
        <f>_xll.EQNXTDZ($A$1,$B112,D$5)</f>
        <v>32.99</v>
      </c>
      <c r="E112" s="56">
        <f>_xll.EQNXTDZ($A$1,$B112,E$5)</f>
        <v>32.99</v>
      </c>
      <c r="F112" s="56">
        <f>_xll.EQNXTDZ($A$1,$B112,F$5)</f>
        <v>32.99</v>
      </c>
      <c r="G112" s="56">
        <f>_xll.EQNXTDZ($A$1,$B112,G$5)</f>
        <v>0</v>
      </c>
      <c r="H112" s="56">
        <f>_xll.EQNXTDZ($A$1,$B112,H$5)</f>
        <v>32.4</v>
      </c>
      <c r="I112" s="56">
        <f>_xll.EQNXTDZ($A$1,$B112,I$5)</f>
        <v>47.67</v>
      </c>
      <c r="J112" s="56">
        <f>_xll.EQNXTDZ($A$1,$B112,J$5)</f>
        <v>45.53</v>
      </c>
      <c r="K112" s="56">
        <f>_xll.EQNXTDZ($A$1,$B112,K$5)</f>
        <v>47.78</v>
      </c>
      <c r="L112" s="56">
        <f>_xll.EQNXTDZ($A$1,$B112,L$5)</f>
        <v>47.78</v>
      </c>
      <c r="M112" s="56">
        <f>_xll.EQNXTDZ($A$1,$B112,M$5)</f>
        <v>47.78</v>
      </c>
      <c r="N112" s="56">
        <f>_xll.EQNXTDZ($A$1,$B112,N$5)</f>
        <v>47.78</v>
      </c>
      <c r="O112" s="56">
        <f>_xll.EQNXTDZ($A$1,$B112,O$5)</f>
        <v>51.15</v>
      </c>
      <c r="P112" s="56">
        <f>_xll.EQNXTDZ($A$1,$B112,P$5)</f>
        <v>53.09</v>
      </c>
      <c r="Q112" s="56">
        <f>_xll.EQNXTDZ($A$1,$B112,Q$5)</f>
        <v>53.09</v>
      </c>
      <c r="R112" s="56">
        <f>_xll.EQNXTDZ($A$1,$B112,R$5)</f>
        <v>57.87</v>
      </c>
      <c r="S112" s="56">
        <f>_xll.EQNXTDZ($A$1,$B112,S$5)</f>
        <v>62.84</v>
      </c>
      <c r="T112" s="56">
        <f>_xll.EQNXTDZ($A$1,$B112,T$5)</f>
        <v>63.14</v>
      </c>
      <c r="U112" s="56">
        <f>_xll.EQNXTDZ($A$1,$B112,U$5)</f>
        <v>63.76</v>
      </c>
      <c r="V112" s="56">
        <f>_xll.EQNXTDZ($A$1,$B112,V$5)</f>
        <v>63.02</v>
      </c>
      <c r="W112" s="56">
        <f>_xll.EQNXTDZ($A$1,$B112,W$5)</f>
        <v>65.900000000000006</v>
      </c>
      <c r="X112" s="56">
        <f>_xll.EQNXTDZ($A$1,$B112,X$5)</f>
        <v>69.41</v>
      </c>
      <c r="Y112" s="56">
        <f>_xll.EQNXTDZ($A$1,$B112,Y$5)</f>
        <v>65.75</v>
      </c>
      <c r="Z112" s="56">
        <f>_xll.EQNXTDZ($A$1,$B112,Z$5)</f>
        <v>65.69</v>
      </c>
      <c r="AA112" s="56">
        <f>_xll.EQNXTDZ($A$1,$B112,AA$5)</f>
        <v>63.44</v>
      </c>
      <c r="AB112" s="56">
        <f>_xll.EQNXTDZ($A$1,$B112,AB$5)</f>
        <v>61.64</v>
      </c>
      <c r="AC112" s="56">
        <f>_xll.EQNXTDZ($A$1,$B112,AC$5)</f>
        <v>0</v>
      </c>
      <c r="AD112" s="56">
        <f>_xll.EQNXTDZ($A$1,$B112,AD$5)</f>
        <v>0</v>
      </c>
      <c r="AE112" s="56">
        <f>_xll.EQNXTDZ($A$1,$B112,AE$5)</f>
        <v>0</v>
      </c>
      <c r="AF112" s="56">
        <f>_xll.EQNXTDZ($A$1,$B112,AF$5)</f>
        <v>0</v>
      </c>
    </row>
    <row r="113" spans="1:32" x14ac:dyDescent="0.25">
      <c r="A113" t="s">
        <v>332</v>
      </c>
      <c r="B113" t="s">
        <v>331</v>
      </c>
      <c r="C113" s="56">
        <f>_xll.EQNXTDZ($A$1,$B113,C$5)</f>
        <v>0</v>
      </c>
      <c r="D113" s="56">
        <f>_xll.EQNXTDZ($A$1,$B113,D$5)</f>
        <v>0</v>
      </c>
      <c r="E113" s="56">
        <f>_xll.EQNXTDZ($A$1,$B113,E$5)</f>
        <v>0</v>
      </c>
      <c r="F113" s="56">
        <f>_xll.EQNXTDZ($A$1,$B113,F$5)</f>
        <v>0</v>
      </c>
      <c r="G113" s="56">
        <f>_xll.EQNXTDZ($A$1,$B113,G$5)</f>
        <v>0</v>
      </c>
      <c r="H113" s="56">
        <f>_xll.EQNXTDZ($A$1,$B113,H$5)</f>
        <v>0</v>
      </c>
      <c r="I113" s="56">
        <f>_xll.EQNXTDZ($A$1,$B113,I$5)</f>
        <v>0</v>
      </c>
      <c r="J113" s="56">
        <f>_xll.EQNXTDZ($A$1,$B113,J$5)</f>
        <v>0</v>
      </c>
      <c r="K113" s="56">
        <f>_xll.EQNXTDZ($A$1,$B113,K$5)</f>
        <v>60.48</v>
      </c>
      <c r="L113" s="56">
        <f>_xll.EQNXTDZ($A$1,$B113,L$5)</f>
        <v>53.51</v>
      </c>
      <c r="M113" s="56">
        <f>_xll.EQNXTDZ($A$1,$B113,M$5)</f>
        <v>64.19</v>
      </c>
      <c r="N113" s="56">
        <f>_xll.EQNXTDZ($A$1,$B113,N$5)</f>
        <v>64.19</v>
      </c>
      <c r="O113" s="56">
        <f>_xll.EQNXTDZ($A$1,$B113,O$5)</f>
        <v>35.97</v>
      </c>
      <c r="P113" s="56">
        <f>_xll.EQNXTDZ($A$1,$B113,P$5)</f>
        <v>34.65</v>
      </c>
      <c r="Q113" s="56">
        <f>_xll.EQNXTDZ($A$1,$B113,Q$5)</f>
        <v>9.6199999999999992</v>
      </c>
      <c r="R113" s="56">
        <f>_xll.EQNXTDZ($A$1,$B113,R$5)</f>
        <v>34.07</v>
      </c>
      <c r="S113" s="56">
        <f>_xll.EQNXTDZ($A$1,$B113,S$5)</f>
        <v>20.66</v>
      </c>
      <c r="T113" s="56">
        <f>_xll.EQNXTDZ($A$1,$B113,T$5)</f>
        <v>20.56</v>
      </c>
      <c r="U113" s="56">
        <f>_xll.EQNXTDZ($A$1,$B113,U$5)</f>
        <v>0</v>
      </c>
      <c r="V113" s="56">
        <f>_xll.EQNXTDZ($A$1,$B113,V$5)</f>
        <v>0</v>
      </c>
      <c r="W113" s="56">
        <f>_xll.EQNXTDZ($A$1,$B113,W$5)</f>
        <v>0</v>
      </c>
      <c r="X113" s="56">
        <f>_xll.EQNXTDZ($A$1,$B113,X$5)</f>
        <v>0</v>
      </c>
      <c r="Y113" s="56">
        <f>_xll.EQNXTDZ($A$1,$B113,Y$5)</f>
        <v>11.89</v>
      </c>
      <c r="Z113" s="56">
        <f>_xll.EQNXTDZ($A$1,$B113,Z$5)</f>
        <v>24.23</v>
      </c>
      <c r="AA113" s="56">
        <f>_xll.EQNXTDZ($A$1,$B113,AA$5)</f>
        <v>16.809999999999999</v>
      </c>
      <c r="AB113" s="56">
        <f>_xll.EQNXTDZ($A$1,$B113,AB$5)</f>
        <v>5.17</v>
      </c>
      <c r="AC113" s="56">
        <f>_xll.EQNXTDZ($A$1,$B113,AC$5)</f>
        <v>0</v>
      </c>
      <c r="AD113" s="56">
        <f>_xll.EQNXTDZ($A$1,$B113,AD$5)</f>
        <v>0</v>
      </c>
      <c r="AE113" s="56">
        <f>_xll.EQNXTDZ($A$1,$B113,AE$5)</f>
        <v>0</v>
      </c>
      <c r="AF113" s="56">
        <f>_xll.EQNXTDZ($A$1,$B113,AF$5)</f>
        <v>0</v>
      </c>
    </row>
  </sheetData>
  <pageMargins left="0.7" right="0.7" top="0.75" bottom="0.75" header="0.3" footer="0.3"/>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8030D-64E2-4951-A3D3-A2D3A88A1BA5}">
  <dimension ref="A1:KH21"/>
  <sheetViews>
    <sheetView workbookViewId="0">
      <pane xSplit="2" ySplit="5" topLeftCell="FG6" activePane="bottomRight" state="frozen"/>
      <selection pane="topRight" activeCell="C1" sqref="C1"/>
      <selection pane="bottomLeft" activeCell="A6" sqref="A6"/>
      <selection pane="bottomRight" activeCell="FM15" sqref="FM7:FO15"/>
    </sheetView>
  </sheetViews>
  <sheetFormatPr defaultRowHeight="15" x14ac:dyDescent="0.25"/>
  <cols>
    <col min="1" max="1" width="16.140625" bestFit="1" customWidth="1"/>
    <col min="2" max="2" width="21.140625" bestFit="1" customWidth="1"/>
  </cols>
  <sheetData>
    <row r="1" spans="1:294" x14ac:dyDescent="0.25">
      <c r="A1">
        <f>'QTR Raw'!A1</f>
        <v>112455</v>
      </c>
      <c r="C1">
        <v>201206</v>
      </c>
      <c r="D1">
        <v>201207</v>
      </c>
      <c r="E1">
        <v>201208</v>
      </c>
      <c r="F1">
        <v>201209</v>
      </c>
      <c r="G1">
        <v>201210</v>
      </c>
      <c r="H1">
        <v>201211</v>
      </c>
      <c r="I1">
        <v>201212</v>
      </c>
      <c r="J1">
        <v>201301</v>
      </c>
      <c r="K1">
        <v>201302</v>
      </c>
      <c r="L1">
        <v>201303</v>
      </c>
      <c r="M1">
        <v>201304</v>
      </c>
      <c r="N1">
        <v>201305</v>
      </c>
      <c r="O1">
        <v>201306</v>
      </c>
      <c r="P1">
        <v>201307</v>
      </c>
      <c r="Q1">
        <v>201308</v>
      </c>
      <c r="R1">
        <v>201309</v>
      </c>
      <c r="S1">
        <v>201310</v>
      </c>
      <c r="T1">
        <v>201311</v>
      </c>
      <c r="U1">
        <v>201312</v>
      </c>
      <c r="V1">
        <v>201401</v>
      </c>
      <c r="W1">
        <v>201402</v>
      </c>
      <c r="X1">
        <v>201403</v>
      </c>
      <c r="Y1">
        <v>201404</v>
      </c>
      <c r="Z1">
        <v>201405</v>
      </c>
      <c r="AA1">
        <v>201406</v>
      </c>
      <c r="AB1">
        <v>201407</v>
      </c>
      <c r="AC1">
        <v>201408</v>
      </c>
      <c r="AD1">
        <v>201409</v>
      </c>
      <c r="AE1">
        <v>201410</v>
      </c>
      <c r="AF1">
        <v>201411</v>
      </c>
      <c r="AG1">
        <v>201412</v>
      </c>
      <c r="AH1">
        <v>201501</v>
      </c>
      <c r="AI1">
        <v>201502</v>
      </c>
      <c r="AJ1">
        <v>201503</v>
      </c>
      <c r="AK1">
        <v>201504</v>
      </c>
      <c r="AL1">
        <v>201505</v>
      </c>
      <c r="AM1">
        <v>201506</v>
      </c>
      <c r="AN1">
        <v>201507</v>
      </c>
      <c r="AO1">
        <v>201508</v>
      </c>
      <c r="AP1">
        <v>201509</v>
      </c>
      <c r="AQ1">
        <v>201510</v>
      </c>
      <c r="AR1">
        <v>201511</v>
      </c>
      <c r="AS1">
        <v>201512</v>
      </c>
      <c r="AT1">
        <v>201601</v>
      </c>
      <c r="AU1">
        <v>201602</v>
      </c>
      <c r="AV1">
        <v>201603</v>
      </c>
      <c r="AW1">
        <v>201604</v>
      </c>
      <c r="AX1">
        <v>201605</v>
      </c>
      <c r="AY1">
        <v>201606</v>
      </c>
      <c r="AZ1">
        <v>201607</v>
      </c>
      <c r="BA1">
        <v>201608</v>
      </c>
      <c r="BB1">
        <v>201609</v>
      </c>
      <c r="BC1">
        <v>201610</v>
      </c>
      <c r="BD1">
        <v>201611</v>
      </c>
      <c r="BE1">
        <v>201612</v>
      </c>
      <c r="BF1">
        <v>201701</v>
      </c>
      <c r="BG1">
        <v>201702</v>
      </c>
      <c r="BH1">
        <v>201703</v>
      </c>
      <c r="BI1">
        <v>201704</v>
      </c>
      <c r="BJ1">
        <v>201705</v>
      </c>
      <c r="BK1">
        <v>201706</v>
      </c>
      <c r="BL1">
        <v>201707</v>
      </c>
      <c r="BM1">
        <v>201708</v>
      </c>
      <c r="BN1">
        <v>201709</v>
      </c>
      <c r="BO1">
        <v>201710</v>
      </c>
      <c r="BP1">
        <v>201711</v>
      </c>
      <c r="BQ1">
        <v>201712</v>
      </c>
      <c r="BR1">
        <v>201801</v>
      </c>
      <c r="BS1">
        <v>201802</v>
      </c>
      <c r="BT1">
        <v>201803</v>
      </c>
      <c r="BU1">
        <v>201804</v>
      </c>
      <c r="BV1">
        <v>201805</v>
      </c>
      <c r="BW1">
        <v>201806</v>
      </c>
      <c r="BX1">
        <v>201807</v>
      </c>
      <c r="BY1">
        <v>201808</v>
      </c>
      <c r="BZ1">
        <v>201809</v>
      </c>
      <c r="CA1">
        <v>201810</v>
      </c>
      <c r="CB1">
        <v>201811</v>
      </c>
      <c r="CC1">
        <v>201812</v>
      </c>
      <c r="CD1">
        <v>201901</v>
      </c>
      <c r="CE1">
        <v>201902</v>
      </c>
      <c r="CF1">
        <v>201903</v>
      </c>
      <c r="CG1">
        <v>201904</v>
      </c>
      <c r="CH1">
        <v>201905</v>
      </c>
      <c r="CI1">
        <v>201906</v>
      </c>
      <c r="CJ1">
        <v>201907</v>
      </c>
      <c r="CK1">
        <v>201908</v>
      </c>
      <c r="CL1">
        <v>201909</v>
      </c>
      <c r="CM1">
        <v>201910</v>
      </c>
      <c r="CN1">
        <v>201911</v>
      </c>
      <c r="CO1">
        <v>201912</v>
      </c>
      <c r="CP1">
        <v>202001</v>
      </c>
      <c r="CQ1">
        <v>202002</v>
      </c>
      <c r="CR1">
        <v>202003</v>
      </c>
      <c r="CS1">
        <v>202004</v>
      </c>
      <c r="CT1">
        <v>202005</v>
      </c>
      <c r="CU1">
        <v>202006</v>
      </c>
      <c r="CV1">
        <v>202007</v>
      </c>
      <c r="CW1">
        <v>202008</v>
      </c>
      <c r="CX1">
        <v>202009</v>
      </c>
      <c r="CY1">
        <v>202010</v>
      </c>
      <c r="CZ1">
        <v>202011</v>
      </c>
      <c r="DA1">
        <v>202012</v>
      </c>
      <c r="DB1">
        <v>202101</v>
      </c>
      <c r="DC1">
        <v>202102</v>
      </c>
      <c r="DD1">
        <v>202103</v>
      </c>
      <c r="DE1">
        <v>202104</v>
      </c>
      <c r="DF1">
        <v>202105</v>
      </c>
      <c r="DG1">
        <v>202106</v>
      </c>
      <c r="DH1">
        <v>202107</v>
      </c>
      <c r="DI1">
        <v>202108</v>
      </c>
      <c r="DJ1">
        <v>202109</v>
      </c>
      <c r="DK1">
        <v>202110</v>
      </c>
      <c r="DL1">
        <v>202111</v>
      </c>
      <c r="DM1">
        <v>202112</v>
      </c>
      <c r="DN1">
        <v>202201</v>
      </c>
      <c r="DO1">
        <v>202202</v>
      </c>
      <c r="DP1">
        <v>202203</v>
      </c>
      <c r="DQ1">
        <v>202204</v>
      </c>
      <c r="DR1">
        <v>202205</v>
      </c>
      <c r="DS1">
        <v>202206</v>
      </c>
      <c r="DT1">
        <v>202207</v>
      </c>
      <c r="DU1">
        <v>202208</v>
      </c>
      <c r="DV1">
        <v>202209</v>
      </c>
      <c r="DW1">
        <v>202210</v>
      </c>
      <c r="DX1">
        <v>202211</v>
      </c>
      <c r="DY1">
        <v>202212</v>
      </c>
      <c r="DZ1">
        <v>202301</v>
      </c>
      <c r="EA1">
        <v>202302</v>
      </c>
      <c r="EB1">
        <v>202303</v>
      </c>
      <c r="EC1">
        <v>202304</v>
      </c>
      <c r="ED1">
        <v>202305</v>
      </c>
      <c r="EE1">
        <v>202306</v>
      </c>
      <c r="EF1">
        <v>202307</v>
      </c>
      <c r="EG1">
        <v>202308</v>
      </c>
      <c r="EH1">
        <v>202309</v>
      </c>
      <c r="EI1">
        <v>202310</v>
      </c>
      <c r="EJ1">
        <v>202311</v>
      </c>
      <c r="EK1">
        <v>202312</v>
      </c>
      <c r="EL1">
        <v>202401</v>
      </c>
      <c r="EM1">
        <v>202402</v>
      </c>
      <c r="EN1">
        <v>202403</v>
      </c>
      <c r="EO1">
        <v>202404</v>
      </c>
      <c r="EP1">
        <v>202405</v>
      </c>
      <c r="EQ1">
        <v>202406</v>
      </c>
      <c r="ER1">
        <v>202407</v>
      </c>
      <c r="ES1">
        <v>202408</v>
      </c>
      <c r="ET1">
        <v>202409</v>
      </c>
      <c r="EU1">
        <v>202410</v>
      </c>
      <c r="EV1">
        <v>202411</v>
      </c>
      <c r="EW1">
        <v>202412</v>
      </c>
      <c r="EX1">
        <v>202501</v>
      </c>
      <c r="EY1">
        <v>202502</v>
      </c>
      <c r="EZ1">
        <v>202503</v>
      </c>
      <c r="FA1">
        <v>202504</v>
      </c>
      <c r="FB1">
        <v>202505</v>
      </c>
      <c r="FC1">
        <v>202506</v>
      </c>
      <c r="FD1">
        <v>202507</v>
      </c>
      <c r="FE1">
        <v>202508</v>
      </c>
      <c r="FF1">
        <v>202509</v>
      </c>
      <c r="FG1">
        <v>202510</v>
      </c>
      <c r="FH1">
        <v>202511</v>
      </c>
      <c r="FI1">
        <v>202512</v>
      </c>
      <c r="FJ1">
        <v>202601</v>
      </c>
      <c r="FK1">
        <v>202602</v>
      </c>
      <c r="FL1">
        <v>202603</v>
      </c>
      <c r="FM1">
        <v>202604</v>
      </c>
      <c r="FN1">
        <v>202605</v>
      </c>
      <c r="FO1">
        <v>202606</v>
      </c>
      <c r="FP1">
        <v>202607</v>
      </c>
      <c r="FQ1">
        <v>202608</v>
      </c>
      <c r="FR1">
        <v>202609</v>
      </c>
      <c r="FS1">
        <v>202610</v>
      </c>
      <c r="FT1">
        <v>202611</v>
      </c>
      <c r="FU1">
        <v>202612</v>
      </c>
      <c r="FV1">
        <v>202701</v>
      </c>
      <c r="FW1">
        <v>202702</v>
      </c>
      <c r="FX1">
        <v>202703</v>
      </c>
      <c r="FY1">
        <v>202704</v>
      </c>
      <c r="FZ1">
        <v>202705</v>
      </c>
      <c r="GA1">
        <v>202706</v>
      </c>
      <c r="GB1">
        <v>202707</v>
      </c>
      <c r="GC1">
        <v>202708</v>
      </c>
      <c r="GD1">
        <v>202709</v>
      </c>
      <c r="GE1">
        <v>202710</v>
      </c>
      <c r="GF1">
        <v>202711</v>
      </c>
      <c r="GG1">
        <v>202712</v>
      </c>
      <c r="GH1">
        <v>202801</v>
      </c>
      <c r="GI1">
        <v>202802</v>
      </c>
      <c r="GJ1">
        <v>202803</v>
      </c>
      <c r="GK1">
        <v>202804</v>
      </c>
      <c r="GL1">
        <v>202805</v>
      </c>
      <c r="GM1">
        <v>202806</v>
      </c>
      <c r="GN1">
        <v>202807</v>
      </c>
      <c r="GO1">
        <v>202808</v>
      </c>
      <c r="GP1">
        <v>202809</v>
      </c>
      <c r="GQ1">
        <v>202810</v>
      </c>
      <c r="GR1">
        <v>202811</v>
      </c>
      <c r="GS1">
        <v>202812</v>
      </c>
      <c r="GT1">
        <v>202901</v>
      </c>
      <c r="GU1">
        <v>202902</v>
      </c>
      <c r="GV1">
        <v>202903</v>
      </c>
      <c r="GW1">
        <v>202904</v>
      </c>
      <c r="GX1">
        <v>202905</v>
      </c>
      <c r="GY1">
        <v>202906</v>
      </c>
      <c r="GZ1">
        <v>202907</v>
      </c>
      <c r="HA1">
        <v>202908</v>
      </c>
      <c r="HB1">
        <v>202909</v>
      </c>
      <c r="HC1">
        <v>202910</v>
      </c>
      <c r="HD1">
        <v>202911</v>
      </c>
      <c r="HE1">
        <v>202912</v>
      </c>
      <c r="HF1">
        <v>203001</v>
      </c>
      <c r="HG1">
        <v>203002</v>
      </c>
      <c r="HH1">
        <v>203003</v>
      </c>
      <c r="HM1">
        <v>201206</v>
      </c>
      <c r="HN1">
        <v>201207</v>
      </c>
      <c r="HO1">
        <v>201208</v>
      </c>
      <c r="HP1">
        <v>201209</v>
      </c>
      <c r="HQ1">
        <v>201212</v>
      </c>
      <c r="HR1">
        <v>201303</v>
      </c>
      <c r="HS1">
        <v>201306</v>
      </c>
      <c r="HT1">
        <v>201309</v>
      </c>
      <c r="HU1">
        <v>201312</v>
      </c>
      <c r="HV1">
        <v>201403</v>
      </c>
      <c r="HW1">
        <v>201406</v>
      </c>
      <c r="HX1">
        <v>201409</v>
      </c>
      <c r="HY1">
        <v>201412</v>
      </c>
      <c r="HZ1">
        <v>201503</v>
      </c>
      <c r="IA1">
        <v>201506</v>
      </c>
      <c r="IB1">
        <v>201509</v>
      </c>
      <c r="IC1">
        <v>201512</v>
      </c>
      <c r="ID1">
        <v>201603</v>
      </c>
      <c r="IE1">
        <v>201606</v>
      </c>
      <c r="IF1">
        <v>201609</v>
      </c>
      <c r="IG1">
        <v>201612</v>
      </c>
      <c r="IH1">
        <v>201703</v>
      </c>
      <c r="II1">
        <v>201706</v>
      </c>
      <c r="IJ1">
        <v>201709</v>
      </c>
      <c r="IK1">
        <v>201712</v>
      </c>
      <c r="IL1">
        <v>201803</v>
      </c>
      <c r="IM1">
        <v>201806</v>
      </c>
      <c r="IN1">
        <v>201809</v>
      </c>
      <c r="IO1">
        <v>201812</v>
      </c>
      <c r="IP1">
        <v>201903</v>
      </c>
      <c r="IQ1">
        <v>201906</v>
      </c>
      <c r="IR1">
        <v>201909</v>
      </c>
      <c r="IS1">
        <v>201912</v>
      </c>
      <c r="IT1">
        <v>202003</v>
      </c>
      <c r="IU1">
        <v>202006</v>
      </c>
      <c r="IV1">
        <v>202009</v>
      </c>
      <c r="IW1">
        <v>202012</v>
      </c>
      <c r="IX1">
        <v>202103</v>
      </c>
      <c r="IY1">
        <v>202106</v>
      </c>
      <c r="IZ1">
        <v>202109</v>
      </c>
      <c r="JA1">
        <v>202112</v>
      </c>
      <c r="JB1">
        <v>202203</v>
      </c>
      <c r="JC1">
        <v>202206</v>
      </c>
      <c r="JD1">
        <v>202209</v>
      </c>
      <c r="JE1">
        <v>202212</v>
      </c>
      <c r="JF1">
        <v>202303</v>
      </c>
      <c r="JG1">
        <v>202306</v>
      </c>
      <c r="JH1">
        <v>202309</v>
      </c>
      <c r="JI1">
        <v>202312</v>
      </c>
      <c r="JJ1">
        <v>202403</v>
      </c>
      <c r="JK1">
        <v>202406</v>
      </c>
      <c r="JL1">
        <v>202409</v>
      </c>
      <c r="JM1">
        <v>202412</v>
      </c>
      <c r="JN1">
        <v>202503</v>
      </c>
      <c r="JO1">
        <v>202506</v>
      </c>
      <c r="JP1">
        <v>202509</v>
      </c>
      <c r="JQ1">
        <v>202512</v>
      </c>
      <c r="JR1">
        <v>202603</v>
      </c>
      <c r="JS1">
        <v>202606</v>
      </c>
      <c r="JT1">
        <v>202609</v>
      </c>
      <c r="JU1">
        <v>202612</v>
      </c>
      <c r="JV1">
        <v>202703</v>
      </c>
      <c r="JW1">
        <v>202706</v>
      </c>
      <c r="JX1">
        <v>202709</v>
      </c>
      <c r="JY1">
        <v>202712</v>
      </c>
      <c r="JZ1">
        <v>202803</v>
      </c>
      <c r="KA1">
        <v>202806</v>
      </c>
      <c r="KB1">
        <v>202809</v>
      </c>
      <c r="KC1">
        <v>202812</v>
      </c>
      <c r="KD1">
        <v>202903</v>
      </c>
      <c r="KE1">
        <v>202906</v>
      </c>
      <c r="KF1">
        <v>202909</v>
      </c>
      <c r="KG1">
        <v>202912</v>
      </c>
      <c r="KH1">
        <v>203003</v>
      </c>
    </row>
    <row r="2" spans="1:294" x14ac:dyDescent="0.25">
      <c r="FF2" s="183">
        <v>45901</v>
      </c>
      <c r="FG2" s="183">
        <f>+EOMONTH(FF2,1)</f>
        <v>45961</v>
      </c>
      <c r="FH2" s="183">
        <f t="shared" ref="FH2:HH2" si="0">+EOMONTH(FG2,1)</f>
        <v>45991</v>
      </c>
      <c r="FI2" s="183">
        <f t="shared" si="0"/>
        <v>46022</v>
      </c>
      <c r="FJ2" s="183">
        <f t="shared" si="0"/>
        <v>46053</v>
      </c>
      <c r="FK2" s="183">
        <f t="shared" si="0"/>
        <v>46081</v>
      </c>
      <c r="FL2" s="183">
        <f t="shared" si="0"/>
        <v>46112</v>
      </c>
      <c r="FM2" s="183">
        <f t="shared" si="0"/>
        <v>46142</v>
      </c>
      <c r="FN2" s="183">
        <f t="shared" si="0"/>
        <v>46173</v>
      </c>
      <c r="FO2" s="183">
        <f t="shared" si="0"/>
        <v>46203</v>
      </c>
      <c r="FP2" s="183">
        <f t="shared" si="0"/>
        <v>46234</v>
      </c>
      <c r="FQ2" s="183">
        <f t="shared" si="0"/>
        <v>46265</v>
      </c>
      <c r="FR2" s="183">
        <f t="shared" si="0"/>
        <v>46295</v>
      </c>
      <c r="FS2" s="183">
        <f t="shared" si="0"/>
        <v>46326</v>
      </c>
      <c r="FT2" s="183">
        <f t="shared" si="0"/>
        <v>46356</v>
      </c>
      <c r="FU2" s="183">
        <f t="shared" si="0"/>
        <v>46387</v>
      </c>
      <c r="FV2" s="183">
        <f t="shared" si="0"/>
        <v>46418</v>
      </c>
      <c r="FW2" s="183">
        <f t="shared" si="0"/>
        <v>46446</v>
      </c>
      <c r="FX2" s="183">
        <f t="shared" si="0"/>
        <v>46477</v>
      </c>
      <c r="FY2" s="183">
        <f t="shared" si="0"/>
        <v>46507</v>
      </c>
      <c r="FZ2" s="183">
        <f t="shared" si="0"/>
        <v>46538</v>
      </c>
      <c r="GA2" s="183">
        <f t="shared" si="0"/>
        <v>46568</v>
      </c>
      <c r="GB2" s="183">
        <f t="shared" si="0"/>
        <v>46599</v>
      </c>
      <c r="GC2" s="183">
        <f t="shared" si="0"/>
        <v>46630</v>
      </c>
      <c r="GD2" s="183">
        <f t="shared" si="0"/>
        <v>46660</v>
      </c>
      <c r="GE2" s="183">
        <f t="shared" si="0"/>
        <v>46691</v>
      </c>
      <c r="GF2" s="183">
        <f t="shared" si="0"/>
        <v>46721</v>
      </c>
      <c r="GG2" s="183">
        <f t="shared" si="0"/>
        <v>46752</v>
      </c>
      <c r="GH2" s="183">
        <f t="shared" si="0"/>
        <v>46783</v>
      </c>
      <c r="GI2" s="183">
        <f t="shared" si="0"/>
        <v>46812</v>
      </c>
      <c r="GJ2" s="183">
        <f t="shared" si="0"/>
        <v>46843</v>
      </c>
      <c r="GK2" s="183">
        <f t="shared" si="0"/>
        <v>46873</v>
      </c>
      <c r="GL2" s="183">
        <f t="shared" si="0"/>
        <v>46904</v>
      </c>
      <c r="GM2" s="183">
        <f t="shared" si="0"/>
        <v>46934</v>
      </c>
      <c r="GN2" s="183">
        <f t="shared" si="0"/>
        <v>46965</v>
      </c>
      <c r="GO2" s="183">
        <f t="shared" si="0"/>
        <v>46996</v>
      </c>
      <c r="GP2" s="183">
        <f t="shared" si="0"/>
        <v>47026</v>
      </c>
      <c r="GQ2" s="183">
        <f t="shared" si="0"/>
        <v>47057</v>
      </c>
      <c r="GR2" s="183">
        <f t="shared" si="0"/>
        <v>47087</v>
      </c>
      <c r="GS2" s="183">
        <f t="shared" si="0"/>
        <v>47118</v>
      </c>
      <c r="GT2" s="183">
        <f t="shared" si="0"/>
        <v>47149</v>
      </c>
      <c r="GU2" s="183">
        <f t="shared" si="0"/>
        <v>47177</v>
      </c>
      <c r="GV2" s="183">
        <f t="shared" si="0"/>
        <v>47208</v>
      </c>
      <c r="GW2" s="183">
        <f t="shared" si="0"/>
        <v>47238</v>
      </c>
      <c r="GX2" s="183">
        <f t="shared" si="0"/>
        <v>47269</v>
      </c>
      <c r="GY2" s="183">
        <f t="shared" si="0"/>
        <v>47299</v>
      </c>
      <c r="GZ2" s="183">
        <f t="shared" si="0"/>
        <v>47330</v>
      </c>
      <c r="HA2" s="183">
        <f t="shared" si="0"/>
        <v>47361</v>
      </c>
      <c r="HB2" s="183">
        <f t="shared" si="0"/>
        <v>47391</v>
      </c>
      <c r="HC2" s="183">
        <f t="shared" si="0"/>
        <v>47422</v>
      </c>
      <c r="HD2" s="183">
        <f t="shared" si="0"/>
        <v>47452</v>
      </c>
      <c r="HE2" s="183">
        <f t="shared" si="0"/>
        <v>47483</v>
      </c>
      <c r="HF2" s="183">
        <f t="shared" si="0"/>
        <v>47514</v>
      </c>
      <c r="HG2" s="183">
        <f t="shared" si="0"/>
        <v>47542</v>
      </c>
      <c r="HH2" s="183">
        <f t="shared" si="0"/>
        <v>47573</v>
      </c>
      <c r="HI2" s="183"/>
      <c r="HJ2" s="183"/>
      <c r="HK2" s="183"/>
      <c r="HL2" s="183"/>
    </row>
    <row r="4" spans="1:294" x14ac:dyDescent="0.25">
      <c r="A4" t="s">
        <v>110</v>
      </c>
      <c r="B4" t="s">
        <v>111</v>
      </c>
    </row>
    <row r="5" spans="1:294" x14ac:dyDescent="0.25">
      <c r="A5" t="s">
        <v>414</v>
      </c>
      <c r="B5" t="s">
        <v>416</v>
      </c>
      <c r="C5" cm="1">
        <f t="array" ref="C5">_xll.EQNXTDZ($A$1,$B5,C$1)</f>
        <v>0</v>
      </c>
      <c r="D5" cm="1">
        <f t="array" ref="D5">_xll.EQNXTDZ($A$1,$B5,D$1)</f>
        <v>0</v>
      </c>
      <c r="E5" cm="1">
        <f t="array" ref="E5">_xll.EQNXTDZ($A$1,$B5,E$1)</f>
        <v>0</v>
      </c>
      <c r="F5" cm="1">
        <f t="array" ref="F5">_xll.EQNXTDZ($A$1,$B5,F$1)</f>
        <v>0</v>
      </c>
      <c r="G5" cm="1">
        <f t="array" ref="G5">_xll.EQNXTDZ($A$1,$B5,G$1)</f>
        <v>0</v>
      </c>
      <c r="H5" cm="1">
        <f t="array" ref="H5">_xll.EQNXTDZ($A$1,$B5,H$1)</f>
        <v>0</v>
      </c>
      <c r="I5" cm="1">
        <f t="array" ref="I5">_xll.EQNXTDZ($A$1,$B5,I$1)</f>
        <v>0</v>
      </c>
      <c r="J5" cm="1">
        <f t="array" ref="J5">_xll.EQNXTDZ($A$1,$B5,J$1)</f>
        <v>0</v>
      </c>
      <c r="K5" cm="1">
        <f t="array" ref="K5">_xll.EQNXTDZ($A$1,$B5,K$1)</f>
        <v>0</v>
      </c>
      <c r="L5" cm="1">
        <f t="array" ref="L5">_xll.EQNXTDZ($A$1,$B5,L$1)</f>
        <v>0</v>
      </c>
      <c r="M5" cm="1">
        <f t="array" ref="M5">_xll.EQNXTDZ($A$1,$B5,M$1)</f>
        <v>0</v>
      </c>
      <c r="N5" cm="1">
        <f t="array" ref="N5">_xll.EQNXTDZ($A$1,$B5,N$1)</f>
        <v>0</v>
      </c>
      <c r="O5" cm="1">
        <f t="array" ref="O5">_xll.EQNXTDZ($A$1,$B5,O$1)</f>
        <v>0</v>
      </c>
      <c r="P5" cm="1">
        <f t="array" ref="P5">_xll.EQNXTDZ($A$1,$B5,P$1)</f>
        <v>0</v>
      </c>
      <c r="Q5" cm="1">
        <f t="array" ref="Q5">_xll.EQNXTDZ($A$1,$B5,Q$1)</f>
        <v>0</v>
      </c>
      <c r="R5" cm="1">
        <f t="array" ref="R5">_xll.EQNXTDZ($A$1,$B5,R$1)</f>
        <v>0</v>
      </c>
      <c r="S5" cm="1">
        <f t="array" ref="S5">_xll.EQNXTDZ($A$1,$B5,S$1)</f>
        <v>0</v>
      </c>
      <c r="T5" cm="1">
        <f t="array" ref="T5">_xll.EQNXTDZ($A$1,$B5,T$1)</f>
        <v>0</v>
      </c>
      <c r="U5" cm="1">
        <f t="array" ref="U5">_xll.EQNXTDZ($A$1,$B5,U$1)</f>
        <v>0</v>
      </c>
      <c r="V5" cm="1">
        <f t="array" ref="V5">_xll.EQNXTDZ($A$1,$B5,V$1)</f>
        <v>0</v>
      </c>
      <c r="W5" cm="1">
        <f t="array" ref="W5">_xll.EQNXTDZ($A$1,$B5,W$1)</f>
        <v>0</v>
      </c>
      <c r="X5" cm="1">
        <f t="array" ref="X5">_xll.EQNXTDZ($A$1,$B5,X$1)</f>
        <v>0</v>
      </c>
      <c r="Y5" cm="1">
        <f t="array" ref="Y5">_xll.EQNXTDZ($A$1,$B5,Y$1)</f>
        <v>0</v>
      </c>
      <c r="Z5" cm="1">
        <f t="array" ref="Z5">_xll.EQNXTDZ($A$1,$B5,Z$1)</f>
        <v>0</v>
      </c>
      <c r="AA5" cm="1">
        <f t="array" ref="AA5">_xll.EQNXTDZ($A$1,$B5,AA$1)</f>
        <v>0</v>
      </c>
      <c r="AB5" cm="1">
        <f t="array" ref="AB5">_xll.EQNXTDZ($A$1,$B5,AB$1)</f>
        <v>0</v>
      </c>
      <c r="AC5" cm="1">
        <f t="array" ref="AC5">_xll.EQNXTDZ($A$1,$B5,AC$1)</f>
        <v>0</v>
      </c>
      <c r="AD5" cm="1">
        <f t="array" ref="AD5">_xll.EQNXTDZ($A$1,$B5,AD$1)</f>
        <v>0</v>
      </c>
      <c r="AE5" cm="1">
        <f t="array" ref="AE5">_xll.EQNXTDZ($A$1,$B5,AE$1)</f>
        <v>0</v>
      </c>
      <c r="AF5" cm="1">
        <f t="array" ref="AF5">_xll.EQNXTDZ($A$1,$B5,AF$1)</f>
        <v>0</v>
      </c>
      <c r="AG5" cm="1">
        <f t="array" ref="AG5">_xll.EQNXTDZ($A$1,$B5,AG$1)</f>
        <v>0</v>
      </c>
      <c r="AH5" cm="1">
        <f t="array" ref="AH5">_xll.EQNXTDZ($A$1,$B5,AH$1)</f>
        <v>0</v>
      </c>
      <c r="AI5" cm="1">
        <f t="array" ref="AI5">_xll.EQNXTDZ($A$1,$B5,AI$1)</f>
        <v>0</v>
      </c>
      <c r="AJ5" cm="1">
        <f t="array" ref="AJ5">_xll.EQNXTDZ($A$1,$B5,AJ$1)</f>
        <v>0</v>
      </c>
      <c r="AK5" cm="1">
        <f t="array" ref="AK5">_xll.EQNXTDZ($A$1,$B5,AK$1)</f>
        <v>0</v>
      </c>
      <c r="AL5" cm="1">
        <f t="array" ref="AL5">_xll.EQNXTDZ($A$1,$B5,AL$1)</f>
        <v>0</v>
      </c>
      <c r="AM5" cm="1">
        <f t="array" ref="AM5">_xll.EQNXTDZ($A$1,$B5,AM$1)</f>
        <v>0</v>
      </c>
      <c r="AN5" cm="1">
        <f t="array" ref="AN5">_xll.EQNXTDZ($A$1,$B5,AN$1)</f>
        <v>0</v>
      </c>
      <c r="AO5" cm="1">
        <f t="array" ref="AO5">_xll.EQNXTDZ($A$1,$B5,AO$1)</f>
        <v>0</v>
      </c>
      <c r="AP5" cm="1">
        <f t="array" ref="AP5">_xll.EQNXTDZ($A$1,$B5,AP$1)</f>
        <v>0</v>
      </c>
      <c r="AQ5" cm="1">
        <f t="array" ref="AQ5">_xll.EQNXTDZ($A$1,$B5,AQ$1)</f>
        <v>0</v>
      </c>
      <c r="AR5" cm="1">
        <f t="array" ref="AR5">_xll.EQNXTDZ($A$1,$B5,AR$1)</f>
        <v>0</v>
      </c>
      <c r="AS5" cm="1">
        <f t="array" ref="AS5">_xll.EQNXTDZ($A$1,$B5,AS$1)</f>
        <v>0</v>
      </c>
      <c r="AT5" cm="1">
        <f t="array" ref="AT5">_xll.EQNXTDZ($A$1,$B5,AT$1)</f>
        <v>0</v>
      </c>
      <c r="AU5" cm="1">
        <f t="array" ref="AU5">_xll.EQNXTDZ($A$1,$B5,AU$1)</f>
        <v>0</v>
      </c>
      <c r="AV5" cm="1">
        <f t="array" ref="AV5">_xll.EQNXTDZ($A$1,$B5,AV$1)</f>
        <v>0</v>
      </c>
      <c r="AW5" cm="1">
        <f t="array" ref="AW5">_xll.EQNXTDZ($A$1,$B5,AW$1)</f>
        <v>0</v>
      </c>
      <c r="AX5" cm="1">
        <f t="array" ref="AX5">_xll.EQNXTDZ($A$1,$B5,AX$1)</f>
        <v>0</v>
      </c>
      <c r="AY5" cm="1">
        <f t="array" ref="AY5">_xll.EQNXTDZ($A$1,$B5,AY$1)</f>
        <v>0</v>
      </c>
      <c r="AZ5" cm="1">
        <f t="array" ref="AZ5">_xll.EQNXTDZ($A$1,$B5,AZ$1)</f>
        <v>0</v>
      </c>
      <c r="BA5" cm="1">
        <f t="array" ref="BA5">_xll.EQNXTDZ($A$1,$B5,BA$1)</f>
        <v>0</v>
      </c>
      <c r="BB5" cm="1">
        <f t="array" ref="BB5">_xll.EQNXTDZ($A$1,$B5,BB$1)</f>
        <v>0</v>
      </c>
      <c r="BC5" cm="1">
        <f t="array" ref="BC5">_xll.EQNXTDZ($A$1,$B5,BC$1)</f>
        <v>0</v>
      </c>
      <c r="BD5" cm="1">
        <f t="array" ref="BD5">_xll.EQNXTDZ($A$1,$B5,BD$1)</f>
        <v>0</v>
      </c>
      <c r="BE5" cm="1">
        <f t="array" ref="BE5">_xll.EQNXTDZ($A$1,$B5,BE$1)</f>
        <v>0</v>
      </c>
      <c r="BF5" cm="1">
        <f t="array" ref="BF5">_xll.EQNXTDZ($A$1,$B5,BF$1)</f>
        <v>0</v>
      </c>
      <c r="BG5" cm="1">
        <f t="array" ref="BG5">_xll.EQNXTDZ($A$1,$B5,BG$1)</f>
        <v>0</v>
      </c>
      <c r="BH5" cm="1">
        <f t="array" ref="BH5">_xll.EQNXTDZ($A$1,$B5,BH$1)</f>
        <v>0</v>
      </c>
      <c r="BI5" cm="1">
        <f t="array" ref="BI5">_xll.EQNXTDZ($A$1,$B5,BI$1)</f>
        <v>0</v>
      </c>
      <c r="BJ5" cm="1">
        <f t="array" ref="BJ5">_xll.EQNXTDZ($A$1,$B5,BJ$1)</f>
        <v>0</v>
      </c>
      <c r="BK5" cm="1">
        <f t="array" ref="BK5">_xll.EQNXTDZ($A$1,$B5,BK$1)</f>
        <v>0</v>
      </c>
      <c r="BL5" cm="1">
        <f t="array" ref="BL5">_xll.EQNXTDZ($A$1,$B5,BL$1)</f>
        <v>0</v>
      </c>
      <c r="BM5" cm="1">
        <f t="array" ref="BM5">_xll.EQNXTDZ($A$1,$B5,BM$1)</f>
        <v>0</v>
      </c>
      <c r="BN5" cm="1">
        <f t="array" ref="BN5">_xll.EQNXTDZ($A$1,$B5,BN$1)</f>
        <v>0</v>
      </c>
      <c r="BO5" cm="1">
        <f t="array" ref="BO5">_xll.EQNXTDZ($A$1,$B5,BO$1)</f>
        <v>0</v>
      </c>
      <c r="BP5" cm="1">
        <f t="array" ref="BP5">_xll.EQNXTDZ($A$1,$B5,BP$1)</f>
        <v>0</v>
      </c>
      <c r="BQ5" cm="1">
        <f t="array" ref="BQ5">_xll.EQNXTDZ($A$1,$B5,BQ$1)</f>
        <v>0</v>
      </c>
      <c r="BR5" cm="1">
        <f t="array" ref="BR5">_xll.EQNXTDZ($A$1,$B5,BR$1)</f>
        <v>0</v>
      </c>
      <c r="BS5" cm="1">
        <f t="array" ref="BS5">_xll.EQNXTDZ($A$1,$B5,BS$1)</f>
        <v>0</v>
      </c>
      <c r="BT5" cm="1">
        <f t="array" ref="BT5">_xll.EQNXTDZ($A$1,$B5,BT$1)</f>
        <v>0</v>
      </c>
      <c r="BU5" cm="1">
        <f t="array" ref="BU5">_xll.EQNXTDZ($A$1,$B5,BU$1)</f>
        <v>0</v>
      </c>
      <c r="BV5" cm="1">
        <f t="array" ref="BV5">_xll.EQNXTDZ($A$1,$B5,BV$1)</f>
        <v>0</v>
      </c>
      <c r="BW5" cm="1">
        <f t="array" ref="BW5">_xll.EQNXTDZ($A$1,$B5,BW$1)</f>
        <v>0</v>
      </c>
      <c r="BX5" cm="1">
        <f t="array" ref="BX5">_xll.EQNXTDZ($A$1,$B5,BX$1)</f>
        <v>0</v>
      </c>
      <c r="BY5" cm="1">
        <f t="array" ref="BY5">_xll.EQNXTDZ($A$1,$B5,BY$1)</f>
        <v>0</v>
      </c>
      <c r="BZ5" cm="1">
        <f t="array" ref="BZ5">_xll.EQNXTDZ($A$1,$B5,BZ$1)</f>
        <v>0</v>
      </c>
      <c r="CA5" cm="1">
        <f t="array" ref="CA5">_xll.EQNXTDZ($A$1,$B5,CA$1)</f>
        <v>0</v>
      </c>
      <c r="CB5" cm="1">
        <f t="array" ref="CB5">_xll.EQNXTDZ($A$1,$B5,CB$1)</f>
        <v>0</v>
      </c>
      <c r="CC5" cm="1">
        <f t="array" ref="CC5">_xll.EQNXTDZ($A$1,$B5,CC$1)</f>
        <v>0</v>
      </c>
      <c r="CD5" cm="1">
        <f t="array" ref="CD5">_xll.EQNXTDZ($A$1,$B5,CD$1)</f>
        <v>0</v>
      </c>
      <c r="CE5" cm="1">
        <f t="array" ref="CE5">_xll.EQNXTDZ($A$1,$B5,CE$1)</f>
        <v>0</v>
      </c>
      <c r="CF5" cm="1">
        <f t="array" ref="CF5">_xll.EQNXTDZ($A$1,$B5,CF$1)</f>
        <v>0</v>
      </c>
      <c r="CG5" cm="1">
        <f t="array" ref="CG5">_xll.EQNXTDZ($A$1,$B5,CG$1)</f>
        <v>0</v>
      </c>
      <c r="CH5" cm="1">
        <f t="array" ref="CH5">_xll.EQNXTDZ($A$1,$B5,CH$1)</f>
        <v>0</v>
      </c>
      <c r="CI5" cm="1">
        <f t="array" ref="CI5">_xll.EQNXTDZ($A$1,$B5,CI$1)</f>
        <v>0</v>
      </c>
      <c r="CJ5" cm="1">
        <f t="array" ref="CJ5">_xll.EQNXTDZ($A$1,$B5,CJ$1)</f>
        <v>0</v>
      </c>
      <c r="CK5" cm="1">
        <f t="array" ref="CK5">_xll.EQNXTDZ($A$1,$B5,CK$1)</f>
        <v>0</v>
      </c>
      <c r="CL5" cm="1">
        <f t="array" ref="CL5">_xll.EQNXTDZ($A$1,$B5,CL$1)</f>
        <v>0</v>
      </c>
      <c r="CM5" cm="1">
        <f t="array" ref="CM5">_xll.EQNXTDZ($A$1,$B5,CM$1)</f>
        <v>0</v>
      </c>
      <c r="CN5" cm="1">
        <f t="array" ref="CN5">_xll.EQNXTDZ($A$1,$B5,CN$1)</f>
        <v>0</v>
      </c>
      <c r="CO5" cm="1">
        <f t="array" ref="CO5">_xll.EQNXTDZ($A$1,$B5,CO$1)</f>
        <v>0</v>
      </c>
      <c r="CP5" cm="1">
        <f t="array" ref="CP5">_xll.EQNXTDZ($A$1,$B5,CP$1)</f>
        <v>0</v>
      </c>
      <c r="CQ5" cm="1">
        <f t="array" ref="CQ5">_xll.EQNXTDZ($A$1,$B5,CQ$1)</f>
        <v>0</v>
      </c>
      <c r="CR5" cm="1">
        <f t="array" ref="CR5">_xll.EQNXTDZ($A$1,$B5,CR$1)</f>
        <v>0</v>
      </c>
      <c r="CS5" cm="1">
        <f t="array" ref="CS5">_xll.EQNXTDZ($A$1,$B5,CS$1)</f>
        <v>0</v>
      </c>
      <c r="CT5" cm="1">
        <f t="array" ref="CT5">_xll.EQNXTDZ($A$1,$B5,CT$1)</f>
        <v>0</v>
      </c>
      <c r="CU5" cm="1">
        <f t="array" ref="CU5">_xll.EQNXTDZ($A$1,$B5,CU$1)</f>
        <v>0</v>
      </c>
      <c r="CV5" cm="1">
        <f t="array" ref="CV5">_xll.EQNXTDZ($A$1,$B5,CV$1)</f>
        <v>0</v>
      </c>
      <c r="CW5" cm="1">
        <f t="array" ref="CW5">_xll.EQNXTDZ($A$1,$B5,CW$1)</f>
        <v>0</v>
      </c>
      <c r="CX5" cm="1">
        <f t="array" ref="CX5">_xll.EQNXTDZ($A$1,$B5,CX$1)</f>
        <v>0</v>
      </c>
      <c r="CY5" cm="1">
        <f t="array" ref="CY5">_xll.EQNXTDZ($A$1,$B5,CY$1)</f>
        <v>0</v>
      </c>
      <c r="CZ5" cm="1">
        <f t="array" ref="CZ5">_xll.EQNXTDZ($A$1,$B5,CZ$1)</f>
        <v>0</v>
      </c>
      <c r="DA5" cm="1">
        <f t="array" ref="DA5">_xll.EQNXTDZ($A$1,$B5,DA$1)</f>
        <v>0</v>
      </c>
      <c r="DB5" cm="1">
        <f t="array" ref="DB5">_xll.EQNXTDZ($A$1,$B5,DB$1)</f>
        <v>0</v>
      </c>
      <c r="DC5" cm="1">
        <f t="array" ref="DC5">_xll.EQNXTDZ($A$1,$B5,DC$1)</f>
        <v>0</v>
      </c>
      <c r="DD5" cm="1">
        <f t="array" ref="DD5">_xll.EQNXTDZ($A$1,$B5,DD$1)</f>
        <v>0</v>
      </c>
      <c r="DE5" cm="1">
        <f t="array" ref="DE5">_xll.EQNXTDZ($A$1,$B5,DE$1)</f>
        <v>0</v>
      </c>
      <c r="DF5" cm="1">
        <f t="array" ref="DF5">_xll.EQNXTDZ($A$1,$B5,DF$1)</f>
        <v>0</v>
      </c>
      <c r="DG5" cm="1">
        <f t="array" ref="DG5">_xll.EQNXTDZ($A$1,$B5,DG$1)</f>
        <v>0</v>
      </c>
      <c r="DH5" cm="1">
        <f t="array" ref="DH5">_xll.EQNXTDZ($A$1,$B5,DH$1)</f>
        <v>0</v>
      </c>
      <c r="DI5" cm="1">
        <f t="array" ref="DI5">_xll.EQNXTDZ($A$1,$B5,DI$1)</f>
        <v>0</v>
      </c>
      <c r="DJ5" cm="1">
        <f t="array" ref="DJ5">_xll.EQNXTDZ($A$1,$B5,DJ$1)</f>
        <v>0</v>
      </c>
      <c r="DK5" cm="1">
        <f t="array" ref="DK5">_xll.EQNXTDZ($A$1,$B5,DK$1)</f>
        <v>0</v>
      </c>
      <c r="DL5" cm="1">
        <f t="array" ref="DL5">_xll.EQNXTDZ($A$1,$B5,DL$1)</f>
        <v>0</v>
      </c>
      <c r="DM5" cm="1">
        <f t="array" ref="DM5">_xll.EQNXTDZ($A$1,$B5,DM$1)</f>
        <v>0</v>
      </c>
      <c r="DN5" cm="1">
        <f t="array" ref="DN5">_xll.EQNXTDZ($A$1,$B5,DN$1)</f>
        <v>0</v>
      </c>
      <c r="DO5" cm="1">
        <f t="array" ref="DO5">_xll.EQNXTDZ($A$1,$B5,DO$1)</f>
        <v>0</v>
      </c>
      <c r="DP5" cm="1">
        <f t="array" ref="DP5">_xll.EQNXTDZ($A$1,$B5,DP$1)</f>
        <v>0</v>
      </c>
      <c r="DQ5" cm="1">
        <f t="array" ref="DQ5">_xll.EQNXTDZ($A$1,$B5,DQ$1)</f>
        <v>0</v>
      </c>
      <c r="DR5" cm="1">
        <f t="array" ref="DR5">_xll.EQNXTDZ($A$1,$B5,DR$1)</f>
        <v>0</v>
      </c>
      <c r="DS5" cm="1">
        <f t="array" ref="DS5">_xll.EQNXTDZ($A$1,$B5,DS$1)</f>
        <v>0</v>
      </c>
      <c r="DT5" cm="1">
        <f t="array" ref="DT5">_xll.EQNXTDZ($A$1,$B5,DT$1)</f>
        <v>0</v>
      </c>
      <c r="DU5" cm="1">
        <f t="array" ref="DU5">_xll.EQNXTDZ($A$1,$B5,DU$1)</f>
        <v>0</v>
      </c>
      <c r="DV5" cm="1">
        <f t="array" ref="DV5">_xll.EQNXTDZ($A$1,$B5,DV$1)</f>
        <v>0</v>
      </c>
      <c r="DW5" cm="1">
        <f t="array" ref="DW5">_xll.EQNXTDZ($A$1,$B5,DW$1)</f>
        <v>0</v>
      </c>
      <c r="DX5" cm="1">
        <f t="array" ref="DX5">_xll.EQNXTDZ($A$1,$B5,DX$1)</f>
        <v>0</v>
      </c>
      <c r="DY5" cm="1">
        <f t="array" ref="DY5">_xll.EQNXTDZ($A$1,$B5,DY$1)</f>
        <v>0</v>
      </c>
      <c r="DZ5" cm="1">
        <f t="array" ref="DZ5">_xll.EQNXTDZ($A$1,$B5,DZ$1)</f>
        <v>0</v>
      </c>
      <c r="EA5" cm="1">
        <f t="array" ref="EA5">_xll.EQNXTDZ($A$1,$B5,EA$1)</f>
        <v>0</v>
      </c>
      <c r="EB5" cm="1">
        <f t="array" ref="EB5">_xll.EQNXTDZ($A$1,$B5,EB$1)</f>
        <v>0</v>
      </c>
      <c r="EC5" cm="1">
        <f t="array" ref="EC5">_xll.EQNXTDZ($A$1,$B5,EC$1)</f>
        <v>0</v>
      </c>
      <c r="ED5" cm="1">
        <f t="array" ref="ED5">_xll.EQNXTDZ($A$1,$B5,ED$1)</f>
        <v>0</v>
      </c>
      <c r="EE5" cm="1">
        <f t="array" ref="EE5">_xll.EQNXTDZ($A$1,$B5,EE$1)</f>
        <v>0</v>
      </c>
      <c r="EF5" cm="1">
        <f t="array" ref="EF5">_xll.EQNXTDZ($A$1,$B5,EF$1)</f>
        <v>202307</v>
      </c>
      <c r="EG5" cm="1">
        <f t="array" ref="EG5">_xll.EQNXTDZ($A$1,$B5,EG$1)</f>
        <v>202308</v>
      </c>
      <c r="EH5" cm="1">
        <f t="array" ref="EH5">_xll.EQNXTDZ($A$1,$B5,EH$1)</f>
        <v>202309</v>
      </c>
      <c r="EI5" cm="1">
        <f t="array" ref="EI5">_xll.EQNXTDZ($A$1,$B5,EI$1)</f>
        <v>202310</v>
      </c>
      <c r="EJ5" cm="1">
        <f t="array" ref="EJ5">_xll.EQNXTDZ($A$1,$B5,EJ$1)</f>
        <v>202311</v>
      </c>
      <c r="EK5" cm="1">
        <f t="array" ref="EK5">_xll.EQNXTDZ($A$1,$B5,EK$1)</f>
        <v>202312</v>
      </c>
      <c r="EL5" cm="1">
        <f t="array" ref="EL5">_xll.EQNXTDZ($A$1,$B5,EL$1)</f>
        <v>202401</v>
      </c>
      <c r="EM5" cm="1">
        <f t="array" ref="EM5">_xll.EQNXTDZ($A$1,$B5,EM$1)</f>
        <v>202402</v>
      </c>
      <c r="EN5" cm="1">
        <f t="array" ref="EN5">_xll.EQNXTDZ($A$1,$B5,EN$1)</f>
        <v>202403</v>
      </c>
      <c r="EO5" cm="1">
        <f t="array" ref="EO5">_xll.EQNXTDZ($A$1,$B5,EO$1)</f>
        <v>202404</v>
      </c>
      <c r="EP5" cm="1">
        <f t="array" ref="EP5">_xll.EQNXTDZ($A$1,$B5,EP$1)</f>
        <v>202405</v>
      </c>
      <c r="EQ5" cm="1">
        <f t="array" ref="EQ5">_xll.EQNXTDZ($A$1,$B5,EQ$1)</f>
        <v>202406</v>
      </c>
      <c r="ER5" cm="1">
        <f t="array" ref="ER5">_xll.EQNXTDZ($A$1,$B5,ER$1)</f>
        <v>202407</v>
      </c>
      <c r="ES5" cm="1">
        <f t="array" ref="ES5">_xll.EQNXTDZ($A$1,$B5,ES$1)</f>
        <v>202408</v>
      </c>
      <c r="ET5" cm="1">
        <f t="array" ref="ET5">_xll.EQNXTDZ($A$1,$B5,ET$1)</f>
        <v>202409</v>
      </c>
      <c r="EU5" cm="1">
        <f t="array" ref="EU5">_xll.EQNXTDZ($A$1,$B5,EU$1)</f>
        <v>202410</v>
      </c>
      <c r="EV5" cm="1">
        <f t="array" ref="EV5">_xll.EQNXTDZ($A$1,$B5,EV$1)</f>
        <v>202411</v>
      </c>
      <c r="EW5" cm="1">
        <f t="array" ref="EW5">_xll.EQNXTDZ($A$1,$B5,EW$1)</f>
        <v>202412</v>
      </c>
      <c r="EX5" cm="1">
        <f t="array" ref="EX5">_xll.EQNXTDZ($A$1,$B5,EX$1)</f>
        <v>202501</v>
      </c>
      <c r="EY5" cm="1">
        <f t="array" ref="EY5">_xll.EQNXTDZ($A$1,$B5,EY$1)</f>
        <v>202502</v>
      </c>
      <c r="EZ5" cm="1">
        <f t="array" ref="EZ5">_xll.EQNXTDZ($A$1,$B5,EZ$1)</f>
        <v>202503</v>
      </c>
      <c r="FA5" cm="1">
        <f t="array" ref="FA5">_xll.EQNXTDZ($A$1,$B5,FA$1)</f>
        <v>202504</v>
      </c>
      <c r="FB5" cm="1">
        <f t="array" ref="FB5">_xll.EQNXTDZ($A$1,$B5,FB$1)</f>
        <v>202505</v>
      </c>
      <c r="FC5" cm="1">
        <f t="array" ref="FC5">_xll.EQNXTDZ($A$1,$B5,FC$1)</f>
        <v>202506</v>
      </c>
      <c r="FD5" cm="1">
        <f t="array" ref="FD5">_xll.EQNXTDZ($A$1,$B5,FD$1)</f>
        <v>202507</v>
      </c>
      <c r="FE5" cm="1">
        <f t="array" ref="FE5">_xll.EQNXTDZ($A$1,$B5,FE$1)</f>
        <v>202508</v>
      </c>
      <c r="FF5" cm="1">
        <f t="array" ref="FF5">_xll.EQNXTDZ($A$1,$B5,FF$1)</f>
        <v>202509</v>
      </c>
      <c r="FG5" cm="1">
        <f t="array" ref="FG5">_xll.EQNXTDZ($A$1,$B5,FG$1)</f>
        <v>202510</v>
      </c>
      <c r="FH5" cm="1">
        <f t="array" ref="FH5">_xll.EQNXTDZ($A$1,$B5,FH$1)</f>
        <v>202511</v>
      </c>
      <c r="FI5" cm="1">
        <f t="array" ref="FI5">_xll.EQNXTDZ($A$1,$B5,FI$1)</f>
        <v>202512</v>
      </c>
      <c r="FJ5" cm="1">
        <f t="array" ref="FJ5">_xll.EQNXTDZ($A$1,$B5,FJ$1)</f>
        <v>202601</v>
      </c>
      <c r="FK5" cm="1">
        <f t="array" ref="FK5">_xll.EQNXTDZ($A$1,$B5,FK$1)</f>
        <v>202602</v>
      </c>
      <c r="FL5" cm="1">
        <f t="array" ref="FL5">_xll.EQNXTDZ($A$1,$B5,FL$1)</f>
        <v>202603</v>
      </c>
      <c r="FM5" cm="1">
        <f t="array" ref="FM5">_xll.EQNXTDZ($A$1,$B5,FM$1)</f>
        <v>202604</v>
      </c>
      <c r="FN5" cm="1">
        <f t="array" ref="FN5">_xll.EQNXTDZ($A$1,$B5,FN$1)</f>
        <v>202605</v>
      </c>
      <c r="FO5" cm="1">
        <f t="array" ref="FO5">_xll.EQNXTDZ($A$1,$B5,FO$1)</f>
        <v>202606</v>
      </c>
      <c r="FP5" cm="1">
        <f t="array" ref="FP5">_xll.EQNXTDZ($A$1,$B5,FP$1)</f>
        <v>0</v>
      </c>
      <c r="FQ5" cm="1">
        <f t="array" ref="FQ5">_xll.EQNXTDZ($A$1,$B5,FQ$1)</f>
        <v>0</v>
      </c>
      <c r="FR5" cm="1">
        <f t="array" ref="FR5">_xll.EQNXTDZ($A$1,$B5,FR$1)</f>
        <v>0</v>
      </c>
      <c r="FS5" cm="1">
        <f t="array" ref="FS5">_xll.EQNXTDZ($A$1,$B5,FS$1)</f>
        <v>0</v>
      </c>
      <c r="FT5" cm="1">
        <f t="array" ref="FT5">_xll.EQNXTDZ($A$1,$B5,FT$1)</f>
        <v>0</v>
      </c>
      <c r="FU5" cm="1">
        <f t="array" ref="FU5">_xll.EQNXTDZ($A$1,$B5,FU$1)</f>
        <v>0</v>
      </c>
      <c r="FV5" cm="1">
        <f t="array" ref="FV5">_xll.EQNXTDZ($A$1,$B5,FV$1)</f>
        <v>0</v>
      </c>
      <c r="FW5" cm="1">
        <f t="array" ref="FW5">_xll.EQNXTDZ($A$1,$B5,FW$1)</f>
        <v>0</v>
      </c>
      <c r="FX5" cm="1">
        <f t="array" ref="FX5">_xll.EQNXTDZ($A$1,$B5,FX$1)</f>
        <v>0</v>
      </c>
      <c r="FY5" cm="1">
        <f t="array" ref="FY5">_xll.EQNXTDZ($A$1,$B5,FY$1)</f>
        <v>0</v>
      </c>
      <c r="FZ5" cm="1">
        <f t="array" ref="FZ5">_xll.EQNXTDZ($A$1,$B5,FZ$1)</f>
        <v>0</v>
      </c>
      <c r="GA5" cm="1">
        <f t="array" ref="GA5">_xll.EQNXTDZ($A$1,$B5,GA$1)</f>
        <v>0</v>
      </c>
      <c r="GB5" cm="1">
        <f t="array" ref="GB5">_xll.EQNXTDZ($A$1,$B5,GB$1)</f>
        <v>0</v>
      </c>
      <c r="GC5" cm="1">
        <f t="array" ref="GC5">_xll.EQNXTDZ($A$1,$B5,GC$1)</f>
        <v>0</v>
      </c>
      <c r="GD5" cm="1">
        <f t="array" ref="GD5">_xll.EQNXTDZ($A$1,$B5,GD$1)</f>
        <v>0</v>
      </c>
      <c r="GE5" cm="1">
        <f t="array" ref="GE5">_xll.EQNXTDZ($A$1,$B5,GE$1)</f>
        <v>0</v>
      </c>
      <c r="GF5" cm="1">
        <f t="array" ref="GF5">_xll.EQNXTDZ($A$1,$B5,GF$1)</f>
        <v>0</v>
      </c>
      <c r="GG5" cm="1">
        <f t="array" ref="GG5">_xll.EQNXTDZ($A$1,$B5,GG$1)</f>
        <v>0</v>
      </c>
      <c r="GH5" cm="1">
        <f t="array" ref="GH5">_xll.EQNXTDZ($A$1,$B5,GH$1)</f>
        <v>0</v>
      </c>
      <c r="GI5" cm="1">
        <f t="array" ref="GI5">_xll.EQNXTDZ($A$1,$B5,GI$1)</f>
        <v>0</v>
      </c>
      <c r="GJ5" cm="1">
        <f t="array" ref="GJ5">_xll.EQNXTDZ($A$1,$B5,GJ$1)</f>
        <v>0</v>
      </c>
      <c r="GK5" cm="1">
        <f t="array" ref="GK5">_xll.EQNXTDZ($A$1,$B5,GK$1)</f>
        <v>0</v>
      </c>
      <c r="GL5" cm="1">
        <f t="array" ref="GL5">_xll.EQNXTDZ($A$1,$B5,GL$1)</f>
        <v>0</v>
      </c>
      <c r="GM5" cm="1">
        <f t="array" ref="GM5">_xll.EQNXTDZ($A$1,$B5,GM$1)</f>
        <v>0</v>
      </c>
      <c r="GN5" cm="1">
        <f t="array" ref="GN5">_xll.EQNXTDZ($A$1,$B5,GN$1)</f>
        <v>0</v>
      </c>
      <c r="GO5" cm="1">
        <f t="array" ref="GO5">_xll.EQNXTDZ($A$1,$B5,GO$1)</f>
        <v>0</v>
      </c>
      <c r="GP5" cm="1">
        <f t="array" ref="GP5">_xll.EQNXTDZ($A$1,$B5,GP$1)</f>
        <v>0</v>
      </c>
      <c r="GQ5" cm="1">
        <f t="array" ref="GQ5">_xll.EQNXTDZ($A$1,$B5,GQ$1)</f>
        <v>0</v>
      </c>
      <c r="GR5" cm="1">
        <f t="array" ref="GR5">_xll.EQNXTDZ($A$1,$B5,GR$1)</f>
        <v>0</v>
      </c>
      <c r="GS5" cm="1">
        <f t="array" ref="GS5">_xll.EQNXTDZ($A$1,$B5,GS$1)</f>
        <v>0</v>
      </c>
      <c r="GT5" cm="1">
        <f t="array" ref="GT5">_xll.EQNXTDZ($A$1,$B5,GT$1)</f>
        <v>0</v>
      </c>
      <c r="GU5" cm="1">
        <f t="array" ref="GU5">_xll.EQNXTDZ($A$1,$B5,GU$1)</f>
        <v>0</v>
      </c>
      <c r="GV5" cm="1">
        <f t="array" ref="GV5">_xll.EQNXTDZ($A$1,$B5,GV$1)</f>
        <v>0</v>
      </c>
      <c r="GW5" cm="1">
        <f t="array" ref="GW5">_xll.EQNXTDZ($A$1,$B5,GW$1)</f>
        <v>0</v>
      </c>
      <c r="GX5" cm="1">
        <f t="array" ref="GX5">_xll.EQNXTDZ($A$1,$B5,GX$1)</f>
        <v>0</v>
      </c>
      <c r="GY5" cm="1">
        <f t="array" ref="GY5">_xll.EQNXTDZ($A$1,$B5,GY$1)</f>
        <v>0</v>
      </c>
      <c r="GZ5" cm="1">
        <f t="array" ref="GZ5">_xll.EQNXTDZ($A$1,$B5,GZ$1)</f>
        <v>0</v>
      </c>
      <c r="HA5" cm="1">
        <f t="array" ref="HA5">_xll.EQNXTDZ($A$1,$B5,HA$1)</f>
        <v>0</v>
      </c>
      <c r="HB5" cm="1">
        <f t="array" ref="HB5">_xll.EQNXTDZ($A$1,$B5,HB$1)</f>
        <v>0</v>
      </c>
      <c r="HC5" cm="1">
        <f t="array" ref="HC5">_xll.EQNXTDZ($A$1,$B5,HC$1)</f>
        <v>0</v>
      </c>
      <c r="HD5" cm="1">
        <f t="array" ref="HD5">_xll.EQNXTDZ($A$1,$B5,HD$1)</f>
        <v>0</v>
      </c>
      <c r="HE5" cm="1">
        <f t="array" ref="HE5">_xll.EQNXTDZ($A$1,$B5,HE$1)</f>
        <v>0</v>
      </c>
      <c r="HF5" cm="1">
        <f t="array" ref="HF5">_xll.EQNXTDZ($A$1,$B5,HF$1)</f>
        <v>0</v>
      </c>
      <c r="HG5" cm="1">
        <f t="array" ref="HG5">_xll.EQNXTDZ($A$1,$B5,HG$1)</f>
        <v>0</v>
      </c>
      <c r="HH5" cm="1">
        <f t="array" ref="HH5">_xll.EQNXTDZ($A$1,$B5,HH$1)</f>
        <v>0</v>
      </c>
    </row>
    <row r="6" spans="1:294" x14ac:dyDescent="0.25">
      <c r="A6" t="s">
        <v>415</v>
      </c>
      <c r="B6" t="s">
        <v>417</v>
      </c>
      <c r="C6" cm="1">
        <f t="array" ref="C6">_xll.EQNXTDZ($A$1,$B6,C$1)</f>
        <v>0</v>
      </c>
      <c r="D6" cm="1">
        <f t="array" ref="D6">_xll.EQNXTDZ($A$1,$B6,D$1)</f>
        <v>0</v>
      </c>
      <c r="E6" cm="1">
        <f t="array" ref="E6">_xll.EQNXTDZ($A$1,$B6,E$1)</f>
        <v>0</v>
      </c>
      <c r="F6" cm="1">
        <f t="array" ref="F6">_xll.EQNXTDZ($A$1,$B6,F$1)</f>
        <v>0</v>
      </c>
      <c r="G6" cm="1">
        <f t="array" ref="G6">_xll.EQNXTDZ($A$1,$B6,G$1)</f>
        <v>0</v>
      </c>
      <c r="H6" cm="1">
        <f t="array" ref="H6">_xll.EQNXTDZ($A$1,$B6,H$1)</f>
        <v>0</v>
      </c>
      <c r="I6" cm="1">
        <f t="array" ref="I6">_xll.EQNXTDZ($A$1,$B6,I$1)</f>
        <v>0</v>
      </c>
      <c r="J6" cm="1">
        <f t="array" ref="J6">_xll.EQNXTDZ($A$1,$B6,J$1)</f>
        <v>0</v>
      </c>
      <c r="K6" cm="1">
        <f t="array" ref="K6">_xll.EQNXTDZ($A$1,$B6,K$1)</f>
        <v>0</v>
      </c>
      <c r="L6" cm="1">
        <f t="array" ref="L6">_xll.EQNXTDZ($A$1,$B6,L$1)</f>
        <v>0</v>
      </c>
      <c r="M6" cm="1">
        <f t="array" ref="M6">_xll.EQNXTDZ($A$1,$B6,M$1)</f>
        <v>0</v>
      </c>
      <c r="N6" cm="1">
        <f t="array" ref="N6">_xll.EQNXTDZ($A$1,$B6,N$1)</f>
        <v>0</v>
      </c>
      <c r="O6" cm="1">
        <f t="array" ref="O6">_xll.EQNXTDZ($A$1,$B6,O$1)</f>
        <v>0</v>
      </c>
      <c r="P6" cm="1">
        <f t="array" ref="P6">_xll.EQNXTDZ($A$1,$B6,P$1)</f>
        <v>0</v>
      </c>
      <c r="Q6" cm="1">
        <f t="array" ref="Q6">_xll.EQNXTDZ($A$1,$B6,Q$1)</f>
        <v>0</v>
      </c>
      <c r="R6" cm="1">
        <f t="array" ref="R6">_xll.EQNXTDZ($A$1,$B6,R$1)</f>
        <v>0</v>
      </c>
      <c r="S6" cm="1">
        <f t="array" ref="S6">_xll.EQNXTDZ($A$1,$B6,S$1)</f>
        <v>0</v>
      </c>
      <c r="T6" cm="1">
        <f t="array" ref="T6">_xll.EQNXTDZ($A$1,$B6,T$1)</f>
        <v>0</v>
      </c>
      <c r="U6" cm="1">
        <f t="array" ref="U6">_xll.EQNXTDZ($A$1,$B6,U$1)</f>
        <v>0</v>
      </c>
      <c r="V6" cm="1">
        <f t="array" ref="V6">_xll.EQNXTDZ($A$1,$B6,V$1)</f>
        <v>0</v>
      </c>
      <c r="W6" cm="1">
        <f t="array" ref="W6">_xll.EQNXTDZ($A$1,$B6,W$1)</f>
        <v>0</v>
      </c>
      <c r="X6" cm="1">
        <f t="array" ref="X6">_xll.EQNXTDZ($A$1,$B6,X$1)</f>
        <v>0</v>
      </c>
      <c r="Y6" cm="1">
        <f t="array" ref="Y6">_xll.EQNXTDZ($A$1,$B6,Y$1)</f>
        <v>0</v>
      </c>
      <c r="Z6" cm="1">
        <f t="array" ref="Z6">_xll.EQNXTDZ($A$1,$B6,Z$1)</f>
        <v>0</v>
      </c>
      <c r="AA6" cm="1">
        <f t="array" ref="AA6">_xll.EQNXTDZ($A$1,$B6,AA$1)</f>
        <v>0</v>
      </c>
      <c r="AB6" cm="1">
        <f t="array" ref="AB6">_xll.EQNXTDZ($A$1,$B6,AB$1)</f>
        <v>0</v>
      </c>
      <c r="AC6" cm="1">
        <f t="array" ref="AC6">_xll.EQNXTDZ($A$1,$B6,AC$1)</f>
        <v>0</v>
      </c>
      <c r="AD6" cm="1">
        <f t="array" ref="AD6">_xll.EQNXTDZ($A$1,$B6,AD$1)</f>
        <v>0</v>
      </c>
      <c r="AE6" cm="1">
        <f t="array" ref="AE6">_xll.EQNXTDZ($A$1,$B6,AE$1)</f>
        <v>0</v>
      </c>
      <c r="AF6" cm="1">
        <f t="array" ref="AF6">_xll.EQNXTDZ($A$1,$B6,AF$1)</f>
        <v>0</v>
      </c>
      <c r="AG6" cm="1">
        <f t="array" ref="AG6">_xll.EQNXTDZ($A$1,$B6,AG$1)</f>
        <v>0</v>
      </c>
      <c r="AH6" cm="1">
        <f t="array" ref="AH6">_xll.EQNXTDZ($A$1,$B6,AH$1)</f>
        <v>0</v>
      </c>
      <c r="AI6" cm="1">
        <f t="array" ref="AI6">_xll.EQNXTDZ($A$1,$B6,AI$1)</f>
        <v>0</v>
      </c>
      <c r="AJ6" cm="1">
        <f t="array" ref="AJ6">_xll.EQNXTDZ($A$1,$B6,AJ$1)</f>
        <v>0</v>
      </c>
      <c r="AK6" cm="1">
        <f t="array" ref="AK6">_xll.EQNXTDZ($A$1,$B6,AK$1)</f>
        <v>0</v>
      </c>
      <c r="AL6" cm="1">
        <f t="array" ref="AL6">_xll.EQNXTDZ($A$1,$B6,AL$1)</f>
        <v>0</v>
      </c>
      <c r="AM6" cm="1">
        <f t="array" ref="AM6">_xll.EQNXTDZ($A$1,$B6,AM$1)</f>
        <v>0</v>
      </c>
      <c r="AN6" cm="1">
        <f t="array" ref="AN6">_xll.EQNXTDZ($A$1,$B6,AN$1)</f>
        <v>0</v>
      </c>
      <c r="AO6" cm="1">
        <f t="array" ref="AO6">_xll.EQNXTDZ($A$1,$B6,AO$1)</f>
        <v>0</v>
      </c>
      <c r="AP6" cm="1">
        <f t="array" ref="AP6">_xll.EQNXTDZ($A$1,$B6,AP$1)</f>
        <v>0</v>
      </c>
      <c r="AQ6" cm="1">
        <f t="array" ref="AQ6">_xll.EQNXTDZ($A$1,$B6,AQ$1)</f>
        <v>0</v>
      </c>
      <c r="AR6" cm="1">
        <f t="array" ref="AR6">_xll.EQNXTDZ($A$1,$B6,AR$1)</f>
        <v>0</v>
      </c>
      <c r="AS6" cm="1">
        <f t="array" ref="AS6">_xll.EQNXTDZ($A$1,$B6,AS$1)</f>
        <v>0</v>
      </c>
      <c r="AT6" cm="1">
        <f t="array" ref="AT6">_xll.EQNXTDZ($A$1,$B6,AT$1)</f>
        <v>0</v>
      </c>
      <c r="AU6" cm="1">
        <f t="array" ref="AU6">_xll.EQNXTDZ($A$1,$B6,AU$1)</f>
        <v>0</v>
      </c>
      <c r="AV6" cm="1">
        <f t="array" ref="AV6">_xll.EQNXTDZ($A$1,$B6,AV$1)</f>
        <v>0</v>
      </c>
      <c r="AW6" cm="1">
        <f t="array" ref="AW6">_xll.EQNXTDZ($A$1,$B6,AW$1)</f>
        <v>0</v>
      </c>
      <c r="AX6" cm="1">
        <f t="array" ref="AX6">_xll.EQNXTDZ($A$1,$B6,AX$1)</f>
        <v>0</v>
      </c>
      <c r="AY6" cm="1">
        <f t="array" ref="AY6">_xll.EQNXTDZ($A$1,$B6,AY$1)</f>
        <v>0</v>
      </c>
      <c r="AZ6" cm="1">
        <f t="array" ref="AZ6">_xll.EQNXTDZ($A$1,$B6,AZ$1)</f>
        <v>0</v>
      </c>
      <c r="BA6" cm="1">
        <f t="array" ref="BA6">_xll.EQNXTDZ($A$1,$B6,BA$1)</f>
        <v>0</v>
      </c>
      <c r="BB6" cm="1">
        <f t="array" ref="BB6">_xll.EQNXTDZ($A$1,$B6,BB$1)</f>
        <v>0</v>
      </c>
      <c r="BC6" cm="1">
        <f t="array" ref="BC6">_xll.EQNXTDZ($A$1,$B6,BC$1)</f>
        <v>0</v>
      </c>
      <c r="BD6" cm="1">
        <f t="array" ref="BD6">_xll.EQNXTDZ($A$1,$B6,BD$1)</f>
        <v>0</v>
      </c>
      <c r="BE6" cm="1">
        <f t="array" ref="BE6">_xll.EQNXTDZ($A$1,$B6,BE$1)</f>
        <v>0</v>
      </c>
      <c r="BF6" cm="1">
        <f t="array" ref="BF6">_xll.EQNXTDZ($A$1,$B6,BF$1)</f>
        <v>0</v>
      </c>
      <c r="BG6" cm="1">
        <f t="array" ref="BG6">_xll.EQNXTDZ($A$1,$B6,BG$1)</f>
        <v>0</v>
      </c>
      <c r="BH6" cm="1">
        <f t="array" ref="BH6">_xll.EQNXTDZ($A$1,$B6,BH$1)</f>
        <v>0</v>
      </c>
      <c r="BI6" cm="1">
        <f t="array" ref="BI6">_xll.EQNXTDZ($A$1,$B6,BI$1)</f>
        <v>0</v>
      </c>
      <c r="BJ6" cm="1">
        <f t="array" ref="BJ6">_xll.EQNXTDZ($A$1,$B6,BJ$1)</f>
        <v>0</v>
      </c>
      <c r="BK6" cm="1">
        <f t="array" ref="BK6">_xll.EQNXTDZ($A$1,$B6,BK$1)</f>
        <v>0</v>
      </c>
      <c r="BL6" cm="1">
        <f t="array" ref="BL6">_xll.EQNXTDZ($A$1,$B6,BL$1)</f>
        <v>0</v>
      </c>
      <c r="BM6" cm="1">
        <f t="array" ref="BM6">_xll.EQNXTDZ($A$1,$B6,BM$1)</f>
        <v>0</v>
      </c>
      <c r="BN6" cm="1">
        <f t="array" ref="BN6">_xll.EQNXTDZ($A$1,$B6,BN$1)</f>
        <v>0</v>
      </c>
      <c r="BO6" cm="1">
        <f t="array" ref="BO6">_xll.EQNXTDZ($A$1,$B6,BO$1)</f>
        <v>0</v>
      </c>
      <c r="BP6" cm="1">
        <f t="array" ref="BP6">_xll.EQNXTDZ($A$1,$B6,BP$1)</f>
        <v>0</v>
      </c>
      <c r="BQ6" cm="1">
        <f t="array" ref="BQ6">_xll.EQNXTDZ($A$1,$B6,BQ$1)</f>
        <v>0</v>
      </c>
      <c r="BR6" cm="1">
        <f t="array" ref="BR6">_xll.EQNXTDZ($A$1,$B6,BR$1)</f>
        <v>0</v>
      </c>
      <c r="BS6" cm="1">
        <f t="array" ref="BS6">_xll.EQNXTDZ($A$1,$B6,BS$1)</f>
        <v>0</v>
      </c>
      <c r="BT6" cm="1">
        <f t="array" ref="BT6">_xll.EQNXTDZ($A$1,$B6,BT$1)</f>
        <v>0</v>
      </c>
      <c r="BU6" cm="1">
        <f t="array" ref="BU6">_xll.EQNXTDZ($A$1,$B6,BU$1)</f>
        <v>0</v>
      </c>
      <c r="BV6" cm="1">
        <f t="array" ref="BV6">_xll.EQNXTDZ($A$1,$B6,BV$1)</f>
        <v>0</v>
      </c>
      <c r="BW6" cm="1">
        <f t="array" ref="BW6">_xll.EQNXTDZ($A$1,$B6,BW$1)</f>
        <v>0</v>
      </c>
      <c r="BX6" cm="1">
        <f t="array" ref="BX6">_xll.EQNXTDZ($A$1,$B6,BX$1)</f>
        <v>0</v>
      </c>
      <c r="BY6" cm="1">
        <f t="array" ref="BY6">_xll.EQNXTDZ($A$1,$B6,BY$1)</f>
        <v>0</v>
      </c>
      <c r="BZ6" cm="1">
        <f t="array" ref="BZ6">_xll.EQNXTDZ($A$1,$B6,BZ$1)</f>
        <v>0</v>
      </c>
      <c r="CA6" cm="1">
        <f t="array" ref="CA6">_xll.EQNXTDZ($A$1,$B6,CA$1)</f>
        <v>0</v>
      </c>
      <c r="CB6" cm="1">
        <f t="array" ref="CB6">_xll.EQNXTDZ($A$1,$B6,CB$1)</f>
        <v>0</v>
      </c>
      <c r="CC6" cm="1">
        <f t="array" ref="CC6">_xll.EQNXTDZ($A$1,$B6,CC$1)</f>
        <v>0</v>
      </c>
      <c r="CD6" cm="1">
        <f t="array" ref="CD6">_xll.EQNXTDZ($A$1,$B6,CD$1)</f>
        <v>0</v>
      </c>
      <c r="CE6" cm="1">
        <f t="array" ref="CE6">_xll.EQNXTDZ($A$1,$B6,CE$1)</f>
        <v>0</v>
      </c>
      <c r="CF6" cm="1">
        <f t="array" ref="CF6">_xll.EQNXTDZ($A$1,$B6,CF$1)</f>
        <v>0</v>
      </c>
      <c r="CG6" cm="1">
        <f t="array" ref="CG6">_xll.EQNXTDZ($A$1,$B6,CG$1)</f>
        <v>0</v>
      </c>
      <c r="CH6" cm="1">
        <f t="array" ref="CH6">_xll.EQNXTDZ($A$1,$B6,CH$1)</f>
        <v>0</v>
      </c>
      <c r="CI6" cm="1">
        <f t="array" ref="CI6">_xll.EQNXTDZ($A$1,$B6,CI$1)</f>
        <v>0</v>
      </c>
      <c r="CJ6" cm="1">
        <f t="array" ref="CJ6">_xll.EQNXTDZ($A$1,$B6,CJ$1)</f>
        <v>0</v>
      </c>
      <c r="CK6" cm="1">
        <f t="array" ref="CK6">_xll.EQNXTDZ($A$1,$B6,CK$1)</f>
        <v>0</v>
      </c>
      <c r="CL6" cm="1">
        <f t="array" ref="CL6">_xll.EQNXTDZ($A$1,$B6,CL$1)</f>
        <v>0</v>
      </c>
      <c r="CM6" cm="1">
        <f t="array" ref="CM6">_xll.EQNXTDZ($A$1,$B6,CM$1)</f>
        <v>0</v>
      </c>
      <c r="CN6" cm="1">
        <f t="array" ref="CN6">_xll.EQNXTDZ($A$1,$B6,CN$1)</f>
        <v>0</v>
      </c>
      <c r="CO6" cm="1">
        <f t="array" ref="CO6">_xll.EQNXTDZ($A$1,$B6,CO$1)</f>
        <v>0</v>
      </c>
      <c r="CP6" cm="1">
        <f t="array" ref="CP6">_xll.EQNXTDZ($A$1,$B6,CP$1)</f>
        <v>0</v>
      </c>
      <c r="CQ6" cm="1">
        <f t="array" ref="CQ6">_xll.EQNXTDZ($A$1,$B6,CQ$1)</f>
        <v>0</v>
      </c>
      <c r="CR6" cm="1">
        <f t="array" ref="CR6">_xll.EQNXTDZ($A$1,$B6,CR$1)</f>
        <v>0</v>
      </c>
      <c r="CS6" cm="1">
        <f t="array" ref="CS6">_xll.EQNXTDZ($A$1,$B6,CS$1)</f>
        <v>0</v>
      </c>
      <c r="CT6" cm="1">
        <f t="array" ref="CT6">_xll.EQNXTDZ($A$1,$B6,CT$1)</f>
        <v>0</v>
      </c>
      <c r="CU6" cm="1">
        <f t="array" ref="CU6">_xll.EQNXTDZ($A$1,$B6,CU$1)</f>
        <v>0</v>
      </c>
      <c r="CV6" cm="1">
        <f t="array" ref="CV6">_xll.EQNXTDZ($A$1,$B6,CV$1)</f>
        <v>0</v>
      </c>
      <c r="CW6" cm="1">
        <f t="array" ref="CW6">_xll.EQNXTDZ($A$1,$B6,CW$1)</f>
        <v>0</v>
      </c>
      <c r="CX6" cm="1">
        <f t="array" ref="CX6">_xll.EQNXTDZ($A$1,$B6,CX$1)</f>
        <v>0</v>
      </c>
      <c r="CY6" cm="1">
        <f t="array" ref="CY6">_xll.EQNXTDZ($A$1,$B6,CY$1)</f>
        <v>0</v>
      </c>
      <c r="CZ6" cm="1">
        <f t="array" ref="CZ6">_xll.EQNXTDZ($A$1,$B6,CZ$1)</f>
        <v>0</v>
      </c>
      <c r="DA6" cm="1">
        <f t="array" ref="DA6">_xll.EQNXTDZ($A$1,$B6,DA$1)</f>
        <v>0</v>
      </c>
      <c r="DB6" cm="1">
        <f t="array" ref="DB6">_xll.EQNXTDZ($A$1,$B6,DB$1)</f>
        <v>0</v>
      </c>
      <c r="DC6" cm="1">
        <f t="array" ref="DC6">_xll.EQNXTDZ($A$1,$B6,DC$1)</f>
        <v>0</v>
      </c>
      <c r="DD6" cm="1">
        <f t="array" ref="DD6">_xll.EQNXTDZ($A$1,$B6,DD$1)</f>
        <v>0</v>
      </c>
      <c r="DE6" cm="1">
        <f t="array" ref="DE6">_xll.EQNXTDZ($A$1,$B6,DE$1)</f>
        <v>0</v>
      </c>
      <c r="DF6" cm="1">
        <f t="array" ref="DF6">_xll.EQNXTDZ($A$1,$B6,DF$1)</f>
        <v>0</v>
      </c>
      <c r="DG6" cm="1">
        <f t="array" ref="DG6">_xll.EQNXTDZ($A$1,$B6,DG$1)</f>
        <v>0</v>
      </c>
      <c r="DH6" cm="1">
        <f t="array" ref="DH6">_xll.EQNXTDZ($A$1,$B6,DH$1)</f>
        <v>0</v>
      </c>
      <c r="DI6" cm="1">
        <f t="array" ref="DI6">_xll.EQNXTDZ($A$1,$B6,DI$1)</f>
        <v>0</v>
      </c>
      <c r="DJ6" cm="1">
        <f t="array" ref="DJ6">_xll.EQNXTDZ($A$1,$B6,DJ$1)</f>
        <v>0</v>
      </c>
      <c r="DK6" cm="1">
        <f t="array" ref="DK6">_xll.EQNXTDZ($A$1,$B6,DK$1)</f>
        <v>0</v>
      </c>
      <c r="DL6" cm="1">
        <f t="array" ref="DL6">_xll.EQNXTDZ($A$1,$B6,DL$1)</f>
        <v>0</v>
      </c>
      <c r="DM6" cm="1">
        <f t="array" ref="DM6">_xll.EQNXTDZ($A$1,$B6,DM$1)</f>
        <v>0</v>
      </c>
      <c r="DN6" cm="1">
        <f t="array" ref="DN6">_xll.EQNXTDZ($A$1,$B6,DN$1)</f>
        <v>0</v>
      </c>
      <c r="DO6" cm="1">
        <f t="array" ref="DO6">_xll.EQNXTDZ($A$1,$B6,DO$1)</f>
        <v>0</v>
      </c>
      <c r="DP6" cm="1">
        <f t="array" ref="DP6">_xll.EQNXTDZ($A$1,$B6,DP$1)</f>
        <v>0</v>
      </c>
      <c r="DQ6" cm="1">
        <f t="array" ref="DQ6">_xll.EQNXTDZ($A$1,$B6,DQ$1)</f>
        <v>0</v>
      </c>
      <c r="DR6" cm="1">
        <f t="array" ref="DR6">_xll.EQNXTDZ($A$1,$B6,DR$1)</f>
        <v>0</v>
      </c>
      <c r="DS6" cm="1">
        <f t="array" ref="DS6">_xll.EQNXTDZ($A$1,$B6,DS$1)</f>
        <v>0</v>
      </c>
      <c r="DT6" cm="1">
        <f t="array" ref="DT6">_xll.EQNXTDZ($A$1,$B6,DT$1)</f>
        <v>0</v>
      </c>
      <c r="DU6" cm="1">
        <f t="array" ref="DU6">_xll.EQNXTDZ($A$1,$B6,DU$1)</f>
        <v>0</v>
      </c>
      <c r="DV6" cm="1">
        <f t="array" ref="DV6">_xll.EQNXTDZ($A$1,$B6,DV$1)</f>
        <v>0</v>
      </c>
      <c r="DW6" cm="1">
        <f t="array" ref="DW6">_xll.EQNXTDZ($A$1,$B6,DW$1)</f>
        <v>0</v>
      </c>
      <c r="DX6" cm="1">
        <f t="array" ref="DX6">_xll.EQNXTDZ($A$1,$B6,DX$1)</f>
        <v>0</v>
      </c>
      <c r="DY6" cm="1">
        <f t="array" ref="DY6">_xll.EQNXTDZ($A$1,$B6,DY$1)</f>
        <v>0</v>
      </c>
      <c r="DZ6" cm="1">
        <f t="array" ref="DZ6">_xll.EQNXTDZ($A$1,$B6,DZ$1)</f>
        <v>0</v>
      </c>
      <c r="EA6" cm="1">
        <f t="array" ref="EA6">_xll.EQNXTDZ($A$1,$B6,EA$1)</f>
        <v>0</v>
      </c>
      <c r="EB6" cm="1">
        <f t="array" ref="EB6">_xll.EQNXTDZ($A$1,$B6,EB$1)</f>
        <v>0</v>
      </c>
      <c r="EC6" cm="1">
        <f t="array" ref="EC6">_xll.EQNXTDZ($A$1,$B6,EC$1)</f>
        <v>0</v>
      </c>
      <c r="ED6" cm="1">
        <f t="array" ref="ED6">_xll.EQNXTDZ($A$1,$B6,ED$1)</f>
        <v>0</v>
      </c>
      <c r="EE6" cm="1">
        <f t="array" ref="EE6">_xll.EQNXTDZ($A$1,$B6,EE$1)</f>
        <v>0</v>
      </c>
      <c r="EF6" cm="1">
        <f t="array" ref="EF6">_xll.EQNXTDZ($A$1,$B6,EF$1)</f>
        <v>554</v>
      </c>
      <c r="EG6" cm="1">
        <f t="array" ref="EG6">_xll.EQNXTDZ($A$1,$B6,EG$1)</f>
        <v>636</v>
      </c>
      <c r="EH6" cm="1">
        <f t="array" ref="EH6">_xll.EQNXTDZ($A$1,$B6,EH$1)</f>
        <v>536.9</v>
      </c>
      <c r="EI6" cm="1">
        <f t="array" ref="EI6">_xll.EQNXTDZ($A$1,$B6,EI$1)</f>
        <v>558</v>
      </c>
      <c r="EJ6" cm="1">
        <f t="array" ref="EJ6">_xll.EQNXTDZ($A$1,$B6,EJ$1)</f>
        <v>511</v>
      </c>
      <c r="EK6" cm="1">
        <f t="array" ref="EK6">_xll.EQNXTDZ($A$1,$B6,EK$1)</f>
        <v>527</v>
      </c>
      <c r="EL6" cm="1">
        <f t="array" ref="EL6">_xll.EQNXTDZ($A$1,$B6,EL$1)</f>
        <v>601.45000000000005</v>
      </c>
      <c r="EM6" cm="1">
        <f t="array" ref="EM6">_xll.EQNXTDZ($A$1,$B6,EM$1)</f>
        <v>573.79999999999995</v>
      </c>
      <c r="EN6" cm="1">
        <f t="array" ref="EN6">_xll.EQNXTDZ($A$1,$B6,EN$1)</f>
        <v>590</v>
      </c>
      <c r="EO6" cm="1">
        <f t="array" ref="EO6">_xll.EQNXTDZ($A$1,$B6,EO$1)</f>
        <v>604.29999999999995</v>
      </c>
      <c r="EP6" cm="1">
        <f t="array" ref="EP6">_xll.EQNXTDZ($A$1,$B6,EP$1)</f>
        <v>745</v>
      </c>
      <c r="EQ6" cm="1">
        <f t="array" ref="EQ6">_xll.EQNXTDZ($A$1,$B6,EQ$1)</f>
        <v>725</v>
      </c>
      <c r="ER6" cm="1">
        <f t="array" ref="ER6">_xll.EQNXTDZ($A$1,$B6,ER$1)</f>
        <v>739</v>
      </c>
      <c r="ES6" cm="1">
        <f t="array" ref="ES6">_xll.EQNXTDZ($A$1,$B6,ES$1)</f>
        <v>736.05</v>
      </c>
      <c r="ET6" cm="1">
        <f t="array" ref="ET6">_xll.EQNXTDZ($A$1,$B6,ET$1)</f>
        <v>770.05</v>
      </c>
      <c r="EU6" cm="1">
        <f t="array" ref="EU6">_xll.EQNXTDZ($A$1,$B6,EU$1)</f>
        <v>947.9</v>
      </c>
      <c r="EV6" cm="1">
        <f t="array" ref="EV6">_xll.EQNXTDZ($A$1,$B6,EV$1)</f>
        <v>972.85</v>
      </c>
      <c r="EW6" cm="1">
        <f t="array" ref="EW6">_xll.EQNXTDZ($A$1,$B6,EW$1)</f>
        <v>1055</v>
      </c>
      <c r="EX6" cm="1">
        <f t="array" ref="EX6">_xll.EQNXTDZ($A$1,$B6,EX$1)</f>
        <v>1238.3</v>
      </c>
      <c r="EY6" cm="1">
        <f t="array" ref="EY6">_xll.EQNXTDZ($A$1,$B6,EY$1)</f>
        <v>1232.05</v>
      </c>
      <c r="EZ6" cm="1">
        <f t="array" ref="EZ6">_xll.EQNXTDZ($A$1,$B6,EZ$1)</f>
        <v>1030.3499999999999</v>
      </c>
      <c r="FA6" cm="1">
        <f t="array" ref="FA6">_xll.EQNXTDZ($A$1,$B6,FA$1)</f>
        <v>1256</v>
      </c>
      <c r="FB6" cm="1">
        <f t="array" ref="FB6">_xll.EQNXTDZ($A$1,$B6,FB$1)</f>
        <v>1209.9000000000001</v>
      </c>
      <c r="FC6" cm="1">
        <f t="array" ref="FC6">_xll.EQNXTDZ($A$1,$B6,FC$1)</f>
        <v>1380</v>
      </c>
      <c r="FD6" cm="1">
        <f t="array" ref="FD6">_xll.EQNXTDZ($A$1,$B6,FD$1)</f>
        <v>1598</v>
      </c>
      <c r="FE6" cm="1">
        <f t="array" ref="FE6">_xll.EQNXTDZ($A$1,$B6,FE$1)</f>
        <v>1497</v>
      </c>
      <c r="FF6" cm="1">
        <f t="array" ref="FF6">_xll.EQNXTDZ($A$1,$B6,FF$1)</f>
        <v>1292.3</v>
      </c>
      <c r="FG6" cm="1">
        <f t="array" ref="FG6">_xll.EQNXTDZ($A$1,$B6,FG$1)</f>
        <v>1221</v>
      </c>
      <c r="FH6" cm="1">
        <f t="array" ref="FH6">_xll.EQNXTDZ($A$1,$B6,FH$1)</f>
        <v>1300</v>
      </c>
      <c r="FI6" cm="1">
        <f t="array" ref="FI6">_xll.EQNXTDZ($A$1,$B6,FI$1)</f>
        <v>1226.2</v>
      </c>
      <c r="FJ6" cm="1">
        <f t="array" ref="FJ6">_xll.EQNXTDZ($A$1,$B6,FJ$1)</f>
        <v>1322.5</v>
      </c>
      <c r="FK6" cm="1">
        <f t="array" ref="FK6">_xll.EQNXTDZ($A$1,$B6,FK$1)</f>
        <v>1100</v>
      </c>
      <c r="FL6" cm="1">
        <f t="array" ref="FL6">_xll.EQNXTDZ($A$1,$B6,FL$1)</f>
        <v>1182</v>
      </c>
      <c r="FM6" cm="1">
        <f t="array" ref="FM6">_xll.EQNXTDZ($A$1,$B6,FM$1)</f>
        <v>1315.1</v>
      </c>
      <c r="FN6" cm="1">
        <f t="array" ref="FN6">_xll.EQNXTDZ($A$1,$B6,FN$1)</f>
        <v>1780</v>
      </c>
      <c r="FO6" cm="1">
        <f t="array" ref="FO6">_xll.EQNXTDZ($A$1,$B6,FO$1)</f>
        <v>1805</v>
      </c>
      <c r="FP6" cm="1">
        <f t="array" ref="FP6">_xll.EQNXTDZ($A$1,$B6,FP$1)</f>
        <v>0</v>
      </c>
      <c r="FQ6" cm="1">
        <f t="array" ref="FQ6">_xll.EQNXTDZ($A$1,$B6,FQ$1)</f>
        <v>0</v>
      </c>
      <c r="FR6" cm="1">
        <f t="array" ref="FR6">_xll.EQNXTDZ($A$1,$B6,FR$1)</f>
        <v>0</v>
      </c>
      <c r="FS6" cm="1">
        <f t="array" ref="FS6">_xll.EQNXTDZ($A$1,$B6,FS$1)</f>
        <v>0</v>
      </c>
      <c r="FT6" cm="1">
        <f t="array" ref="FT6">_xll.EQNXTDZ($A$1,$B6,FT$1)</f>
        <v>0</v>
      </c>
      <c r="FU6" cm="1">
        <f t="array" ref="FU6">_xll.EQNXTDZ($A$1,$B6,FU$1)</f>
        <v>0</v>
      </c>
      <c r="FV6" cm="1">
        <f t="array" ref="FV6">_xll.EQNXTDZ($A$1,$B6,FV$1)</f>
        <v>0</v>
      </c>
      <c r="FW6" cm="1">
        <f t="array" ref="FW6">_xll.EQNXTDZ($A$1,$B6,FW$1)</f>
        <v>0</v>
      </c>
      <c r="FX6" cm="1">
        <f t="array" ref="FX6">_xll.EQNXTDZ($A$1,$B6,FX$1)</f>
        <v>0</v>
      </c>
      <c r="FY6" cm="1">
        <f t="array" ref="FY6">_xll.EQNXTDZ($A$1,$B6,FY$1)</f>
        <v>0</v>
      </c>
      <c r="FZ6" cm="1">
        <f t="array" ref="FZ6">_xll.EQNXTDZ($A$1,$B6,FZ$1)</f>
        <v>0</v>
      </c>
      <c r="GA6" cm="1">
        <f t="array" ref="GA6">_xll.EQNXTDZ($A$1,$B6,GA$1)</f>
        <v>0</v>
      </c>
      <c r="GB6" cm="1">
        <f t="array" ref="GB6">_xll.EQNXTDZ($A$1,$B6,GB$1)</f>
        <v>0</v>
      </c>
      <c r="GC6" cm="1">
        <f t="array" ref="GC6">_xll.EQNXTDZ($A$1,$B6,GC$1)</f>
        <v>0</v>
      </c>
      <c r="GD6" cm="1">
        <f t="array" ref="GD6">_xll.EQNXTDZ($A$1,$B6,GD$1)</f>
        <v>0</v>
      </c>
      <c r="GE6" cm="1">
        <f t="array" ref="GE6">_xll.EQNXTDZ($A$1,$B6,GE$1)</f>
        <v>0</v>
      </c>
      <c r="GF6" cm="1">
        <f t="array" ref="GF6">_xll.EQNXTDZ($A$1,$B6,GF$1)</f>
        <v>0</v>
      </c>
      <c r="GG6" cm="1">
        <f t="array" ref="GG6">_xll.EQNXTDZ($A$1,$B6,GG$1)</f>
        <v>0</v>
      </c>
      <c r="GH6" cm="1">
        <f t="array" ref="GH6">_xll.EQNXTDZ($A$1,$B6,GH$1)</f>
        <v>0</v>
      </c>
      <c r="GI6" cm="1">
        <f t="array" ref="GI6">_xll.EQNXTDZ($A$1,$B6,GI$1)</f>
        <v>0</v>
      </c>
      <c r="GJ6" cm="1">
        <f t="array" ref="GJ6">_xll.EQNXTDZ($A$1,$B6,GJ$1)</f>
        <v>0</v>
      </c>
      <c r="GK6" cm="1">
        <f t="array" ref="GK6">_xll.EQNXTDZ($A$1,$B6,GK$1)</f>
        <v>0</v>
      </c>
      <c r="GL6" cm="1">
        <f t="array" ref="GL6">_xll.EQNXTDZ($A$1,$B6,GL$1)</f>
        <v>0</v>
      </c>
      <c r="GM6" cm="1">
        <f t="array" ref="GM6">_xll.EQNXTDZ($A$1,$B6,GM$1)</f>
        <v>0</v>
      </c>
      <c r="GN6" cm="1">
        <f t="array" ref="GN6">_xll.EQNXTDZ($A$1,$B6,GN$1)</f>
        <v>0</v>
      </c>
      <c r="GO6" cm="1">
        <f t="array" ref="GO6">_xll.EQNXTDZ($A$1,$B6,GO$1)</f>
        <v>0</v>
      </c>
      <c r="GP6" cm="1">
        <f t="array" ref="GP6">_xll.EQNXTDZ($A$1,$B6,GP$1)</f>
        <v>0</v>
      </c>
      <c r="GQ6" cm="1">
        <f t="array" ref="GQ6">_xll.EQNXTDZ($A$1,$B6,GQ$1)</f>
        <v>0</v>
      </c>
      <c r="GR6" cm="1">
        <f t="array" ref="GR6">_xll.EQNXTDZ($A$1,$B6,GR$1)</f>
        <v>0</v>
      </c>
      <c r="GS6" cm="1">
        <f t="array" ref="GS6">_xll.EQNXTDZ($A$1,$B6,GS$1)</f>
        <v>0</v>
      </c>
      <c r="GT6" cm="1">
        <f t="array" ref="GT6">_xll.EQNXTDZ($A$1,$B6,GT$1)</f>
        <v>0</v>
      </c>
      <c r="GU6" cm="1">
        <f t="array" ref="GU6">_xll.EQNXTDZ($A$1,$B6,GU$1)</f>
        <v>0</v>
      </c>
      <c r="GV6" cm="1">
        <f t="array" ref="GV6">_xll.EQNXTDZ($A$1,$B6,GV$1)</f>
        <v>0</v>
      </c>
      <c r="GW6" cm="1">
        <f t="array" ref="GW6">_xll.EQNXTDZ($A$1,$B6,GW$1)</f>
        <v>0</v>
      </c>
      <c r="GX6" cm="1">
        <f t="array" ref="GX6">_xll.EQNXTDZ($A$1,$B6,GX$1)</f>
        <v>0</v>
      </c>
      <c r="GY6" cm="1">
        <f t="array" ref="GY6">_xll.EQNXTDZ($A$1,$B6,GY$1)</f>
        <v>0</v>
      </c>
      <c r="GZ6" cm="1">
        <f t="array" ref="GZ6">_xll.EQNXTDZ($A$1,$B6,GZ$1)</f>
        <v>0</v>
      </c>
      <c r="HA6" cm="1">
        <f t="array" ref="HA6">_xll.EQNXTDZ($A$1,$B6,HA$1)</f>
        <v>0</v>
      </c>
      <c r="HB6" cm="1">
        <f t="array" ref="HB6">_xll.EQNXTDZ($A$1,$B6,HB$1)</f>
        <v>0</v>
      </c>
      <c r="HC6" cm="1">
        <f t="array" ref="HC6">_xll.EQNXTDZ($A$1,$B6,HC$1)</f>
        <v>0</v>
      </c>
      <c r="HD6" cm="1">
        <f t="array" ref="HD6">_xll.EQNXTDZ($A$1,$B6,HD$1)</f>
        <v>0</v>
      </c>
      <c r="HE6" cm="1">
        <f t="array" ref="HE6">_xll.EQNXTDZ($A$1,$B6,HE$1)</f>
        <v>0</v>
      </c>
      <c r="HF6" cm="1">
        <f t="array" ref="HF6">_xll.EQNXTDZ($A$1,$B6,HF$1)</f>
        <v>0</v>
      </c>
      <c r="HG6" cm="1">
        <f t="array" ref="HG6">_xll.EQNXTDZ($A$1,$B6,HG$1)</f>
        <v>0</v>
      </c>
      <c r="HH6" cm="1">
        <f t="array" ref="HH6">_xll.EQNXTDZ($A$1,$B6,HH$1)</f>
        <v>0</v>
      </c>
    </row>
    <row r="7" spans="1:294" s="116" customFormat="1" x14ac:dyDescent="0.25">
      <c r="A7" s="116" t="s">
        <v>38</v>
      </c>
      <c r="B7" s="116" t="s">
        <v>418</v>
      </c>
      <c r="C7" s="116" cm="1">
        <f t="array" ref="C7">_xll.EQNXTDZ($A$1,$B7,C$1)</f>
        <v>0</v>
      </c>
      <c r="D7" s="116" cm="1">
        <f t="array" ref="D7">_xll.EQNXTDZ($A$1,$B7,D$1)</f>
        <v>0</v>
      </c>
      <c r="E7" s="116" cm="1">
        <f t="array" ref="E7">_xll.EQNXTDZ($A$1,$B7,E$1)</f>
        <v>0</v>
      </c>
      <c r="F7" s="116" cm="1">
        <f t="array" ref="F7">_xll.EQNXTDZ($A$1,$B7,F$1)</f>
        <v>0</v>
      </c>
      <c r="G7" s="116" cm="1">
        <f t="array" ref="G7">_xll.EQNXTDZ($A$1,$B7,G$1)</f>
        <v>0</v>
      </c>
      <c r="H7" s="116" cm="1">
        <f t="array" ref="H7">_xll.EQNXTDZ($A$1,$B7,H$1)</f>
        <v>0</v>
      </c>
      <c r="I7" s="116" cm="1">
        <f t="array" ref="I7">_xll.EQNXTDZ($A$1,$B7,I$1)</f>
        <v>0</v>
      </c>
      <c r="J7" s="116" cm="1">
        <f t="array" ref="J7">_xll.EQNXTDZ($A$1,$B7,J$1)</f>
        <v>0</v>
      </c>
      <c r="K7" s="116" cm="1">
        <f t="array" ref="K7">_xll.EQNXTDZ($A$1,$B7,K$1)</f>
        <v>0</v>
      </c>
      <c r="L7" s="116" cm="1">
        <f t="array" ref="L7">_xll.EQNXTDZ($A$1,$B7,L$1)</f>
        <v>0</v>
      </c>
      <c r="M7" s="116" cm="1">
        <f t="array" ref="M7">_xll.EQNXTDZ($A$1,$B7,M$1)</f>
        <v>0</v>
      </c>
      <c r="N7" s="116" cm="1">
        <f t="array" ref="N7">_xll.EQNXTDZ($A$1,$B7,N$1)</f>
        <v>0</v>
      </c>
      <c r="O7" s="116" cm="1">
        <f t="array" ref="O7">_xll.EQNXTDZ($A$1,$B7,O$1)</f>
        <v>0</v>
      </c>
      <c r="P7" s="116" cm="1">
        <f t="array" ref="P7">_xll.EQNXTDZ($A$1,$B7,P$1)</f>
        <v>0</v>
      </c>
      <c r="Q7" s="116" cm="1">
        <f t="array" ref="Q7">_xll.EQNXTDZ($A$1,$B7,Q$1)</f>
        <v>0</v>
      </c>
      <c r="R7" s="116" cm="1">
        <f t="array" ref="R7">_xll.EQNXTDZ($A$1,$B7,R$1)</f>
        <v>0</v>
      </c>
      <c r="S7" s="116" cm="1">
        <f t="array" ref="S7">_xll.EQNXTDZ($A$1,$B7,S$1)</f>
        <v>0</v>
      </c>
      <c r="T7" s="116" cm="1">
        <f t="array" ref="T7">_xll.EQNXTDZ($A$1,$B7,T$1)</f>
        <v>0</v>
      </c>
      <c r="U7" s="116" cm="1">
        <f t="array" ref="U7">_xll.EQNXTDZ($A$1,$B7,U$1)</f>
        <v>0</v>
      </c>
      <c r="V7" s="116" cm="1">
        <f t="array" ref="V7">_xll.EQNXTDZ($A$1,$B7,V$1)</f>
        <v>0</v>
      </c>
      <c r="W7" s="116" cm="1">
        <f t="array" ref="W7">_xll.EQNXTDZ($A$1,$B7,W$1)</f>
        <v>0</v>
      </c>
      <c r="X7" s="116" cm="1">
        <f t="array" ref="X7">_xll.EQNXTDZ($A$1,$B7,X$1)</f>
        <v>0</v>
      </c>
      <c r="Y7" s="116" cm="1">
        <f t="array" ref="Y7">_xll.EQNXTDZ($A$1,$B7,Y$1)</f>
        <v>0</v>
      </c>
      <c r="Z7" s="116" cm="1">
        <f t="array" ref="Z7">_xll.EQNXTDZ($A$1,$B7,Z$1)</f>
        <v>0</v>
      </c>
      <c r="AA7" s="116" cm="1">
        <f t="array" ref="AA7">_xll.EQNXTDZ($A$1,$B7,AA$1)</f>
        <v>0</v>
      </c>
      <c r="AB7" s="116" cm="1">
        <f t="array" ref="AB7">_xll.EQNXTDZ($A$1,$B7,AB$1)</f>
        <v>0</v>
      </c>
      <c r="AC7" s="116" cm="1">
        <f t="array" ref="AC7">_xll.EQNXTDZ($A$1,$B7,AC$1)</f>
        <v>0</v>
      </c>
      <c r="AD7" s="116" cm="1">
        <f t="array" ref="AD7">_xll.EQNXTDZ($A$1,$B7,AD$1)</f>
        <v>0</v>
      </c>
      <c r="AE7" s="116" cm="1">
        <f t="array" ref="AE7">_xll.EQNXTDZ($A$1,$B7,AE$1)</f>
        <v>0</v>
      </c>
      <c r="AF7" s="116" cm="1">
        <f t="array" ref="AF7">_xll.EQNXTDZ($A$1,$B7,AF$1)</f>
        <v>0</v>
      </c>
      <c r="AG7" s="116" cm="1">
        <f t="array" ref="AG7">_xll.EQNXTDZ($A$1,$B7,AG$1)</f>
        <v>0</v>
      </c>
      <c r="AH7" s="116" cm="1">
        <f t="array" ref="AH7">_xll.EQNXTDZ($A$1,$B7,AH$1)</f>
        <v>0</v>
      </c>
      <c r="AI7" s="116" cm="1">
        <f t="array" ref="AI7">_xll.EQNXTDZ($A$1,$B7,AI$1)</f>
        <v>0</v>
      </c>
      <c r="AJ7" s="116" cm="1">
        <f t="array" ref="AJ7">_xll.EQNXTDZ($A$1,$B7,AJ$1)</f>
        <v>0</v>
      </c>
      <c r="AK7" s="116" cm="1">
        <f t="array" ref="AK7">_xll.EQNXTDZ($A$1,$B7,AK$1)</f>
        <v>0</v>
      </c>
      <c r="AL7" s="116" cm="1">
        <f t="array" ref="AL7">_xll.EQNXTDZ($A$1,$B7,AL$1)</f>
        <v>0</v>
      </c>
      <c r="AM7" s="116" cm="1">
        <f t="array" ref="AM7">_xll.EQNXTDZ($A$1,$B7,AM$1)</f>
        <v>0</v>
      </c>
      <c r="AN7" s="116" cm="1">
        <f t="array" ref="AN7">_xll.EQNXTDZ($A$1,$B7,AN$1)</f>
        <v>0</v>
      </c>
      <c r="AO7" s="116" cm="1">
        <f t="array" ref="AO7">_xll.EQNXTDZ($A$1,$B7,AO$1)</f>
        <v>0</v>
      </c>
      <c r="AP7" s="116" cm="1">
        <f t="array" ref="AP7">_xll.EQNXTDZ($A$1,$B7,AP$1)</f>
        <v>0</v>
      </c>
      <c r="AQ7" s="116" cm="1">
        <f t="array" ref="AQ7">_xll.EQNXTDZ($A$1,$B7,AQ$1)</f>
        <v>0</v>
      </c>
      <c r="AR7" s="116" cm="1">
        <f t="array" ref="AR7">_xll.EQNXTDZ($A$1,$B7,AR$1)</f>
        <v>0</v>
      </c>
      <c r="AS7" s="116" cm="1">
        <f t="array" ref="AS7">_xll.EQNXTDZ($A$1,$B7,AS$1)</f>
        <v>0</v>
      </c>
      <c r="AT7" s="116" cm="1">
        <f t="array" ref="AT7">_xll.EQNXTDZ($A$1,$B7,AT$1)</f>
        <v>0</v>
      </c>
      <c r="AU7" s="116" cm="1">
        <f t="array" ref="AU7">_xll.EQNXTDZ($A$1,$B7,AU$1)</f>
        <v>0</v>
      </c>
      <c r="AV7" s="116" cm="1">
        <f t="array" ref="AV7">_xll.EQNXTDZ($A$1,$B7,AV$1)</f>
        <v>0</v>
      </c>
      <c r="AW7" s="116" cm="1">
        <f t="array" ref="AW7">_xll.EQNXTDZ($A$1,$B7,AW$1)</f>
        <v>0</v>
      </c>
      <c r="AX7" s="116" cm="1">
        <f t="array" ref="AX7">_xll.EQNXTDZ($A$1,$B7,AX$1)</f>
        <v>0</v>
      </c>
      <c r="AY7" s="116" cm="1">
        <f t="array" ref="AY7">_xll.EQNXTDZ($A$1,$B7,AY$1)</f>
        <v>0</v>
      </c>
      <c r="AZ7" s="116" cm="1">
        <f t="array" ref="AZ7">_xll.EQNXTDZ($A$1,$B7,AZ$1)</f>
        <v>0</v>
      </c>
      <c r="BA7" s="116" cm="1">
        <f t="array" ref="BA7">_xll.EQNXTDZ($A$1,$B7,BA$1)</f>
        <v>0</v>
      </c>
      <c r="BB7" s="116" cm="1">
        <f t="array" ref="BB7">_xll.EQNXTDZ($A$1,$B7,BB$1)</f>
        <v>0</v>
      </c>
      <c r="BC7" s="116" cm="1">
        <f t="array" ref="BC7">_xll.EQNXTDZ($A$1,$B7,BC$1)</f>
        <v>0</v>
      </c>
      <c r="BD7" s="116" cm="1">
        <f t="array" ref="BD7">_xll.EQNXTDZ($A$1,$B7,BD$1)</f>
        <v>0</v>
      </c>
      <c r="BE7" s="116" cm="1">
        <f t="array" ref="BE7">_xll.EQNXTDZ($A$1,$B7,BE$1)</f>
        <v>0</v>
      </c>
      <c r="BF7" s="116" cm="1">
        <f t="array" ref="BF7">_xll.EQNXTDZ($A$1,$B7,BF$1)</f>
        <v>0</v>
      </c>
      <c r="BG7" s="116" cm="1">
        <f t="array" ref="BG7">_xll.EQNXTDZ($A$1,$B7,BG$1)</f>
        <v>0</v>
      </c>
      <c r="BH7" s="116" cm="1">
        <f t="array" ref="BH7">_xll.EQNXTDZ($A$1,$B7,BH$1)</f>
        <v>0</v>
      </c>
      <c r="BI7" s="116" cm="1">
        <f t="array" ref="BI7">_xll.EQNXTDZ($A$1,$B7,BI$1)</f>
        <v>0</v>
      </c>
      <c r="BJ7" s="116" cm="1">
        <f t="array" ref="BJ7">_xll.EQNXTDZ($A$1,$B7,BJ$1)</f>
        <v>0</v>
      </c>
      <c r="BK7" s="116" cm="1">
        <f t="array" ref="BK7">_xll.EQNXTDZ($A$1,$B7,BK$1)</f>
        <v>0</v>
      </c>
      <c r="BL7" s="116" cm="1">
        <f t="array" ref="BL7">_xll.EQNXTDZ($A$1,$B7,BL$1)</f>
        <v>0</v>
      </c>
      <c r="BM7" s="116" cm="1">
        <f t="array" ref="BM7">_xll.EQNXTDZ($A$1,$B7,BM$1)</f>
        <v>0</v>
      </c>
      <c r="BN7" s="116" cm="1">
        <f t="array" ref="BN7">_xll.EQNXTDZ($A$1,$B7,BN$1)</f>
        <v>0</v>
      </c>
      <c r="BO7" s="116" cm="1">
        <f t="array" ref="BO7">_xll.EQNXTDZ($A$1,$B7,BO$1)</f>
        <v>0</v>
      </c>
      <c r="BP7" s="116" cm="1">
        <f t="array" ref="BP7">_xll.EQNXTDZ($A$1,$B7,BP$1)</f>
        <v>0</v>
      </c>
      <c r="BQ7" s="116" cm="1">
        <f t="array" ref="BQ7">_xll.EQNXTDZ($A$1,$B7,BQ$1)</f>
        <v>0</v>
      </c>
      <c r="BR7" s="116" cm="1">
        <f t="array" ref="BR7">_xll.EQNXTDZ($A$1,$B7,BR$1)</f>
        <v>0</v>
      </c>
      <c r="BS7" s="116" cm="1">
        <f t="array" ref="BS7">_xll.EQNXTDZ($A$1,$B7,BS$1)</f>
        <v>0</v>
      </c>
      <c r="BT7" s="116" cm="1">
        <f t="array" ref="BT7">_xll.EQNXTDZ($A$1,$B7,BT$1)</f>
        <v>0</v>
      </c>
      <c r="BU7" s="116" cm="1">
        <f t="array" ref="BU7">_xll.EQNXTDZ($A$1,$B7,BU$1)</f>
        <v>0</v>
      </c>
      <c r="BV7" s="116" cm="1">
        <f t="array" ref="BV7">_xll.EQNXTDZ($A$1,$B7,BV$1)</f>
        <v>0</v>
      </c>
      <c r="BW7" s="116" cm="1">
        <f t="array" ref="BW7">_xll.EQNXTDZ($A$1,$B7,BW$1)</f>
        <v>0</v>
      </c>
      <c r="BX7" s="116" cm="1">
        <f t="array" ref="BX7">_xll.EQNXTDZ($A$1,$B7,BX$1)</f>
        <v>0</v>
      </c>
      <c r="BY7" s="116" cm="1">
        <f t="array" ref="BY7">_xll.EQNXTDZ($A$1,$B7,BY$1)</f>
        <v>0</v>
      </c>
      <c r="BZ7" s="116" cm="1">
        <f t="array" ref="BZ7">_xll.EQNXTDZ($A$1,$B7,BZ$1)</f>
        <v>0</v>
      </c>
      <c r="CA7" s="116" cm="1">
        <f t="array" ref="CA7">_xll.EQNXTDZ($A$1,$B7,CA$1)</f>
        <v>0</v>
      </c>
      <c r="CB7" s="116" cm="1">
        <f t="array" ref="CB7">_xll.EQNXTDZ($A$1,$B7,CB$1)</f>
        <v>0</v>
      </c>
      <c r="CC7" s="116" cm="1">
        <f t="array" ref="CC7">_xll.EQNXTDZ($A$1,$B7,CC$1)</f>
        <v>0</v>
      </c>
      <c r="CD7" s="116" cm="1">
        <f t="array" ref="CD7">_xll.EQNXTDZ($A$1,$B7,CD$1)</f>
        <v>0</v>
      </c>
      <c r="CE7" s="116" cm="1">
        <f t="array" ref="CE7">_xll.EQNXTDZ($A$1,$B7,CE$1)</f>
        <v>0</v>
      </c>
      <c r="CF7" s="116" cm="1">
        <f t="array" ref="CF7">_xll.EQNXTDZ($A$1,$B7,CF$1)</f>
        <v>0</v>
      </c>
      <c r="CG7" s="116" cm="1">
        <f t="array" ref="CG7">_xll.EQNXTDZ($A$1,$B7,CG$1)</f>
        <v>0</v>
      </c>
      <c r="CH7" s="116" cm="1">
        <f t="array" ref="CH7">_xll.EQNXTDZ($A$1,$B7,CH$1)</f>
        <v>0</v>
      </c>
      <c r="CI7" s="116" cm="1">
        <f t="array" ref="CI7">_xll.EQNXTDZ($A$1,$B7,CI$1)</f>
        <v>0</v>
      </c>
      <c r="CJ7" s="116" cm="1">
        <f t="array" ref="CJ7">_xll.EQNXTDZ($A$1,$B7,CJ$1)</f>
        <v>0</v>
      </c>
      <c r="CK7" s="116" cm="1">
        <f t="array" ref="CK7">_xll.EQNXTDZ($A$1,$B7,CK$1)</f>
        <v>0</v>
      </c>
      <c r="CL7" s="116" cm="1">
        <f t="array" ref="CL7">_xll.EQNXTDZ($A$1,$B7,CL$1)</f>
        <v>0</v>
      </c>
      <c r="CM7" s="116" cm="1">
        <f t="array" ref="CM7">_xll.EQNXTDZ($A$1,$B7,CM$1)</f>
        <v>0</v>
      </c>
      <c r="CN7" s="116" cm="1">
        <f t="array" ref="CN7">_xll.EQNXTDZ($A$1,$B7,CN$1)</f>
        <v>0</v>
      </c>
      <c r="CO7" s="116" cm="1">
        <f t="array" ref="CO7">_xll.EQNXTDZ($A$1,$B7,CO$1)</f>
        <v>0</v>
      </c>
      <c r="CP7" s="116" cm="1">
        <f t="array" ref="CP7">_xll.EQNXTDZ($A$1,$B7,CP$1)</f>
        <v>0</v>
      </c>
      <c r="CQ7" s="116" cm="1">
        <f t="array" ref="CQ7">_xll.EQNXTDZ($A$1,$B7,CQ$1)</f>
        <v>0</v>
      </c>
      <c r="CR7" s="116" cm="1">
        <f t="array" ref="CR7">_xll.EQNXTDZ($A$1,$B7,CR$1)</f>
        <v>0</v>
      </c>
      <c r="CS7" s="116" cm="1">
        <f t="array" ref="CS7">_xll.EQNXTDZ($A$1,$B7,CS$1)</f>
        <v>0</v>
      </c>
      <c r="CT7" s="116" cm="1">
        <f t="array" ref="CT7">_xll.EQNXTDZ($A$1,$B7,CT$1)</f>
        <v>0</v>
      </c>
      <c r="CU7" s="116" cm="1">
        <f t="array" ref="CU7">_xll.EQNXTDZ($A$1,$B7,CU$1)</f>
        <v>0</v>
      </c>
      <c r="CV7" s="116" cm="1">
        <f t="array" ref="CV7">_xll.EQNXTDZ($A$1,$B7,CV$1)</f>
        <v>0</v>
      </c>
      <c r="CW7" s="116" cm="1">
        <f t="array" ref="CW7">_xll.EQNXTDZ($A$1,$B7,CW$1)</f>
        <v>0</v>
      </c>
      <c r="CX7" s="116" cm="1">
        <f t="array" ref="CX7">_xll.EQNXTDZ($A$1,$B7,CX$1)</f>
        <v>0</v>
      </c>
      <c r="CY7" s="116" cm="1">
        <f t="array" ref="CY7">_xll.EQNXTDZ($A$1,$B7,CY$1)</f>
        <v>0</v>
      </c>
      <c r="CZ7" s="116" cm="1">
        <f t="array" ref="CZ7">_xll.EQNXTDZ($A$1,$B7,CZ$1)</f>
        <v>0</v>
      </c>
      <c r="DA7" s="116" cm="1">
        <f t="array" ref="DA7">_xll.EQNXTDZ($A$1,$B7,DA$1)</f>
        <v>0</v>
      </c>
      <c r="DB7" s="116" cm="1">
        <f t="array" ref="DB7">_xll.EQNXTDZ($A$1,$B7,DB$1)</f>
        <v>0</v>
      </c>
      <c r="DC7" s="116" cm="1">
        <f t="array" ref="DC7">_xll.EQNXTDZ($A$1,$B7,DC$1)</f>
        <v>0</v>
      </c>
      <c r="DD7" s="116" cm="1">
        <f t="array" ref="DD7">_xll.EQNXTDZ($A$1,$B7,DD$1)</f>
        <v>0</v>
      </c>
      <c r="DE7" s="116" cm="1">
        <f t="array" ref="DE7">_xll.EQNXTDZ($A$1,$B7,DE$1)</f>
        <v>0</v>
      </c>
      <c r="DF7" s="116" cm="1">
        <f t="array" ref="DF7">_xll.EQNXTDZ($A$1,$B7,DF$1)</f>
        <v>0</v>
      </c>
      <c r="DG7" s="116" cm="1">
        <f t="array" ref="DG7">_xll.EQNXTDZ($A$1,$B7,DG$1)</f>
        <v>0</v>
      </c>
      <c r="DH7" s="116" cm="1">
        <f t="array" ref="DH7">_xll.EQNXTDZ($A$1,$B7,DH$1)</f>
        <v>0</v>
      </c>
      <c r="DI7" s="116" cm="1">
        <f t="array" ref="DI7">_xll.EQNXTDZ($A$1,$B7,DI$1)</f>
        <v>0</v>
      </c>
      <c r="DJ7" s="116" cm="1">
        <f t="array" ref="DJ7">_xll.EQNXTDZ($A$1,$B7,DJ$1)</f>
        <v>0</v>
      </c>
      <c r="DK7" s="116" cm="1">
        <f t="array" ref="DK7">_xll.EQNXTDZ($A$1,$B7,DK$1)</f>
        <v>0</v>
      </c>
      <c r="DL7" s="116" cm="1">
        <f t="array" ref="DL7">_xll.EQNXTDZ($A$1,$B7,DL$1)</f>
        <v>0</v>
      </c>
      <c r="DM7" s="116" cm="1">
        <f t="array" ref="DM7">_xll.EQNXTDZ($A$1,$B7,DM$1)</f>
        <v>0</v>
      </c>
      <c r="DN7" s="116" cm="1">
        <f t="array" ref="DN7">_xll.EQNXTDZ($A$1,$B7,DN$1)</f>
        <v>0</v>
      </c>
      <c r="DO7" s="116" cm="1">
        <f t="array" ref="DO7">_xll.EQNXTDZ($A$1,$B7,DO$1)</f>
        <v>0</v>
      </c>
      <c r="DP7" s="116" cm="1">
        <f t="array" ref="DP7">_xll.EQNXTDZ($A$1,$B7,DP$1)</f>
        <v>0</v>
      </c>
      <c r="DQ7" s="116" cm="1">
        <f t="array" ref="DQ7">_xll.EQNXTDZ($A$1,$B7,DQ$1)</f>
        <v>0</v>
      </c>
      <c r="DR7" s="116" cm="1">
        <f t="array" ref="DR7">_xll.EQNXTDZ($A$1,$B7,DR$1)</f>
        <v>0</v>
      </c>
      <c r="DS7" s="116" cm="1">
        <f t="array" ref="DS7">_xll.EQNXTDZ($A$1,$B7,DS$1)</f>
        <v>0</v>
      </c>
      <c r="DT7" s="116" cm="1">
        <f t="array" ref="DT7">_xll.EQNXTDZ($A$1,$B7,DT$1)</f>
        <v>0</v>
      </c>
      <c r="DU7" s="116" cm="1">
        <f t="array" ref="DU7">_xll.EQNXTDZ($A$1,$B7,DU$1)</f>
        <v>0</v>
      </c>
      <c r="DV7" s="116" cm="1">
        <f t="array" ref="DV7">_xll.EQNXTDZ($A$1,$B7,DV$1)</f>
        <v>0</v>
      </c>
      <c r="DW7" s="116" cm="1">
        <f t="array" ref="DW7">_xll.EQNXTDZ($A$1,$B7,DW$1)</f>
        <v>0</v>
      </c>
      <c r="DX7" s="116" cm="1">
        <f t="array" ref="DX7">_xll.EQNXTDZ($A$1,$B7,DX$1)</f>
        <v>0</v>
      </c>
      <c r="DY7" s="116" cm="1">
        <f t="array" ref="DY7">_xll.EQNXTDZ($A$1,$B7,DY$1)</f>
        <v>0</v>
      </c>
      <c r="DZ7" s="116" cm="1">
        <f t="array" ref="DZ7">_xll.EQNXTDZ($A$1,$B7,DZ$1)</f>
        <v>0</v>
      </c>
      <c r="EA7" s="116" cm="1">
        <f t="array" ref="EA7">_xll.EQNXTDZ($A$1,$B7,EA$1)</f>
        <v>0</v>
      </c>
      <c r="EB7" s="116" cm="1">
        <f t="array" ref="EB7">_xll.EQNXTDZ($A$1,$B7,EB$1)</f>
        <v>0</v>
      </c>
      <c r="EC7" s="116" cm="1">
        <f t="array" ref="EC7">_xll.EQNXTDZ($A$1,$B7,EC$1)</f>
        <v>0</v>
      </c>
      <c r="ED7" s="116" cm="1">
        <f t="array" ref="ED7">_xll.EQNXTDZ($A$1,$B7,ED$1)</f>
        <v>0</v>
      </c>
      <c r="EE7" s="116" cm="1">
        <f t="array" ref="EE7">_xll.EQNXTDZ($A$1,$B7,EE$1)</f>
        <v>0</v>
      </c>
      <c r="EF7" s="116" cm="1">
        <f t="array" ref="EF7">_xll.EQNXTDZ($A$1,$B7,EF$1)</f>
        <v>632.20000000000005</v>
      </c>
      <c r="EG7" s="116" cm="1">
        <f t="array" ref="EG7">_xll.EQNXTDZ($A$1,$B7,EG$1)</f>
        <v>686.7</v>
      </c>
      <c r="EH7" s="116" cm="1">
        <f t="array" ref="EH7">_xll.EQNXTDZ($A$1,$B7,EH$1)</f>
        <v>595.04999999999995</v>
      </c>
      <c r="EI7" s="116" cm="1">
        <f t="array" ref="EI7">_xll.EQNXTDZ($A$1,$B7,EI$1)</f>
        <v>613</v>
      </c>
      <c r="EJ7" s="116" cm="1">
        <f t="array" ref="EJ7">_xll.EQNXTDZ($A$1,$B7,EJ$1)</f>
        <v>578.95000000000005</v>
      </c>
      <c r="EK7" s="116" cm="1">
        <f t="array" ref="EK7">_xll.EQNXTDZ($A$1,$B7,EK$1)</f>
        <v>656</v>
      </c>
      <c r="EL7" s="116" cm="1">
        <f t="array" ref="EL7">_xll.EQNXTDZ($A$1,$B7,EL$1)</f>
        <v>637.95000000000005</v>
      </c>
      <c r="EM7" s="116" cm="1">
        <f t="array" ref="EM7">_xll.EQNXTDZ($A$1,$B7,EM$1)</f>
        <v>606.5</v>
      </c>
      <c r="EN7" s="116" cm="1">
        <f t="array" ref="EN7">_xll.EQNXTDZ($A$1,$B7,EN$1)</f>
        <v>634.25</v>
      </c>
      <c r="EO7" s="116" cm="1">
        <f t="array" ref="EO7">_xll.EQNXTDZ($A$1,$B7,EO$1)</f>
        <v>749</v>
      </c>
      <c r="EP7" s="116" cm="1">
        <f t="array" ref="EP7">_xll.EQNXTDZ($A$1,$B7,EP$1)</f>
        <v>750</v>
      </c>
      <c r="EQ7" s="116" cm="1">
        <f t="array" ref="EQ7">_xll.EQNXTDZ($A$1,$B7,EQ$1)</f>
        <v>774.9</v>
      </c>
      <c r="ER7" s="116" cm="1">
        <f t="array" ref="ER7">_xll.EQNXTDZ($A$1,$B7,ER$1)</f>
        <v>786</v>
      </c>
      <c r="ES7" s="116" cm="1">
        <f t="array" ref="ES7">_xll.EQNXTDZ($A$1,$B7,ES$1)</f>
        <v>810.95</v>
      </c>
      <c r="ET7" s="116" cm="1">
        <f t="array" ref="ET7">_xll.EQNXTDZ($A$1,$B7,ET$1)</f>
        <v>960</v>
      </c>
      <c r="EU7" s="116" cm="1">
        <f t="array" ref="EU7">_xll.EQNXTDZ($A$1,$B7,EU$1)</f>
        <v>1040</v>
      </c>
      <c r="EV7" s="116" cm="1">
        <f t="array" ref="EV7">_xll.EQNXTDZ($A$1,$B7,EV$1)</f>
        <v>1063</v>
      </c>
      <c r="EW7" s="116" cm="1">
        <f t="array" ref="EW7">_xll.EQNXTDZ($A$1,$B7,EW$1)</f>
        <v>1233</v>
      </c>
      <c r="EX7" s="116" cm="1">
        <f t="array" ref="EX7">_xll.EQNXTDZ($A$1,$B7,EX$1)</f>
        <v>1478</v>
      </c>
      <c r="EY7" s="116" cm="1">
        <f t="array" ref="EY7">_xll.EQNXTDZ($A$1,$B7,EY$1)</f>
        <v>1258.45</v>
      </c>
      <c r="EZ7" s="116" cm="1">
        <f t="array" ref="EZ7">_xll.EQNXTDZ($A$1,$B7,EZ$1)</f>
        <v>1346.45</v>
      </c>
      <c r="FA7" s="116" cm="1">
        <f t="array" ref="FA7">_xll.EQNXTDZ($A$1,$B7,FA$1)</f>
        <v>1352</v>
      </c>
      <c r="FB7" s="116" cm="1">
        <f t="array" ref="FB7">_xll.EQNXTDZ($A$1,$B7,FB$1)</f>
        <v>1432.2</v>
      </c>
      <c r="FC7" s="116" cm="1">
        <f t="array" ref="FC7">_xll.EQNXTDZ($A$1,$B7,FC$1)</f>
        <v>1590</v>
      </c>
      <c r="FD7" s="116" cm="1">
        <f t="array" ref="FD7">_xll.EQNXTDZ($A$1,$B7,FD$1)</f>
        <v>1612</v>
      </c>
      <c r="FE7" s="116" cm="1">
        <f t="array" ref="FE7">_xll.EQNXTDZ($A$1,$B7,FE$1)</f>
        <v>1500.8</v>
      </c>
      <c r="FF7" s="116" cm="1">
        <f t="array" ref="FF7">_xll.EQNXTDZ($A$1,$B7,FF$1)</f>
        <v>1365</v>
      </c>
      <c r="FG7" s="116" cm="1">
        <f t="array" ref="FG7">_xll.EQNXTDZ($A$1,$B7,FG$1)</f>
        <v>1361.5</v>
      </c>
      <c r="FH7" s="116" cm="1">
        <f t="array" ref="FH7">_xll.EQNXTDZ($A$1,$B7,FH$1)</f>
        <v>1352.9</v>
      </c>
      <c r="FI7" s="116" cm="1">
        <f t="array" ref="FI7">_xll.EQNXTDZ($A$1,$B7,FI$1)</f>
        <v>1395</v>
      </c>
      <c r="FJ7" s="116" cm="1">
        <f t="array" ref="FJ7">_xll.EQNXTDZ($A$1,$B7,FJ$1)</f>
        <v>1374</v>
      </c>
      <c r="FK7" s="116" cm="1">
        <f t="array" ref="FK7">_xll.EQNXTDZ($A$1,$B7,FK$1)</f>
        <v>1328</v>
      </c>
      <c r="FL7" s="116" cm="1">
        <f t="array" ref="FL7">_xll.EQNXTDZ($A$1,$B7,FL$1)</f>
        <v>1340.5</v>
      </c>
      <c r="FM7" s="116" cm="1">
        <f t="array" ref="FM7">_xll.EQNXTDZ($A$1,$B7,FM$1)</f>
        <v>1785.2</v>
      </c>
      <c r="FN7" s="116" cm="1">
        <f t="array" ref="FN7">_xll.EQNXTDZ($A$1,$B7,FN$1)</f>
        <v>1888.6</v>
      </c>
      <c r="FO7" s="116" cm="1">
        <f t="array" ref="FO7">_xll.EQNXTDZ($A$1,$B7,FO$1)</f>
        <v>1846.8</v>
      </c>
      <c r="FP7" s="116" cm="1">
        <f t="array" ref="FP7">_xll.EQNXTDZ($A$1,$B7,FP$1)</f>
        <v>0</v>
      </c>
      <c r="FQ7" s="116" cm="1">
        <f t="array" ref="FQ7">_xll.EQNXTDZ($A$1,$B7,FQ$1)</f>
        <v>0</v>
      </c>
      <c r="FR7" s="116" cm="1">
        <f t="array" ref="FR7">_xll.EQNXTDZ($A$1,$B7,FR$1)</f>
        <v>0</v>
      </c>
      <c r="FS7" s="116" cm="1">
        <f t="array" ref="FS7">_xll.EQNXTDZ($A$1,$B7,FS$1)</f>
        <v>0</v>
      </c>
      <c r="FT7" s="116" cm="1">
        <f t="array" ref="FT7">_xll.EQNXTDZ($A$1,$B7,FT$1)</f>
        <v>0</v>
      </c>
      <c r="FU7" s="116" cm="1">
        <f t="array" ref="FU7">_xll.EQNXTDZ($A$1,$B7,FU$1)</f>
        <v>0</v>
      </c>
      <c r="FV7" s="116" cm="1">
        <f t="array" ref="FV7">_xll.EQNXTDZ($A$1,$B7,FV$1)</f>
        <v>0</v>
      </c>
      <c r="FW7" s="116" cm="1">
        <f t="array" ref="FW7">_xll.EQNXTDZ($A$1,$B7,FW$1)</f>
        <v>0</v>
      </c>
      <c r="FX7" s="116" cm="1">
        <f t="array" ref="FX7">_xll.EQNXTDZ($A$1,$B7,FX$1)</f>
        <v>0</v>
      </c>
      <c r="FY7" s="116" cm="1">
        <f t="array" ref="FY7">_xll.EQNXTDZ($A$1,$B7,FY$1)</f>
        <v>0</v>
      </c>
      <c r="FZ7" s="116" cm="1">
        <f t="array" ref="FZ7">_xll.EQNXTDZ($A$1,$B7,FZ$1)</f>
        <v>0</v>
      </c>
      <c r="GA7" s="116" cm="1">
        <f t="array" ref="GA7">_xll.EQNXTDZ($A$1,$B7,GA$1)</f>
        <v>0</v>
      </c>
      <c r="GB7" s="116" cm="1">
        <f t="array" ref="GB7">_xll.EQNXTDZ($A$1,$B7,GB$1)</f>
        <v>0</v>
      </c>
      <c r="GC7" s="116" cm="1">
        <f t="array" ref="GC7">_xll.EQNXTDZ($A$1,$B7,GC$1)</f>
        <v>0</v>
      </c>
      <c r="GD7" s="116" cm="1">
        <f t="array" ref="GD7">_xll.EQNXTDZ($A$1,$B7,GD$1)</f>
        <v>0</v>
      </c>
      <c r="GE7" s="116" cm="1">
        <f t="array" ref="GE7">_xll.EQNXTDZ($A$1,$B7,GE$1)</f>
        <v>0</v>
      </c>
      <c r="GF7" s="116" cm="1">
        <f t="array" ref="GF7">_xll.EQNXTDZ($A$1,$B7,GF$1)</f>
        <v>0</v>
      </c>
      <c r="GG7" s="116" cm="1">
        <f t="array" ref="GG7">_xll.EQNXTDZ($A$1,$B7,GG$1)</f>
        <v>0</v>
      </c>
      <c r="GH7" s="116" cm="1">
        <f t="array" ref="GH7">_xll.EQNXTDZ($A$1,$B7,GH$1)</f>
        <v>0</v>
      </c>
      <c r="GI7" s="116" cm="1">
        <f t="array" ref="GI7">_xll.EQNXTDZ($A$1,$B7,GI$1)</f>
        <v>0</v>
      </c>
      <c r="GJ7" s="116" cm="1">
        <f t="array" ref="GJ7">_xll.EQNXTDZ($A$1,$B7,GJ$1)</f>
        <v>0</v>
      </c>
      <c r="GK7" s="116" cm="1">
        <f t="array" ref="GK7">_xll.EQNXTDZ($A$1,$B7,GK$1)</f>
        <v>0</v>
      </c>
      <c r="GL7" s="116" cm="1">
        <f t="array" ref="GL7">_xll.EQNXTDZ($A$1,$B7,GL$1)</f>
        <v>0</v>
      </c>
      <c r="GM7" s="116" cm="1">
        <f t="array" ref="GM7">_xll.EQNXTDZ($A$1,$B7,GM$1)</f>
        <v>0</v>
      </c>
      <c r="GN7" s="116" cm="1">
        <f t="array" ref="GN7">_xll.EQNXTDZ($A$1,$B7,GN$1)</f>
        <v>0</v>
      </c>
      <c r="GO7" s="116" cm="1">
        <f t="array" ref="GO7">_xll.EQNXTDZ($A$1,$B7,GO$1)</f>
        <v>0</v>
      </c>
      <c r="GP7" s="116" cm="1">
        <f t="array" ref="GP7">_xll.EQNXTDZ($A$1,$B7,GP$1)</f>
        <v>0</v>
      </c>
      <c r="GQ7" s="116" cm="1">
        <f t="array" ref="GQ7">_xll.EQNXTDZ($A$1,$B7,GQ$1)</f>
        <v>0</v>
      </c>
      <c r="GR7" s="116" cm="1">
        <f t="array" ref="GR7">_xll.EQNXTDZ($A$1,$B7,GR$1)</f>
        <v>0</v>
      </c>
      <c r="GS7" s="116" cm="1">
        <f t="array" ref="GS7">_xll.EQNXTDZ($A$1,$B7,GS$1)</f>
        <v>0</v>
      </c>
      <c r="GT7" s="116" cm="1">
        <f t="array" ref="GT7">_xll.EQNXTDZ($A$1,$B7,GT$1)</f>
        <v>0</v>
      </c>
      <c r="GU7" s="116" cm="1">
        <f t="array" ref="GU7">_xll.EQNXTDZ($A$1,$B7,GU$1)</f>
        <v>0</v>
      </c>
      <c r="GV7" s="116" cm="1">
        <f t="array" ref="GV7">_xll.EQNXTDZ($A$1,$B7,GV$1)</f>
        <v>0</v>
      </c>
      <c r="GW7" s="116" cm="1">
        <f t="array" ref="GW7">_xll.EQNXTDZ($A$1,$B7,GW$1)</f>
        <v>0</v>
      </c>
      <c r="GX7" s="116" cm="1">
        <f t="array" ref="GX7">_xll.EQNXTDZ($A$1,$B7,GX$1)</f>
        <v>0</v>
      </c>
      <c r="GY7" s="116" cm="1">
        <f t="array" ref="GY7">_xll.EQNXTDZ($A$1,$B7,GY$1)</f>
        <v>0</v>
      </c>
      <c r="GZ7" s="116" cm="1">
        <f t="array" ref="GZ7">_xll.EQNXTDZ($A$1,$B7,GZ$1)</f>
        <v>0</v>
      </c>
      <c r="HA7" s="116" cm="1">
        <f t="array" ref="HA7">_xll.EQNXTDZ($A$1,$B7,HA$1)</f>
        <v>0</v>
      </c>
      <c r="HB7" s="116" cm="1">
        <f t="array" ref="HB7">_xll.EQNXTDZ($A$1,$B7,HB$1)</f>
        <v>0</v>
      </c>
      <c r="HC7" s="116" cm="1">
        <f t="array" ref="HC7">_xll.EQNXTDZ($A$1,$B7,HC$1)</f>
        <v>0</v>
      </c>
      <c r="HD7" s="116" cm="1">
        <f t="array" ref="HD7">_xll.EQNXTDZ($A$1,$B7,HD$1)</f>
        <v>0</v>
      </c>
      <c r="HE7" s="116" cm="1">
        <f t="array" ref="HE7">_xll.EQNXTDZ($A$1,$B7,HE$1)</f>
        <v>0</v>
      </c>
      <c r="HF7" s="116" cm="1">
        <f t="array" ref="HF7">_xll.EQNXTDZ($A$1,$B7,HF$1)</f>
        <v>0</v>
      </c>
      <c r="HG7" s="116" cm="1">
        <f t="array" ref="HG7">_xll.EQNXTDZ($A$1,$B7,HG$1)</f>
        <v>0</v>
      </c>
      <c r="HH7" s="116" cm="1">
        <f t="array" ref="HH7">_xll.EQNXTDZ($A$1,$B7,HH$1)</f>
        <v>0</v>
      </c>
      <c r="HP7" s="116">
        <f>+MAX(D7:F7)</f>
        <v>0</v>
      </c>
      <c r="HQ7" s="116">
        <f>+MAX(G7:I7)</f>
        <v>0</v>
      </c>
      <c r="HR7" s="116">
        <f>+MAX(J7:L7)</f>
        <v>0</v>
      </c>
      <c r="HS7" s="116">
        <f>+MAX(M7:O7)</f>
        <v>0</v>
      </c>
      <c r="HT7" s="116">
        <f>+MAX(P7:R7)</f>
        <v>0</v>
      </c>
      <c r="HU7" s="116">
        <f>+MAX(S7:U7)</f>
        <v>0</v>
      </c>
      <c r="HV7" s="116">
        <f>+MAX(V7:X7)</f>
        <v>0</v>
      </c>
      <c r="HW7" s="116">
        <f>+MAX(Y7:AA7)</f>
        <v>0</v>
      </c>
      <c r="HX7" s="116">
        <f>+MAX(AB7:AD7)</f>
        <v>0</v>
      </c>
      <c r="HY7" s="116">
        <f>+MAX(AE7:AG7)</f>
        <v>0</v>
      </c>
      <c r="HZ7" s="116">
        <f>+MAX(AH7:AJ7)</f>
        <v>0</v>
      </c>
      <c r="IA7" s="116">
        <f>+MAX(AK7:AM7)</f>
        <v>0</v>
      </c>
      <c r="IB7" s="116">
        <f>+MAX(AN7:AP7)</f>
        <v>0</v>
      </c>
      <c r="IC7" s="116">
        <f>+MAX(AQ7:AS7)</f>
        <v>0</v>
      </c>
      <c r="ID7" s="116">
        <f>+MAX(AT7:AV7)</f>
        <v>0</v>
      </c>
      <c r="IE7" s="116">
        <f>+MAX(AW7:AY7)</f>
        <v>0</v>
      </c>
      <c r="IF7" s="116">
        <f>+MAX(AZ7:BB7)</f>
        <v>0</v>
      </c>
      <c r="IG7" s="116">
        <f>+MAX(BC7:BE7)</f>
        <v>0</v>
      </c>
      <c r="IH7" s="116">
        <f>+MAX(BF7:BH7)</f>
        <v>0</v>
      </c>
      <c r="II7" s="116">
        <f>+MAX(BI7:BK7)</f>
        <v>0</v>
      </c>
      <c r="IJ7" s="116">
        <f>+MAX(BL7:BN7)</f>
        <v>0</v>
      </c>
      <c r="IK7" s="116">
        <f>+MAX(BO7:BQ7)</f>
        <v>0</v>
      </c>
      <c r="IL7" s="116">
        <f>+MAX(BR7:BT7)</f>
        <v>0</v>
      </c>
      <c r="IM7" s="116">
        <f>+MAX(BU7:BW7)</f>
        <v>0</v>
      </c>
      <c r="IN7" s="116">
        <f>+MAX(BX7:BZ7)</f>
        <v>0</v>
      </c>
      <c r="IO7" s="116">
        <f>+MAX(CA7:CC7)</f>
        <v>0</v>
      </c>
      <c r="IP7" s="116">
        <f>+MAX(CD7:CF7)</f>
        <v>0</v>
      </c>
      <c r="IQ7" s="116">
        <f>+MAX(CG7:CI7)</f>
        <v>0</v>
      </c>
      <c r="IR7" s="116">
        <f>+MAX(CJ7:CL7)</f>
        <v>0</v>
      </c>
      <c r="IS7" s="116">
        <f>+MAX(CM7:CO7)</f>
        <v>0</v>
      </c>
      <c r="IT7" s="116">
        <f>+MAX(CP7:CR7)</f>
        <v>0</v>
      </c>
      <c r="IU7" s="116">
        <f>+MAX(CS7:CU7)</f>
        <v>0</v>
      </c>
      <c r="IV7" s="116">
        <f>+MAX(CV7:CX7)</f>
        <v>0</v>
      </c>
      <c r="IW7" s="116">
        <f>+MAX(CY7:DA7)</f>
        <v>0</v>
      </c>
      <c r="IX7" s="116">
        <f>+MAX(DB7:DD7)</f>
        <v>0</v>
      </c>
      <c r="IY7" s="116">
        <f>+MAX(DE7:DG7)</f>
        <v>0</v>
      </c>
      <c r="IZ7" s="116">
        <f>+MAX(DH7:DJ7)</f>
        <v>0</v>
      </c>
      <c r="JA7" s="116">
        <f>+MAX(DK7:DM7)</f>
        <v>0</v>
      </c>
      <c r="JB7" s="116">
        <f>+MAX(DN7:DP7)</f>
        <v>0</v>
      </c>
      <c r="JC7" s="116">
        <f>+MAX(DQ7:DS7)</f>
        <v>0</v>
      </c>
      <c r="JD7" s="116">
        <f>+MAX(DT7:DV7)</f>
        <v>0</v>
      </c>
      <c r="JE7" s="116">
        <f>+MAX(DW7:DY7)</f>
        <v>0</v>
      </c>
      <c r="JF7" s="116">
        <f>+MAX(DZ7:EB7)</f>
        <v>0</v>
      </c>
      <c r="JG7" s="116">
        <f>+MAX(EC7:EE7)</f>
        <v>0</v>
      </c>
      <c r="JH7" s="116">
        <f>+MAX(EF7:EH7)</f>
        <v>686.7</v>
      </c>
      <c r="JI7" s="116">
        <f>+MAX(EI7:EK7)</f>
        <v>656</v>
      </c>
      <c r="JJ7" s="116">
        <f>+MAX(EL7:EN7)</f>
        <v>637.95000000000005</v>
      </c>
      <c r="JK7" s="116">
        <f>MAX(EO7:EQ7)</f>
        <v>774.9</v>
      </c>
      <c r="JL7" s="116">
        <f>MAX(ER7:ET7)</f>
        <v>960</v>
      </c>
      <c r="JM7" s="116">
        <f>MAX(EU7:EW7)</f>
        <v>1233</v>
      </c>
      <c r="JN7" s="116">
        <f>MAX(EX7:EZ7)</f>
        <v>1478</v>
      </c>
      <c r="JO7" s="116">
        <f>MAX(FA7:FC7)</f>
        <v>1590</v>
      </c>
      <c r="JP7" s="116">
        <f>MAX(FD7:FF7)</f>
        <v>1612</v>
      </c>
      <c r="JQ7" s="116">
        <f>MAX(FG7:FI7)</f>
        <v>1395</v>
      </c>
      <c r="JR7" s="116">
        <f>MAX(FJ7:FL7)</f>
        <v>1374</v>
      </c>
      <c r="JS7" s="116">
        <f>MAX(FM7:FO7)</f>
        <v>1888.6</v>
      </c>
      <c r="JT7" s="116">
        <f>MAX(FP7:FR7)</f>
        <v>0</v>
      </c>
      <c r="JU7" s="116">
        <f>MAX(FS7:FU7)</f>
        <v>0</v>
      </c>
      <c r="JV7" s="116">
        <f>MAX(FV7:FX7)</f>
        <v>0</v>
      </c>
      <c r="JW7" s="116">
        <f>MAX(FY7:GA7)</f>
        <v>0</v>
      </c>
      <c r="JX7" s="116">
        <f>MAX(GB7:GD7)</f>
        <v>0</v>
      </c>
      <c r="JY7" s="116">
        <f>MAX(GE7:GG7)</f>
        <v>0</v>
      </c>
      <c r="JZ7" s="116">
        <f>MAX(GH7:GJ7)</f>
        <v>0</v>
      </c>
      <c r="KA7" s="116">
        <f>MAX(GK7:GM7)</f>
        <v>0</v>
      </c>
      <c r="KB7" s="116">
        <f>MAX(GN7:GP7)</f>
        <v>0</v>
      </c>
      <c r="KC7" s="116">
        <f>MAX(GQ7:GS7)</f>
        <v>0</v>
      </c>
      <c r="KD7" s="116">
        <f>MAX(GT7:GV7)</f>
        <v>0</v>
      </c>
      <c r="KE7" s="116">
        <f>MAX(GW7:GY7)</f>
        <v>0</v>
      </c>
      <c r="KF7" s="116">
        <f>MAX(GZ7:HB7)</f>
        <v>0</v>
      </c>
      <c r="KG7" s="116">
        <f>MAX(HC7:HE7)</f>
        <v>0</v>
      </c>
      <c r="KH7" s="116">
        <f>MAX(HF7:HH7)</f>
        <v>0</v>
      </c>
    </row>
    <row r="8" spans="1:294" s="116" customFormat="1" x14ac:dyDescent="0.25">
      <c r="A8" s="116" t="s">
        <v>39</v>
      </c>
      <c r="B8" s="116" t="s">
        <v>419</v>
      </c>
      <c r="C8" s="116" cm="1">
        <f t="array" ref="C8">_xll.EQNXTDZ($A$1,$B8,C$1)</f>
        <v>0</v>
      </c>
      <c r="D8" s="116" cm="1">
        <f t="array" ref="D8">_xll.EQNXTDZ($A$1,$B8,D$1)</f>
        <v>0</v>
      </c>
      <c r="E8" s="116" cm="1">
        <f t="array" ref="E8">_xll.EQNXTDZ($A$1,$B8,E$1)</f>
        <v>0</v>
      </c>
      <c r="F8" s="116" cm="1">
        <f t="array" ref="F8">_xll.EQNXTDZ($A$1,$B8,F$1)</f>
        <v>0</v>
      </c>
      <c r="G8" s="116" cm="1">
        <f t="array" ref="G8">_xll.EQNXTDZ($A$1,$B8,G$1)</f>
        <v>0</v>
      </c>
      <c r="H8" s="116" cm="1">
        <f t="array" ref="H8">_xll.EQNXTDZ($A$1,$B8,H$1)</f>
        <v>0</v>
      </c>
      <c r="I8" s="116" cm="1">
        <f t="array" ref="I8">_xll.EQNXTDZ($A$1,$B8,I$1)</f>
        <v>0</v>
      </c>
      <c r="J8" s="116" cm="1">
        <f t="array" ref="J8">_xll.EQNXTDZ($A$1,$B8,J$1)</f>
        <v>0</v>
      </c>
      <c r="K8" s="116" cm="1">
        <f t="array" ref="K8">_xll.EQNXTDZ($A$1,$B8,K$1)</f>
        <v>0</v>
      </c>
      <c r="L8" s="116" cm="1">
        <f t="array" ref="L8">_xll.EQNXTDZ($A$1,$B8,L$1)</f>
        <v>0</v>
      </c>
      <c r="M8" s="116" cm="1">
        <f t="array" ref="M8">_xll.EQNXTDZ($A$1,$B8,M$1)</f>
        <v>0</v>
      </c>
      <c r="N8" s="116" cm="1">
        <f t="array" ref="N8">_xll.EQNXTDZ($A$1,$B8,N$1)</f>
        <v>0</v>
      </c>
      <c r="O8" s="116" cm="1">
        <f t="array" ref="O8">_xll.EQNXTDZ($A$1,$B8,O$1)</f>
        <v>0</v>
      </c>
      <c r="P8" s="116" cm="1">
        <f t="array" ref="P8">_xll.EQNXTDZ($A$1,$B8,P$1)</f>
        <v>0</v>
      </c>
      <c r="Q8" s="116" cm="1">
        <f t="array" ref="Q8">_xll.EQNXTDZ($A$1,$B8,Q$1)</f>
        <v>0</v>
      </c>
      <c r="R8" s="116" cm="1">
        <f t="array" ref="R8">_xll.EQNXTDZ($A$1,$B8,R$1)</f>
        <v>0</v>
      </c>
      <c r="S8" s="116" cm="1">
        <f t="array" ref="S8">_xll.EQNXTDZ($A$1,$B8,S$1)</f>
        <v>0</v>
      </c>
      <c r="T8" s="116" cm="1">
        <f t="array" ref="T8">_xll.EQNXTDZ($A$1,$B8,T$1)</f>
        <v>0</v>
      </c>
      <c r="U8" s="116" cm="1">
        <f t="array" ref="U8">_xll.EQNXTDZ($A$1,$B8,U$1)</f>
        <v>0</v>
      </c>
      <c r="V8" s="116" cm="1">
        <f t="array" ref="V8">_xll.EQNXTDZ($A$1,$B8,V$1)</f>
        <v>0</v>
      </c>
      <c r="W8" s="116" cm="1">
        <f t="array" ref="W8">_xll.EQNXTDZ($A$1,$B8,W$1)</f>
        <v>0</v>
      </c>
      <c r="X8" s="116" cm="1">
        <f t="array" ref="X8">_xll.EQNXTDZ($A$1,$B8,X$1)</f>
        <v>0</v>
      </c>
      <c r="Y8" s="116" cm="1">
        <f t="array" ref="Y8">_xll.EQNXTDZ($A$1,$B8,Y$1)</f>
        <v>0</v>
      </c>
      <c r="Z8" s="116" cm="1">
        <f t="array" ref="Z8">_xll.EQNXTDZ($A$1,$B8,Z$1)</f>
        <v>0</v>
      </c>
      <c r="AA8" s="116" cm="1">
        <f t="array" ref="AA8">_xll.EQNXTDZ($A$1,$B8,AA$1)</f>
        <v>0</v>
      </c>
      <c r="AB8" s="116" cm="1">
        <f t="array" ref="AB8">_xll.EQNXTDZ($A$1,$B8,AB$1)</f>
        <v>0</v>
      </c>
      <c r="AC8" s="116" cm="1">
        <f t="array" ref="AC8">_xll.EQNXTDZ($A$1,$B8,AC$1)</f>
        <v>0</v>
      </c>
      <c r="AD8" s="116" cm="1">
        <f t="array" ref="AD8">_xll.EQNXTDZ($A$1,$B8,AD$1)</f>
        <v>0</v>
      </c>
      <c r="AE8" s="116" cm="1">
        <f t="array" ref="AE8">_xll.EQNXTDZ($A$1,$B8,AE$1)</f>
        <v>0</v>
      </c>
      <c r="AF8" s="116" cm="1">
        <f t="array" ref="AF8">_xll.EQNXTDZ($A$1,$B8,AF$1)</f>
        <v>0</v>
      </c>
      <c r="AG8" s="116" cm="1">
        <f t="array" ref="AG8">_xll.EQNXTDZ($A$1,$B8,AG$1)</f>
        <v>0</v>
      </c>
      <c r="AH8" s="116" cm="1">
        <f t="array" ref="AH8">_xll.EQNXTDZ($A$1,$B8,AH$1)</f>
        <v>0</v>
      </c>
      <c r="AI8" s="116" cm="1">
        <f t="array" ref="AI8">_xll.EQNXTDZ($A$1,$B8,AI$1)</f>
        <v>0</v>
      </c>
      <c r="AJ8" s="116" cm="1">
        <f t="array" ref="AJ8">_xll.EQNXTDZ($A$1,$B8,AJ$1)</f>
        <v>0</v>
      </c>
      <c r="AK8" s="116" cm="1">
        <f t="array" ref="AK8">_xll.EQNXTDZ($A$1,$B8,AK$1)</f>
        <v>0</v>
      </c>
      <c r="AL8" s="116" cm="1">
        <f t="array" ref="AL8">_xll.EQNXTDZ($A$1,$B8,AL$1)</f>
        <v>0</v>
      </c>
      <c r="AM8" s="116" cm="1">
        <f t="array" ref="AM8">_xll.EQNXTDZ($A$1,$B8,AM$1)</f>
        <v>0</v>
      </c>
      <c r="AN8" s="116" cm="1">
        <f t="array" ref="AN8">_xll.EQNXTDZ($A$1,$B8,AN$1)</f>
        <v>0</v>
      </c>
      <c r="AO8" s="116" cm="1">
        <f t="array" ref="AO8">_xll.EQNXTDZ($A$1,$B8,AO$1)</f>
        <v>0</v>
      </c>
      <c r="AP8" s="116" cm="1">
        <f t="array" ref="AP8">_xll.EQNXTDZ($A$1,$B8,AP$1)</f>
        <v>0</v>
      </c>
      <c r="AQ8" s="116" cm="1">
        <f t="array" ref="AQ8">_xll.EQNXTDZ($A$1,$B8,AQ$1)</f>
        <v>0</v>
      </c>
      <c r="AR8" s="116" cm="1">
        <f t="array" ref="AR8">_xll.EQNXTDZ($A$1,$B8,AR$1)</f>
        <v>0</v>
      </c>
      <c r="AS8" s="116" cm="1">
        <f t="array" ref="AS8">_xll.EQNXTDZ($A$1,$B8,AS$1)</f>
        <v>0</v>
      </c>
      <c r="AT8" s="116" cm="1">
        <f t="array" ref="AT8">_xll.EQNXTDZ($A$1,$B8,AT$1)</f>
        <v>0</v>
      </c>
      <c r="AU8" s="116" cm="1">
        <f t="array" ref="AU8">_xll.EQNXTDZ($A$1,$B8,AU$1)</f>
        <v>0</v>
      </c>
      <c r="AV8" s="116" cm="1">
        <f t="array" ref="AV8">_xll.EQNXTDZ($A$1,$B8,AV$1)</f>
        <v>0</v>
      </c>
      <c r="AW8" s="116" cm="1">
        <f t="array" ref="AW8">_xll.EQNXTDZ($A$1,$B8,AW$1)</f>
        <v>0</v>
      </c>
      <c r="AX8" s="116" cm="1">
        <f t="array" ref="AX8">_xll.EQNXTDZ($A$1,$B8,AX$1)</f>
        <v>0</v>
      </c>
      <c r="AY8" s="116" cm="1">
        <f t="array" ref="AY8">_xll.EQNXTDZ($A$1,$B8,AY$1)</f>
        <v>0</v>
      </c>
      <c r="AZ8" s="116" cm="1">
        <f t="array" ref="AZ8">_xll.EQNXTDZ($A$1,$B8,AZ$1)</f>
        <v>0</v>
      </c>
      <c r="BA8" s="116" cm="1">
        <f t="array" ref="BA8">_xll.EQNXTDZ($A$1,$B8,BA$1)</f>
        <v>0</v>
      </c>
      <c r="BB8" s="116" cm="1">
        <f t="array" ref="BB8">_xll.EQNXTDZ($A$1,$B8,BB$1)</f>
        <v>0</v>
      </c>
      <c r="BC8" s="116" cm="1">
        <f t="array" ref="BC8">_xll.EQNXTDZ($A$1,$B8,BC$1)</f>
        <v>0</v>
      </c>
      <c r="BD8" s="116" cm="1">
        <f t="array" ref="BD8">_xll.EQNXTDZ($A$1,$B8,BD$1)</f>
        <v>0</v>
      </c>
      <c r="BE8" s="116" cm="1">
        <f t="array" ref="BE8">_xll.EQNXTDZ($A$1,$B8,BE$1)</f>
        <v>0</v>
      </c>
      <c r="BF8" s="116" cm="1">
        <f t="array" ref="BF8">_xll.EQNXTDZ($A$1,$B8,BF$1)</f>
        <v>0</v>
      </c>
      <c r="BG8" s="116" cm="1">
        <f t="array" ref="BG8">_xll.EQNXTDZ($A$1,$B8,BG$1)</f>
        <v>0</v>
      </c>
      <c r="BH8" s="116" cm="1">
        <f t="array" ref="BH8">_xll.EQNXTDZ($A$1,$B8,BH$1)</f>
        <v>0</v>
      </c>
      <c r="BI8" s="116" cm="1">
        <f t="array" ref="BI8">_xll.EQNXTDZ($A$1,$B8,BI$1)</f>
        <v>0</v>
      </c>
      <c r="BJ8" s="116" cm="1">
        <f t="array" ref="BJ8">_xll.EQNXTDZ($A$1,$B8,BJ$1)</f>
        <v>0</v>
      </c>
      <c r="BK8" s="116" cm="1">
        <f t="array" ref="BK8">_xll.EQNXTDZ($A$1,$B8,BK$1)</f>
        <v>0</v>
      </c>
      <c r="BL8" s="116" cm="1">
        <f t="array" ref="BL8">_xll.EQNXTDZ($A$1,$B8,BL$1)</f>
        <v>0</v>
      </c>
      <c r="BM8" s="116" cm="1">
        <f t="array" ref="BM8">_xll.EQNXTDZ($A$1,$B8,BM$1)</f>
        <v>0</v>
      </c>
      <c r="BN8" s="116" cm="1">
        <f t="array" ref="BN8">_xll.EQNXTDZ($A$1,$B8,BN$1)</f>
        <v>0</v>
      </c>
      <c r="BO8" s="116" cm="1">
        <f t="array" ref="BO8">_xll.EQNXTDZ($A$1,$B8,BO$1)</f>
        <v>0</v>
      </c>
      <c r="BP8" s="116" cm="1">
        <f t="array" ref="BP8">_xll.EQNXTDZ($A$1,$B8,BP$1)</f>
        <v>0</v>
      </c>
      <c r="BQ8" s="116" cm="1">
        <f t="array" ref="BQ8">_xll.EQNXTDZ($A$1,$B8,BQ$1)</f>
        <v>0</v>
      </c>
      <c r="BR8" s="116" cm="1">
        <f t="array" ref="BR8">_xll.EQNXTDZ($A$1,$B8,BR$1)</f>
        <v>0</v>
      </c>
      <c r="BS8" s="116" cm="1">
        <f t="array" ref="BS8">_xll.EQNXTDZ($A$1,$B8,BS$1)</f>
        <v>0</v>
      </c>
      <c r="BT8" s="116" cm="1">
        <f t="array" ref="BT8">_xll.EQNXTDZ($A$1,$B8,BT$1)</f>
        <v>0</v>
      </c>
      <c r="BU8" s="116" cm="1">
        <f t="array" ref="BU8">_xll.EQNXTDZ($A$1,$B8,BU$1)</f>
        <v>0</v>
      </c>
      <c r="BV8" s="116" cm="1">
        <f t="array" ref="BV8">_xll.EQNXTDZ($A$1,$B8,BV$1)</f>
        <v>0</v>
      </c>
      <c r="BW8" s="116" cm="1">
        <f t="array" ref="BW8">_xll.EQNXTDZ($A$1,$B8,BW$1)</f>
        <v>0</v>
      </c>
      <c r="BX8" s="116" cm="1">
        <f t="array" ref="BX8">_xll.EQNXTDZ($A$1,$B8,BX$1)</f>
        <v>0</v>
      </c>
      <c r="BY8" s="116" cm="1">
        <f t="array" ref="BY8">_xll.EQNXTDZ($A$1,$B8,BY$1)</f>
        <v>0</v>
      </c>
      <c r="BZ8" s="116" cm="1">
        <f t="array" ref="BZ8">_xll.EQNXTDZ($A$1,$B8,BZ$1)</f>
        <v>0</v>
      </c>
      <c r="CA8" s="116" cm="1">
        <f t="array" ref="CA8">_xll.EQNXTDZ($A$1,$B8,CA$1)</f>
        <v>0</v>
      </c>
      <c r="CB8" s="116" cm="1">
        <f t="array" ref="CB8">_xll.EQNXTDZ($A$1,$B8,CB$1)</f>
        <v>0</v>
      </c>
      <c r="CC8" s="116" cm="1">
        <f t="array" ref="CC8">_xll.EQNXTDZ($A$1,$B8,CC$1)</f>
        <v>0</v>
      </c>
      <c r="CD8" s="116" cm="1">
        <f t="array" ref="CD8">_xll.EQNXTDZ($A$1,$B8,CD$1)</f>
        <v>0</v>
      </c>
      <c r="CE8" s="116" cm="1">
        <f t="array" ref="CE8">_xll.EQNXTDZ($A$1,$B8,CE$1)</f>
        <v>0</v>
      </c>
      <c r="CF8" s="116" cm="1">
        <f t="array" ref="CF8">_xll.EQNXTDZ($A$1,$B8,CF$1)</f>
        <v>0</v>
      </c>
      <c r="CG8" s="116" cm="1">
        <f t="array" ref="CG8">_xll.EQNXTDZ($A$1,$B8,CG$1)</f>
        <v>0</v>
      </c>
      <c r="CH8" s="116" cm="1">
        <f t="array" ref="CH8">_xll.EQNXTDZ($A$1,$B8,CH$1)</f>
        <v>0</v>
      </c>
      <c r="CI8" s="116" cm="1">
        <f t="array" ref="CI8">_xll.EQNXTDZ($A$1,$B8,CI$1)</f>
        <v>0</v>
      </c>
      <c r="CJ8" s="116" cm="1">
        <f t="array" ref="CJ8">_xll.EQNXTDZ($A$1,$B8,CJ$1)</f>
        <v>0</v>
      </c>
      <c r="CK8" s="116" cm="1">
        <f t="array" ref="CK8">_xll.EQNXTDZ($A$1,$B8,CK$1)</f>
        <v>0</v>
      </c>
      <c r="CL8" s="116" cm="1">
        <f t="array" ref="CL8">_xll.EQNXTDZ($A$1,$B8,CL$1)</f>
        <v>0</v>
      </c>
      <c r="CM8" s="116" cm="1">
        <f t="array" ref="CM8">_xll.EQNXTDZ($A$1,$B8,CM$1)</f>
        <v>0</v>
      </c>
      <c r="CN8" s="116" cm="1">
        <f t="array" ref="CN8">_xll.EQNXTDZ($A$1,$B8,CN$1)</f>
        <v>0</v>
      </c>
      <c r="CO8" s="116" cm="1">
        <f t="array" ref="CO8">_xll.EQNXTDZ($A$1,$B8,CO$1)</f>
        <v>0</v>
      </c>
      <c r="CP8" s="116" cm="1">
        <f t="array" ref="CP8">_xll.EQNXTDZ($A$1,$B8,CP$1)</f>
        <v>0</v>
      </c>
      <c r="CQ8" s="116" cm="1">
        <f t="array" ref="CQ8">_xll.EQNXTDZ($A$1,$B8,CQ$1)</f>
        <v>0</v>
      </c>
      <c r="CR8" s="116" cm="1">
        <f t="array" ref="CR8">_xll.EQNXTDZ($A$1,$B8,CR$1)</f>
        <v>0</v>
      </c>
      <c r="CS8" s="116" cm="1">
        <f t="array" ref="CS8">_xll.EQNXTDZ($A$1,$B8,CS$1)</f>
        <v>0</v>
      </c>
      <c r="CT8" s="116" cm="1">
        <f t="array" ref="CT8">_xll.EQNXTDZ($A$1,$B8,CT$1)</f>
        <v>0</v>
      </c>
      <c r="CU8" s="116" cm="1">
        <f t="array" ref="CU8">_xll.EQNXTDZ($A$1,$B8,CU$1)</f>
        <v>0</v>
      </c>
      <c r="CV8" s="116" cm="1">
        <f t="array" ref="CV8">_xll.EQNXTDZ($A$1,$B8,CV$1)</f>
        <v>0</v>
      </c>
      <c r="CW8" s="116" cm="1">
        <f t="array" ref="CW8">_xll.EQNXTDZ($A$1,$B8,CW$1)</f>
        <v>0</v>
      </c>
      <c r="CX8" s="116" cm="1">
        <f t="array" ref="CX8">_xll.EQNXTDZ($A$1,$B8,CX$1)</f>
        <v>0</v>
      </c>
      <c r="CY8" s="116" cm="1">
        <f t="array" ref="CY8">_xll.EQNXTDZ($A$1,$B8,CY$1)</f>
        <v>0</v>
      </c>
      <c r="CZ8" s="116" cm="1">
        <f t="array" ref="CZ8">_xll.EQNXTDZ($A$1,$B8,CZ$1)</f>
        <v>0</v>
      </c>
      <c r="DA8" s="116" cm="1">
        <f t="array" ref="DA8">_xll.EQNXTDZ($A$1,$B8,DA$1)</f>
        <v>0</v>
      </c>
      <c r="DB8" s="116" cm="1">
        <f t="array" ref="DB8">_xll.EQNXTDZ($A$1,$B8,DB$1)</f>
        <v>0</v>
      </c>
      <c r="DC8" s="116" cm="1">
        <f t="array" ref="DC8">_xll.EQNXTDZ($A$1,$B8,DC$1)</f>
        <v>0</v>
      </c>
      <c r="DD8" s="116" cm="1">
        <f t="array" ref="DD8">_xll.EQNXTDZ($A$1,$B8,DD$1)</f>
        <v>0</v>
      </c>
      <c r="DE8" s="116" cm="1">
        <f t="array" ref="DE8">_xll.EQNXTDZ($A$1,$B8,DE$1)</f>
        <v>0</v>
      </c>
      <c r="DF8" s="116" cm="1">
        <f t="array" ref="DF8">_xll.EQNXTDZ($A$1,$B8,DF$1)</f>
        <v>0</v>
      </c>
      <c r="DG8" s="116" cm="1">
        <f t="array" ref="DG8">_xll.EQNXTDZ($A$1,$B8,DG$1)</f>
        <v>0</v>
      </c>
      <c r="DH8" s="116" cm="1">
        <f t="array" ref="DH8">_xll.EQNXTDZ($A$1,$B8,DH$1)</f>
        <v>0</v>
      </c>
      <c r="DI8" s="116" cm="1">
        <f t="array" ref="DI8">_xll.EQNXTDZ($A$1,$B8,DI$1)</f>
        <v>0</v>
      </c>
      <c r="DJ8" s="116" cm="1">
        <f t="array" ref="DJ8">_xll.EQNXTDZ($A$1,$B8,DJ$1)</f>
        <v>0</v>
      </c>
      <c r="DK8" s="116" cm="1">
        <f t="array" ref="DK8">_xll.EQNXTDZ($A$1,$B8,DK$1)</f>
        <v>0</v>
      </c>
      <c r="DL8" s="116" cm="1">
        <f t="array" ref="DL8">_xll.EQNXTDZ($A$1,$B8,DL$1)</f>
        <v>0</v>
      </c>
      <c r="DM8" s="116" cm="1">
        <f t="array" ref="DM8">_xll.EQNXTDZ($A$1,$B8,DM$1)</f>
        <v>0</v>
      </c>
      <c r="DN8" s="116" cm="1">
        <f t="array" ref="DN8">_xll.EQNXTDZ($A$1,$B8,DN$1)</f>
        <v>0</v>
      </c>
      <c r="DO8" s="116" cm="1">
        <f t="array" ref="DO8">_xll.EQNXTDZ($A$1,$B8,DO$1)</f>
        <v>0</v>
      </c>
      <c r="DP8" s="116" cm="1">
        <f t="array" ref="DP8">_xll.EQNXTDZ($A$1,$B8,DP$1)</f>
        <v>0</v>
      </c>
      <c r="DQ8" s="116" cm="1">
        <f t="array" ref="DQ8">_xll.EQNXTDZ($A$1,$B8,DQ$1)</f>
        <v>0</v>
      </c>
      <c r="DR8" s="116" cm="1">
        <f t="array" ref="DR8">_xll.EQNXTDZ($A$1,$B8,DR$1)</f>
        <v>0</v>
      </c>
      <c r="DS8" s="116" cm="1">
        <f t="array" ref="DS8">_xll.EQNXTDZ($A$1,$B8,DS$1)</f>
        <v>0</v>
      </c>
      <c r="DT8" s="116" cm="1">
        <f t="array" ref="DT8">_xll.EQNXTDZ($A$1,$B8,DT$1)</f>
        <v>0</v>
      </c>
      <c r="DU8" s="116" cm="1">
        <f t="array" ref="DU8">_xll.EQNXTDZ($A$1,$B8,DU$1)</f>
        <v>0</v>
      </c>
      <c r="DV8" s="116" cm="1">
        <f t="array" ref="DV8">_xll.EQNXTDZ($A$1,$B8,DV$1)</f>
        <v>0</v>
      </c>
      <c r="DW8" s="116" cm="1">
        <f t="array" ref="DW8">_xll.EQNXTDZ($A$1,$B8,DW$1)</f>
        <v>0</v>
      </c>
      <c r="DX8" s="116" cm="1">
        <f t="array" ref="DX8">_xll.EQNXTDZ($A$1,$B8,DX$1)</f>
        <v>0</v>
      </c>
      <c r="DY8" s="116" cm="1">
        <f t="array" ref="DY8">_xll.EQNXTDZ($A$1,$B8,DY$1)</f>
        <v>0</v>
      </c>
      <c r="DZ8" s="116" cm="1">
        <f t="array" ref="DZ8">_xll.EQNXTDZ($A$1,$B8,DZ$1)</f>
        <v>0</v>
      </c>
      <c r="EA8" s="116" cm="1">
        <f t="array" ref="EA8">_xll.EQNXTDZ($A$1,$B8,EA$1)</f>
        <v>0</v>
      </c>
      <c r="EB8" s="116" cm="1">
        <f t="array" ref="EB8">_xll.EQNXTDZ($A$1,$B8,EB$1)</f>
        <v>0</v>
      </c>
      <c r="EC8" s="116" cm="1">
        <f t="array" ref="EC8">_xll.EQNXTDZ($A$1,$B8,EC$1)</f>
        <v>0</v>
      </c>
      <c r="ED8" s="116" cm="1">
        <f t="array" ref="ED8">_xll.EQNXTDZ($A$1,$B8,ED$1)</f>
        <v>0</v>
      </c>
      <c r="EE8" s="116" cm="1">
        <f t="array" ref="EE8">_xll.EQNXTDZ($A$1,$B8,EE$1)</f>
        <v>0</v>
      </c>
      <c r="EF8" s="116" cm="1">
        <f t="array" ref="EF8">_xll.EQNXTDZ($A$1,$B8,EF$1)</f>
        <v>531</v>
      </c>
      <c r="EG8" s="116" cm="1">
        <f t="array" ref="EG8">_xll.EQNXTDZ($A$1,$B8,EG$1)</f>
        <v>498.05</v>
      </c>
      <c r="EH8" s="116" cm="1">
        <f t="array" ref="EH8">_xll.EQNXTDZ($A$1,$B8,EH$1)</f>
        <v>526.70000000000005</v>
      </c>
      <c r="EI8" s="116" cm="1">
        <f t="array" ref="EI8">_xll.EQNXTDZ($A$1,$B8,EI$1)</f>
        <v>500</v>
      </c>
      <c r="EJ8" s="116" cm="1">
        <f t="array" ref="EJ8">_xll.EQNXTDZ($A$1,$B8,EJ$1)</f>
        <v>492</v>
      </c>
      <c r="EK8" s="116" cm="1">
        <f t="array" ref="EK8">_xll.EQNXTDZ($A$1,$B8,EK$1)</f>
        <v>521.45000000000005</v>
      </c>
      <c r="EL8" s="116" cm="1">
        <f t="array" ref="EL8">_xll.EQNXTDZ($A$1,$B8,EL$1)</f>
        <v>558.29999999999995</v>
      </c>
      <c r="EM8" s="116" cm="1">
        <f t="array" ref="EM8">_xll.EQNXTDZ($A$1,$B8,EM$1)</f>
        <v>525.9</v>
      </c>
      <c r="EN8" s="116" cm="1">
        <f t="array" ref="EN8">_xll.EQNXTDZ($A$1,$B8,EN$1)</f>
        <v>531</v>
      </c>
      <c r="EO8" s="116" cm="1">
        <f t="array" ref="EO8">_xll.EQNXTDZ($A$1,$B8,EO$1)</f>
        <v>597.35</v>
      </c>
      <c r="EP8" s="116" cm="1">
        <f t="array" ref="EP8">_xll.EQNXTDZ($A$1,$B8,EP$1)</f>
        <v>654.9</v>
      </c>
      <c r="EQ8" s="116" cm="1">
        <f t="array" ref="EQ8">_xll.EQNXTDZ($A$1,$B8,EQ$1)</f>
        <v>592</v>
      </c>
      <c r="ER8" s="116" cm="1">
        <f t="array" ref="ER8">_xll.EQNXTDZ($A$1,$B8,ER$1)</f>
        <v>674.8</v>
      </c>
      <c r="ES8" s="116" cm="1">
        <f t="array" ref="ES8">_xll.EQNXTDZ($A$1,$B8,ES$1)</f>
        <v>705</v>
      </c>
      <c r="ET8" s="116" cm="1">
        <f t="array" ref="ET8">_xll.EQNXTDZ($A$1,$B8,ET$1)</f>
        <v>732.75</v>
      </c>
      <c r="EU8" s="116" cm="1">
        <f t="array" ref="EU8">_xll.EQNXTDZ($A$1,$B8,EU$1)</f>
        <v>891.05</v>
      </c>
      <c r="EV8" s="116" cm="1">
        <f t="array" ref="EV8">_xll.EQNXTDZ($A$1,$B8,EV$1)</f>
        <v>907.95</v>
      </c>
      <c r="EW8" s="116" cm="1">
        <f t="array" ref="EW8">_xll.EQNXTDZ($A$1,$B8,EW$1)</f>
        <v>1041.5</v>
      </c>
      <c r="EX8" s="116" cm="1">
        <f t="array" ref="EX8">_xll.EQNXTDZ($A$1,$B8,EX$1)</f>
        <v>1142.4000000000001</v>
      </c>
      <c r="EY8" s="116" cm="1">
        <f t="array" ref="EY8">_xll.EQNXTDZ($A$1,$B8,EY$1)</f>
        <v>999.5</v>
      </c>
      <c r="EZ8" s="116" cm="1">
        <f t="array" ref="EZ8">_xll.EQNXTDZ($A$1,$B8,EZ$1)</f>
        <v>942.15</v>
      </c>
      <c r="FA8" s="116" cm="1">
        <f t="array" ref="FA8">_xll.EQNXTDZ($A$1,$B8,FA$1)</f>
        <v>1015</v>
      </c>
      <c r="FB8" s="116" cm="1">
        <f t="array" ref="FB8">_xll.EQNXTDZ($A$1,$B8,FB$1)</f>
        <v>1145.0999999999999</v>
      </c>
      <c r="FC8" s="116" cm="1">
        <f t="array" ref="FC8">_xll.EQNXTDZ($A$1,$B8,FC$1)</f>
        <v>1330</v>
      </c>
      <c r="FD8" s="116" cm="1">
        <f t="array" ref="FD8">_xll.EQNXTDZ($A$1,$B8,FD$1)</f>
        <v>1451</v>
      </c>
      <c r="FE8" s="116" cm="1">
        <f t="array" ref="FE8">_xll.EQNXTDZ($A$1,$B8,FE$1)</f>
        <v>1284.5999999999999</v>
      </c>
      <c r="FF8" s="116" cm="1">
        <f t="array" ref="FF8">_xll.EQNXTDZ($A$1,$B8,FF$1)</f>
        <v>1201.3</v>
      </c>
      <c r="FG8" s="116" cm="1">
        <f t="array" ref="FG8">_xll.EQNXTDZ($A$1,$B8,FG$1)</f>
        <v>1210</v>
      </c>
      <c r="FH8" s="116" cm="1">
        <f t="array" ref="FH8">_xll.EQNXTDZ($A$1,$B8,FH$1)</f>
        <v>1170</v>
      </c>
      <c r="FI8" s="116" cm="1">
        <f t="array" ref="FI8">_xll.EQNXTDZ($A$1,$B8,FI$1)</f>
        <v>1185.7</v>
      </c>
      <c r="FJ8" s="116" cm="1">
        <f t="array" ref="FJ8">_xll.EQNXTDZ($A$1,$B8,FJ$1)</f>
        <v>1084</v>
      </c>
      <c r="FK8" s="116" cm="1">
        <f t="array" ref="FK8">_xll.EQNXTDZ($A$1,$B8,FK$1)</f>
        <v>1042.9000000000001</v>
      </c>
      <c r="FL8" s="116" cm="1">
        <f t="array" ref="FL8">_xll.EQNXTDZ($A$1,$B8,FL$1)</f>
        <v>1119.9000000000001</v>
      </c>
      <c r="FM8" s="116" cm="1">
        <f t="array" ref="FM8">_xll.EQNXTDZ($A$1,$B8,FM$1)</f>
        <v>1290</v>
      </c>
      <c r="FN8" s="116" cm="1">
        <f t="array" ref="FN8">_xll.EQNXTDZ($A$1,$B8,FN$1)</f>
        <v>1636.1</v>
      </c>
      <c r="FO8" s="116" cm="1">
        <f t="array" ref="FO8">_xll.EQNXTDZ($A$1,$B8,FO$1)</f>
        <v>1670</v>
      </c>
      <c r="FP8" s="116" cm="1">
        <f t="array" ref="FP8">_xll.EQNXTDZ($A$1,$B8,FP$1)</f>
        <v>0</v>
      </c>
      <c r="FQ8" s="116" cm="1">
        <f t="array" ref="FQ8">_xll.EQNXTDZ($A$1,$B8,FQ$1)</f>
        <v>0</v>
      </c>
      <c r="FR8" s="116" cm="1">
        <f t="array" ref="FR8">_xll.EQNXTDZ($A$1,$B8,FR$1)</f>
        <v>0</v>
      </c>
      <c r="FS8" s="116" cm="1">
        <f t="array" ref="FS8">_xll.EQNXTDZ($A$1,$B8,FS$1)</f>
        <v>0</v>
      </c>
      <c r="FT8" s="116" cm="1">
        <f t="array" ref="FT8">_xll.EQNXTDZ($A$1,$B8,FT$1)</f>
        <v>0</v>
      </c>
      <c r="FU8" s="116" cm="1">
        <f t="array" ref="FU8">_xll.EQNXTDZ($A$1,$B8,FU$1)</f>
        <v>0</v>
      </c>
      <c r="FV8" s="116" cm="1">
        <f t="array" ref="FV8">_xll.EQNXTDZ($A$1,$B8,FV$1)</f>
        <v>0</v>
      </c>
      <c r="FW8" s="116" cm="1">
        <f t="array" ref="FW8">_xll.EQNXTDZ($A$1,$B8,FW$1)</f>
        <v>0</v>
      </c>
      <c r="FX8" s="116" cm="1">
        <f t="array" ref="FX8">_xll.EQNXTDZ($A$1,$B8,FX$1)</f>
        <v>0</v>
      </c>
      <c r="FY8" s="116" cm="1">
        <f t="array" ref="FY8">_xll.EQNXTDZ($A$1,$B8,FY$1)</f>
        <v>0</v>
      </c>
      <c r="FZ8" s="116" cm="1">
        <f t="array" ref="FZ8">_xll.EQNXTDZ($A$1,$B8,FZ$1)</f>
        <v>0</v>
      </c>
      <c r="GA8" s="116" cm="1">
        <f t="array" ref="GA8">_xll.EQNXTDZ($A$1,$B8,GA$1)</f>
        <v>0</v>
      </c>
      <c r="GB8" s="116" cm="1">
        <f t="array" ref="GB8">_xll.EQNXTDZ($A$1,$B8,GB$1)</f>
        <v>0</v>
      </c>
      <c r="GC8" s="116" cm="1">
        <f t="array" ref="GC8">_xll.EQNXTDZ($A$1,$B8,GC$1)</f>
        <v>0</v>
      </c>
      <c r="GD8" s="116" cm="1">
        <f t="array" ref="GD8">_xll.EQNXTDZ($A$1,$B8,GD$1)</f>
        <v>0</v>
      </c>
      <c r="GE8" s="116" cm="1">
        <f t="array" ref="GE8">_xll.EQNXTDZ($A$1,$B8,GE$1)</f>
        <v>0</v>
      </c>
      <c r="GF8" s="116" cm="1">
        <f t="array" ref="GF8">_xll.EQNXTDZ($A$1,$B8,GF$1)</f>
        <v>0</v>
      </c>
      <c r="GG8" s="116" cm="1">
        <f t="array" ref="GG8">_xll.EQNXTDZ($A$1,$B8,GG$1)</f>
        <v>0</v>
      </c>
      <c r="GH8" s="116" cm="1">
        <f t="array" ref="GH8">_xll.EQNXTDZ($A$1,$B8,GH$1)</f>
        <v>0</v>
      </c>
      <c r="GI8" s="116" cm="1">
        <f t="array" ref="GI8">_xll.EQNXTDZ($A$1,$B8,GI$1)</f>
        <v>0</v>
      </c>
      <c r="GJ8" s="116" cm="1">
        <f t="array" ref="GJ8">_xll.EQNXTDZ($A$1,$B8,GJ$1)</f>
        <v>0</v>
      </c>
      <c r="GK8" s="116" cm="1">
        <f t="array" ref="GK8">_xll.EQNXTDZ($A$1,$B8,GK$1)</f>
        <v>0</v>
      </c>
      <c r="GL8" s="116" cm="1">
        <f t="array" ref="GL8">_xll.EQNXTDZ($A$1,$B8,GL$1)</f>
        <v>0</v>
      </c>
      <c r="GM8" s="116" cm="1">
        <f t="array" ref="GM8">_xll.EQNXTDZ($A$1,$B8,GM$1)</f>
        <v>0</v>
      </c>
      <c r="GN8" s="116" cm="1">
        <f t="array" ref="GN8">_xll.EQNXTDZ($A$1,$B8,GN$1)</f>
        <v>0</v>
      </c>
      <c r="GO8" s="116" cm="1">
        <f t="array" ref="GO8">_xll.EQNXTDZ($A$1,$B8,GO$1)</f>
        <v>0</v>
      </c>
      <c r="GP8" s="116" cm="1">
        <f t="array" ref="GP8">_xll.EQNXTDZ($A$1,$B8,GP$1)</f>
        <v>0</v>
      </c>
      <c r="GQ8" s="116" cm="1">
        <f t="array" ref="GQ8">_xll.EQNXTDZ($A$1,$B8,GQ$1)</f>
        <v>0</v>
      </c>
      <c r="GR8" s="116" cm="1">
        <f t="array" ref="GR8">_xll.EQNXTDZ($A$1,$B8,GR$1)</f>
        <v>0</v>
      </c>
      <c r="GS8" s="116" cm="1">
        <f t="array" ref="GS8">_xll.EQNXTDZ($A$1,$B8,GS$1)</f>
        <v>0</v>
      </c>
      <c r="GT8" s="116" cm="1">
        <f t="array" ref="GT8">_xll.EQNXTDZ($A$1,$B8,GT$1)</f>
        <v>0</v>
      </c>
      <c r="GU8" s="116" cm="1">
        <f t="array" ref="GU8">_xll.EQNXTDZ($A$1,$B8,GU$1)</f>
        <v>0</v>
      </c>
      <c r="GV8" s="116" cm="1">
        <f t="array" ref="GV8">_xll.EQNXTDZ($A$1,$B8,GV$1)</f>
        <v>0</v>
      </c>
      <c r="GW8" s="116" cm="1">
        <f t="array" ref="GW8">_xll.EQNXTDZ($A$1,$B8,GW$1)</f>
        <v>0</v>
      </c>
      <c r="GX8" s="116" cm="1">
        <f t="array" ref="GX8">_xll.EQNXTDZ($A$1,$B8,GX$1)</f>
        <v>0</v>
      </c>
      <c r="GY8" s="116" cm="1">
        <f t="array" ref="GY8">_xll.EQNXTDZ($A$1,$B8,GY$1)</f>
        <v>0</v>
      </c>
      <c r="GZ8" s="116" cm="1">
        <f t="array" ref="GZ8">_xll.EQNXTDZ($A$1,$B8,GZ$1)</f>
        <v>0</v>
      </c>
      <c r="HA8" s="116" cm="1">
        <f t="array" ref="HA8">_xll.EQNXTDZ($A$1,$B8,HA$1)</f>
        <v>0</v>
      </c>
      <c r="HB8" s="116" cm="1">
        <f t="array" ref="HB8">_xll.EQNXTDZ($A$1,$B8,HB$1)</f>
        <v>0</v>
      </c>
      <c r="HC8" s="116" cm="1">
        <f t="array" ref="HC8">_xll.EQNXTDZ($A$1,$B8,HC$1)</f>
        <v>0</v>
      </c>
      <c r="HD8" s="116" cm="1">
        <f t="array" ref="HD8">_xll.EQNXTDZ($A$1,$B8,HD$1)</f>
        <v>0</v>
      </c>
      <c r="HE8" s="116" cm="1">
        <f t="array" ref="HE8">_xll.EQNXTDZ($A$1,$B8,HE$1)</f>
        <v>0</v>
      </c>
      <c r="HF8" s="116" cm="1">
        <f t="array" ref="HF8">_xll.EQNXTDZ($A$1,$B8,HF$1)</f>
        <v>0</v>
      </c>
      <c r="HG8" s="116" cm="1">
        <f t="array" ref="HG8">_xll.EQNXTDZ($A$1,$B8,HG$1)</f>
        <v>0</v>
      </c>
      <c r="HH8" s="116" cm="1">
        <f t="array" ref="HH8">_xll.EQNXTDZ($A$1,$B8,HH$1)</f>
        <v>0</v>
      </c>
      <c r="HP8" s="116">
        <f>+MIN(D8:F8)</f>
        <v>0</v>
      </c>
      <c r="HQ8" s="116">
        <f>+MIN(G8:I8)</f>
        <v>0</v>
      </c>
      <c r="HR8" s="116">
        <f>+MIN(J8:L8)</f>
        <v>0</v>
      </c>
      <c r="HS8" s="116">
        <f>+MIN(M8:O8)</f>
        <v>0</v>
      </c>
      <c r="HT8" s="116">
        <f>+MIN(P8:R8)</f>
        <v>0</v>
      </c>
      <c r="HU8" s="116">
        <f>+MIN(S8:U8)</f>
        <v>0</v>
      </c>
      <c r="HV8" s="116">
        <f>+MIN(V8:X8)</f>
        <v>0</v>
      </c>
      <c r="HW8" s="116">
        <f>+MIN(Y8:AA8)</f>
        <v>0</v>
      </c>
      <c r="HX8" s="116">
        <f>+MIN(AB8:AD8)</f>
        <v>0</v>
      </c>
      <c r="HY8" s="116">
        <f>+MIN(AE8:AG8)</f>
        <v>0</v>
      </c>
      <c r="HZ8" s="116">
        <f>+MIN(AH8:AJ8)</f>
        <v>0</v>
      </c>
      <c r="IA8" s="116">
        <f>+MIN(AK8:AM8)</f>
        <v>0</v>
      </c>
      <c r="IB8" s="116">
        <f>+MIN(AN8:AP8)</f>
        <v>0</v>
      </c>
      <c r="IC8" s="116">
        <f>+MIN(AQ8:AS8)</f>
        <v>0</v>
      </c>
      <c r="ID8" s="116">
        <f>+MIN(AT8:AV8)</f>
        <v>0</v>
      </c>
      <c r="IE8" s="116">
        <f>+MIN(AW8:AY8)</f>
        <v>0</v>
      </c>
      <c r="IF8" s="116">
        <f>+MIN(AZ8:BB8)</f>
        <v>0</v>
      </c>
      <c r="IG8" s="116">
        <f>+MIN(BC8:BE8)</f>
        <v>0</v>
      </c>
      <c r="IH8" s="116">
        <f>+MIN(BF8:BH8)</f>
        <v>0</v>
      </c>
      <c r="II8" s="116">
        <f>+MIN(BI8:BK8)</f>
        <v>0</v>
      </c>
      <c r="IJ8" s="116">
        <f>+MIN(BL8:BN8)</f>
        <v>0</v>
      </c>
      <c r="IK8" s="116">
        <f>+MIN(BO8:BQ8)</f>
        <v>0</v>
      </c>
      <c r="IL8" s="116">
        <f>+MIN(BR8:BT8)</f>
        <v>0</v>
      </c>
      <c r="IM8" s="116">
        <f>+MIN(BU8:BW8)</f>
        <v>0</v>
      </c>
      <c r="IN8" s="116">
        <f>+MIN(BX8:BZ8)</f>
        <v>0</v>
      </c>
      <c r="IO8" s="116">
        <f>+MIN(CA8:CC8)</f>
        <v>0</v>
      </c>
      <c r="IP8" s="116">
        <f>+MIN(CD8:CF8)</f>
        <v>0</v>
      </c>
      <c r="IQ8" s="116">
        <f>+MIN(CG8:CI8)</f>
        <v>0</v>
      </c>
      <c r="IR8" s="116">
        <f>+MIN(CJ8:CL8)</f>
        <v>0</v>
      </c>
      <c r="IS8" s="116">
        <f>+MIN(CM8:CO8)</f>
        <v>0</v>
      </c>
      <c r="IT8" s="116">
        <f>+MIN(CP8:CR8)</f>
        <v>0</v>
      </c>
      <c r="IU8" s="116">
        <f>+MIN(CS8:CU8)</f>
        <v>0</v>
      </c>
      <c r="IV8" s="116">
        <f>+MIN(CV8:CX8)</f>
        <v>0</v>
      </c>
      <c r="IW8" s="116">
        <f>+MIN(CY8:DA8)</f>
        <v>0</v>
      </c>
      <c r="IX8" s="116">
        <f>+MIN(DB8:DD8)</f>
        <v>0</v>
      </c>
      <c r="IY8" s="116">
        <f>+MIN(DE8:DG8)</f>
        <v>0</v>
      </c>
      <c r="IZ8" s="116">
        <f>+MIN(DH8:DJ8)</f>
        <v>0</v>
      </c>
      <c r="JA8" s="116">
        <f>+MIN(DK8:DM8)</f>
        <v>0</v>
      </c>
      <c r="JB8" s="116">
        <f>+MIN(DN8:DP8)</f>
        <v>0</v>
      </c>
      <c r="JC8" s="116">
        <f>+MIN(DQ8:DS8)</f>
        <v>0</v>
      </c>
      <c r="JD8" s="116">
        <f>+MIN(DT8:DV8)</f>
        <v>0</v>
      </c>
      <c r="JE8" s="116">
        <f>+MIN(DW8:DY8)</f>
        <v>0</v>
      </c>
      <c r="JF8" s="116">
        <f>+MIN(DZ8:EB8)</f>
        <v>0</v>
      </c>
      <c r="JG8" s="116">
        <f>+MIN(EC8:EE8)</f>
        <v>0</v>
      </c>
      <c r="JH8" s="116">
        <f>+MIN(EF8:EH8)</f>
        <v>498.05</v>
      </c>
      <c r="JI8" s="116">
        <f>+MIN(EI8:EK8)</f>
        <v>492</v>
      </c>
      <c r="JJ8" s="116">
        <f>+MIN(EL8:EN8)</f>
        <v>525.9</v>
      </c>
      <c r="JK8" s="116">
        <f>MIN(EO8:EQ8)</f>
        <v>592</v>
      </c>
      <c r="JL8" s="116">
        <f>MIN(ER8:ET8)</f>
        <v>674.8</v>
      </c>
      <c r="JM8" s="116">
        <f>MIN(EU8:EW8)</f>
        <v>891.05</v>
      </c>
      <c r="JN8" s="116">
        <f>MIN(EX8:EZ8)</f>
        <v>942.15</v>
      </c>
      <c r="JO8" s="116">
        <f>MIN(FA8:FC8)</f>
        <v>1015</v>
      </c>
      <c r="JP8" s="116">
        <f>MIN(FD8:FF8)</f>
        <v>1201.3</v>
      </c>
      <c r="JQ8" s="116">
        <f>MIN(FG8:FI8)</f>
        <v>1170</v>
      </c>
      <c r="JR8" s="116">
        <f>MIN(FJ8:FL8)</f>
        <v>1042.9000000000001</v>
      </c>
      <c r="JS8" s="116">
        <f>MIN(FM8:FO8)</f>
        <v>1290</v>
      </c>
      <c r="JT8" s="116">
        <f>MIN(FP8:FR8)</f>
        <v>0</v>
      </c>
      <c r="JU8" s="116">
        <f>MIN(FS8:FU8)</f>
        <v>0</v>
      </c>
      <c r="JV8" s="116">
        <f>MIN(FV8:FX8)</f>
        <v>0</v>
      </c>
      <c r="JW8" s="116">
        <f>MIN(FY8:GA8)</f>
        <v>0</v>
      </c>
      <c r="JX8" s="116">
        <f>MIN(GB8:GD8)</f>
        <v>0</v>
      </c>
      <c r="JY8" s="116">
        <f>MIN(GE8:GG8)</f>
        <v>0</v>
      </c>
      <c r="JZ8" s="116">
        <f>MIN(GH8:GJ8)</f>
        <v>0</v>
      </c>
      <c r="KA8" s="116">
        <f>MIN(GK8:GM8)</f>
        <v>0</v>
      </c>
      <c r="KB8" s="116">
        <f>MIN(GN8:GP8)</f>
        <v>0</v>
      </c>
      <c r="KC8" s="116">
        <f>MIN(GQ8:GS8)</f>
        <v>0</v>
      </c>
      <c r="KD8" s="116">
        <f>MIN(GT8:GV8)</f>
        <v>0</v>
      </c>
      <c r="KE8" s="116">
        <f>MIN(GW8:GY8)</f>
        <v>0</v>
      </c>
      <c r="KF8" s="116">
        <f>MIN(GZ8:HB8)</f>
        <v>0</v>
      </c>
      <c r="KG8" s="116">
        <f>MIN(HC8:HE8)</f>
        <v>0</v>
      </c>
      <c r="KH8" s="116">
        <f>MIN(HF8:HH8)</f>
        <v>0</v>
      </c>
    </row>
    <row r="9" spans="1:294" s="116" customFormat="1" x14ac:dyDescent="0.25">
      <c r="A9" s="116" t="s">
        <v>37</v>
      </c>
      <c r="B9" s="116" t="s">
        <v>420</v>
      </c>
      <c r="C9" s="116" cm="1">
        <f t="array" ref="C9">_xll.EQNXTDZ($A$1,$B9,C$1)</f>
        <v>0</v>
      </c>
      <c r="D9" s="116" cm="1">
        <f t="array" ref="D9">_xll.EQNXTDZ($A$1,$B9,D$1)</f>
        <v>0</v>
      </c>
      <c r="E9" s="116" cm="1">
        <f t="array" ref="E9">_xll.EQNXTDZ($A$1,$B9,E$1)</f>
        <v>0</v>
      </c>
      <c r="F9" s="116" cm="1">
        <f t="array" ref="F9">_xll.EQNXTDZ($A$1,$B9,F$1)</f>
        <v>0</v>
      </c>
      <c r="G9" s="116" cm="1">
        <f t="array" ref="G9">_xll.EQNXTDZ($A$1,$B9,G$1)</f>
        <v>0</v>
      </c>
      <c r="H9" s="116" cm="1">
        <f t="array" ref="H9">_xll.EQNXTDZ($A$1,$B9,H$1)</f>
        <v>0</v>
      </c>
      <c r="I9" s="116" cm="1">
        <f t="array" ref="I9">_xll.EQNXTDZ($A$1,$B9,I$1)</f>
        <v>0</v>
      </c>
      <c r="J9" s="116" cm="1">
        <f t="array" ref="J9">_xll.EQNXTDZ($A$1,$B9,J$1)</f>
        <v>0</v>
      </c>
      <c r="K9" s="116" cm="1">
        <f t="array" ref="K9">_xll.EQNXTDZ($A$1,$B9,K$1)</f>
        <v>0</v>
      </c>
      <c r="L9" s="116" cm="1">
        <f t="array" ref="L9">_xll.EQNXTDZ($A$1,$B9,L$1)</f>
        <v>0</v>
      </c>
      <c r="M9" s="116" cm="1">
        <f t="array" ref="M9">_xll.EQNXTDZ($A$1,$B9,M$1)</f>
        <v>0</v>
      </c>
      <c r="N9" s="116" cm="1">
        <f t="array" ref="N9">_xll.EQNXTDZ($A$1,$B9,N$1)</f>
        <v>0</v>
      </c>
      <c r="O9" s="116" cm="1">
        <f t="array" ref="O9">_xll.EQNXTDZ($A$1,$B9,O$1)</f>
        <v>0</v>
      </c>
      <c r="P9" s="116" cm="1">
        <f t="array" ref="P9">_xll.EQNXTDZ($A$1,$B9,P$1)</f>
        <v>0</v>
      </c>
      <c r="Q9" s="116" cm="1">
        <f t="array" ref="Q9">_xll.EQNXTDZ($A$1,$B9,Q$1)</f>
        <v>0</v>
      </c>
      <c r="R9" s="116" cm="1">
        <f t="array" ref="R9">_xll.EQNXTDZ($A$1,$B9,R$1)</f>
        <v>0</v>
      </c>
      <c r="S9" s="116" cm="1">
        <f t="array" ref="S9">_xll.EQNXTDZ($A$1,$B9,S$1)</f>
        <v>0</v>
      </c>
      <c r="T9" s="116" cm="1">
        <f t="array" ref="T9">_xll.EQNXTDZ($A$1,$B9,T$1)</f>
        <v>0</v>
      </c>
      <c r="U9" s="116" cm="1">
        <f t="array" ref="U9">_xll.EQNXTDZ($A$1,$B9,U$1)</f>
        <v>0</v>
      </c>
      <c r="V9" s="116" cm="1">
        <f t="array" ref="V9">_xll.EQNXTDZ($A$1,$B9,V$1)</f>
        <v>0</v>
      </c>
      <c r="W9" s="116" cm="1">
        <f t="array" ref="W9">_xll.EQNXTDZ($A$1,$B9,W$1)</f>
        <v>0</v>
      </c>
      <c r="X9" s="116" cm="1">
        <f t="array" ref="X9">_xll.EQNXTDZ($A$1,$B9,X$1)</f>
        <v>0</v>
      </c>
      <c r="Y9" s="116" cm="1">
        <f t="array" ref="Y9">_xll.EQNXTDZ($A$1,$B9,Y$1)</f>
        <v>0</v>
      </c>
      <c r="Z9" s="116" cm="1">
        <f t="array" ref="Z9">_xll.EQNXTDZ($A$1,$B9,Z$1)</f>
        <v>0</v>
      </c>
      <c r="AA9" s="116" cm="1">
        <f t="array" ref="AA9">_xll.EQNXTDZ($A$1,$B9,AA$1)</f>
        <v>0</v>
      </c>
      <c r="AB9" s="116" cm="1">
        <f t="array" ref="AB9">_xll.EQNXTDZ($A$1,$B9,AB$1)</f>
        <v>0</v>
      </c>
      <c r="AC9" s="116" cm="1">
        <f t="array" ref="AC9">_xll.EQNXTDZ($A$1,$B9,AC$1)</f>
        <v>0</v>
      </c>
      <c r="AD9" s="116" cm="1">
        <f t="array" ref="AD9">_xll.EQNXTDZ($A$1,$B9,AD$1)</f>
        <v>0</v>
      </c>
      <c r="AE9" s="116" cm="1">
        <f t="array" ref="AE9">_xll.EQNXTDZ($A$1,$B9,AE$1)</f>
        <v>0</v>
      </c>
      <c r="AF9" s="116" cm="1">
        <f t="array" ref="AF9">_xll.EQNXTDZ($A$1,$B9,AF$1)</f>
        <v>0</v>
      </c>
      <c r="AG9" s="116" cm="1">
        <f t="array" ref="AG9">_xll.EQNXTDZ($A$1,$B9,AG$1)</f>
        <v>0</v>
      </c>
      <c r="AH9" s="116" cm="1">
        <f t="array" ref="AH9">_xll.EQNXTDZ($A$1,$B9,AH$1)</f>
        <v>0</v>
      </c>
      <c r="AI9" s="116" cm="1">
        <f t="array" ref="AI9">_xll.EQNXTDZ($A$1,$B9,AI$1)</f>
        <v>0</v>
      </c>
      <c r="AJ9" s="116" cm="1">
        <f t="array" ref="AJ9">_xll.EQNXTDZ($A$1,$B9,AJ$1)</f>
        <v>0</v>
      </c>
      <c r="AK9" s="116" cm="1">
        <f t="array" ref="AK9">_xll.EQNXTDZ($A$1,$B9,AK$1)</f>
        <v>0</v>
      </c>
      <c r="AL9" s="116" cm="1">
        <f t="array" ref="AL9">_xll.EQNXTDZ($A$1,$B9,AL$1)</f>
        <v>0</v>
      </c>
      <c r="AM9" s="116" cm="1">
        <f t="array" ref="AM9">_xll.EQNXTDZ($A$1,$B9,AM$1)</f>
        <v>0</v>
      </c>
      <c r="AN9" s="116" cm="1">
        <f t="array" ref="AN9">_xll.EQNXTDZ($A$1,$B9,AN$1)</f>
        <v>0</v>
      </c>
      <c r="AO9" s="116" cm="1">
        <f t="array" ref="AO9">_xll.EQNXTDZ($A$1,$B9,AO$1)</f>
        <v>0</v>
      </c>
      <c r="AP9" s="116" cm="1">
        <f t="array" ref="AP9">_xll.EQNXTDZ($A$1,$B9,AP$1)</f>
        <v>0</v>
      </c>
      <c r="AQ9" s="116" cm="1">
        <f t="array" ref="AQ9">_xll.EQNXTDZ($A$1,$B9,AQ$1)</f>
        <v>0</v>
      </c>
      <c r="AR9" s="116" cm="1">
        <f t="array" ref="AR9">_xll.EQNXTDZ($A$1,$B9,AR$1)</f>
        <v>0</v>
      </c>
      <c r="AS9" s="116" cm="1">
        <f t="array" ref="AS9">_xll.EQNXTDZ($A$1,$B9,AS$1)</f>
        <v>0</v>
      </c>
      <c r="AT9" s="116" cm="1">
        <f t="array" ref="AT9">_xll.EQNXTDZ($A$1,$B9,AT$1)</f>
        <v>0</v>
      </c>
      <c r="AU9" s="116" cm="1">
        <f t="array" ref="AU9">_xll.EQNXTDZ($A$1,$B9,AU$1)</f>
        <v>0</v>
      </c>
      <c r="AV9" s="116" cm="1">
        <f t="array" ref="AV9">_xll.EQNXTDZ($A$1,$B9,AV$1)</f>
        <v>0</v>
      </c>
      <c r="AW9" s="116" cm="1">
        <f t="array" ref="AW9">_xll.EQNXTDZ($A$1,$B9,AW$1)</f>
        <v>0</v>
      </c>
      <c r="AX9" s="116" cm="1">
        <f t="array" ref="AX9">_xll.EQNXTDZ($A$1,$B9,AX$1)</f>
        <v>0</v>
      </c>
      <c r="AY9" s="116" cm="1">
        <f t="array" ref="AY9">_xll.EQNXTDZ($A$1,$B9,AY$1)</f>
        <v>0</v>
      </c>
      <c r="AZ9" s="116" cm="1">
        <f t="array" ref="AZ9">_xll.EQNXTDZ($A$1,$B9,AZ$1)</f>
        <v>0</v>
      </c>
      <c r="BA9" s="116" cm="1">
        <f t="array" ref="BA9">_xll.EQNXTDZ($A$1,$B9,BA$1)</f>
        <v>0</v>
      </c>
      <c r="BB9" s="116" cm="1">
        <f t="array" ref="BB9">_xll.EQNXTDZ($A$1,$B9,BB$1)</f>
        <v>0</v>
      </c>
      <c r="BC9" s="116" cm="1">
        <f t="array" ref="BC9">_xll.EQNXTDZ($A$1,$B9,BC$1)</f>
        <v>0</v>
      </c>
      <c r="BD9" s="116" cm="1">
        <f t="array" ref="BD9">_xll.EQNXTDZ($A$1,$B9,BD$1)</f>
        <v>0</v>
      </c>
      <c r="BE9" s="116" cm="1">
        <f t="array" ref="BE9">_xll.EQNXTDZ($A$1,$B9,BE$1)</f>
        <v>0</v>
      </c>
      <c r="BF9" s="116" cm="1">
        <f t="array" ref="BF9">_xll.EQNXTDZ($A$1,$B9,BF$1)</f>
        <v>0</v>
      </c>
      <c r="BG9" s="116" cm="1">
        <f t="array" ref="BG9">_xll.EQNXTDZ($A$1,$B9,BG$1)</f>
        <v>0</v>
      </c>
      <c r="BH9" s="116" cm="1">
        <f t="array" ref="BH9">_xll.EQNXTDZ($A$1,$B9,BH$1)</f>
        <v>0</v>
      </c>
      <c r="BI9" s="116" cm="1">
        <f t="array" ref="BI9">_xll.EQNXTDZ($A$1,$B9,BI$1)</f>
        <v>0</v>
      </c>
      <c r="BJ9" s="116" cm="1">
        <f t="array" ref="BJ9">_xll.EQNXTDZ($A$1,$B9,BJ$1)</f>
        <v>0</v>
      </c>
      <c r="BK9" s="116" cm="1">
        <f t="array" ref="BK9">_xll.EQNXTDZ($A$1,$B9,BK$1)</f>
        <v>0</v>
      </c>
      <c r="BL9" s="116" cm="1">
        <f t="array" ref="BL9">_xll.EQNXTDZ($A$1,$B9,BL$1)</f>
        <v>0</v>
      </c>
      <c r="BM9" s="116" cm="1">
        <f t="array" ref="BM9">_xll.EQNXTDZ($A$1,$B9,BM$1)</f>
        <v>0</v>
      </c>
      <c r="BN9" s="116" cm="1">
        <f t="array" ref="BN9">_xll.EQNXTDZ($A$1,$B9,BN$1)</f>
        <v>0</v>
      </c>
      <c r="BO9" s="116" cm="1">
        <f t="array" ref="BO9">_xll.EQNXTDZ($A$1,$B9,BO$1)</f>
        <v>0</v>
      </c>
      <c r="BP9" s="116" cm="1">
        <f t="array" ref="BP9">_xll.EQNXTDZ($A$1,$B9,BP$1)</f>
        <v>0</v>
      </c>
      <c r="BQ9" s="116" cm="1">
        <f t="array" ref="BQ9">_xll.EQNXTDZ($A$1,$B9,BQ$1)</f>
        <v>0</v>
      </c>
      <c r="BR9" s="116" cm="1">
        <f t="array" ref="BR9">_xll.EQNXTDZ($A$1,$B9,BR$1)</f>
        <v>0</v>
      </c>
      <c r="BS9" s="116" cm="1">
        <f t="array" ref="BS9">_xll.EQNXTDZ($A$1,$B9,BS$1)</f>
        <v>0</v>
      </c>
      <c r="BT9" s="116" cm="1">
        <f t="array" ref="BT9">_xll.EQNXTDZ($A$1,$B9,BT$1)</f>
        <v>0</v>
      </c>
      <c r="BU9" s="116" cm="1">
        <f t="array" ref="BU9">_xll.EQNXTDZ($A$1,$B9,BU$1)</f>
        <v>0</v>
      </c>
      <c r="BV9" s="116" cm="1">
        <f t="array" ref="BV9">_xll.EQNXTDZ($A$1,$B9,BV$1)</f>
        <v>0</v>
      </c>
      <c r="BW9" s="116" cm="1">
        <f t="array" ref="BW9">_xll.EQNXTDZ($A$1,$B9,BW$1)</f>
        <v>0</v>
      </c>
      <c r="BX9" s="116" cm="1">
        <f t="array" ref="BX9">_xll.EQNXTDZ($A$1,$B9,BX$1)</f>
        <v>0</v>
      </c>
      <c r="BY9" s="116" cm="1">
        <f t="array" ref="BY9">_xll.EQNXTDZ($A$1,$B9,BY$1)</f>
        <v>0</v>
      </c>
      <c r="BZ9" s="116" cm="1">
        <f t="array" ref="BZ9">_xll.EQNXTDZ($A$1,$B9,BZ$1)</f>
        <v>0</v>
      </c>
      <c r="CA9" s="116" cm="1">
        <f t="array" ref="CA9">_xll.EQNXTDZ($A$1,$B9,CA$1)</f>
        <v>0</v>
      </c>
      <c r="CB9" s="116" cm="1">
        <f t="array" ref="CB9">_xll.EQNXTDZ($A$1,$B9,CB$1)</f>
        <v>0</v>
      </c>
      <c r="CC9" s="116" cm="1">
        <f t="array" ref="CC9">_xll.EQNXTDZ($A$1,$B9,CC$1)</f>
        <v>0</v>
      </c>
      <c r="CD9" s="116" cm="1">
        <f t="array" ref="CD9">_xll.EQNXTDZ($A$1,$B9,CD$1)</f>
        <v>0</v>
      </c>
      <c r="CE9" s="116" cm="1">
        <f t="array" ref="CE9">_xll.EQNXTDZ($A$1,$B9,CE$1)</f>
        <v>0</v>
      </c>
      <c r="CF9" s="116" cm="1">
        <f t="array" ref="CF9">_xll.EQNXTDZ($A$1,$B9,CF$1)</f>
        <v>0</v>
      </c>
      <c r="CG9" s="116" cm="1">
        <f t="array" ref="CG9">_xll.EQNXTDZ($A$1,$B9,CG$1)</f>
        <v>0</v>
      </c>
      <c r="CH9" s="116" cm="1">
        <f t="array" ref="CH9">_xll.EQNXTDZ($A$1,$B9,CH$1)</f>
        <v>0</v>
      </c>
      <c r="CI9" s="116" cm="1">
        <f t="array" ref="CI9">_xll.EQNXTDZ($A$1,$B9,CI$1)</f>
        <v>0</v>
      </c>
      <c r="CJ9" s="116" cm="1">
        <f t="array" ref="CJ9">_xll.EQNXTDZ($A$1,$B9,CJ$1)</f>
        <v>0</v>
      </c>
      <c r="CK9" s="116" cm="1">
        <f t="array" ref="CK9">_xll.EQNXTDZ($A$1,$B9,CK$1)</f>
        <v>0</v>
      </c>
      <c r="CL9" s="116" cm="1">
        <f t="array" ref="CL9">_xll.EQNXTDZ($A$1,$B9,CL$1)</f>
        <v>0</v>
      </c>
      <c r="CM9" s="116" cm="1">
        <f t="array" ref="CM9">_xll.EQNXTDZ($A$1,$B9,CM$1)</f>
        <v>0</v>
      </c>
      <c r="CN9" s="116" cm="1">
        <f t="array" ref="CN9">_xll.EQNXTDZ($A$1,$B9,CN$1)</f>
        <v>0</v>
      </c>
      <c r="CO9" s="116" cm="1">
        <f t="array" ref="CO9">_xll.EQNXTDZ($A$1,$B9,CO$1)</f>
        <v>0</v>
      </c>
      <c r="CP9" s="116" cm="1">
        <f t="array" ref="CP9">_xll.EQNXTDZ($A$1,$B9,CP$1)</f>
        <v>0</v>
      </c>
      <c r="CQ9" s="116" cm="1">
        <f t="array" ref="CQ9">_xll.EQNXTDZ($A$1,$B9,CQ$1)</f>
        <v>0</v>
      </c>
      <c r="CR9" s="116" cm="1">
        <f t="array" ref="CR9">_xll.EQNXTDZ($A$1,$B9,CR$1)</f>
        <v>0</v>
      </c>
      <c r="CS9" s="116" cm="1">
        <f t="array" ref="CS9">_xll.EQNXTDZ($A$1,$B9,CS$1)</f>
        <v>0</v>
      </c>
      <c r="CT9" s="116" cm="1">
        <f t="array" ref="CT9">_xll.EQNXTDZ($A$1,$B9,CT$1)</f>
        <v>0</v>
      </c>
      <c r="CU9" s="116" cm="1">
        <f t="array" ref="CU9">_xll.EQNXTDZ($A$1,$B9,CU$1)</f>
        <v>0</v>
      </c>
      <c r="CV9" s="116" cm="1">
        <f t="array" ref="CV9">_xll.EQNXTDZ($A$1,$B9,CV$1)</f>
        <v>0</v>
      </c>
      <c r="CW9" s="116" cm="1">
        <f t="array" ref="CW9">_xll.EQNXTDZ($A$1,$B9,CW$1)</f>
        <v>0</v>
      </c>
      <c r="CX9" s="116" cm="1">
        <f t="array" ref="CX9">_xll.EQNXTDZ($A$1,$B9,CX$1)</f>
        <v>0</v>
      </c>
      <c r="CY9" s="116" cm="1">
        <f t="array" ref="CY9">_xll.EQNXTDZ($A$1,$B9,CY$1)</f>
        <v>0</v>
      </c>
      <c r="CZ9" s="116" cm="1">
        <f t="array" ref="CZ9">_xll.EQNXTDZ($A$1,$B9,CZ$1)</f>
        <v>0</v>
      </c>
      <c r="DA9" s="116" cm="1">
        <f t="array" ref="DA9">_xll.EQNXTDZ($A$1,$B9,DA$1)</f>
        <v>0</v>
      </c>
      <c r="DB9" s="116" cm="1">
        <f t="array" ref="DB9">_xll.EQNXTDZ($A$1,$B9,DB$1)</f>
        <v>0</v>
      </c>
      <c r="DC9" s="116" cm="1">
        <f t="array" ref="DC9">_xll.EQNXTDZ($A$1,$B9,DC$1)</f>
        <v>0</v>
      </c>
      <c r="DD9" s="116" cm="1">
        <f t="array" ref="DD9">_xll.EQNXTDZ($A$1,$B9,DD$1)</f>
        <v>0</v>
      </c>
      <c r="DE9" s="116" cm="1">
        <f t="array" ref="DE9">_xll.EQNXTDZ($A$1,$B9,DE$1)</f>
        <v>0</v>
      </c>
      <c r="DF9" s="116" cm="1">
        <f t="array" ref="DF9">_xll.EQNXTDZ($A$1,$B9,DF$1)</f>
        <v>0</v>
      </c>
      <c r="DG9" s="116" cm="1">
        <f t="array" ref="DG9">_xll.EQNXTDZ($A$1,$B9,DG$1)</f>
        <v>0</v>
      </c>
      <c r="DH9" s="116" cm="1">
        <f t="array" ref="DH9">_xll.EQNXTDZ($A$1,$B9,DH$1)</f>
        <v>0</v>
      </c>
      <c r="DI9" s="116" cm="1">
        <f t="array" ref="DI9">_xll.EQNXTDZ($A$1,$B9,DI$1)</f>
        <v>0</v>
      </c>
      <c r="DJ9" s="116" cm="1">
        <f t="array" ref="DJ9">_xll.EQNXTDZ($A$1,$B9,DJ$1)</f>
        <v>0</v>
      </c>
      <c r="DK9" s="116" cm="1">
        <f t="array" ref="DK9">_xll.EQNXTDZ($A$1,$B9,DK$1)</f>
        <v>0</v>
      </c>
      <c r="DL9" s="116" cm="1">
        <f t="array" ref="DL9">_xll.EQNXTDZ($A$1,$B9,DL$1)</f>
        <v>0</v>
      </c>
      <c r="DM9" s="116" cm="1">
        <f t="array" ref="DM9">_xll.EQNXTDZ($A$1,$B9,DM$1)</f>
        <v>0</v>
      </c>
      <c r="DN9" s="116" cm="1">
        <f t="array" ref="DN9">_xll.EQNXTDZ($A$1,$B9,DN$1)</f>
        <v>0</v>
      </c>
      <c r="DO9" s="116" cm="1">
        <f t="array" ref="DO9">_xll.EQNXTDZ($A$1,$B9,DO$1)</f>
        <v>0</v>
      </c>
      <c r="DP9" s="116" cm="1">
        <f t="array" ref="DP9">_xll.EQNXTDZ($A$1,$B9,DP$1)</f>
        <v>0</v>
      </c>
      <c r="DQ9" s="116" cm="1">
        <f t="array" ref="DQ9">_xll.EQNXTDZ($A$1,$B9,DQ$1)</f>
        <v>0</v>
      </c>
      <c r="DR9" s="116" cm="1">
        <f t="array" ref="DR9">_xll.EQNXTDZ($A$1,$B9,DR$1)</f>
        <v>0</v>
      </c>
      <c r="DS9" s="116" cm="1">
        <f t="array" ref="DS9">_xll.EQNXTDZ($A$1,$B9,DS$1)</f>
        <v>0</v>
      </c>
      <c r="DT9" s="116" cm="1">
        <f t="array" ref="DT9">_xll.EQNXTDZ($A$1,$B9,DT$1)</f>
        <v>0</v>
      </c>
      <c r="DU9" s="116" cm="1">
        <f t="array" ref="DU9">_xll.EQNXTDZ($A$1,$B9,DU$1)</f>
        <v>0</v>
      </c>
      <c r="DV9" s="116" cm="1">
        <f t="array" ref="DV9">_xll.EQNXTDZ($A$1,$B9,DV$1)</f>
        <v>0</v>
      </c>
      <c r="DW9" s="116" cm="1">
        <f t="array" ref="DW9">_xll.EQNXTDZ($A$1,$B9,DW$1)</f>
        <v>0</v>
      </c>
      <c r="DX9" s="116" cm="1">
        <f t="array" ref="DX9">_xll.EQNXTDZ($A$1,$B9,DX$1)</f>
        <v>0</v>
      </c>
      <c r="DY9" s="116" cm="1">
        <f t="array" ref="DY9">_xll.EQNXTDZ($A$1,$B9,DY$1)</f>
        <v>0</v>
      </c>
      <c r="DZ9" s="116" cm="1">
        <f t="array" ref="DZ9">_xll.EQNXTDZ($A$1,$B9,DZ$1)</f>
        <v>0</v>
      </c>
      <c r="EA9" s="116" cm="1">
        <f t="array" ref="EA9">_xll.EQNXTDZ($A$1,$B9,EA$1)</f>
        <v>0</v>
      </c>
      <c r="EB9" s="116" cm="1">
        <f t="array" ref="EB9">_xll.EQNXTDZ($A$1,$B9,EB$1)</f>
        <v>0</v>
      </c>
      <c r="EC9" s="116" cm="1">
        <f t="array" ref="EC9">_xll.EQNXTDZ($A$1,$B9,EC$1)</f>
        <v>0</v>
      </c>
      <c r="ED9" s="116" cm="1">
        <f t="array" ref="ED9">_xll.EQNXTDZ($A$1,$B9,ED$1)</f>
        <v>0</v>
      </c>
      <c r="EE9" s="116" cm="1">
        <f t="array" ref="EE9">_xll.EQNXTDZ($A$1,$B9,EE$1)</f>
        <v>0</v>
      </c>
      <c r="EF9" s="116" cm="1">
        <f t="array" ref="EF9">_xll.EQNXTDZ($A$1,$B9,EF$1)</f>
        <v>629.04999999999995</v>
      </c>
      <c r="EG9" s="116" cm="1">
        <f t="array" ref="EG9">_xll.EQNXTDZ($A$1,$B9,EG$1)</f>
        <v>536.9</v>
      </c>
      <c r="EH9" s="116" cm="1">
        <f t="array" ref="EH9">_xll.EQNXTDZ($A$1,$B9,EH$1)</f>
        <v>536.1</v>
      </c>
      <c r="EI9" s="116" cm="1">
        <f t="array" ref="EI9">_xll.EQNXTDZ($A$1,$B9,EI$1)</f>
        <v>515.45000000000005</v>
      </c>
      <c r="EJ9" s="116" cm="1">
        <f t="array" ref="EJ9">_xll.EQNXTDZ($A$1,$B9,EJ$1)</f>
        <v>524.9</v>
      </c>
      <c r="EK9" s="116" cm="1">
        <f t="array" ref="EK9">_xll.EQNXTDZ($A$1,$B9,EK$1)</f>
        <v>599.79999999999995</v>
      </c>
      <c r="EL9" s="116" cm="1">
        <f t="array" ref="EL9">_xll.EQNXTDZ($A$1,$B9,EL$1)</f>
        <v>566.6</v>
      </c>
      <c r="EM9" s="116" cm="1">
        <f t="array" ref="EM9">_xll.EQNXTDZ($A$1,$B9,EM$1)</f>
        <v>595.70000000000005</v>
      </c>
      <c r="EN9" s="116" cm="1">
        <f t="array" ref="EN9">_xll.EQNXTDZ($A$1,$B9,EN$1)</f>
        <v>602</v>
      </c>
      <c r="EO9" s="116" cm="1">
        <f t="array" ref="EO9">_xll.EQNXTDZ($A$1,$B9,EO$1)</f>
        <v>742.2</v>
      </c>
      <c r="EP9" s="116" cm="1">
        <f t="array" ref="EP9">_xll.EQNXTDZ($A$1,$B9,EP$1)</f>
        <v>680.3</v>
      </c>
      <c r="EQ9" s="116" cm="1">
        <f t="array" ref="EQ9">_xll.EQNXTDZ($A$1,$B9,EQ$1)</f>
        <v>732.2</v>
      </c>
      <c r="ER9" s="116" cm="1">
        <f t="array" ref="ER9">_xll.EQNXTDZ($A$1,$B9,ER$1)</f>
        <v>731.45</v>
      </c>
      <c r="ES9" s="116" cm="1">
        <f t="array" ref="ES9">_xll.EQNXTDZ($A$1,$B9,ES$1)</f>
        <v>774.45</v>
      </c>
      <c r="ET9" s="116" cm="1">
        <f t="array" ref="ET9">_xll.EQNXTDZ($A$1,$B9,ET$1)</f>
        <v>948.35</v>
      </c>
      <c r="EU9" s="116" cm="1">
        <f t="array" ref="EU9">_xll.EQNXTDZ($A$1,$B9,EU$1)</f>
        <v>972.85</v>
      </c>
      <c r="EV9" s="116" cm="1">
        <f t="array" ref="EV9">_xll.EQNXTDZ($A$1,$B9,EV$1)</f>
        <v>1039.5</v>
      </c>
      <c r="EW9" s="116" cm="1">
        <f t="array" ref="EW9">_xll.EQNXTDZ($A$1,$B9,EW$1)</f>
        <v>1231.8499999999999</v>
      </c>
      <c r="EX9" s="116" cm="1">
        <f t="array" ref="EX9">_xll.EQNXTDZ($A$1,$B9,EX$1)</f>
        <v>1239.0999999999999</v>
      </c>
      <c r="EY9" s="116" cm="1">
        <f t="array" ref="EY9">_xll.EQNXTDZ($A$1,$B9,EY$1)</f>
        <v>1021.1</v>
      </c>
      <c r="EZ9" s="116" cm="1">
        <f t="array" ref="EZ9">_xll.EQNXTDZ($A$1,$B9,EZ$1)</f>
        <v>1287.25</v>
      </c>
      <c r="FA9" s="116" cm="1">
        <f t="array" ref="FA9">_xll.EQNXTDZ($A$1,$B9,FA$1)</f>
        <v>1203.2</v>
      </c>
      <c r="FB9" s="116" cm="1">
        <f t="array" ref="FB9">_xll.EQNXTDZ($A$1,$B9,FB$1)</f>
        <v>1393.1</v>
      </c>
      <c r="FC9" s="116" cm="1">
        <f t="array" ref="FC9">_xll.EQNXTDZ($A$1,$B9,FC$1)</f>
        <v>1588.9</v>
      </c>
      <c r="FD9" s="116" cm="1">
        <f t="array" ref="FD9">_xll.EQNXTDZ($A$1,$B9,FD$1)</f>
        <v>1504.7</v>
      </c>
      <c r="FE9" s="116" cm="1">
        <f t="array" ref="FE9">_xll.EQNXTDZ($A$1,$B9,FE$1)</f>
        <v>1288.8</v>
      </c>
      <c r="FF9" s="116" cm="1">
        <f t="array" ref="FF9">_xll.EQNXTDZ($A$1,$B9,FF$1)</f>
        <v>1225</v>
      </c>
      <c r="FG9" s="116" cm="1">
        <f t="array" ref="FG9">_xll.EQNXTDZ($A$1,$B9,FG$1)</f>
        <v>1304.8</v>
      </c>
      <c r="FH9" s="116" cm="1">
        <f t="array" ref="FH9">_xll.EQNXTDZ($A$1,$B9,FH$1)</f>
        <v>1220.4000000000001</v>
      </c>
      <c r="FI9" s="116" cm="1">
        <f t="array" ref="FI9">_xll.EQNXTDZ($A$1,$B9,FI$1)</f>
        <v>1321.3</v>
      </c>
      <c r="FJ9" s="116" cm="1">
        <f t="array" ref="FJ9">_xll.EQNXTDZ($A$1,$B9,FJ$1)</f>
        <v>1103.8</v>
      </c>
      <c r="FK9" s="116" cm="1">
        <f t="array" ref="FK9">_xll.EQNXTDZ($A$1,$B9,FK$1)</f>
        <v>1233</v>
      </c>
      <c r="FL9" s="116" cm="1">
        <f t="array" ref="FL9">_xll.EQNXTDZ($A$1,$B9,FL$1)</f>
        <v>1271.7</v>
      </c>
      <c r="FM9" s="116" cm="1">
        <f t="array" ref="FM9">_xll.EQNXTDZ($A$1,$B9,FM$1)</f>
        <v>1764.4</v>
      </c>
      <c r="FN9" s="116" cm="1">
        <f t="array" ref="FN9">_xll.EQNXTDZ($A$1,$B9,FN$1)</f>
        <v>1802.1</v>
      </c>
      <c r="FO9" s="116" cm="1">
        <f t="array" ref="FO9">_xll.EQNXTDZ($A$1,$B9,FO$1)</f>
        <v>1765</v>
      </c>
      <c r="FP9" s="116" cm="1">
        <f t="array" ref="FP9">_xll.EQNXTDZ($A$1,$B9,FP$1)</f>
        <v>0</v>
      </c>
      <c r="FQ9" s="116" cm="1">
        <f t="array" ref="FQ9">_xll.EQNXTDZ($A$1,$B9,FQ$1)</f>
        <v>0</v>
      </c>
      <c r="FR9" s="116" cm="1">
        <f t="array" ref="FR9">_xll.EQNXTDZ($A$1,$B9,FR$1)</f>
        <v>0</v>
      </c>
      <c r="FS9" s="116" cm="1">
        <f t="array" ref="FS9">_xll.EQNXTDZ($A$1,$B9,FS$1)</f>
        <v>0</v>
      </c>
      <c r="FT9" s="116" cm="1">
        <f t="array" ref="FT9">_xll.EQNXTDZ($A$1,$B9,FT$1)</f>
        <v>0</v>
      </c>
      <c r="FU9" s="116" cm="1">
        <f t="array" ref="FU9">_xll.EQNXTDZ($A$1,$B9,FU$1)</f>
        <v>0</v>
      </c>
      <c r="FV9" s="116" cm="1">
        <f t="array" ref="FV9">_xll.EQNXTDZ($A$1,$B9,FV$1)</f>
        <v>0</v>
      </c>
      <c r="FW9" s="116" cm="1">
        <f t="array" ref="FW9">_xll.EQNXTDZ($A$1,$B9,FW$1)</f>
        <v>0</v>
      </c>
      <c r="FX9" s="116" cm="1">
        <f t="array" ref="FX9">_xll.EQNXTDZ($A$1,$B9,FX$1)</f>
        <v>0</v>
      </c>
      <c r="FY9" s="116" cm="1">
        <f t="array" ref="FY9">_xll.EQNXTDZ($A$1,$B9,FY$1)</f>
        <v>0</v>
      </c>
      <c r="FZ9" s="116" cm="1">
        <f t="array" ref="FZ9">_xll.EQNXTDZ($A$1,$B9,FZ$1)</f>
        <v>0</v>
      </c>
      <c r="GA9" s="116" cm="1">
        <f t="array" ref="GA9">_xll.EQNXTDZ($A$1,$B9,GA$1)</f>
        <v>0</v>
      </c>
      <c r="GB9" s="116" cm="1">
        <f t="array" ref="GB9">_xll.EQNXTDZ($A$1,$B9,GB$1)</f>
        <v>0</v>
      </c>
      <c r="GC9" s="116" cm="1">
        <f t="array" ref="GC9">_xll.EQNXTDZ($A$1,$B9,GC$1)</f>
        <v>0</v>
      </c>
      <c r="GD9" s="116" cm="1">
        <f t="array" ref="GD9">_xll.EQNXTDZ($A$1,$B9,GD$1)</f>
        <v>0</v>
      </c>
      <c r="GE9" s="116" cm="1">
        <f t="array" ref="GE9">_xll.EQNXTDZ($A$1,$B9,GE$1)</f>
        <v>0</v>
      </c>
      <c r="GF9" s="116" cm="1">
        <f t="array" ref="GF9">_xll.EQNXTDZ($A$1,$B9,GF$1)</f>
        <v>0</v>
      </c>
      <c r="GG9" s="116" cm="1">
        <f t="array" ref="GG9">_xll.EQNXTDZ($A$1,$B9,GG$1)</f>
        <v>0</v>
      </c>
      <c r="GH9" s="116" cm="1">
        <f t="array" ref="GH9">_xll.EQNXTDZ($A$1,$B9,GH$1)</f>
        <v>0</v>
      </c>
      <c r="GI9" s="116" cm="1">
        <f t="array" ref="GI9">_xll.EQNXTDZ($A$1,$B9,GI$1)</f>
        <v>0</v>
      </c>
      <c r="GJ9" s="116" cm="1">
        <f t="array" ref="GJ9">_xll.EQNXTDZ($A$1,$B9,GJ$1)</f>
        <v>0</v>
      </c>
      <c r="GK9" s="116" cm="1">
        <f t="array" ref="GK9">_xll.EQNXTDZ($A$1,$B9,GK$1)</f>
        <v>0</v>
      </c>
      <c r="GL9" s="116" cm="1">
        <f t="array" ref="GL9">_xll.EQNXTDZ($A$1,$B9,GL$1)</f>
        <v>0</v>
      </c>
      <c r="GM9" s="116" cm="1">
        <f t="array" ref="GM9">_xll.EQNXTDZ($A$1,$B9,GM$1)</f>
        <v>0</v>
      </c>
      <c r="GN9" s="116" cm="1">
        <f t="array" ref="GN9">_xll.EQNXTDZ($A$1,$B9,GN$1)</f>
        <v>0</v>
      </c>
      <c r="GO9" s="116" cm="1">
        <f t="array" ref="GO9">_xll.EQNXTDZ($A$1,$B9,GO$1)</f>
        <v>0</v>
      </c>
      <c r="GP9" s="116" cm="1">
        <f t="array" ref="GP9">_xll.EQNXTDZ($A$1,$B9,GP$1)</f>
        <v>0</v>
      </c>
      <c r="GQ9" s="116" cm="1">
        <f t="array" ref="GQ9">_xll.EQNXTDZ($A$1,$B9,GQ$1)</f>
        <v>0</v>
      </c>
      <c r="GR9" s="116" cm="1">
        <f t="array" ref="GR9">_xll.EQNXTDZ($A$1,$B9,GR$1)</f>
        <v>0</v>
      </c>
      <c r="GS9" s="116" cm="1">
        <f t="array" ref="GS9">_xll.EQNXTDZ($A$1,$B9,GS$1)</f>
        <v>0</v>
      </c>
      <c r="GT9" s="116" cm="1">
        <f t="array" ref="GT9">_xll.EQNXTDZ($A$1,$B9,GT$1)</f>
        <v>0</v>
      </c>
      <c r="GU9" s="116" cm="1">
        <f t="array" ref="GU9">_xll.EQNXTDZ($A$1,$B9,GU$1)</f>
        <v>0</v>
      </c>
      <c r="GV9" s="116" cm="1">
        <f t="array" ref="GV9">_xll.EQNXTDZ($A$1,$B9,GV$1)</f>
        <v>0</v>
      </c>
      <c r="GW9" s="116" cm="1">
        <f t="array" ref="GW9">_xll.EQNXTDZ($A$1,$B9,GW$1)</f>
        <v>0</v>
      </c>
      <c r="GX9" s="116" cm="1">
        <f t="array" ref="GX9">_xll.EQNXTDZ($A$1,$B9,GX$1)</f>
        <v>0</v>
      </c>
      <c r="GY9" s="116" cm="1">
        <f t="array" ref="GY9">_xll.EQNXTDZ($A$1,$B9,GY$1)</f>
        <v>0</v>
      </c>
      <c r="GZ9" s="116" cm="1">
        <f t="array" ref="GZ9">_xll.EQNXTDZ($A$1,$B9,GZ$1)</f>
        <v>0</v>
      </c>
      <c r="HA9" s="116" cm="1">
        <f t="array" ref="HA9">_xll.EQNXTDZ($A$1,$B9,HA$1)</f>
        <v>0</v>
      </c>
      <c r="HB9" s="116" cm="1">
        <f t="array" ref="HB9">_xll.EQNXTDZ($A$1,$B9,HB$1)</f>
        <v>0</v>
      </c>
      <c r="HC9" s="116" cm="1">
        <f t="array" ref="HC9">_xll.EQNXTDZ($A$1,$B9,HC$1)</f>
        <v>0</v>
      </c>
      <c r="HD9" s="116" cm="1">
        <f t="array" ref="HD9">_xll.EQNXTDZ($A$1,$B9,HD$1)</f>
        <v>0</v>
      </c>
      <c r="HE9" s="116" cm="1">
        <f t="array" ref="HE9">_xll.EQNXTDZ($A$1,$B9,HE$1)</f>
        <v>0</v>
      </c>
      <c r="HF9" s="116" cm="1">
        <f t="array" ref="HF9">_xll.EQNXTDZ($A$1,$B9,HF$1)</f>
        <v>0</v>
      </c>
      <c r="HG9" s="116" cm="1">
        <f t="array" ref="HG9">_xll.EQNXTDZ($A$1,$B9,HG$1)</f>
        <v>0</v>
      </c>
      <c r="HH9" s="116" cm="1">
        <f t="array" ref="HH9">_xll.EQNXTDZ($A$1,$B9,HH$1)</f>
        <v>0</v>
      </c>
      <c r="HP9" s="116">
        <f>+F9</f>
        <v>0</v>
      </c>
      <c r="HQ9" s="116">
        <f>+I9</f>
        <v>0</v>
      </c>
      <c r="HR9" s="116">
        <f>+L9</f>
        <v>0</v>
      </c>
      <c r="HS9" s="116">
        <f>+O9</f>
        <v>0</v>
      </c>
      <c r="HT9" s="116">
        <f>+R9</f>
        <v>0</v>
      </c>
      <c r="HU9" s="116">
        <f>+U9</f>
        <v>0</v>
      </c>
      <c r="HV9" s="116">
        <f>+X9</f>
        <v>0</v>
      </c>
      <c r="HW9" s="116">
        <f>+AA9</f>
        <v>0</v>
      </c>
      <c r="HX9" s="116">
        <f>+AD9</f>
        <v>0</v>
      </c>
      <c r="HY9" s="116">
        <f>+AG9</f>
        <v>0</v>
      </c>
      <c r="HZ9" s="116">
        <f>+AJ9</f>
        <v>0</v>
      </c>
      <c r="IA9" s="116">
        <f>+AM9</f>
        <v>0</v>
      </c>
      <c r="IB9" s="116">
        <f>+AP9</f>
        <v>0</v>
      </c>
      <c r="IC9" s="116">
        <f>+AS9</f>
        <v>0</v>
      </c>
      <c r="ID9" s="116">
        <f>+AV9</f>
        <v>0</v>
      </c>
      <c r="IE9" s="116">
        <f>+AY9</f>
        <v>0</v>
      </c>
      <c r="IF9" s="116">
        <f>+BB9</f>
        <v>0</v>
      </c>
      <c r="IG9" s="116">
        <f>+BE9</f>
        <v>0</v>
      </c>
      <c r="IH9" s="116">
        <f>+BH9</f>
        <v>0</v>
      </c>
      <c r="II9" s="116">
        <f>+BK9</f>
        <v>0</v>
      </c>
      <c r="IJ9" s="116">
        <f>+BN9</f>
        <v>0</v>
      </c>
      <c r="IK9" s="116">
        <f>+BQ9</f>
        <v>0</v>
      </c>
      <c r="IL9" s="116">
        <f>+BT9</f>
        <v>0</v>
      </c>
      <c r="IM9" s="116">
        <f>+BW9</f>
        <v>0</v>
      </c>
      <c r="IN9" s="116">
        <f>+BZ9</f>
        <v>0</v>
      </c>
      <c r="IO9" s="116">
        <f>+CC9</f>
        <v>0</v>
      </c>
      <c r="IP9" s="116">
        <f>+CF9</f>
        <v>0</v>
      </c>
      <c r="IQ9" s="116">
        <f>+CI9</f>
        <v>0</v>
      </c>
      <c r="IR9" s="116">
        <f>+CL9</f>
        <v>0</v>
      </c>
      <c r="IS9" s="116">
        <f>+CO9</f>
        <v>0</v>
      </c>
      <c r="IT9" s="116">
        <f>+CR9</f>
        <v>0</v>
      </c>
      <c r="IU9" s="116">
        <f>+CU9</f>
        <v>0</v>
      </c>
      <c r="IV9" s="116">
        <f>+CX9</f>
        <v>0</v>
      </c>
      <c r="IW9" s="116">
        <f>+DA9</f>
        <v>0</v>
      </c>
      <c r="IX9" s="116">
        <f>+DD9</f>
        <v>0</v>
      </c>
      <c r="IY9" s="116">
        <f>+DG9</f>
        <v>0</v>
      </c>
      <c r="IZ9" s="116">
        <f>+DJ9</f>
        <v>0</v>
      </c>
      <c r="JA9" s="116">
        <f>+DM9</f>
        <v>0</v>
      </c>
      <c r="JB9" s="116">
        <f>+DP9</f>
        <v>0</v>
      </c>
      <c r="JC9" s="116">
        <f>+DS9</f>
        <v>0</v>
      </c>
      <c r="JD9" s="116">
        <f>+DV9</f>
        <v>0</v>
      </c>
      <c r="JE9" s="116">
        <f>+DY9</f>
        <v>0</v>
      </c>
      <c r="JF9" s="116">
        <f>+EB9</f>
        <v>0</v>
      </c>
      <c r="JG9" s="116">
        <f>+EE9</f>
        <v>0</v>
      </c>
      <c r="JH9" s="116">
        <f>+EH9</f>
        <v>536.1</v>
      </c>
      <c r="JI9" s="116">
        <f>+EK9</f>
        <v>599.79999999999995</v>
      </c>
      <c r="JJ9" s="116">
        <f>+EN9</f>
        <v>602</v>
      </c>
      <c r="JK9" s="116">
        <f>EQ9</f>
        <v>732.2</v>
      </c>
      <c r="JL9" s="116">
        <f>ET9</f>
        <v>948.35</v>
      </c>
      <c r="JM9" s="116">
        <f>EW9</f>
        <v>1231.8499999999999</v>
      </c>
      <c r="JN9" s="116">
        <f>EZ9</f>
        <v>1287.25</v>
      </c>
      <c r="JO9" s="116">
        <f>FC9</f>
        <v>1588.9</v>
      </c>
      <c r="JP9" s="116">
        <f>FF9</f>
        <v>1225</v>
      </c>
      <c r="JQ9" s="116">
        <f>FI9</f>
        <v>1321.3</v>
      </c>
      <c r="JR9" s="116">
        <f>FL9</f>
        <v>1271.7</v>
      </c>
      <c r="JS9" s="116">
        <f>FO9</f>
        <v>1765</v>
      </c>
      <c r="JT9" s="116">
        <f>FR9</f>
        <v>0</v>
      </c>
      <c r="JU9" s="116">
        <f>FU9</f>
        <v>0</v>
      </c>
      <c r="JV9" s="116">
        <f>FX9</f>
        <v>0</v>
      </c>
      <c r="JW9" s="116">
        <f>GA9</f>
        <v>0</v>
      </c>
      <c r="JX9" s="116">
        <f>GD9</f>
        <v>0</v>
      </c>
      <c r="JY9" s="116">
        <f>GG9</f>
        <v>0</v>
      </c>
      <c r="JZ9" s="116">
        <f>GJ9</f>
        <v>0</v>
      </c>
      <c r="KA9" s="116">
        <f>GM9</f>
        <v>0</v>
      </c>
      <c r="KB9" s="116">
        <f>GP9</f>
        <v>0</v>
      </c>
      <c r="KC9" s="116">
        <f>GS9</f>
        <v>0</v>
      </c>
      <c r="KD9" s="116">
        <f>GV9</f>
        <v>0</v>
      </c>
      <c r="KE9" s="116">
        <f>GY9</f>
        <v>0</v>
      </c>
      <c r="KF9" s="116">
        <f>HB9</f>
        <v>0</v>
      </c>
      <c r="KG9" s="116">
        <f>HE9</f>
        <v>0</v>
      </c>
      <c r="KH9" s="116">
        <f>HH9</f>
        <v>0</v>
      </c>
    </row>
    <row r="11" spans="1:294" x14ac:dyDescent="0.25">
      <c r="A11" t="s">
        <v>110</v>
      </c>
      <c r="B11" t="s">
        <v>111</v>
      </c>
      <c r="C11" cm="1">
        <f t="array" ref="C11">_xll.EQNXTDZ($A$1,$B11,C$1)</f>
        <v>0</v>
      </c>
      <c r="D11" cm="1">
        <f t="array" ref="D11">_xll.EQNXTDZ($A$1,$B11,D$1)</f>
        <v>0</v>
      </c>
      <c r="E11" cm="1">
        <f t="array" ref="E11">_xll.EQNXTDZ($A$1,$B11,E$1)</f>
        <v>0</v>
      </c>
      <c r="F11" cm="1">
        <f t="array" ref="F11">_xll.EQNXTDZ($A$1,$B11,F$1)</f>
        <v>0</v>
      </c>
      <c r="G11" cm="1">
        <f t="array" ref="G11">_xll.EQNXTDZ($A$1,$B11,G$1)</f>
        <v>0</v>
      </c>
      <c r="H11" cm="1">
        <f t="array" ref="H11">_xll.EQNXTDZ($A$1,$B11,H$1)</f>
        <v>0</v>
      </c>
      <c r="I11" cm="1">
        <f t="array" ref="I11">_xll.EQNXTDZ($A$1,$B11,I$1)</f>
        <v>0</v>
      </c>
      <c r="J11" cm="1">
        <f t="array" ref="J11">_xll.EQNXTDZ($A$1,$B11,J$1)</f>
        <v>0</v>
      </c>
      <c r="K11" cm="1">
        <f t="array" ref="K11">_xll.EQNXTDZ($A$1,$B11,K$1)</f>
        <v>0</v>
      </c>
      <c r="L11" cm="1">
        <f t="array" ref="L11">_xll.EQNXTDZ($A$1,$B11,L$1)</f>
        <v>0</v>
      </c>
      <c r="M11" cm="1">
        <f t="array" ref="M11">_xll.EQNXTDZ($A$1,$B11,M$1)</f>
        <v>0</v>
      </c>
      <c r="N11" cm="1">
        <f t="array" ref="N11">_xll.EQNXTDZ($A$1,$B11,N$1)</f>
        <v>0</v>
      </c>
      <c r="O11" cm="1">
        <f t="array" ref="O11">_xll.EQNXTDZ($A$1,$B11,O$1)</f>
        <v>0</v>
      </c>
      <c r="P11" cm="1">
        <f t="array" ref="P11">_xll.EQNXTDZ($A$1,$B11,P$1)</f>
        <v>0</v>
      </c>
      <c r="Q11" cm="1">
        <f t="array" ref="Q11">_xll.EQNXTDZ($A$1,$B11,Q$1)</f>
        <v>0</v>
      </c>
      <c r="R11" cm="1">
        <f t="array" ref="R11">_xll.EQNXTDZ($A$1,$B11,R$1)</f>
        <v>0</v>
      </c>
      <c r="S11" cm="1">
        <f t="array" ref="S11">_xll.EQNXTDZ($A$1,$B11,S$1)</f>
        <v>0</v>
      </c>
      <c r="T11" cm="1">
        <f t="array" ref="T11">_xll.EQNXTDZ($A$1,$B11,T$1)</f>
        <v>0</v>
      </c>
      <c r="U11" cm="1">
        <f t="array" ref="U11">_xll.EQNXTDZ($A$1,$B11,U$1)</f>
        <v>0</v>
      </c>
      <c r="V11" cm="1">
        <f t="array" ref="V11">_xll.EQNXTDZ($A$1,$B11,V$1)</f>
        <v>0</v>
      </c>
      <c r="W11" cm="1">
        <f t="array" ref="W11">_xll.EQNXTDZ($A$1,$B11,W$1)</f>
        <v>0</v>
      </c>
      <c r="X11" cm="1">
        <f t="array" ref="X11">_xll.EQNXTDZ($A$1,$B11,X$1)</f>
        <v>0</v>
      </c>
      <c r="Y11" cm="1">
        <f t="array" ref="Y11">_xll.EQNXTDZ($A$1,$B11,Y$1)</f>
        <v>0</v>
      </c>
      <c r="Z11" cm="1">
        <f t="array" ref="Z11">_xll.EQNXTDZ($A$1,$B11,Z$1)</f>
        <v>0</v>
      </c>
      <c r="AA11" cm="1">
        <f t="array" ref="AA11">_xll.EQNXTDZ($A$1,$B11,AA$1)</f>
        <v>0</v>
      </c>
      <c r="AB11" cm="1">
        <f t="array" ref="AB11">_xll.EQNXTDZ($A$1,$B11,AB$1)</f>
        <v>0</v>
      </c>
      <c r="AC11" cm="1">
        <f t="array" ref="AC11">_xll.EQNXTDZ($A$1,$B11,AC$1)</f>
        <v>0</v>
      </c>
      <c r="AD11" cm="1">
        <f t="array" ref="AD11">_xll.EQNXTDZ($A$1,$B11,AD$1)</f>
        <v>0</v>
      </c>
      <c r="AE11" cm="1">
        <f t="array" ref="AE11">_xll.EQNXTDZ($A$1,$B11,AE$1)</f>
        <v>0</v>
      </c>
      <c r="AF11" cm="1">
        <f t="array" ref="AF11">_xll.EQNXTDZ($A$1,$B11,AF$1)</f>
        <v>0</v>
      </c>
      <c r="AG11" cm="1">
        <f t="array" ref="AG11">_xll.EQNXTDZ($A$1,$B11,AG$1)</f>
        <v>0</v>
      </c>
      <c r="AH11" cm="1">
        <f t="array" ref="AH11">_xll.EQNXTDZ($A$1,$B11,AH$1)</f>
        <v>0</v>
      </c>
      <c r="AI11" cm="1">
        <f t="array" ref="AI11">_xll.EQNXTDZ($A$1,$B11,AI$1)</f>
        <v>0</v>
      </c>
      <c r="AJ11" cm="1">
        <f t="array" ref="AJ11">_xll.EQNXTDZ($A$1,$B11,AJ$1)</f>
        <v>0</v>
      </c>
      <c r="AK11" cm="1">
        <f t="array" ref="AK11">_xll.EQNXTDZ($A$1,$B11,AK$1)</f>
        <v>0</v>
      </c>
      <c r="AL11" cm="1">
        <f t="array" ref="AL11">_xll.EQNXTDZ($A$1,$B11,AL$1)</f>
        <v>0</v>
      </c>
      <c r="AM11" cm="1">
        <f t="array" ref="AM11">_xll.EQNXTDZ($A$1,$B11,AM$1)</f>
        <v>0</v>
      </c>
      <c r="AN11" cm="1">
        <f t="array" ref="AN11">_xll.EQNXTDZ($A$1,$B11,AN$1)</f>
        <v>0</v>
      </c>
      <c r="AO11" cm="1">
        <f t="array" ref="AO11">_xll.EQNXTDZ($A$1,$B11,AO$1)</f>
        <v>0</v>
      </c>
      <c r="AP11" cm="1">
        <f t="array" ref="AP11">_xll.EQNXTDZ($A$1,$B11,AP$1)</f>
        <v>0</v>
      </c>
      <c r="AQ11" cm="1">
        <f t="array" ref="AQ11">_xll.EQNXTDZ($A$1,$B11,AQ$1)</f>
        <v>0</v>
      </c>
      <c r="AR11" cm="1">
        <f t="array" ref="AR11">_xll.EQNXTDZ($A$1,$B11,AR$1)</f>
        <v>0</v>
      </c>
      <c r="AS11" cm="1">
        <f t="array" ref="AS11">_xll.EQNXTDZ($A$1,$B11,AS$1)</f>
        <v>0</v>
      </c>
      <c r="AT11" cm="1">
        <f t="array" ref="AT11">_xll.EQNXTDZ($A$1,$B11,AT$1)</f>
        <v>0</v>
      </c>
      <c r="AU11" cm="1">
        <f t="array" ref="AU11">_xll.EQNXTDZ($A$1,$B11,AU$1)</f>
        <v>0</v>
      </c>
      <c r="AV11" cm="1">
        <f t="array" ref="AV11">_xll.EQNXTDZ($A$1,$B11,AV$1)</f>
        <v>0</v>
      </c>
      <c r="AW11" cm="1">
        <f t="array" ref="AW11">_xll.EQNXTDZ($A$1,$B11,AW$1)</f>
        <v>0</v>
      </c>
      <c r="AX11" cm="1">
        <f t="array" ref="AX11">_xll.EQNXTDZ($A$1,$B11,AX$1)</f>
        <v>0</v>
      </c>
      <c r="AY11" cm="1">
        <f t="array" ref="AY11">_xll.EQNXTDZ($A$1,$B11,AY$1)</f>
        <v>0</v>
      </c>
      <c r="AZ11" cm="1">
        <f t="array" ref="AZ11">_xll.EQNXTDZ($A$1,$B11,AZ$1)</f>
        <v>0</v>
      </c>
      <c r="BA11" cm="1">
        <f t="array" ref="BA11">_xll.EQNXTDZ($A$1,$B11,BA$1)</f>
        <v>0</v>
      </c>
      <c r="BB11" cm="1">
        <f t="array" ref="BB11">_xll.EQNXTDZ($A$1,$B11,BB$1)</f>
        <v>0</v>
      </c>
      <c r="BC11" cm="1">
        <f t="array" ref="BC11">_xll.EQNXTDZ($A$1,$B11,BC$1)</f>
        <v>0</v>
      </c>
      <c r="BD11" cm="1">
        <f t="array" ref="BD11">_xll.EQNXTDZ($A$1,$B11,BD$1)</f>
        <v>0</v>
      </c>
      <c r="BE11" cm="1">
        <f t="array" ref="BE11">_xll.EQNXTDZ($A$1,$B11,BE$1)</f>
        <v>0</v>
      </c>
      <c r="BF11" cm="1">
        <f t="array" ref="BF11">_xll.EQNXTDZ($A$1,$B11,BF$1)</f>
        <v>0</v>
      </c>
      <c r="BG11" cm="1">
        <f t="array" ref="BG11">_xll.EQNXTDZ($A$1,$B11,BG$1)</f>
        <v>0</v>
      </c>
      <c r="BH11" cm="1">
        <f t="array" ref="BH11">_xll.EQNXTDZ($A$1,$B11,BH$1)</f>
        <v>0</v>
      </c>
      <c r="BI11" cm="1">
        <f t="array" ref="BI11">_xll.EQNXTDZ($A$1,$B11,BI$1)</f>
        <v>0</v>
      </c>
      <c r="BJ11" cm="1">
        <f t="array" ref="BJ11">_xll.EQNXTDZ($A$1,$B11,BJ$1)</f>
        <v>0</v>
      </c>
      <c r="BK11" cm="1">
        <f t="array" ref="BK11">_xll.EQNXTDZ($A$1,$B11,BK$1)</f>
        <v>0</v>
      </c>
      <c r="BL11" cm="1">
        <f t="array" ref="BL11">_xll.EQNXTDZ($A$1,$B11,BL$1)</f>
        <v>0</v>
      </c>
      <c r="BM11" cm="1">
        <f t="array" ref="BM11">_xll.EQNXTDZ($A$1,$B11,BM$1)</f>
        <v>0</v>
      </c>
      <c r="BN11" cm="1">
        <f t="array" ref="BN11">_xll.EQNXTDZ($A$1,$B11,BN$1)</f>
        <v>0</v>
      </c>
      <c r="BO11" cm="1">
        <f t="array" ref="BO11">_xll.EQNXTDZ($A$1,$B11,BO$1)</f>
        <v>0</v>
      </c>
      <c r="BP11" cm="1">
        <f t="array" ref="BP11">_xll.EQNXTDZ($A$1,$B11,BP$1)</f>
        <v>0</v>
      </c>
      <c r="BQ11" cm="1">
        <f t="array" ref="BQ11">_xll.EQNXTDZ($A$1,$B11,BQ$1)</f>
        <v>0</v>
      </c>
      <c r="BR11" cm="1">
        <f t="array" ref="BR11">_xll.EQNXTDZ($A$1,$B11,BR$1)</f>
        <v>0</v>
      </c>
      <c r="BS11" cm="1">
        <f t="array" ref="BS11">_xll.EQNXTDZ($A$1,$B11,BS$1)</f>
        <v>0</v>
      </c>
      <c r="BT11" cm="1">
        <f t="array" ref="BT11">_xll.EQNXTDZ($A$1,$B11,BT$1)</f>
        <v>0</v>
      </c>
      <c r="BU11" cm="1">
        <f t="array" ref="BU11">_xll.EQNXTDZ($A$1,$B11,BU$1)</f>
        <v>0</v>
      </c>
      <c r="BV11" cm="1">
        <f t="array" ref="BV11">_xll.EQNXTDZ($A$1,$B11,BV$1)</f>
        <v>0</v>
      </c>
      <c r="BW11" cm="1">
        <f t="array" ref="BW11">_xll.EQNXTDZ($A$1,$B11,BW$1)</f>
        <v>0</v>
      </c>
      <c r="BX11" cm="1">
        <f t="array" ref="BX11">_xll.EQNXTDZ($A$1,$B11,BX$1)</f>
        <v>0</v>
      </c>
      <c r="BY11" cm="1">
        <f t="array" ref="BY11">_xll.EQNXTDZ($A$1,$B11,BY$1)</f>
        <v>0</v>
      </c>
      <c r="BZ11" cm="1">
        <f t="array" ref="BZ11">_xll.EQNXTDZ($A$1,$B11,BZ$1)</f>
        <v>0</v>
      </c>
      <c r="CA11" cm="1">
        <f t="array" ref="CA11">_xll.EQNXTDZ($A$1,$B11,CA$1)</f>
        <v>0</v>
      </c>
      <c r="CB11" cm="1">
        <f t="array" ref="CB11">_xll.EQNXTDZ($A$1,$B11,CB$1)</f>
        <v>0</v>
      </c>
      <c r="CC11" cm="1">
        <f t="array" ref="CC11">_xll.EQNXTDZ($A$1,$B11,CC$1)</f>
        <v>0</v>
      </c>
      <c r="CD11" cm="1">
        <f t="array" ref="CD11">_xll.EQNXTDZ($A$1,$B11,CD$1)</f>
        <v>0</v>
      </c>
      <c r="CE11" cm="1">
        <f t="array" ref="CE11">_xll.EQNXTDZ($A$1,$B11,CE$1)</f>
        <v>0</v>
      </c>
      <c r="CF11" cm="1">
        <f t="array" ref="CF11">_xll.EQNXTDZ($A$1,$B11,CF$1)</f>
        <v>0</v>
      </c>
      <c r="CG11" cm="1">
        <f t="array" ref="CG11">_xll.EQNXTDZ($A$1,$B11,CG$1)</f>
        <v>0</v>
      </c>
      <c r="CH11" cm="1">
        <f t="array" ref="CH11">_xll.EQNXTDZ($A$1,$B11,CH$1)</f>
        <v>0</v>
      </c>
      <c r="CI11" cm="1">
        <f t="array" ref="CI11">_xll.EQNXTDZ($A$1,$B11,CI$1)</f>
        <v>0</v>
      </c>
      <c r="CJ11" cm="1">
        <f t="array" ref="CJ11">_xll.EQNXTDZ($A$1,$B11,CJ$1)</f>
        <v>0</v>
      </c>
      <c r="CK11" cm="1">
        <f t="array" ref="CK11">_xll.EQNXTDZ($A$1,$B11,CK$1)</f>
        <v>0</v>
      </c>
      <c r="CL11" cm="1">
        <f t="array" ref="CL11">_xll.EQNXTDZ($A$1,$B11,CL$1)</f>
        <v>0</v>
      </c>
      <c r="CM11" cm="1">
        <f t="array" ref="CM11">_xll.EQNXTDZ($A$1,$B11,CM$1)</f>
        <v>0</v>
      </c>
      <c r="CN11" cm="1">
        <f t="array" ref="CN11">_xll.EQNXTDZ($A$1,$B11,CN$1)</f>
        <v>0</v>
      </c>
      <c r="CO11" cm="1">
        <f t="array" ref="CO11">_xll.EQNXTDZ($A$1,$B11,CO$1)</f>
        <v>0</v>
      </c>
      <c r="CP11" cm="1">
        <f t="array" ref="CP11">_xll.EQNXTDZ($A$1,$B11,CP$1)</f>
        <v>0</v>
      </c>
      <c r="CQ11" cm="1">
        <f t="array" ref="CQ11">_xll.EQNXTDZ($A$1,$B11,CQ$1)</f>
        <v>0</v>
      </c>
      <c r="CR11" cm="1">
        <f t="array" ref="CR11">_xll.EQNXTDZ($A$1,$B11,CR$1)</f>
        <v>0</v>
      </c>
      <c r="CS11" cm="1">
        <f t="array" ref="CS11">_xll.EQNXTDZ($A$1,$B11,CS$1)</f>
        <v>0</v>
      </c>
      <c r="CT11" cm="1">
        <f t="array" ref="CT11">_xll.EQNXTDZ($A$1,$B11,CT$1)</f>
        <v>0</v>
      </c>
      <c r="CU11" cm="1">
        <f t="array" ref="CU11">_xll.EQNXTDZ($A$1,$B11,CU$1)</f>
        <v>0</v>
      </c>
      <c r="CV11" cm="1">
        <f t="array" ref="CV11">_xll.EQNXTDZ($A$1,$B11,CV$1)</f>
        <v>0</v>
      </c>
      <c r="CW11" cm="1">
        <f t="array" ref="CW11">_xll.EQNXTDZ($A$1,$B11,CW$1)</f>
        <v>0</v>
      </c>
      <c r="CX11" cm="1">
        <f t="array" ref="CX11">_xll.EQNXTDZ($A$1,$B11,CX$1)</f>
        <v>0</v>
      </c>
      <c r="CY11" cm="1">
        <f t="array" ref="CY11">_xll.EQNXTDZ($A$1,$B11,CY$1)</f>
        <v>0</v>
      </c>
      <c r="CZ11" cm="1">
        <f t="array" ref="CZ11">_xll.EQNXTDZ($A$1,$B11,CZ$1)</f>
        <v>0</v>
      </c>
      <c r="DA11" cm="1">
        <f t="array" ref="DA11">_xll.EQNXTDZ($A$1,$B11,DA$1)</f>
        <v>0</v>
      </c>
      <c r="DB11" cm="1">
        <f t="array" ref="DB11">_xll.EQNXTDZ($A$1,$B11,DB$1)</f>
        <v>0</v>
      </c>
      <c r="DC11" cm="1">
        <f t="array" ref="DC11">_xll.EQNXTDZ($A$1,$B11,DC$1)</f>
        <v>0</v>
      </c>
      <c r="DD11" cm="1">
        <f t="array" ref="DD11">_xll.EQNXTDZ($A$1,$B11,DD$1)</f>
        <v>0</v>
      </c>
      <c r="DE11" cm="1">
        <f t="array" ref="DE11">_xll.EQNXTDZ($A$1,$B11,DE$1)</f>
        <v>0</v>
      </c>
      <c r="DF11" cm="1">
        <f t="array" ref="DF11">_xll.EQNXTDZ($A$1,$B11,DF$1)</f>
        <v>0</v>
      </c>
      <c r="DG11" cm="1">
        <f t="array" ref="DG11">_xll.EQNXTDZ($A$1,$B11,DG$1)</f>
        <v>0</v>
      </c>
      <c r="DH11" cm="1">
        <f t="array" ref="DH11">_xll.EQNXTDZ($A$1,$B11,DH$1)</f>
        <v>0</v>
      </c>
      <c r="DI11" cm="1">
        <f t="array" ref="DI11">_xll.EQNXTDZ($A$1,$B11,DI$1)</f>
        <v>0</v>
      </c>
      <c r="DJ11" cm="1">
        <f t="array" ref="DJ11">_xll.EQNXTDZ($A$1,$B11,DJ$1)</f>
        <v>0</v>
      </c>
      <c r="DK11" cm="1">
        <f t="array" ref="DK11">_xll.EQNXTDZ($A$1,$B11,DK$1)</f>
        <v>0</v>
      </c>
      <c r="DL11" cm="1">
        <f t="array" ref="DL11">_xll.EQNXTDZ($A$1,$B11,DL$1)</f>
        <v>0</v>
      </c>
      <c r="DM11" cm="1">
        <f t="array" ref="DM11">_xll.EQNXTDZ($A$1,$B11,DM$1)</f>
        <v>0</v>
      </c>
      <c r="DN11" cm="1">
        <f t="array" ref="DN11">_xll.EQNXTDZ($A$1,$B11,DN$1)</f>
        <v>0</v>
      </c>
      <c r="DO11" cm="1">
        <f t="array" ref="DO11">_xll.EQNXTDZ($A$1,$B11,DO$1)</f>
        <v>0</v>
      </c>
      <c r="DP11" cm="1">
        <f t="array" ref="DP11">_xll.EQNXTDZ($A$1,$B11,DP$1)</f>
        <v>0</v>
      </c>
      <c r="DQ11" cm="1">
        <f t="array" ref="DQ11">_xll.EQNXTDZ($A$1,$B11,DQ$1)</f>
        <v>0</v>
      </c>
      <c r="DR11" cm="1">
        <f t="array" ref="DR11">_xll.EQNXTDZ($A$1,$B11,DR$1)</f>
        <v>0</v>
      </c>
      <c r="DS11" cm="1">
        <f t="array" ref="DS11">_xll.EQNXTDZ($A$1,$B11,DS$1)</f>
        <v>0</v>
      </c>
      <c r="DT11" cm="1">
        <f t="array" ref="DT11">_xll.EQNXTDZ($A$1,$B11,DT$1)</f>
        <v>0</v>
      </c>
      <c r="DU11" cm="1">
        <f t="array" ref="DU11">_xll.EQNXTDZ($A$1,$B11,DU$1)</f>
        <v>0</v>
      </c>
      <c r="DV11" cm="1">
        <f t="array" ref="DV11">_xll.EQNXTDZ($A$1,$B11,DV$1)</f>
        <v>0</v>
      </c>
      <c r="DW11" cm="1">
        <f t="array" ref="DW11">_xll.EQNXTDZ($A$1,$B11,DW$1)</f>
        <v>0</v>
      </c>
      <c r="DX11" cm="1">
        <f t="array" ref="DX11">_xll.EQNXTDZ($A$1,$B11,DX$1)</f>
        <v>0</v>
      </c>
      <c r="DY11" cm="1">
        <f t="array" ref="DY11">_xll.EQNXTDZ($A$1,$B11,DY$1)</f>
        <v>0</v>
      </c>
      <c r="DZ11" cm="1">
        <f t="array" ref="DZ11">_xll.EQNXTDZ($A$1,$B11,DZ$1)</f>
        <v>0</v>
      </c>
      <c r="EA11" cm="1">
        <f t="array" ref="EA11">_xll.EQNXTDZ($A$1,$B11,EA$1)</f>
        <v>0</v>
      </c>
      <c r="EB11" cm="1">
        <f t="array" ref="EB11">_xll.EQNXTDZ($A$1,$B11,EB$1)</f>
        <v>0</v>
      </c>
      <c r="EC11" cm="1">
        <f t="array" ref="EC11">_xll.EQNXTDZ($A$1,$B11,EC$1)</f>
        <v>0</v>
      </c>
      <c r="ED11" cm="1">
        <f t="array" ref="ED11">_xll.EQNXTDZ($A$1,$B11,ED$1)</f>
        <v>0</v>
      </c>
      <c r="EE11" cm="1">
        <f t="array" ref="EE11">_xll.EQNXTDZ($A$1,$B11,EE$1)</f>
        <v>0</v>
      </c>
      <c r="EF11" cm="1">
        <f t="array" ref="EF11">_xll.EQNXTDZ($A$1,$B11,EF$1)</f>
        <v>0</v>
      </c>
      <c r="EG11" cm="1">
        <f t="array" ref="EG11">_xll.EQNXTDZ($A$1,$B11,EG$1)</f>
        <v>0</v>
      </c>
      <c r="EH11" cm="1">
        <f t="array" ref="EH11">_xll.EQNXTDZ($A$1,$B11,EH$1)</f>
        <v>0</v>
      </c>
      <c r="EI11" cm="1">
        <f t="array" ref="EI11">_xll.EQNXTDZ($A$1,$B11,EI$1)</f>
        <v>0</v>
      </c>
      <c r="EJ11" cm="1">
        <f t="array" ref="EJ11">_xll.EQNXTDZ($A$1,$B11,EJ$1)</f>
        <v>0</v>
      </c>
      <c r="EK11" cm="1">
        <f t="array" ref="EK11">_xll.EQNXTDZ($A$1,$B11,EK$1)</f>
        <v>0</v>
      </c>
      <c r="EL11" cm="1">
        <f t="array" ref="EL11">_xll.EQNXTDZ($A$1,$B11,EL$1)</f>
        <v>0</v>
      </c>
      <c r="EM11" cm="1">
        <f t="array" ref="EM11">_xll.EQNXTDZ($A$1,$B11,EM$1)</f>
        <v>0</v>
      </c>
      <c r="EN11" cm="1">
        <f t="array" ref="EN11">_xll.EQNXTDZ($A$1,$B11,EN$1)</f>
        <v>0</v>
      </c>
      <c r="EO11" cm="1">
        <f t="array" ref="EO11">_xll.EQNXTDZ($A$1,$B11,EO$1)</f>
        <v>0</v>
      </c>
      <c r="EP11" cm="1">
        <f t="array" ref="EP11">_xll.EQNXTDZ($A$1,$B11,EP$1)</f>
        <v>0</v>
      </c>
      <c r="EQ11" cm="1">
        <f t="array" ref="EQ11">_xll.EQNXTDZ($A$1,$B11,EQ$1)</f>
        <v>0</v>
      </c>
      <c r="ER11" cm="1">
        <f t="array" ref="ER11">_xll.EQNXTDZ($A$1,$B11,ER$1)</f>
        <v>0</v>
      </c>
      <c r="ES11" cm="1">
        <f t="array" ref="ES11">_xll.EQNXTDZ($A$1,$B11,ES$1)</f>
        <v>0</v>
      </c>
      <c r="ET11" cm="1">
        <f t="array" ref="ET11">_xll.EQNXTDZ($A$1,$B11,ET$1)</f>
        <v>0</v>
      </c>
      <c r="EU11" cm="1">
        <f t="array" ref="EU11">_xll.EQNXTDZ($A$1,$B11,EU$1)</f>
        <v>0</v>
      </c>
      <c r="EV11" cm="1">
        <f t="array" ref="EV11">_xll.EQNXTDZ($A$1,$B11,EV$1)</f>
        <v>0</v>
      </c>
      <c r="EW11" cm="1">
        <f t="array" ref="EW11">_xll.EQNXTDZ($A$1,$B11,EW$1)</f>
        <v>0</v>
      </c>
      <c r="EX11" cm="1">
        <f t="array" ref="EX11">_xll.EQNXTDZ($A$1,$B11,EX$1)</f>
        <v>0</v>
      </c>
      <c r="EY11" cm="1">
        <f t="array" ref="EY11">_xll.EQNXTDZ($A$1,$B11,EY$1)</f>
        <v>0</v>
      </c>
      <c r="EZ11" cm="1">
        <f t="array" ref="EZ11">_xll.EQNXTDZ($A$1,$B11,EZ$1)</f>
        <v>0</v>
      </c>
      <c r="FA11" cm="1">
        <f t="array" ref="FA11">_xll.EQNXTDZ($A$1,$B11,FA$1)</f>
        <v>0</v>
      </c>
      <c r="FB11" cm="1">
        <f t="array" ref="FB11">_xll.EQNXTDZ($A$1,$B11,FB$1)</f>
        <v>0</v>
      </c>
      <c r="FC11" cm="1">
        <f t="array" ref="FC11">_xll.EQNXTDZ($A$1,$B11,FC$1)</f>
        <v>0</v>
      </c>
      <c r="FD11" cm="1">
        <f t="array" ref="FD11">_xll.EQNXTDZ($A$1,$B11,FD$1)</f>
        <v>0</v>
      </c>
      <c r="FE11" cm="1">
        <f t="array" ref="FE11">_xll.EQNXTDZ($A$1,$B11,FE$1)</f>
        <v>0</v>
      </c>
      <c r="FF11" cm="1">
        <f t="array" ref="FF11">_xll.EQNXTDZ($A$1,$B11,FF$1)</f>
        <v>0</v>
      </c>
      <c r="FG11" cm="1">
        <f t="array" ref="FG11">_xll.EQNXTDZ($A$1,$B11,FG$1)</f>
        <v>0</v>
      </c>
      <c r="FH11" cm="1">
        <f t="array" ref="FH11">_xll.EQNXTDZ($A$1,$B11,FH$1)</f>
        <v>0</v>
      </c>
      <c r="FI11" cm="1">
        <f t="array" ref="FI11">_xll.EQNXTDZ($A$1,$B11,FI$1)</f>
        <v>0</v>
      </c>
      <c r="FJ11" cm="1">
        <f t="array" ref="FJ11">_xll.EQNXTDZ($A$1,$B11,FJ$1)</f>
        <v>0</v>
      </c>
      <c r="FK11" cm="1">
        <f t="array" ref="FK11">_xll.EQNXTDZ($A$1,$B11,FK$1)</f>
        <v>0</v>
      </c>
      <c r="FL11" cm="1">
        <f t="array" ref="FL11">_xll.EQNXTDZ($A$1,$B11,FL$1)</f>
        <v>0</v>
      </c>
      <c r="FM11" cm="1">
        <f t="array" ref="FM11">_xll.EQNXTDZ($A$1,$B11,FM$1)</f>
        <v>0</v>
      </c>
      <c r="FN11" cm="1">
        <f t="array" ref="FN11">_xll.EQNXTDZ($A$1,$B11,FN$1)</f>
        <v>0</v>
      </c>
      <c r="FO11" cm="1">
        <f t="array" ref="FO11">_xll.EQNXTDZ($A$1,$B11,FO$1)</f>
        <v>0</v>
      </c>
      <c r="FP11" cm="1">
        <f t="array" ref="FP11">_xll.EQNXTDZ($A$1,$B11,FP$1)</f>
        <v>0</v>
      </c>
      <c r="FQ11" cm="1">
        <f t="array" ref="FQ11">_xll.EQNXTDZ($A$1,$B11,FQ$1)</f>
        <v>0</v>
      </c>
      <c r="FR11" cm="1">
        <f t="array" ref="FR11">_xll.EQNXTDZ($A$1,$B11,FR$1)</f>
        <v>0</v>
      </c>
      <c r="FS11" cm="1">
        <f t="array" ref="FS11">_xll.EQNXTDZ($A$1,$B11,FS$1)</f>
        <v>0</v>
      </c>
      <c r="FT11" cm="1">
        <f t="array" ref="FT11">_xll.EQNXTDZ($A$1,$B11,FT$1)</f>
        <v>0</v>
      </c>
      <c r="FU11" cm="1">
        <f t="array" ref="FU11">_xll.EQNXTDZ($A$1,$B11,FU$1)</f>
        <v>0</v>
      </c>
      <c r="FV11" cm="1">
        <f t="array" ref="FV11">_xll.EQNXTDZ($A$1,$B11,FV$1)</f>
        <v>0</v>
      </c>
      <c r="FW11" cm="1">
        <f t="array" ref="FW11">_xll.EQNXTDZ($A$1,$B11,FW$1)</f>
        <v>0</v>
      </c>
      <c r="FX11" cm="1">
        <f t="array" ref="FX11">_xll.EQNXTDZ($A$1,$B11,FX$1)</f>
        <v>0</v>
      </c>
      <c r="FY11" cm="1">
        <f t="array" ref="FY11">_xll.EQNXTDZ($A$1,$B11,FY$1)</f>
        <v>0</v>
      </c>
      <c r="FZ11" cm="1">
        <f t="array" ref="FZ11">_xll.EQNXTDZ($A$1,$B11,FZ$1)</f>
        <v>0</v>
      </c>
      <c r="GA11" cm="1">
        <f t="array" ref="GA11">_xll.EQNXTDZ($A$1,$B11,GA$1)</f>
        <v>0</v>
      </c>
      <c r="GB11" cm="1">
        <f t="array" ref="GB11">_xll.EQNXTDZ($A$1,$B11,GB$1)</f>
        <v>0</v>
      </c>
      <c r="GC11" cm="1">
        <f t="array" ref="GC11">_xll.EQNXTDZ($A$1,$B11,GC$1)</f>
        <v>0</v>
      </c>
      <c r="GD11" cm="1">
        <f t="array" ref="GD11">_xll.EQNXTDZ($A$1,$B11,GD$1)</f>
        <v>0</v>
      </c>
      <c r="GE11" cm="1">
        <f t="array" ref="GE11">_xll.EQNXTDZ($A$1,$B11,GE$1)</f>
        <v>0</v>
      </c>
      <c r="GF11" cm="1">
        <f t="array" ref="GF11">_xll.EQNXTDZ($A$1,$B11,GF$1)</f>
        <v>0</v>
      </c>
      <c r="GG11" cm="1">
        <f t="array" ref="GG11">_xll.EQNXTDZ($A$1,$B11,GG$1)</f>
        <v>0</v>
      </c>
      <c r="GH11" cm="1">
        <f t="array" ref="GH11">_xll.EQNXTDZ($A$1,$B11,GH$1)</f>
        <v>0</v>
      </c>
      <c r="GI11" cm="1">
        <f t="array" ref="GI11">_xll.EQNXTDZ($A$1,$B11,GI$1)</f>
        <v>0</v>
      </c>
      <c r="GJ11" cm="1">
        <f t="array" ref="GJ11">_xll.EQNXTDZ($A$1,$B11,GJ$1)</f>
        <v>0</v>
      </c>
      <c r="GK11" cm="1">
        <f t="array" ref="GK11">_xll.EQNXTDZ($A$1,$B11,GK$1)</f>
        <v>0</v>
      </c>
      <c r="GL11" cm="1">
        <f t="array" ref="GL11">_xll.EQNXTDZ($A$1,$B11,GL$1)</f>
        <v>0</v>
      </c>
      <c r="GM11" cm="1">
        <f t="array" ref="GM11">_xll.EQNXTDZ($A$1,$B11,GM$1)</f>
        <v>0</v>
      </c>
      <c r="GN11" cm="1">
        <f t="array" ref="GN11">_xll.EQNXTDZ($A$1,$B11,GN$1)</f>
        <v>0</v>
      </c>
      <c r="GO11" cm="1">
        <f t="array" ref="GO11">_xll.EQNXTDZ($A$1,$B11,GO$1)</f>
        <v>0</v>
      </c>
      <c r="GP11" cm="1">
        <f t="array" ref="GP11">_xll.EQNXTDZ($A$1,$B11,GP$1)</f>
        <v>0</v>
      </c>
      <c r="GQ11" cm="1">
        <f t="array" ref="GQ11">_xll.EQNXTDZ($A$1,$B11,GQ$1)</f>
        <v>0</v>
      </c>
      <c r="GR11" cm="1">
        <f t="array" ref="GR11">_xll.EQNXTDZ($A$1,$B11,GR$1)</f>
        <v>0</v>
      </c>
      <c r="GS11" cm="1">
        <f t="array" ref="GS11">_xll.EQNXTDZ($A$1,$B11,GS$1)</f>
        <v>0</v>
      </c>
      <c r="GT11" cm="1">
        <f t="array" ref="GT11">_xll.EQNXTDZ($A$1,$B11,GT$1)</f>
        <v>0</v>
      </c>
      <c r="GU11" cm="1">
        <f t="array" ref="GU11">_xll.EQNXTDZ($A$1,$B11,GU$1)</f>
        <v>0</v>
      </c>
      <c r="GV11" cm="1">
        <f t="array" ref="GV11">_xll.EQNXTDZ($A$1,$B11,GV$1)</f>
        <v>0</v>
      </c>
      <c r="GW11" cm="1">
        <f t="array" ref="GW11">_xll.EQNXTDZ($A$1,$B11,GW$1)</f>
        <v>0</v>
      </c>
      <c r="GX11" cm="1">
        <f t="array" ref="GX11">_xll.EQNXTDZ($A$1,$B11,GX$1)</f>
        <v>0</v>
      </c>
      <c r="GY11" cm="1">
        <f t="array" ref="GY11">_xll.EQNXTDZ($A$1,$B11,GY$1)</f>
        <v>0</v>
      </c>
      <c r="GZ11" cm="1">
        <f t="array" ref="GZ11">_xll.EQNXTDZ($A$1,$B11,GZ$1)</f>
        <v>0</v>
      </c>
      <c r="HA11" cm="1">
        <f t="array" ref="HA11">_xll.EQNXTDZ($A$1,$B11,HA$1)</f>
        <v>0</v>
      </c>
      <c r="HB11" cm="1">
        <f t="array" ref="HB11">_xll.EQNXTDZ($A$1,$B11,HB$1)</f>
        <v>0</v>
      </c>
      <c r="HC11" cm="1">
        <f t="array" ref="HC11">_xll.EQNXTDZ($A$1,$B11,HC$1)</f>
        <v>0</v>
      </c>
      <c r="HD11" cm="1">
        <f t="array" ref="HD11">_xll.EQNXTDZ($A$1,$B11,HD$1)</f>
        <v>0</v>
      </c>
      <c r="HE11" cm="1">
        <f t="array" ref="HE11">_xll.EQNXTDZ($A$1,$B11,HE$1)</f>
        <v>0</v>
      </c>
      <c r="HF11" cm="1">
        <f t="array" ref="HF11">_xll.EQNXTDZ($A$1,$B11,HF$1)</f>
        <v>0</v>
      </c>
      <c r="HG11" cm="1">
        <f t="array" ref="HG11">_xll.EQNXTDZ($A$1,$B11,HG$1)</f>
        <v>0</v>
      </c>
      <c r="HH11" cm="1">
        <f t="array" ref="HH11">_xll.EQNXTDZ($A$1,$B11,HH$1)</f>
        <v>0</v>
      </c>
    </row>
    <row r="12" spans="1:294" x14ac:dyDescent="0.25">
      <c r="A12" t="s">
        <v>337</v>
      </c>
      <c r="B12" t="s">
        <v>338</v>
      </c>
      <c r="C12" cm="1">
        <f t="array" ref="C12">_xll.EQNXTDZ($A$1,$B12,C$1)</f>
        <v>201206</v>
      </c>
      <c r="D12" cm="1">
        <f t="array" ref="D12">_xll.EQNXTDZ($A$1,$B12,D$1)</f>
        <v>201207</v>
      </c>
      <c r="E12" cm="1">
        <f t="array" ref="E12">_xll.EQNXTDZ($A$1,$B12,E$1)</f>
        <v>201208</v>
      </c>
      <c r="F12" cm="1">
        <f t="array" ref="F12">_xll.EQNXTDZ($A$1,$B12,F$1)</f>
        <v>201209</v>
      </c>
      <c r="G12" cm="1">
        <f t="array" ref="G12">_xll.EQNXTDZ($A$1,$B12,G$1)</f>
        <v>201210</v>
      </c>
      <c r="H12" cm="1">
        <f t="array" ref="H12">_xll.EQNXTDZ($A$1,$B12,H$1)</f>
        <v>201211</v>
      </c>
      <c r="I12" cm="1">
        <f t="array" ref="I12">_xll.EQNXTDZ($A$1,$B12,I$1)</f>
        <v>201212</v>
      </c>
      <c r="J12" cm="1">
        <f t="array" ref="J12">_xll.EQNXTDZ($A$1,$B12,J$1)</f>
        <v>201301</v>
      </c>
      <c r="K12" cm="1">
        <f t="array" ref="K12">_xll.EQNXTDZ($A$1,$B12,K$1)</f>
        <v>201302</v>
      </c>
      <c r="L12" cm="1">
        <f t="array" ref="L12">_xll.EQNXTDZ($A$1,$B12,L$1)</f>
        <v>201303</v>
      </c>
      <c r="M12" cm="1">
        <f t="array" ref="M12">_xll.EQNXTDZ($A$1,$B12,M$1)</f>
        <v>201304</v>
      </c>
      <c r="N12" cm="1">
        <f t="array" ref="N12">_xll.EQNXTDZ($A$1,$B12,N$1)</f>
        <v>201305</v>
      </c>
      <c r="O12" cm="1">
        <f t="array" ref="O12">_xll.EQNXTDZ($A$1,$B12,O$1)</f>
        <v>201306</v>
      </c>
      <c r="P12" cm="1">
        <f t="array" ref="P12">_xll.EQNXTDZ($A$1,$B12,P$1)</f>
        <v>201307</v>
      </c>
      <c r="Q12" cm="1">
        <f t="array" ref="Q12">_xll.EQNXTDZ($A$1,$B12,Q$1)</f>
        <v>201308</v>
      </c>
      <c r="R12" cm="1">
        <f t="array" ref="R12">_xll.EQNXTDZ($A$1,$B12,R$1)</f>
        <v>201309</v>
      </c>
      <c r="S12" cm="1">
        <f t="array" ref="S12">_xll.EQNXTDZ($A$1,$B12,S$1)</f>
        <v>201310</v>
      </c>
      <c r="T12" cm="1">
        <f t="array" ref="T12">_xll.EQNXTDZ($A$1,$B12,T$1)</f>
        <v>201311</v>
      </c>
      <c r="U12" cm="1">
        <f t="array" ref="U12">_xll.EQNXTDZ($A$1,$B12,U$1)</f>
        <v>201312</v>
      </c>
      <c r="V12" cm="1">
        <f t="array" ref="V12">_xll.EQNXTDZ($A$1,$B12,V$1)</f>
        <v>201401</v>
      </c>
      <c r="W12" cm="1">
        <f t="array" ref="W12">_xll.EQNXTDZ($A$1,$B12,W$1)</f>
        <v>201402</v>
      </c>
      <c r="X12" cm="1">
        <f t="array" ref="X12">_xll.EQNXTDZ($A$1,$B12,X$1)</f>
        <v>201403</v>
      </c>
      <c r="Y12" cm="1">
        <f t="array" ref="Y12">_xll.EQNXTDZ($A$1,$B12,Y$1)</f>
        <v>201404</v>
      </c>
      <c r="Z12" cm="1">
        <f t="array" ref="Z12">_xll.EQNXTDZ($A$1,$B12,Z$1)</f>
        <v>201405</v>
      </c>
      <c r="AA12" cm="1">
        <f t="array" ref="AA12">_xll.EQNXTDZ($A$1,$B12,AA$1)</f>
        <v>201406</v>
      </c>
      <c r="AB12" cm="1">
        <f t="array" ref="AB12">_xll.EQNXTDZ($A$1,$B12,AB$1)</f>
        <v>201407</v>
      </c>
      <c r="AC12" cm="1">
        <f t="array" ref="AC12">_xll.EQNXTDZ($A$1,$B12,AC$1)</f>
        <v>201408</v>
      </c>
      <c r="AD12" cm="1">
        <f t="array" ref="AD12">_xll.EQNXTDZ($A$1,$B12,AD$1)</f>
        <v>201409</v>
      </c>
      <c r="AE12" cm="1">
        <f t="array" ref="AE12">_xll.EQNXTDZ($A$1,$B12,AE$1)</f>
        <v>201410</v>
      </c>
      <c r="AF12" cm="1">
        <f t="array" ref="AF12">_xll.EQNXTDZ($A$1,$B12,AF$1)</f>
        <v>201411</v>
      </c>
      <c r="AG12" cm="1">
        <f t="array" ref="AG12">_xll.EQNXTDZ($A$1,$B12,AG$1)</f>
        <v>201412</v>
      </c>
      <c r="AH12" cm="1">
        <f t="array" ref="AH12">_xll.EQNXTDZ($A$1,$B12,AH$1)</f>
        <v>201501</v>
      </c>
      <c r="AI12" cm="1">
        <f t="array" ref="AI12">_xll.EQNXTDZ($A$1,$B12,AI$1)</f>
        <v>201502</v>
      </c>
      <c r="AJ12" cm="1">
        <f t="array" ref="AJ12">_xll.EQNXTDZ($A$1,$B12,AJ$1)</f>
        <v>201503</v>
      </c>
      <c r="AK12" cm="1">
        <f t="array" ref="AK12">_xll.EQNXTDZ($A$1,$B12,AK$1)</f>
        <v>201504</v>
      </c>
      <c r="AL12" cm="1">
        <f t="array" ref="AL12">_xll.EQNXTDZ($A$1,$B12,AL$1)</f>
        <v>201505</v>
      </c>
      <c r="AM12" cm="1">
        <f t="array" ref="AM12">_xll.EQNXTDZ($A$1,$B12,AM$1)</f>
        <v>201506</v>
      </c>
      <c r="AN12" cm="1">
        <f t="array" ref="AN12">_xll.EQNXTDZ($A$1,$B12,AN$1)</f>
        <v>201507</v>
      </c>
      <c r="AO12" cm="1">
        <f t="array" ref="AO12">_xll.EQNXTDZ($A$1,$B12,AO$1)</f>
        <v>201508</v>
      </c>
      <c r="AP12" cm="1">
        <f t="array" ref="AP12">_xll.EQNXTDZ($A$1,$B12,AP$1)</f>
        <v>201509</v>
      </c>
      <c r="AQ12" cm="1">
        <f t="array" ref="AQ12">_xll.EQNXTDZ($A$1,$B12,AQ$1)</f>
        <v>201510</v>
      </c>
      <c r="AR12" cm="1">
        <f t="array" ref="AR12">_xll.EQNXTDZ($A$1,$B12,AR$1)</f>
        <v>201511</v>
      </c>
      <c r="AS12" cm="1">
        <f t="array" ref="AS12">_xll.EQNXTDZ($A$1,$B12,AS$1)</f>
        <v>201512</v>
      </c>
      <c r="AT12" cm="1">
        <f t="array" ref="AT12">_xll.EQNXTDZ($A$1,$B12,AT$1)</f>
        <v>201601</v>
      </c>
      <c r="AU12" cm="1">
        <f t="array" ref="AU12">_xll.EQNXTDZ($A$1,$B12,AU$1)</f>
        <v>201602</v>
      </c>
      <c r="AV12" cm="1">
        <f t="array" ref="AV12">_xll.EQNXTDZ($A$1,$B12,AV$1)</f>
        <v>201603</v>
      </c>
      <c r="AW12" cm="1">
        <f t="array" ref="AW12">_xll.EQNXTDZ($A$1,$B12,AW$1)</f>
        <v>201604</v>
      </c>
      <c r="AX12" cm="1">
        <f t="array" ref="AX12">_xll.EQNXTDZ($A$1,$B12,AX$1)</f>
        <v>201605</v>
      </c>
      <c r="AY12" cm="1">
        <f t="array" ref="AY12">_xll.EQNXTDZ($A$1,$B12,AY$1)</f>
        <v>201606</v>
      </c>
      <c r="AZ12" cm="1">
        <f t="array" ref="AZ12">_xll.EQNXTDZ($A$1,$B12,AZ$1)</f>
        <v>201607</v>
      </c>
      <c r="BA12" cm="1">
        <f t="array" ref="BA12">_xll.EQNXTDZ($A$1,$B12,BA$1)</f>
        <v>201608</v>
      </c>
      <c r="BB12" cm="1">
        <f t="array" ref="BB12">_xll.EQNXTDZ($A$1,$B12,BB$1)</f>
        <v>201609</v>
      </c>
      <c r="BC12" cm="1">
        <f t="array" ref="BC12">_xll.EQNXTDZ($A$1,$B12,BC$1)</f>
        <v>201610</v>
      </c>
      <c r="BD12" cm="1">
        <f t="array" ref="BD12">_xll.EQNXTDZ($A$1,$B12,BD$1)</f>
        <v>201611</v>
      </c>
      <c r="BE12" cm="1">
        <f t="array" ref="BE12">_xll.EQNXTDZ($A$1,$B12,BE$1)</f>
        <v>201612</v>
      </c>
      <c r="BF12" cm="1">
        <f t="array" ref="BF12">_xll.EQNXTDZ($A$1,$B12,BF$1)</f>
        <v>201701</v>
      </c>
      <c r="BG12" cm="1">
        <f t="array" ref="BG12">_xll.EQNXTDZ($A$1,$B12,BG$1)</f>
        <v>201702</v>
      </c>
      <c r="BH12" cm="1">
        <f t="array" ref="BH12">_xll.EQNXTDZ($A$1,$B12,BH$1)</f>
        <v>201703</v>
      </c>
      <c r="BI12" cm="1">
        <f t="array" ref="BI12">_xll.EQNXTDZ($A$1,$B12,BI$1)</f>
        <v>201704</v>
      </c>
      <c r="BJ12" cm="1">
        <f t="array" ref="BJ12">_xll.EQNXTDZ($A$1,$B12,BJ$1)</f>
        <v>201705</v>
      </c>
      <c r="BK12" cm="1">
        <f t="array" ref="BK12">_xll.EQNXTDZ($A$1,$B12,BK$1)</f>
        <v>201706</v>
      </c>
      <c r="BL12" cm="1">
        <f t="array" ref="BL12">_xll.EQNXTDZ($A$1,$B12,BL$1)</f>
        <v>201707</v>
      </c>
      <c r="BM12" cm="1">
        <f t="array" ref="BM12">_xll.EQNXTDZ($A$1,$B12,BM$1)</f>
        <v>201708</v>
      </c>
      <c r="BN12" cm="1">
        <f t="array" ref="BN12">_xll.EQNXTDZ($A$1,$B12,BN$1)</f>
        <v>201709</v>
      </c>
      <c r="BO12" cm="1">
        <f t="array" ref="BO12">_xll.EQNXTDZ($A$1,$B12,BO$1)</f>
        <v>201710</v>
      </c>
      <c r="BP12" cm="1">
        <f t="array" ref="BP12">_xll.EQNXTDZ($A$1,$B12,BP$1)</f>
        <v>201711</v>
      </c>
      <c r="BQ12" cm="1">
        <f t="array" ref="BQ12">_xll.EQNXTDZ($A$1,$B12,BQ$1)</f>
        <v>201712</v>
      </c>
      <c r="BR12" cm="1">
        <f t="array" ref="BR12">_xll.EQNXTDZ($A$1,$B12,BR$1)</f>
        <v>201801</v>
      </c>
      <c r="BS12" cm="1">
        <f t="array" ref="BS12">_xll.EQNXTDZ($A$1,$B12,BS$1)</f>
        <v>201802</v>
      </c>
      <c r="BT12" cm="1">
        <f t="array" ref="BT12">_xll.EQNXTDZ($A$1,$B12,BT$1)</f>
        <v>201803</v>
      </c>
      <c r="BU12" cm="1">
        <f t="array" ref="BU12">_xll.EQNXTDZ($A$1,$B12,BU$1)</f>
        <v>201804</v>
      </c>
      <c r="BV12" cm="1">
        <f t="array" ref="BV12">_xll.EQNXTDZ($A$1,$B12,BV$1)</f>
        <v>201805</v>
      </c>
      <c r="BW12" cm="1">
        <f t="array" ref="BW12">_xll.EQNXTDZ($A$1,$B12,BW$1)</f>
        <v>201806</v>
      </c>
      <c r="BX12" cm="1">
        <f t="array" ref="BX12">_xll.EQNXTDZ($A$1,$B12,BX$1)</f>
        <v>201807</v>
      </c>
      <c r="BY12" cm="1">
        <f t="array" ref="BY12">_xll.EQNXTDZ($A$1,$B12,BY$1)</f>
        <v>201808</v>
      </c>
      <c r="BZ12" cm="1">
        <f t="array" ref="BZ12">_xll.EQNXTDZ($A$1,$B12,BZ$1)</f>
        <v>201809</v>
      </c>
      <c r="CA12" cm="1">
        <f t="array" ref="CA12">_xll.EQNXTDZ($A$1,$B12,CA$1)</f>
        <v>201810</v>
      </c>
      <c r="CB12" cm="1">
        <f t="array" ref="CB12">_xll.EQNXTDZ($A$1,$B12,CB$1)</f>
        <v>201811</v>
      </c>
      <c r="CC12" cm="1">
        <f t="array" ref="CC12">_xll.EQNXTDZ($A$1,$B12,CC$1)</f>
        <v>201812</v>
      </c>
      <c r="CD12" cm="1">
        <f t="array" ref="CD12">_xll.EQNXTDZ($A$1,$B12,CD$1)</f>
        <v>201901</v>
      </c>
      <c r="CE12" cm="1">
        <f t="array" ref="CE12">_xll.EQNXTDZ($A$1,$B12,CE$1)</f>
        <v>201902</v>
      </c>
      <c r="CF12" cm="1">
        <f t="array" ref="CF12">_xll.EQNXTDZ($A$1,$B12,CF$1)</f>
        <v>201903</v>
      </c>
      <c r="CG12" cm="1">
        <f t="array" ref="CG12">_xll.EQNXTDZ($A$1,$B12,CG$1)</f>
        <v>201904</v>
      </c>
      <c r="CH12" cm="1">
        <f t="array" ref="CH12">_xll.EQNXTDZ($A$1,$B12,CH$1)</f>
        <v>201905</v>
      </c>
      <c r="CI12" cm="1">
        <f t="array" ref="CI12">_xll.EQNXTDZ($A$1,$B12,CI$1)</f>
        <v>201906</v>
      </c>
      <c r="CJ12" cm="1">
        <f t="array" ref="CJ12">_xll.EQNXTDZ($A$1,$B12,CJ$1)</f>
        <v>201907</v>
      </c>
      <c r="CK12" cm="1">
        <f t="array" ref="CK12">_xll.EQNXTDZ($A$1,$B12,CK$1)</f>
        <v>201908</v>
      </c>
      <c r="CL12" cm="1">
        <f t="array" ref="CL12">_xll.EQNXTDZ($A$1,$B12,CL$1)</f>
        <v>201909</v>
      </c>
      <c r="CM12" cm="1">
        <f t="array" ref="CM12">_xll.EQNXTDZ($A$1,$B12,CM$1)</f>
        <v>201910</v>
      </c>
      <c r="CN12" cm="1">
        <f t="array" ref="CN12">_xll.EQNXTDZ($A$1,$B12,CN$1)</f>
        <v>201911</v>
      </c>
      <c r="CO12" cm="1">
        <f t="array" ref="CO12">_xll.EQNXTDZ($A$1,$B12,CO$1)</f>
        <v>201912</v>
      </c>
      <c r="CP12" cm="1">
        <f t="array" ref="CP12">_xll.EQNXTDZ($A$1,$B12,CP$1)</f>
        <v>202001</v>
      </c>
      <c r="CQ12" cm="1">
        <f t="array" ref="CQ12">_xll.EQNXTDZ($A$1,$B12,CQ$1)</f>
        <v>202002</v>
      </c>
      <c r="CR12" cm="1">
        <f t="array" ref="CR12">_xll.EQNXTDZ($A$1,$B12,CR$1)</f>
        <v>202003</v>
      </c>
      <c r="CS12" cm="1">
        <f t="array" ref="CS12">_xll.EQNXTDZ($A$1,$B12,CS$1)</f>
        <v>202004</v>
      </c>
      <c r="CT12" cm="1">
        <f t="array" ref="CT12">_xll.EQNXTDZ($A$1,$B12,CT$1)</f>
        <v>202005</v>
      </c>
      <c r="CU12" cm="1">
        <f t="array" ref="CU12">_xll.EQNXTDZ($A$1,$B12,CU$1)</f>
        <v>202006</v>
      </c>
      <c r="CV12" cm="1">
        <f t="array" ref="CV12">_xll.EQNXTDZ($A$1,$B12,CV$1)</f>
        <v>202007</v>
      </c>
      <c r="CW12" cm="1">
        <f t="array" ref="CW12">_xll.EQNXTDZ($A$1,$B12,CW$1)</f>
        <v>202008</v>
      </c>
      <c r="CX12" cm="1">
        <f t="array" ref="CX12">_xll.EQNXTDZ($A$1,$B12,CX$1)</f>
        <v>202009</v>
      </c>
      <c r="CY12" cm="1">
        <f t="array" ref="CY12">_xll.EQNXTDZ($A$1,$B12,CY$1)</f>
        <v>202010</v>
      </c>
      <c r="CZ12" cm="1">
        <f t="array" ref="CZ12">_xll.EQNXTDZ($A$1,$B12,CZ$1)</f>
        <v>202011</v>
      </c>
      <c r="DA12" cm="1">
        <f t="array" ref="DA12">_xll.EQNXTDZ($A$1,$B12,DA$1)</f>
        <v>202012</v>
      </c>
      <c r="DB12" cm="1">
        <f t="array" ref="DB12">_xll.EQNXTDZ($A$1,$B12,DB$1)</f>
        <v>202101</v>
      </c>
      <c r="DC12" cm="1">
        <f t="array" ref="DC12">_xll.EQNXTDZ($A$1,$B12,DC$1)</f>
        <v>202102</v>
      </c>
      <c r="DD12" cm="1">
        <f t="array" ref="DD12">_xll.EQNXTDZ($A$1,$B12,DD$1)</f>
        <v>202103</v>
      </c>
      <c r="DE12" cm="1">
        <f t="array" ref="DE12">_xll.EQNXTDZ($A$1,$B12,DE$1)</f>
        <v>202104</v>
      </c>
      <c r="DF12" cm="1">
        <f t="array" ref="DF12">_xll.EQNXTDZ($A$1,$B12,DF$1)</f>
        <v>202105</v>
      </c>
      <c r="DG12" cm="1">
        <f t="array" ref="DG12">_xll.EQNXTDZ($A$1,$B12,DG$1)</f>
        <v>202106</v>
      </c>
      <c r="DH12" cm="1">
        <f t="array" ref="DH12">_xll.EQNXTDZ($A$1,$B12,DH$1)</f>
        <v>202107</v>
      </c>
      <c r="DI12" cm="1">
        <f t="array" ref="DI12">_xll.EQNXTDZ($A$1,$B12,DI$1)</f>
        <v>202108</v>
      </c>
      <c r="DJ12" cm="1">
        <f t="array" ref="DJ12">_xll.EQNXTDZ($A$1,$B12,DJ$1)</f>
        <v>202109</v>
      </c>
      <c r="DK12" cm="1">
        <f t="array" ref="DK12">_xll.EQNXTDZ($A$1,$B12,DK$1)</f>
        <v>202110</v>
      </c>
      <c r="DL12" cm="1">
        <f t="array" ref="DL12">_xll.EQNXTDZ($A$1,$B12,DL$1)</f>
        <v>202111</v>
      </c>
      <c r="DM12" cm="1">
        <f t="array" ref="DM12">_xll.EQNXTDZ($A$1,$B12,DM$1)</f>
        <v>202112</v>
      </c>
      <c r="DN12" cm="1">
        <f t="array" ref="DN12">_xll.EQNXTDZ($A$1,$B12,DN$1)</f>
        <v>202201</v>
      </c>
      <c r="DO12" cm="1">
        <f t="array" ref="DO12">_xll.EQNXTDZ($A$1,$B12,DO$1)</f>
        <v>202202</v>
      </c>
      <c r="DP12" cm="1">
        <f t="array" ref="DP12">_xll.EQNXTDZ($A$1,$B12,DP$1)</f>
        <v>202203</v>
      </c>
      <c r="DQ12" cm="1">
        <f t="array" ref="DQ12">_xll.EQNXTDZ($A$1,$B12,DQ$1)</f>
        <v>202204</v>
      </c>
      <c r="DR12" cm="1">
        <f t="array" ref="DR12">_xll.EQNXTDZ($A$1,$B12,DR$1)</f>
        <v>202205</v>
      </c>
      <c r="DS12" cm="1">
        <f t="array" ref="DS12">_xll.EQNXTDZ($A$1,$B12,DS$1)</f>
        <v>202206</v>
      </c>
      <c r="DT12" cm="1">
        <f t="array" ref="DT12">_xll.EQNXTDZ($A$1,$B12,DT$1)</f>
        <v>202207</v>
      </c>
      <c r="DU12" cm="1">
        <f t="array" ref="DU12">_xll.EQNXTDZ($A$1,$B12,DU$1)</f>
        <v>202208</v>
      </c>
      <c r="DV12" cm="1">
        <f t="array" ref="DV12">_xll.EQNXTDZ($A$1,$B12,DV$1)</f>
        <v>202209</v>
      </c>
      <c r="DW12" cm="1">
        <f t="array" ref="DW12">_xll.EQNXTDZ($A$1,$B12,DW$1)</f>
        <v>202210</v>
      </c>
      <c r="DX12" cm="1">
        <f t="array" ref="DX12">_xll.EQNXTDZ($A$1,$B12,DX$1)</f>
        <v>202211</v>
      </c>
      <c r="DY12" cm="1">
        <f t="array" ref="DY12">_xll.EQNXTDZ($A$1,$B12,DY$1)</f>
        <v>202212</v>
      </c>
      <c r="DZ12" cm="1">
        <f t="array" ref="DZ12">_xll.EQNXTDZ($A$1,$B12,DZ$1)</f>
        <v>202301</v>
      </c>
      <c r="EA12" cm="1">
        <f t="array" ref="EA12">_xll.EQNXTDZ($A$1,$B12,EA$1)</f>
        <v>202302</v>
      </c>
      <c r="EB12" cm="1">
        <f t="array" ref="EB12">_xll.EQNXTDZ($A$1,$B12,EB$1)</f>
        <v>202303</v>
      </c>
      <c r="EC12" cm="1">
        <f t="array" ref="EC12">_xll.EQNXTDZ($A$1,$B12,EC$1)</f>
        <v>202304</v>
      </c>
      <c r="ED12" cm="1">
        <f t="array" ref="ED12">_xll.EQNXTDZ($A$1,$B12,ED$1)</f>
        <v>202305</v>
      </c>
      <c r="EE12" cm="1">
        <f t="array" ref="EE12">_xll.EQNXTDZ($A$1,$B12,EE$1)</f>
        <v>202306</v>
      </c>
      <c r="EF12" cm="1">
        <f t="array" ref="EF12">_xll.EQNXTDZ($A$1,$B12,EF$1)</f>
        <v>202307</v>
      </c>
      <c r="EG12" cm="1">
        <f t="array" ref="EG12">_xll.EQNXTDZ($A$1,$B12,EG$1)</f>
        <v>202308</v>
      </c>
      <c r="EH12" cm="1">
        <f t="array" ref="EH12">_xll.EQNXTDZ($A$1,$B12,EH$1)</f>
        <v>202309</v>
      </c>
      <c r="EI12" cm="1">
        <f t="array" ref="EI12">_xll.EQNXTDZ($A$1,$B12,EI$1)</f>
        <v>202310</v>
      </c>
      <c r="EJ12" cm="1">
        <f t="array" ref="EJ12">_xll.EQNXTDZ($A$1,$B12,EJ$1)</f>
        <v>202311</v>
      </c>
      <c r="EK12" cm="1">
        <f t="array" ref="EK12">_xll.EQNXTDZ($A$1,$B12,EK$1)</f>
        <v>202312</v>
      </c>
      <c r="EL12" cm="1">
        <f t="array" ref="EL12">_xll.EQNXTDZ($A$1,$B12,EL$1)</f>
        <v>202401</v>
      </c>
      <c r="EM12" cm="1">
        <f t="array" ref="EM12">_xll.EQNXTDZ($A$1,$B12,EM$1)</f>
        <v>202402</v>
      </c>
      <c r="EN12" cm="1">
        <f t="array" ref="EN12">_xll.EQNXTDZ($A$1,$B12,EN$1)</f>
        <v>202403</v>
      </c>
      <c r="EO12" cm="1">
        <f t="array" ref="EO12">_xll.EQNXTDZ($A$1,$B12,EO$1)</f>
        <v>202404</v>
      </c>
      <c r="EP12" cm="1">
        <f t="array" ref="EP12">_xll.EQNXTDZ($A$1,$B12,EP$1)</f>
        <v>202405</v>
      </c>
      <c r="EQ12" cm="1">
        <f t="array" ref="EQ12">_xll.EQNXTDZ($A$1,$B12,EQ$1)</f>
        <v>202406</v>
      </c>
      <c r="ER12" cm="1">
        <f t="array" ref="ER12">_xll.EQNXTDZ($A$1,$B12,ER$1)</f>
        <v>202407</v>
      </c>
      <c r="ES12" cm="1">
        <f t="array" ref="ES12">_xll.EQNXTDZ($A$1,$B12,ES$1)</f>
        <v>202408</v>
      </c>
      <c r="ET12" cm="1">
        <f t="array" ref="ET12">_xll.EQNXTDZ($A$1,$B12,ET$1)</f>
        <v>202409</v>
      </c>
      <c r="EU12" cm="1">
        <f t="array" ref="EU12">_xll.EQNXTDZ($A$1,$B12,EU$1)</f>
        <v>202410</v>
      </c>
      <c r="EV12" cm="1">
        <f t="array" ref="EV12">_xll.EQNXTDZ($A$1,$B12,EV$1)</f>
        <v>202411</v>
      </c>
      <c r="EW12" cm="1">
        <f t="array" ref="EW12">_xll.EQNXTDZ($A$1,$B12,EW$1)</f>
        <v>202412</v>
      </c>
      <c r="EX12" cm="1">
        <f t="array" ref="EX12">_xll.EQNXTDZ($A$1,$B12,EX$1)</f>
        <v>202501</v>
      </c>
      <c r="EY12" cm="1">
        <f t="array" ref="EY12">_xll.EQNXTDZ($A$1,$B12,EY$1)</f>
        <v>202502</v>
      </c>
      <c r="EZ12" cm="1">
        <f t="array" ref="EZ12">_xll.EQNXTDZ($A$1,$B12,EZ$1)</f>
        <v>202503</v>
      </c>
      <c r="FA12" cm="1">
        <f t="array" ref="FA12">_xll.EQNXTDZ($A$1,$B12,FA$1)</f>
        <v>202504</v>
      </c>
      <c r="FB12" cm="1">
        <f t="array" ref="FB12">_xll.EQNXTDZ($A$1,$B12,FB$1)</f>
        <v>202505</v>
      </c>
      <c r="FC12" cm="1">
        <f t="array" ref="FC12">_xll.EQNXTDZ($A$1,$B12,FC$1)</f>
        <v>202506</v>
      </c>
      <c r="FD12" cm="1">
        <f t="array" ref="FD12">_xll.EQNXTDZ($A$1,$B12,FD$1)</f>
        <v>202507</v>
      </c>
      <c r="FE12" cm="1">
        <f t="array" ref="FE12">_xll.EQNXTDZ($A$1,$B12,FE$1)</f>
        <v>202508</v>
      </c>
      <c r="FF12" cm="1">
        <f t="array" ref="FF12">_xll.EQNXTDZ($A$1,$B12,FF$1)</f>
        <v>202509</v>
      </c>
      <c r="FG12" cm="1">
        <f t="array" ref="FG12">_xll.EQNXTDZ($A$1,$B12,FG$1)</f>
        <v>202510</v>
      </c>
      <c r="FH12" cm="1">
        <f t="array" ref="FH12">_xll.EQNXTDZ($A$1,$B12,FH$1)</f>
        <v>202511</v>
      </c>
      <c r="FI12" cm="1">
        <f t="array" ref="FI12">_xll.EQNXTDZ($A$1,$B12,FI$1)</f>
        <v>202512</v>
      </c>
      <c r="FJ12" cm="1">
        <f t="array" ref="FJ12">_xll.EQNXTDZ($A$1,$B12,FJ$1)</f>
        <v>202601</v>
      </c>
      <c r="FK12" cm="1">
        <f t="array" ref="FK12">_xll.EQNXTDZ($A$1,$B12,FK$1)</f>
        <v>202602</v>
      </c>
      <c r="FL12" cm="1">
        <f t="array" ref="FL12">_xll.EQNXTDZ($A$1,$B12,FL$1)</f>
        <v>202603</v>
      </c>
      <c r="FM12" cm="1">
        <f t="array" ref="FM12">_xll.EQNXTDZ($A$1,$B12,FM$1)</f>
        <v>202604</v>
      </c>
      <c r="FN12" cm="1">
        <f t="array" ref="FN12">_xll.EQNXTDZ($A$1,$B12,FN$1)</f>
        <v>202605</v>
      </c>
      <c r="FO12" cm="1">
        <f t="array" ref="FO12">_xll.EQNXTDZ($A$1,$B12,FO$1)</f>
        <v>202606</v>
      </c>
      <c r="FP12" cm="1">
        <f t="array" ref="FP12">_xll.EQNXTDZ($A$1,$B12,FP$1)</f>
        <v>0</v>
      </c>
      <c r="FQ12" cm="1">
        <f t="array" ref="FQ12">_xll.EQNXTDZ($A$1,$B12,FQ$1)</f>
        <v>0</v>
      </c>
      <c r="FR12" cm="1">
        <f t="array" ref="FR12">_xll.EQNXTDZ($A$1,$B12,FR$1)</f>
        <v>0</v>
      </c>
      <c r="FS12" cm="1">
        <f t="array" ref="FS12">_xll.EQNXTDZ($A$1,$B12,FS$1)</f>
        <v>0</v>
      </c>
      <c r="FT12" cm="1">
        <f t="array" ref="FT12">_xll.EQNXTDZ($A$1,$B12,FT$1)</f>
        <v>0</v>
      </c>
      <c r="FU12" cm="1">
        <f t="array" ref="FU12">_xll.EQNXTDZ($A$1,$B12,FU$1)</f>
        <v>0</v>
      </c>
      <c r="FV12" cm="1">
        <f t="array" ref="FV12">_xll.EQNXTDZ($A$1,$B12,FV$1)</f>
        <v>0</v>
      </c>
      <c r="FW12" cm="1">
        <f t="array" ref="FW12">_xll.EQNXTDZ($A$1,$B12,FW$1)</f>
        <v>0</v>
      </c>
      <c r="FX12" cm="1">
        <f t="array" ref="FX12">_xll.EQNXTDZ($A$1,$B12,FX$1)</f>
        <v>0</v>
      </c>
      <c r="FY12" cm="1">
        <f t="array" ref="FY12">_xll.EQNXTDZ($A$1,$B12,FY$1)</f>
        <v>0</v>
      </c>
      <c r="FZ12" cm="1">
        <f t="array" ref="FZ12">_xll.EQNXTDZ($A$1,$B12,FZ$1)</f>
        <v>0</v>
      </c>
      <c r="GA12" cm="1">
        <f t="array" ref="GA12">_xll.EQNXTDZ($A$1,$B12,GA$1)</f>
        <v>0</v>
      </c>
      <c r="GB12" cm="1">
        <f t="array" ref="GB12">_xll.EQNXTDZ($A$1,$B12,GB$1)</f>
        <v>0</v>
      </c>
      <c r="GC12" cm="1">
        <f t="array" ref="GC12">_xll.EQNXTDZ($A$1,$B12,GC$1)</f>
        <v>0</v>
      </c>
      <c r="GD12" cm="1">
        <f t="array" ref="GD12">_xll.EQNXTDZ($A$1,$B12,GD$1)</f>
        <v>0</v>
      </c>
      <c r="GE12" cm="1">
        <f t="array" ref="GE12">_xll.EQNXTDZ($A$1,$B12,GE$1)</f>
        <v>0</v>
      </c>
      <c r="GF12" cm="1">
        <f t="array" ref="GF12">_xll.EQNXTDZ($A$1,$B12,GF$1)</f>
        <v>0</v>
      </c>
      <c r="GG12" cm="1">
        <f t="array" ref="GG12">_xll.EQNXTDZ($A$1,$B12,GG$1)</f>
        <v>0</v>
      </c>
      <c r="GH12" cm="1">
        <f t="array" ref="GH12">_xll.EQNXTDZ($A$1,$B12,GH$1)</f>
        <v>0</v>
      </c>
      <c r="GI12" cm="1">
        <f t="array" ref="GI12">_xll.EQNXTDZ($A$1,$B12,GI$1)</f>
        <v>0</v>
      </c>
      <c r="GJ12" cm="1">
        <f t="array" ref="GJ12">_xll.EQNXTDZ($A$1,$B12,GJ$1)</f>
        <v>0</v>
      </c>
      <c r="GK12" cm="1">
        <f t="array" ref="GK12">_xll.EQNXTDZ($A$1,$B12,GK$1)</f>
        <v>0</v>
      </c>
      <c r="GL12" cm="1">
        <f t="array" ref="GL12">_xll.EQNXTDZ($A$1,$B12,GL$1)</f>
        <v>0</v>
      </c>
      <c r="GM12" cm="1">
        <f t="array" ref="GM12">_xll.EQNXTDZ($A$1,$B12,GM$1)</f>
        <v>0</v>
      </c>
      <c r="GN12" cm="1">
        <f t="array" ref="GN12">_xll.EQNXTDZ($A$1,$B12,GN$1)</f>
        <v>0</v>
      </c>
      <c r="GO12" cm="1">
        <f t="array" ref="GO12">_xll.EQNXTDZ($A$1,$B12,GO$1)</f>
        <v>0</v>
      </c>
      <c r="GP12" cm="1">
        <f t="array" ref="GP12">_xll.EQNXTDZ($A$1,$B12,GP$1)</f>
        <v>0</v>
      </c>
      <c r="GQ12" cm="1">
        <f t="array" ref="GQ12">_xll.EQNXTDZ($A$1,$B12,GQ$1)</f>
        <v>0</v>
      </c>
      <c r="GR12" cm="1">
        <f t="array" ref="GR12">_xll.EQNXTDZ($A$1,$B12,GR$1)</f>
        <v>0</v>
      </c>
      <c r="GS12" cm="1">
        <f t="array" ref="GS12">_xll.EQNXTDZ($A$1,$B12,GS$1)</f>
        <v>0</v>
      </c>
      <c r="GT12" cm="1">
        <f t="array" ref="GT12">_xll.EQNXTDZ($A$1,$B12,GT$1)</f>
        <v>0</v>
      </c>
      <c r="GU12" cm="1">
        <f t="array" ref="GU12">_xll.EQNXTDZ($A$1,$B12,GU$1)</f>
        <v>0</v>
      </c>
      <c r="GV12" cm="1">
        <f t="array" ref="GV12">_xll.EQNXTDZ($A$1,$B12,GV$1)</f>
        <v>0</v>
      </c>
      <c r="GW12" cm="1">
        <f t="array" ref="GW12">_xll.EQNXTDZ($A$1,$B12,GW$1)</f>
        <v>0</v>
      </c>
      <c r="GX12" cm="1">
        <f t="array" ref="GX12">_xll.EQNXTDZ($A$1,$B12,GX$1)</f>
        <v>0</v>
      </c>
      <c r="GY12" cm="1">
        <f t="array" ref="GY12">_xll.EQNXTDZ($A$1,$B12,GY$1)</f>
        <v>0</v>
      </c>
      <c r="GZ12" cm="1">
        <f t="array" ref="GZ12">_xll.EQNXTDZ($A$1,$B12,GZ$1)</f>
        <v>0</v>
      </c>
      <c r="HA12" cm="1">
        <f t="array" ref="HA12">_xll.EQNXTDZ($A$1,$B12,HA$1)</f>
        <v>0</v>
      </c>
      <c r="HB12" cm="1">
        <f t="array" ref="HB12">_xll.EQNXTDZ($A$1,$B12,HB$1)</f>
        <v>0</v>
      </c>
      <c r="HC12" cm="1">
        <f t="array" ref="HC12">_xll.EQNXTDZ($A$1,$B12,HC$1)</f>
        <v>0</v>
      </c>
      <c r="HD12" cm="1">
        <f t="array" ref="HD12">_xll.EQNXTDZ($A$1,$B12,HD$1)</f>
        <v>0</v>
      </c>
      <c r="HE12" cm="1">
        <f t="array" ref="HE12">_xll.EQNXTDZ($A$1,$B12,HE$1)</f>
        <v>0</v>
      </c>
      <c r="HF12" cm="1">
        <f t="array" ref="HF12">_xll.EQNXTDZ($A$1,$B12,HF$1)</f>
        <v>0</v>
      </c>
      <c r="HG12" cm="1">
        <f t="array" ref="HG12">_xll.EQNXTDZ($A$1,$B12,HG$1)</f>
        <v>0</v>
      </c>
      <c r="HH12" cm="1">
        <f t="array" ref="HH12">_xll.EQNXTDZ($A$1,$B12,HH$1)</f>
        <v>0</v>
      </c>
    </row>
    <row r="13" spans="1:294" x14ac:dyDescent="0.25">
      <c r="A13" t="s">
        <v>415</v>
      </c>
      <c r="B13" t="s">
        <v>421</v>
      </c>
      <c r="C13" cm="1">
        <f t="array" ref="C13">_xll.EQNXTDZ($A$1,$B13,C$1)</f>
        <v>10</v>
      </c>
      <c r="D13" cm="1">
        <f t="array" ref="D13">_xll.EQNXTDZ($A$1,$B13,D$1)</f>
        <v>10.475</v>
      </c>
      <c r="E13" cm="1">
        <f t="array" ref="E13">_xll.EQNXTDZ($A$1,$B13,E$1)</f>
        <v>9.625</v>
      </c>
      <c r="F13" cm="1">
        <f t="array" ref="F13">_xll.EQNXTDZ($A$1,$B13,F$1)</f>
        <v>8.4749999999999996</v>
      </c>
      <c r="G13" cm="1">
        <f t="array" ref="G13">_xll.EQNXTDZ($A$1,$B13,G$1)</f>
        <v>8.25</v>
      </c>
      <c r="H13" cm="1">
        <f t="array" ref="H13">_xll.EQNXTDZ($A$1,$B13,H$1)</f>
        <v>7.11</v>
      </c>
      <c r="I13" cm="1">
        <f t="array" ref="I13">_xll.EQNXTDZ($A$1,$B13,I$1)</f>
        <v>7.75</v>
      </c>
      <c r="J13" cm="1">
        <f t="array" ref="J13">_xll.EQNXTDZ($A$1,$B13,J$1)</f>
        <v>8.35</v>
      </c>
      <c r="K13" cm="1">
        <f t="array" ref="K13">_xll.EQNXTDZ($A$1,$B13,K$1)</f>
        <v>7.4749999999999996</v>
      </c>
      <c r="L13" cm="1">
        <f t="array" ref="L13">_xll.EQNXTDZ($A$1,$B13,L$1)</f>
        <v>7.0250000000000004</v>
      </c>
      <c r="M13" cm="1">
        <f t="array" ref="M13">_xll.EQNXTDZ($A$1,$B13,M$1)</f>
        <v>5.68</v>
      </c>
      <c r="N13" cm="1">
        <f t="array" ref="N13">_xll.EQNXTDZ($A$1,$B13,N$1)</f>
        <v>5.95</v>
      </c>
      <c r="O13" cm="1">
        <f t="array" ref="O13">_xll.EQNXTDZ($A$1,$B13,O$1)</f>
        <v>5.26</v>
      </c>
      <c r="P13" cm="1">
        <f t="array" ref="P13">_xll.EQNXTDZ($A$1,$B13,P$1)</f>
        <v>4.6449999999999996</v>
      </c>
      <c r="Q13" cm="1">
        <f t="array" ref="Q13">_xll.EQNXTDZ($A$1,$B13,Q$1)</f>
        <v>5.32</v>
      </c>
      <c r="R13" cm="1">
        <f t="array" ref="R13">_xll.EQNXTDZ($A$1,$B13,R$1)</f>
        <v>8.9250000000000007</v>
      </c>
      <c r="S13" cm="1">
        <f t="array" ref="S13">_xll.EQNXTDZ($A$1,$B13,S$1)</f>
        <v>9.0749999999999993</v>
      </c>
      <c r="T13" cm="1">
        <f t="array" ref="T13">_xll.EQNXTDZ($A$1,$B13,T$1)</f>
        <v>6.32</v>
      </c>
      <c r="U13" cm="1">
        <f t="array" ref="U13">_xll.EQNXTDZ($A$1,$B13,U$1)</f>
        <v>5</v>
      </c>
      <c r="V13" cm="1">
        <f t="array" ref="V13">_xll.EQNXTDZ($A$1,$B13,V$1)</f>
        <v>4.9550000000000001</v>
      </c>
      <c r="W13" cm="1">
        <f t="array" ref="W13">_xll.EQNXTDZ($A$1,$B13,W$1)</f>
        <v>4.125</v>
      </c>
      <c r="X13" cm="1">
        <f t="array" ref="X13">_xll.EQNXTDZ($A$1,$B13,X$1)</f>
        <v>3.5</v>
      </c>
      <c r="Y13" cm="1">
        <f t="array" ref="Y13">_xll.EQNXTDZ($A$1,$B13,Y$1)</f>
        <v>3.7850000000000001</v>
      </c>
      <c r="Z13" cm="1">
        <f t="array" ref="Z13">_xll.EQNXTDZ($A$1,$B13,Z$1)</f>
        <v>4.0449999999999999</v>
      </c>
      <c r="AA13" cm="1">
        <f t="array" ref="AA13">_xll.EQNXTDZ($A$1,$B13,AA$1)</f>
        <v>4.5750000000000002</v>
      </c>
      <c r="AB13" cm="1">
        <f t="array" ref="AB13">_xll.EQNXTDZ($A$1,$B13,AB$1)</f>
        <v>6.8550000000000004</v>
      </c>
      <c r="AC13" cm="1">
        <f t="array" ref="AC13">_xll.EQNXTDZ($A$1,$B13,AC$1)</f>
        <v>5.5</v>
      </c>
      <c r="AD13" cm="1">
        <f t="array" ref="AD13">_xll.EQNXTDZ($A$1,$B13,AD$1)</f>
        <v>5.45</v>
      </c>
      <c r="AE13" cm="1">
        <f t="array" ref="AE13">_xll.EQNXTDZ($A$1,$B13,AE$1)</f>
        <v>5.0549999999999997</v>
      </c>
      <c r="AF13" cm="1">
        <f t="array" ref="AF13">_xll.EQNXTDZ($A$1,$B13,AF$1)</f>
        <v>5.1550000000000002</v>
      </c>
      <c r="AG13" cm="1">
        <f t="array" ref="AG13">_xll.EQNXTDZ($A$1,$B13,AG$1)</f>
        <v>4.03</v>
      </c>
      <c r="AH13" cm="1">
        <f t="array" ref="AH13">_xll.EQNXTDZ($A$1,$B13,AH$1)</f>
        <v>5.3</v>
      </c>
      <c r="AI13" cm="1">
        <f t="array" ref="AI13">_xll.EQNXTDZ($A$1,$B13,AI$1)</f>
        <v>4.6500000000000004</v>
      </c>
      <c r="AJ13" cm="1">
        <f t="array" ref="AJ13">_xll.EQNXTDZ($A$1,$B13,AJ$1)</f>
        <v>4.34</v>
      </c>
      <c r="AK13" cm="1">
        <f t="array" ref="AK13">_xll.EQNXTDZ($A$1,$B13,AK$1)</f>
        <v>3.4249999999999998</v>
      </c>
      <c r="AL13" cm="1">
        <f t="array" ref="AL13">_xll.EQNXTDZ($A$1,$B13,AL$1)</f>
        <v>3.94</v>
      </c>
      <c r="AM13" cm="1">
        <f t="array" ref="AM13">_xll.EQNXTDZ($A$1,$B13,AM$1)</f>
        <v>3.2749999999999999</v>
      </c>
      <c r="AN13" cm="1">
        <f t="array" ref="AN13">_xll.EQNXTDZ($A$1,$B13,AN$1)</f>
        <v>3.2</v>
      </c>
      <c r="AO13" cm="1">
        <f t="array" ref="AO13">_xll.EQNXTDZ($A$1,$B13,AO$1)</f>
        <v>3.0750000000000002</v>
      </c>
      <c r="AP13" cm="1">
        <f t="array" ref="AP13">_xll.EQNXTDZ($A$1,$B13,AP$1)</f>
        <v>3.3650000000000002</v>
      </c>
      <c r="AQ13" cm="1">
        <f t="array" ref="AQ13">_xll.EQNXTDZ($A$1,$B13,AQ$1)</f>
        <v>3.99</v>
      </c>
      <c r="AR13" cm="1">
        <f t="array" ref="AR13">_xll.EQNXTDZ($A$1,$B13,AR$1)</f>
        <v>3.37</v>
      </c>
      <c r="AS13" cm="1">
        <f t="array" ref="AS13">_xll.EQNXTDZ($A$1,$B13,AS$1)</f>
        <v>3.875</v>
      </c>
      <c r="AT13" cm="1">
        <f t="array" ref="AT13">_xll.EQNXTDZ($A$1,$B13,AT$1)</f>
        <v>3.9449999999999998</v>
      </c>
      <c r="AU13" cm="1">
        <f t="array" ref="AU13">_xll.EQNXTDZ($A$1,$B13,AU$1)</f>
        <v>4.4050000000000002</v>
      </c>
      <c r="AV13" cm="1">
        <f t="array" ref="AV13">_xll.EQNXTDZ($A$1,$B13,AV$1)</f>
        <v>8.1</v>
      </c>
      <c r="AW13" cm="1">
        <f t="array" ref="AW13">_xll.EQNXTDZ($A$1,$B13,AW$1)</f>
        <v>9.8249999999999993</v>
      </c>
      <c r="AX13" cm="1">
        <f t="array" ref="AX13">_xll.EQNXTDZ($A$1,$B13,AX$1)</f>
        <v>14.35</v>
      </c>
      <c r="AY13" cm="1">
        <f t="array" ref="AY13">_xll.EQNXTDZ($A$1,$B13,AY$1)</f>
        <v>12.85</v>
      </c>
      <c r="AZ13" cm="1">
        <f t="array" ref="AZ13">_xll.EQNXTDZ($A$1,$B13,AZ$1)</f>
        <v>15.95</v>
      </c>
      <c r="BA13" cm="1">
        <f t="array" ref="BA13">_xll.EQNXTDZ($A$1,$B13,BA$1)</f>
        <v>14.5</v>
      </c>
      <c r="BB13" cm="1">
        <f t="array" ref="BB13">_xll.EQNXTDZ($A$1,$B13,BB$1)</f>
        <v>14.97</v>
      </c>
      <c r="BC13" cm="1">
        <f t="array" ref="BC13">_xll.EQNXTDZ($A$1,$B13,BC$1)</f>
        <v>13.55</v>
      </c>
      <c r="BD13" cm="1">
        <f t="array" ref="BD13">_xll.EQNXTDZ($A$1,$B13,BD$1)</f>
        <v>13.15</v>
      </c>
      <c r="BE13" cm="1">
        <f t="array" ref="BE13">_xll.EQNXTDZ($A$1,$B13,BE$1)</f>
        <v>14.55</v>
      </c>
      <c r="BF13" cm="1">
        <f t="array" ref="BF13">_xll.EQNXTDZ($A$1,$B13,BF$1)</f>
        <v>10.88</v>
      </c>
      <c r="BG13" cm="1">
        <f t="array" ref="BG13">_xll.EQNXTDZ($A$1,$B13,BG$1)</f>
        <v>14.48</v>
      </c>
      <c r="BH13" cm="1">
        <f t="array" ref="BH13">_xll.EQNXTDZ($A$1,$B13,BH$1)</f>
        <v>17.05</v>
      </c>
      <c r="BI13" cm="1">
        <f t="array" ref="BI13">_xll.EQNXTDZ($A$1,$B13,BI$1)</f>
        <v>15.4</v>
      </c>
      <c r="BJ13" cm="1">
        <f t="array" ref="BJ13">_xll.EQNXTDZ($A$1,$B13,BJ$1)</f>
        <v>16.899999999999999</v>
      </c>
      <c r="BK13" cm="1">
        <f t="array" ref="BK13">_xll.EQNXTDZ($A$1,$B13,BK$1)</f>
        <v>19.100000000000001</v>
      </c>
      <c r="BL13" cm="1">
        <f t="array" ref="BL13">_xll.EQNXTDZ($A$1,$B13,BL$1)</f>
        <v>16.850000000000001</v>
      </c>
      <c r="BM13" cm="1">
        <f t="array" ref="BM13">_xll.EQNXTDZ($A$1,$B13,BM$1)</f>
        <v>16.8</v>
      </c>
      <c r="BN13" cm="1">
        <f t="array" ref="BN13">_xll.EQNXTDZ($A$1,$B13,BN$1)</f>
        <v>16.399999999999999</v>
      </c>
      <c r="BO13" cm="1">
        <f t="array" ref="BO13">_xll.EQNXTDZ($A$1,$B13,BO$1)</f>
        <v>17.45</v>
      </c>
      <c r="BP13" cm="1">
        <f t="array" ref="BP13">_xll.EQNXTDZ($A$1,$B13,BP$1)</f>
        <v>20.65</v>
      </c>
      <c r="BQ13" cm="1">
        <f t="array" ref="BQ13">_xll.EQNXTDZ($A$1,$B13,BQ$1)</f>
        <v>18.25</v>
      </c>
      <c r="BR13" cm="1">
        <f t="array" ref="BR13">_xll.EQNXTDZ($A$1,$B13,BR$1)</f>
        <v>17.649999999999999</v>
      </c>
      <c r="BS13" cm="1">
        <f t="array" ref="BS13">_xll.EQNXTDZ($A$1,$B13,BS$1)</f>
        <v>17.5</v>
      </c>
      <c r="BT13" cm="1">
        <f t="array" ref="BT13">_xll.EQNXTDZ($A$1,$B13,BT$1)</f>
        <v>16.3</v>
      </c>
      <c r="BU13" cm="1">
        <f t="array" ref="BU13">_xll.EQNXTDZ($A$1,$B13,BU$1)</f>
        <v>15</v>
      </c>
      <c r="BV13" cm="1">
        <f t="array" ref="BV13">_xll.EQNXTDZ($A$1,$B13,BV$1)</f>
        <v>17</v>
      </c>
      <c r="BW13" cm="1">
        <f t="array" ref="BW13">_xll.EQNXTDZ($A$1,$B13,BW$1)</f>
        <v>15.65</v>
      </c>
      <c r="BX13" cm="1">
        <f t="array" ref="BX13">_xll.EQNXTDZ($A$1,$B13,BX$1)</f>
        <v>13.6</v>
      </c>
      <c r="BY13" cm="1">
        <f t="array" ref="BY13">_xll.EQNXTDZ($A$1,$B13,BY$1)</f>
        <v>15.6</v>
      </c>
      <c r="BZ13" cm="1">
        <f t="array" ref="BZ13">_xll.EQNXTDZ($A$1,$B13,BZ$1)</f>
        <v>16.55</v>
      </c>
      <c r="CA13" cm="1">
        <f t="array" ref="CA13">_xll.EQNXTDZ($A$1,$B13,CA$1)</f>
        <v>14</v>
      </c>
      <c r="CB13" cm="1">
        <f t="array" ref="CB13">_xll.EQNXTDZ($A$1,$B13,CB$1)</f>
        <v>12.94</v>
      </c>
      <c r="CC13" cm="1">
        <f t="array" ref="CC13">_xll.EQNXTDZ($A$1,$B13,CC$1)</f>
        <v>13.47</v>
      </c>
      <c r="CD13" cm="1">
        <f t="array" ref="CD13">_xll.EQNXTDZ($A$1,$B13,CD$1)</f>
        <v>14.6</v>
      </c>
      <c r="CE13" cm="1">
        <f t="array" ref="CE13">_xll.EQNXTDZ($A$1,$B13,CE$1)</f>
        <v>13</v>
      </c>
      <c r="CF13" cm="1">
        <f t="array" ref="CF13">_xll.EQNXTDZ($A$1,$B13,CF$1)</f>
        <v>12.89</v>
      </c>
      <c r="CG13" cm="1">
        <f t="array" ref="CG13">_xll.EQNXTDZ($A$1,$B13,CG$1)</f>
        <v>12.5</v>
      </c>
      <c r="CH13" cm="1">
        <f t="array" ref="CH13">_xll.EQNXTDZ($A$1,$B13,CH$1)</f>
        <v>12.4</v>
      </c>
      <c r="CI13" cm="1">
        <f t="array" ref="CI13">_xll.EQNXTDZ($A$1,$B13,CI$1)</f>
        <v>11.5</v>
      </c>
      <c r="CJ13" cm="1">
        <f t="array" ref="CJ13">_xll.EQNXTDZ($A$1,$B13,CJ$1)</f>
        <v>8.5</v>
      </c>
      <c r="CK13" cm="1">
        <f t="array" ref="CK13">_xll.EQNXTDZ($A$1,$B13,CK$1)</f>
        <v>8.66</v>
      </c>
      <c r="CL13" cm="1">
        <f t="array" ref="CL13">_xll.EQNXTDZ($A$1,$B13,CL$1)</f>
        <v>9.01</v>
      </c>
      <c r="CM13" cm="1">
        <f t="array" ref="CM13">_xll.EQNXTDZ($A$1,$B13,CM$1)</f>
        <v>10.36</v>
      </c>
      <c r="CN13" cm="1">
        <f t="array" ref="CN13">_xll.EQNXTDZ($A$1,$B13,CN$1)</f>
        <v>9.24</v>
      </c>
      <c r="CO13" cm="1">
        <f t="array" ref="CO13">_xll.EQNXTDZ($A$1,$B13,CO$1)</f>
        <v>8.0500000000000007</v>
      </c>
      <c r="CP13" cm="1">
        <f t="array" ref="CP13">_xll.EQNXTDZ($A$1,$B13,CP$1)</f>
        <v>7.85</v>
      </c>
      <c r="CQ13" cm="1">
        <f t="array" ref="CQ13">_xll.EQNXTDZ($A$1,$B13,CQ$1)</f>
        <v>7.89</v>
      </c>
      <c r="CR13" cm="1">
        <f t="array" ref="CR13">_xll.EQNXTDZ($A$1,$B13,CR$1)</f>
        <v>7.75</v>
      </c>
      <c r="CS13" cm="1">
        <f t="array" ref="CS13">_xll.EQNXTDZ($A$1,$B13,CS$1)</f>
        <v>5.75</v>
      </c>
      <c r="CT13" cm="1">
        <f t="array" ref="CT13">_xll.EQNXTDZ($A$1,$B13,CT$1)</f>
        <v>4.6399999999999997</v>
      </c>
      <c r="CU13" cm="1">
        <f t="array" ref="CU13">_xll.EQNXTDZ($A$1,$B13,CU$1)</f>
        <v>6.6</v>
      </c>
      <c r="CV13" cm="1">
        <f t="array" ref="CV13">_xll.EQNXTDZ($A$1,$B13,CV$1)</f>
        <v>10.83</v>
      </c>
      <c r="CW13" cm="1">
        <f t="array" ref="CW13">_xll.EQNXTDZ($A$1,$B13,CW$1)</f>
        <v>12.24</v>
      </c>
      <c r="CX13" cm="1">
        <f t="array" ref="CX13">_xll.EQNXTDZ($A$1,$B13,CX$1)</f>
        <v>10.3</v>
      </c>
      <c r="CY13" cm="1">
        <f t="array" ref="CY13">_xll.EQNXTDZ($A$1,$B13,CY$1)</f>
        <v>11.6</v>
      </c>
      <c r="CZ13" cm="1">
        <f t="array" ref="CZ13">_xll.EQNXTDZ($A$1,$B13,CZ$1)</f>
        <v>10.7</v>
      </c>
      <c r="DA13" cm="1">
        <f t="array" ref="DA13">_xll.EQNXTDZ($A$1,$B13,DA$1)</f>
        <v>9.75</v>
      </c>
      <c r="DB13" cm="1">
        <f t="array" ref="DB13">_xll.EQNXTDZ($A$1,$B13,DB$1)</f>
        <v>10.199999999999999</v>
      </c>
      <c r="DC13" cm="1">
        <f t="array" ref="DC13">_xll.EQNXTDZ($A$1,$B13,DC$1)</f>
        <v>12.95</v>
      </c>
      <c r="DD13" cm="1">
        <f t="array" ref="DD13">_xll.EQNXTDZ($A$1,$B13,DD$1)</f>
        <v>11.49</v>
      </c>
      <c r="DE13" cm="1">
        <f t="array" ref="DE13">_xll.EQNXTDZ($A$1,$B13,DE$1)</f>
        <v>11.18</v>
      </c>
      <c r="DF13" cm="1">
        <f t="array" ref="DF13">_xll.EQNXTDZ($A$1,$B13,DF$1)</f>
        <v>15.25</v>
      </c>
      <c r="DG13" cm="1">
        <f t="array" ref="DG13">_xll.EQNXTDZ($A$1,$B13,DG$1)</f>
        <v>30.1</v>
      </c>
      <c r="DH13" cm="1">
        <f t="array" ref="DH13">_xll.EQNXTDZ($A$1,$B13,DH$1)</f>
        <v>53.3</v>
      </c>
      <c r="DI13" cm="1">
        <f t="array" ref="DI13">_xll.EQNXTDZ($A$1,$B13,DI$1)</f>
        <v>57</v>
      </c>
      <c r="DJ13" cm="1">
        <f t="array" ref="DJ13">_xll.EQNXTDZ($A$1,$B13,DJ$1)</f>
        <v>67.900000000000006</v>
      </c>
      <c r="DK13" cm="1">
        <f t="array" ref="DK13">_xll.EQNXTDZ($A$1,$B13,DK$1)</f>
        <v>95.65</v>
      </c>
      <c r="DL13" cm="1">
        <f t="array" ref="DL13">_xll.EQNXTDZ($A$1,$B13,DL$1)</f>
        <v>91.25</v>
      </c>
      <c r="DM13" cm="1">
        <f t="array" ref="DM13">_xll.EQNXTDZ($A$1,$B13,DM$1)</f>
        <v>79.75</v>
      </c>
      <c r="DN13" cm="1">
        <f t="array" ref="DN13">_xll.EQNXTDZ($A$1,$B13,DN$1)</f>
        <v>105</v>
      </c>
      <c r="DO13" cm="1">
        <f t="array" ref="DO13">_xll.EQNXTDZ($A$1,$B13,DO$1)</f>
        <v>135.5</v>
      </c>
      <c r="DP13" cm="1">
        <f t="array" ref="DP13">_xll.EQNXTDZ($A$1,$B13,DP$1)</f>
        <v>117.6</v>
      </c>
      <c r="DQ13" cm="1">
        <f t="array" ref="DQ13">_xll.EQNXTDZ($A$1,$B13,DQ$1)</f>
        <v>135</v>
      </c>
      <c r="DR13" cm="1">
        <f t="array" ref="DR13">_xll.EQNXTDZ($A$1,$B13,DR$1)</f>
        <v>213.2</v>
      </c>
      <c r="DS13" cm="1">
        <f t="array" ref="DS13">_xll.EQNXTDZ($A$1,$B13,DS$1)</f>
        <v>142.25</v>
      </c>
      <c r="DT13" cm="1">
        <f t="array" ref="DT13">_xll.EQNXTDZ($A$1,$B13,DT$1)</f>
        <v>133.6</v>
      </c>
      <c r="DU13" cm="1">
        <f t="array" ref="DU13">_xll.EQNXTDZ($A$1,$B13,DU$1)</f>
        <v>142</v>
      </c>
      <c r="DV13" cm="1">
        <f t="array" ref="DV13">_xll.EQNXTDZ($A$1,$B13,DV$1)</f>
        <v>140.94999999999999</v>
      </c>
      <c r="DW13" cm="1">
        <f t="array" ref="DW13">_xll.EQNXTDZ($A$1,$B13,DW$1)</f>
        <v>173.05</v>
      </c>
      <c r="DX13" cm="1">
        <f t="array" ref="DX13">_xll.EQNXTDZ($A$1,$B13,DX$1)</f>
        <v>196.95</v>
      </c>
      <c r="DY13" cm="1">
        <f t="array" ref="DY13">_xll.EQNXTDZ($A$1,$B13,DY$1)</f>
        <v>171.9</v>
      </c>
      <c r="DZ13" cm="1">
        <f t="array" ref="DZ13">_xll.EQNXTDZ($A$1,$B13,DZ$1)</f>
        <v>250.1</v>
      </c>
      <c r="EA13" cm="1">
        <f t="array" ref="EA13">_xll.EQNXTDZ($A$1,$B13,EA$1)</f>
        <v>292.89999999999998</v>
      </c>
      <c r="EB13" cm="1">
        <f t="array" ref="EB13">_xll.EQNXTDZ($A$1,$B13,EB$1)</f>
        <v>279.95</v>
      </c>
      <c r="EC13" cm="1">
        <f t="array" ref="EC13">_xll.EQNXTDZ($A$1,$B13,EC$1)</f>
        <v>289.89999999999998</v>
      </c>
      <c r="ED13" cm="1">
        <f t="array" ref="ED13">_xll.EQNXTDZ($A$1,$B13,ED$1)</f>
        <v>323</v>
      </c>
      <c r="EE13" cm="1">
        <f t="array" ref="EE13">_xll.EQNXTDZ($A$1,$B13,EE$1)</f>
        <v>323.64999999999998</v>
      </c>
      <c r="EF13" cm="1">
        <f t="array" ref="EF13">_xll.EQNXTDZ($A$1,$B13,EF$1)</f>
        <v>395.2</v>
      </c>
      <c r="EG13" cm="1">
        <f t="array" ref="EG13">_xll.EQNXTDZ($A$1,$B13,EG$1)</f>
        <v>637.4</v>
      </c>
      <c r="EH13" cm="1">
        <f t="array" ref="EH13">_xll.EQNXTDZ($A$1,$B13,EH$1)</f>
        <v>533</v>
      </c>
      <c r="EI13" cm="1">
        <f t="array" ref="EI13">_xll.EQNXTDZ($A$1,$B13,EI$1)</f>
        <v>545</v>
      </c>
      <c r="EJ13" cm="1">
        <f t="array" ref="EJ13">_xll.EQNXTDZ($A$1,$B13,EJ$1)</f>
        <v>515.04999999999995</v>
      </c>
      <c r="EK13" cm="1">
        <f t="array" ref="EK13">_xll.EQNXTDZ($A$1,$B13,EK$1)</f>
        <v>537</v>
      </c>
      <c r="EL13" cm="1">
        <f t="array" ref="EL13">_xll.EQNXTDZ($A$1,$B13,EL$1)</f>
        <v>602.15</v>
      </c>
      <c r="EM13" cm="1">
        <f t="array" ref="EM13">_xll.EQNXTDZ($A$1,$B13,EM$1)</f>
        <v>565.29999999999995</v>
      </c>
      <c r="EN13" cm="1">
        <f t="array" ref="EN13">_xll.EQNXTDZ($A$1,$B13,EN$1)</f>
        <v>596.5</v>
      </c>
      <c r="EO13" cm="1">
        <f t="array" ref="EO13">_xll.EQNXTDZ($A$1,$B13,EO$1)</f>
        <v>615</v>
      </c>
      <c r="EP13" cm="1">
        <f t="array" ref="EP13">_xll.EQNXTDZ($A$1,$B13,EP$1)</f>
        <v>745</v>
      </c>
      <c r="EQ13" cm="1">
        <f t="array" ref="EQ13">_xll.EQNXTDZ($A$1,$B13,EQ$1)</f>
        <v>700</v>
      </c>
      <c r="ER13" cm="1">
        <f t="array" ref="ER13">_xll.EQNXTDZ($A$1,$B13,ER$1)</f>
        <v>730.2</v>
      </c>
      <c r="ES13" cm="1">
        <f t="array" ref="ES13">_xll.EQNXTDZ($A$1,$B13,ES$1)</f>
        <v>738.9</v>
      </c>
      <c r="ET13" cm="1">
        <f t="array" ref="ET13">_xll.EQNXTDZ($A$1,$B13,ET$1)</f>
        <v>773.8</v>
      </c>
      <c r="EU13" cm="1">
        <f t="array" ref="EU13">_xll.EQNXTDZ($A$1,$B13,EU$1)</f>
        <v>948.65</v>
      </c>
      <c r="EV13" cm="1">
        <f t="array" ref="EV13">_xll.EQNXTDZ($A$1,$B13,EV$1)</f>
        <v>972.1</v>
      </c>
      <c r="EW13" cm="1">
        <f t="array" ref="EW13">_xll.EQNXTDZ($A$1,$B13,EW$1)</f>
        <v>1050</v>
      </c>
      <c r="EX13" cm="1">
        <f t="array" ref="EX13">_xll.EQNXTDZ($A$1,$B13,EX$1)</f>
        <v>1234</v>
      </c>
      <c r="EY13" cm="1">
        <f t="array" ref="EY13">_xll.EQNXTDZ($A$1,$B13,EY$1)</f>
        <v>1239.75</v>
      </c>
      <c r="EZ13" cm="1">
        <f t="array" ref="EZ13">_xll.EQNXTDZ($A$1,$B13,EZ$1)</f>
        <v>1025.05</v>
      </c>
      <c r="FA13" cm="1">
        <f t="array" ref="FA13">_xll.EQNXTDZ($A$1,$B13,FA$1)</f>
        <v>1259.95</v>
      </c>
      <c r="FB13" cm="1">
        <f t="array" ref="FB13">_xll.EQNXTDZ($A$1,$B13,FB$1)</f>
        <v>1200.1500000000001</v>
      </c>
      <c r="FC13" cm="1">
        <f t="array" ref="FC13">_xll.EQNXTDZ($A$1,$B13,FC$1)</f>
        <v>1380.5</v>
      </c>
      <c r="FD13" cm="1">
        <f t="array" ref="FD13">_xll.EQNXTDZ($A$1,$B13,FD$1)</f>
        <v>1609.75</v>
      </c>
      <c r="FE13" cm="1">
        <f t="array" ref="FE13">_xll.EQNXTDZ($A$1,$B13,FE$1)</f>
        <v>1504.55</v>
      </c>
      <c r="FF13" cm="1">
        <f t="array" ref="FF13">_xll.EQNXTDZ($A$1,$B13,FF$1)</f>
        <v>1289.8499999999999</v>
      </c>
      <c r="FG13" cm="1">
        <f t="array" ref="FG13">_xll.EQNXTDZ($A$1,$B13,FG$1)</f>
        <v>1221</v>
      </c>
      <c r="FH13" cm="1">
        <f t="array" ref="FH13">_xll.EQNXTDZ($A$1,$B13,FH$1)</f>
        <v>1301</v>
      </c>
      <c r="FI13" cm="1">
        <f t="array" ref="FI13">_xll.EQNXTDZ($A$1,$B13,FI$1)</f>
        <v>1238.75</v>
      </c>
      <c r="FJ13" cm="1">
        <f t="array" ref="FJ13">_xll.EQNXTDZ($A$1,$B13,FJ$1)</f>
        <v>1325.95</v>
      </c>
      <c r="FK13" cm="1">
        <f t="array" ref="FK13">_xll.EQNXTDZ($A$1,$B13,FK$1)</f>
        <v>1113.55</v>
      </c>
      <c r="FL13" cm="1">
        <f t="array" ref="FL13">_xll.EQNXTDZ($A$1,$B13,FL$1)</f>
        <v>1159.3499999999999</v>
      </c>
      <c r="FM13" cm="1">
        <f t="array" ref="FM13">_xll.EQNXTDZ($A$1,$B13,FM$1)</f>
        <v>1323.95</v>
      </c>
      <c r="FN13" cm="1">
        <f t="array" ref="FN13">_xll.EQNXTDZ($A$1,$B13,FN$1)</f>
        <v>1780</v>
      </c>
      <c r="FO13" cm="1">
        <f t="array" ref="FO13">_xll.EQNXTDZ($A$1,$B13,FO$1)</f>
        <v>1800.4</v>
      </c>
      <c r="FP13" cm="1">
        <f t="array" ref="FP13">_xll.EQNXTDZ($A$1,$B13,FP$1)</f>
        <v>0</v>
      </c>
      <c r="FQ13" cm="1">
        <f t="array" ref="FQ13">_xll.EQNXTDZ($A$1,$B13,FQ$1)</f>
        <v>0</v>
      </c>
      <c r="FR13" cm="1">
        <f t="array" ref="FR13">_xll.EQNXTDZ($A$1,$B13,FR$1)</f>
        <v>0</v>
      </c>
      <c r="FS13" cm="1">
        <f t="array" ref="FS13">_xll.EQNXTDZ($A$1,$B13,FS$1)</f>
        <v>0</v>
      </c>
      <c r="FT13" cm="1">
        <f t="array" ref="FT13">_xll.EQNXTDZ($A$1,$B13,FT$1)</f>
        <v>0</v>
      </c>
      <c r="FU13" cm="1">
        <f t="array" ref="FU13">_xll.EQNXTDZ($A$1,$B13,FU$1)</f>
        <v>0</v>
      </c>
      <c r="FV13" cm="1">
        <f t="array" ref="FV13">_xll.EQNXTDZ($A$1,$B13,FV$1)</f>
        <v>0</v>
      </c>
      <c r="FW13" cm="1">
        <f t="array" ref="FW13">_xll.EQNXTDZ($A$1,$B13,FW$1)</f>
        <v>0</v>
      </c>
      <c r="FX13" cm="1">
        <f t="array" ref="FX13">_xll.EQNXTDZ($A$1,$B13,FX$1)</f>
        <v>0</v>
      </c>
      <c r="FY13" cm="1">
        <f t="array" ref="FY13">_xll.EQNXTDZ($A$1,$B13,FY$1)</f>
        <v>0</v>
      </c>
      <c r="FZ13" cm="1">
        <f t="array" ref="FZ13">_xll.EQNXTDZ($A$1,$B13,FZ$1)</f>
        <v>0</v>
      </c>
      <c r="GA13" cm="1">
        <f t="array" ref="GA13">_xll.EQNXTDZ($A$1,$B13,GA$1)</f>
        <v>0</v>
      </c>
      <c r="GB13" cm="1">
        <f t="array" ref="GB13">_xll.EQNXTDZ($A$1,$B13,GB$1)</f>
        <v>0</v>
      </c>
      <c r="GC13" cm="1">
        <f t="array" ref="GC13">_xll.EQNXTDZ($A$1,$B13,GC$1)</f>
        <v>0</v>
      </c>
      <c r="GD13" cm="1">
        <f t="array" ref="GD13">_xll.EQNXTDZ($A$1,$B13,GD$1)</f>
        <v>0</v>
      </c>
      <c r="GE13" cm="1">
        <f t="array" ref="GE13">_xll.EQNXTDZ($A$1,$B13,GE$1)</f>
        <v>0</v>
      </c>
      <c r="GF13" cm="1">
        <f t="array" ref="GF13">_xll.EQNXTDZ($A$1,$B13,GF$1)</f>
        <v>0</v>
      </c>
      <c r="GG13" cm="1">
        <f t="array" ref="GG13">_xll.EQNXTDZ($A$1,$B13,GG$1)</f>
        <v>0</v>
      </c>
      <c r="GH13" cm="1">
        <f t="array" ref="GH13">_xll.EQNXTDZ($A$1,$B13,GH$1)</f>
        <v>0</v>
      </c>
      <c r="GI13" cm="1">
        <f t="array" ref="GI13">_xll.EQNXTDZ($A$1,$B13,GI$1)</f>
        <v>0</v>
      </c>
      <c r="GJ13" cm="1">
        <f t="array" ref="GJ13">_xll.EQNXTDZ($A$1,$B13,GJ$1)</f>
        <v>0</v>
      </c>
      <c r="GK13" cm="1">
        <f t="array" ref="GK13">_xll.EQNXTDZ($A$1,$B13,GK$1)</f>
        <v>0</v>
      </c>
      <c r="GL13" cm="1">
        <f t="array" ref="GL13">_xll.EQNXTDZ($A$1,$B13,GL$1)</f>
        <v>0</v>
      </c>
      <c r="GM13" cm="1">
        <f t="array" ref="GM13">_xll.EQNXTDZ($A$1,$B13,GM$1)</f>
        <v>0</v>
      </c>
      <c r="GN13" cm="1">
        <f t="array" ref="GN13">_xll.EQNXTDZ($A$1,$B13,GN$1)</f>
        <v>0</v>
      </c>
      <c r="GO13" cm="1">
        <f t="array" ref="GO13">_xll.EQNXTDZ($A$1,$B13,GO$1)</f>
        <v>0</v>
      </c>
      <c r="GP13" cm="1">
        <f t="array" ref="GP13">_xll.EQNXTDZ($A$1,$B13,GP$1)</f>
        <v>0</v>
      </c>
      <c r="GQ13" cm="1">
        <f t="array" ref="GQ13">_xll.EQNXTDZ($A$1,$B13,GQ$1)</f>
        <v>0</v>
      </c>
      <c r="GR13" cm="1">
        <f t="array" ref="GR13">_xll.EQNXTDZ($A$1,$B13,GR$1)</f>
        <v>0</v>
      </c>
      <c r="GS13" cm="1">
        <f t="array" ref="GS13">_xll.EQNXTDZ($A$1,$B13,GS$1)</f>
        <v>0</v>
      </c>
      <c r="GT13" cm="1">
        <f t="array" ref="GT13">_xll.EQNXTDZ($A$1,$B13,GT$1)</f>
        <v>0</v>
      </c>
      <c r="GU13" cm="1">
        <f t="array" ref="GU13">_xll.EQNXTDZ($A$1,$B13,GU$1)</f>
        <v>0</v>
      </c>
      <c r="GV13" cm="1">
        <f t="array" ref="GV13">_xll.EQNXTDZ($A$1,$B13,GV$1)</f>
        <v>0</v>
      </c>
      <c r="GW13" cm="1">
        <f t="array" ref="GW13">_xll.EQNXTDZ($A$1,$B13,GW$1)</f>
        <v>0</v>
      </c>
      <c r="GX13" cm="1">
        <f t="array" ref="GX13">_xll.EQNXTDZ($A$1,$B13,GX$1)</f>
        <v>0</v>
      </c>
      <c r="GY13" cm="1">
        <f t="array" ref="GY13">_xll.EQNXTDZ($A$1,$B13,GY$1)</f>
        <v>0</v>
      </c>
      <c r="GZ13" cm="1">
        <f t="array" ref="GZ13">_xll.EQNXTDZ($A$1,$B13,GZ$1)</f>
        <v>0</v>
      </c>
      <c r="HA13" cm="1">
        <f t="array" ref="HA13">_xll.EQNXTDZ($A$1,$B13,HA$1)</f>
        <v>0</v>
      </c>
      <c r="HB13" cm="1">
        <f t="array" ref="HB13">_xll.EQNXTDZ($A$1,$B13,HB$1)</f>
        <v>0</v>
      </c>
      <c r="HC13" cm="1">
        <f t="array" ref="HC13">_xll.EQNXTDZ($A$1,$B13,HC$1)</f>
        <v>0</v>
      </c>
      <c r="HD13" cm="1">
        <f t="array" ref="HD13">_xll.EQNXTDZ($A$1,$B13,HD$1)</f>
        <v>0</v>
      </c>
      <c r="HE13" cm="1">
        <f t="array" ref="HE13">_xll.EQNXTDZ($A$1,$B13,HE$1)</f>
        <v>0</v>
      </c>
      <c r="HF13" cm="1">
        <f t="array" ref="HF13">_xll.EQNXTDZ($A$1,$B13,HF$1)</f>
        <v>0</v>
      </c>
      <c r="HG13" cm="1">
        <f t="array" ref="HG13">_xll.EQNXTDZ($A$1,$B13,HG$1)</f>
        <v>0</v>
      </c>
      <c r="HH13" cm="1">
        <f t="array" ref="HH13">_xll.EQNXTDZ($A$1,$B13,HH$1)</f>
        <v>0</v>
      </c>
    </row>
    <row r="14" spans="1:294" s="116" customFormat="1" x14ac:dyDescent="0.25">
      <c r="A14" s="116" t="s">
        <v>38</v>
      </c>
      <c r="B14" s="116" t="s">
        <v>422</v>
      </c>
      <c r="C14" s="116" cm="1">
        <f t="array" ref="C14">_xll.EQNXTDZ($A$1,$B14,C$1)</f>
        <v>10.475</v>
      </c>
      <c r="D14" s="116" cm="1">
        <f t="array" ref="D14">_xll.EQNXTDZ($A$1,$B14,D$1)</f>
        <v>13.375</v>
      </c>
      <c r="E14" s="116" cm="1">
        <f t="array" ref="E14">_xll.EQNXTDZ($A$1,$B14,E$1)</f>
        <v>10.5</v>
      </c>
      <c r="F14" s="116" cm="1">
        <f t="array" ref="F14">_xll.EQNXTDZ($A$1,$B14,F$1)</f>
        <v>9.625</v>
      </c>
      <c r="G14" s="116" cm="1">
        <f t="array" ref="G14">_xll.EQNXTDZ($A$1,$B14,G$1)</f>
        <v>8.5</v>
      </c>
      <c r="H14" s="116" cm="1">
        <f t="array" ref="H14">_xll.EQNXTDZ($A$1,$B14,H$1)</f>
        <v>8.4</v>
      </c>
      <c r="I14" s="116" cm="1">
        <f t="array" ref="I14">_xll.EQNXTDZ($A$1,$B14,I$1)</f>
        <v>8.8000000000000007</v>
      </c>
      <c r="J14" s="116" cm="1">
        <f t="array" ref="J14">_xll.EQNXTDZ($A$1,$B14,J$1)</f>
        <v>8.9749999999999996</v>
      </c>
      <c r="K14" s="116" cm="1">
        <f t="array" ref="K14">_xll.EQNXTDZ($A$1,$B14,K$1)</f>
        <v>7.9249999999999998</v>
      </c>
      <c r="L14" s="116" cm="1">
        <f t="array" ref="L14">_xll.EQNXTDZ($A$1,$B14,L$1)</f>
        <v>7.4</v>
      </c>
      <c r="M14" s="116" cm="1">
        <f t="array" ref="M14">_xll.EQNXTDZ($A$1,$B14,M$1)</f>
        <v>7.7249999999999996</v>
      </c>
      <c r="N14" s="116" cm="1">
        <f t="array" ref="N14">_xll.EQNXTDZ($A$1,$B14,N$1)</f>
        <v>7.125</v>
      </c>
      <c r="O14" s="116" cm="1">
        <f t="array" ref="O14">_xll.EQNXTDZ($A$1,$B14,O$1)</f>
        <v>6.2949999999999999</v>
      </c>
      <c r="P14" s="116" cm="1">
        <f t="array" ref="P14">_xll.EQNXTDZ($A$1,$B14,P$1)</f>
        <v>5.4749999999999996</v>
      </c>
      <c r="Q14" s="116" cm="1">
        <f t="array" ref="Q14">_xll.EQNXTDZ($A$1,$B14,Q$1)</f>
        <v>8.8049999999999997</v>
      </c>
      <c r="R14" s="116" cm="1">
        <f t="array" ref="R14">_xll.EQNXTDZ($A$1,$B14,R$1)</f>
        <v>9.0749999999999993</v>
      </c>
      <c r="S14" s="116" cm="1">
        <f t="array" ref="S14">_xll.EQNXTDZ($A$1,$B14,S$1)</f>
        <v>9.0749999999999993</v>
      </c>
      <c r="T14" s="116" cm="1">
        <f t="array" ref="T14">_xll.EQNXTDZ($A$1,$B14,T$1)</f>
        <v>6.95</v>
      </c>
      <c r="U14" s="116" cm="1">
        <f t="array" ref="U14">_xll.EQNXTDZ($A$1,$B14,U$1)</f>
        <v>5.1449999999999996</v>
      </c>
      <c r="V14" s="116" cm="1">
        <f t="array" ref="V14">_xll.EQNXTDZ($A$1,$B14,V$1)</f>
        <v>5</v>
      </c>
      <c r="W14" s="116" cm="1">
        <f t="array" ref="W14">_xll.EQNXTDZ($A$1,$B14,W$1)</f>
        <v>4.2549999999999999</v>
      </c>
      <c r="X14" s="116" cm="1">
        <f t="array" ref="X14">_xll.EQNXTDZ($A$1,$B14,X$1)</f>
        <v>4.62</v>
      </c>
      <c r="Y14" s="116" cm="1">
        <f t="array" ref="Y14">_xll.EQNXTDZ($A$1,$B14,Y$1)</f>
        <v>4.9950000000000001</v>
      </c>
      <c r="Z14" s="116" cm="1">
        <f t="array" ref="Z14">_xll.EQNXTDZ($A$1,$B14,Z$1)</f>
        <v>5.42</v>
      </c>
      <c r="AA14" s="116" cm="1">
        <f t="array" ref="AA14">_xll.EQNXTDZ($A$1,$B14,AA$1)</f>
        <v>7.4050000000000002</v>
      </c>
      <c r="AB14" s="116" cm="1">
        <f t="array" ref="AB14">_xll.EQNXTDZ($A$1,$B14,AB$1)</f>
        <v>6.88</v>
      </c>
      <c r="AC14" s="116" cm="1">
        <f t="array" ref="AC14">_xll.EQNXTDZ($A$1,$B14,AC$1)</f>
        <v>5.835</v>
      </c>
      <c r="AD14" s="116" cm="1">
        <f t="array" ref="AD14">_xll.EQNXTDZ($A$1,$B14,AD$1)</f>
        <v>5.99</v>
      </c>
      <c r="AE14" s="116" cm="1">
        <f t="array" ref="AE14">_xll.EQNXTDZ($A$1,$B14,AE$1)</f>
        <v>5.93</v>
      </c>
      <c r="AF14" s="116" cm="1">
        <f t="array" ref="AF14">_xll.EQNXTDZ($A$1,$B14,AF$1)</f>
        <v>6.12</v>
      </c>
      <c r="AG14" s="116" cm="1">
        <f t="array" ref="AG14">_xll.EQNXTDZ($A$1,$B14,AG$1)</f>
        <v>6.85</v>
      </c>
      <c r="AH14" s="116" cm="1">
        <f t="array" ref="AH14">_xll.EQNXTDZ($A$1,$B14,AH$1)</f>
        <v>5.7</v>
      </c>
      <c r="AI14" s="116" cm="1">
        <f t="array" ref="AI14">_xll.EQNXTDZ($A$1,$B14,AI$1)</f>
        <v>5.35</v>
      </c>
      <c r="AJ14" s="116" cm="1">
        <f t="array" ref="AJ14">_xll.EQNXTDZ($A$1,$B14,AJ$1)</f>
        <v>5.125</v>
      </c>
      <c r="AK14" s="116" cm="1">
        <f t="array" ref="AK14">_xll.EQNXTDZ($A$1,$B14,AK$1)</f>
        <v>4.1950000000000003</v>
      </c>
      <c r="AL14" s="116" cm="1">
        <f t="array" ref="AL14">_xll.EQNXTDZ($A$1,$B14,AL$1)</f>
        <v>3.94</v>
      </c>
      <c r="AM14" s="116" cm="1">
        <f t="array" ref="AM14">_xll.EQNXTDZ($A$1,$B14,AM$1)</f>
        <v>3.5249999999999999</v>
      </c>
      <c r="AN14" s="116" cm="1">
        <f t="array" ref="AN14">_xll.EQNXTDZ($A$1,$B14,AN$1)</f>
        <v>3.25</v>
      </c>
      <c r="AO14" s="116" cm="1">
        <f t="array" ref="AO14">_xll.EQNXTDZ($A$1,$B14,AO$1)</f>
        <v>5</v>
      </c>
      <c r="AP14" s="116" cm="1">
        <f t="array" ref="AP14">_xll.EQNXTDZ($A$1,$B14,AP$1)</f>
        <v>3.95</v>
      </c>
      <c r="AQ14" s="116" cm="1">
        <f t="array" ref="AQ14">_xll.EQNXTDZ($A$1,$B14,AQ$1)</f>
        <v>4.125</v>
      </c>
      <c r="AR14" s="116" cm="1">
        <f t="array" ref="AR14">_xll.EQNXTDZ($A$1,$B14,AR$1)</f>
        <v>4.6950000000000003</v>
      </c>
      <c r="AS14" s="116" cm="1">
        <f t="array" ref="AS14">_xll.EQNXTDZ($A$1,$B14,AS$1)</f>
        <v>4.0999999999999996</v>
      </c>
      <c r="AT14" s="116" cm="1">
        <f t="array" ref="AT14">_xll.EQNXTDZ($A$1,$B14,AT$1)</f>
        <v>5.5</v>
      </c>
      <c r="AU14" s="116" cm="1">
        <f t="array" ref="AU14">_xll.EQNXTDZ($A$1,$B14,AU$1)</f>
        <v>8.4450000000000003</v>
      </c>
      <c r="AV14" s="116" cm="1">
        <f t="array" ref="AV14">_xll.EQNXTDZ($A$1,$B14,AV$1)</f>
        <v>10.8</v>
      </c>
      <c r="AW14" s="116" cm="1">
        <f t="array" ref="AW14">_xll.EQNXTDZ($A$1,$B14,AW$1)</f>
        <v>17.475000000000001</v>
      </c>
      <c r="AX14" s="116" cm="1">
        <f t="array" ref="AX14">_xll.EQNXTDZ($A$1,$B14,AX$1)</f>
        <v>14.725</v>
      </c>
      <c r="AY14" s="116" cm="1">
        <f t="array" ref="AY14">_xll.EQNXTDZ($A$1,$B14,AY$1)</f>
        <v>17.100000000000001</v>
      </c>
      <c r="AZ14" s="116" cm="1">
        <f t="array" ref="AZ14">_xll.EQNXTDZ($A$1,$B14,AZ$1)</f>
        <v>16.149999999999999</v>
      </c>
      <c r="BA14" s="116" cm="1">
        <f t="array" ref="BA14">_xll.EQNXTDZ($A$1,$B14,BA$1)</f>
        <v>17</v>
      </c>
      <c r="BB14" s="116" cm="1">
        <f t="array" ref="BB14">_xll.EQNXTDZ($A$1,$B14,BB$1)</f>
        <v>17.399999999999999</v>
      </c>
      <c r="BC14" s="116" cm="1">
        <f t="array" ref="BC14">_xll.EQNXTDZ($A$1,$B14,BC$1)</f>
        <v>15.3</v>
      </c>
      <c r="BD14" s="116" cm="1">
        <f t="array" ref="BD14">_xll.EQNXTDZ($A$1,$B14,BD$1)</f>
        <v>20.399999999999999</v>
      </c>
      <c r="BE14" s="116" cm="1">
        <f t="array" ref="BE14">_xll.EQNXTDZ($A$1,$B14,BE$1)</f>
        <v>14.79</v>
      </c>
      <c r="BF14" s="116" cm="1">
        <f t="array" ref="BF14">_xll.EQNXTDZ($A$1,$B14,BF$1)</f>
        <v>14.76</v>
      </c>
      <c r="BG14" s="116" cm="1">
        <f t="array" ref="BG14">_xll.EQNXTDZ($A$1,$B14,BG$1)</f>
        <v>19.239999999999998</v>
      </c>
      <c r="BH14" s="116" cm="1">
        <f t="array" ref="BH14">_xll.EQNXTDZ($A$1,$B14,BH$1)</f>
        <v>18.7</v>
      </c>
      <c r="BI14" s="116" cm="1">
        <f t="array" ref="BI14">_xll.EQNXTDZ($A$1,$B14,BI$1)</f>
        <v>19.8</v>
      </c>
      <c r="BJ14" s="116" cm="1">
        <f t="array" ref="BJ14">_xll.EQNXTDZ($A$1,$B14,BJ$1)</f>
        <v>23</v>
      </c>
      <c r="BK14" s="116" cm="1">
        <f t="array" ref="BK14">_xll.EQNXTDZ($A$1,$B14,BK$1)</f>
        <v>22.95</v>
      </c>
      <c r="BL14" s="116" cm="1">
        <f t="array" ref="BL14">_xll.EQNXTDZ($A$1,$B14,BL$1)</f>
        <v>19</v>
      </c>
      <c r="BM14" s="116" cm="1">
        <f t="array" ref="BM14">_xll.EQNXTDZ($A$1,$B14,BM$1)</f>
        <v>20.3</v>
      </c>
      <c r="BN14" s="116" cm="1">
        <f t="array" ref="BN14">_xll.EQNXTDZ($A$1,$B14,BN$1)</f>
        <v>22.2</v>
      </c>
      <c r="BO14" s="116" cm="1">
        <f t="array" ref="BO14">_xll.EQNXTDZ($A$1,$B14,BO$1)</f>
        <v>20.7</v>
      </c>
      <c r="BP14" s="116" cm="1">
        <f t="array" ref="BP14">_xll.EQNXTDZ($A$1,$B14,BP$1)</f>
        <v>22.95</v>
      </c>
      <c r="BQ14" s="116" cm="1">
        <f t="array" ref="BQ14">_xll.EQNXTDZ($A$1,$B14,BQ$1)</f>
        <v>19.45</v>
      </c>
      <c r="BR14" s="116" cm="1">
        <f t="array" ref="BR14">_xll.EQNXTDZ($A$1,$B14,BR$1)</f>
        <v>22.55</v>
      </c>
      <c r="BS14" s="116" cm="1">
        <f t="array" ref="BS14">_xll.EQNXTDZ($A$1,$B14,BS$1)</f>
        <v>19.05</v>
      </c>
      <c r="BT14" s="116" cm="1">
        <f t="array" ref="BT14">_xll.EQNXTDZ($A$1,$B14,BT$1)</f>
        <v>17.2</v>
      </c>
      <c r="BU14" s="116" cm="1">
        <f t="array" ref="BU14">_xll.EQNXTDZ($A$1,$B14,BU$1)</f>
        <v>19.899999999999999</v>
      </c>
      <c r="BV14" s="116" cm="1">
        <f t="array" ref="BV14">_xll.EQNXTDZ($A$1,$B14,BV$1)</f>
        <v>18.600000000000001</v>
      </c>
      <c r="BW14" s="116" cm="1">
        <f t="array" ref="BW14">_xll.EQNXTDZ($A$1,$B14,BW$1)</f>
        <v>15.7</v>
      </c>
      <c r="BX14" s="116" cm="1">
        <f t="array" ref="BX14">_xll.EQNXTDZ($A$1,$B14,BX$1)</f>
        <v>16.100000000000001</v>
      </c>
      <c r="BY14" s="116" cm="1">
        <f t="array" ref="BY14">_xll.EQNXTDZ($A$1,$B14,BY$1)</f>
        <v>18.399999999999999</v>
      </c>
      <c r="BZ14" s="116" cm="1">
        <f t="array" ref="BZ14">_xll.EQNXTDZ($A$1,$B14,BZ$1)</f>
        <v>17</v>
      </c>
      <c r="CA14" s="116" cm="1">
        <f t="array" ref="CA14">_xll.EQNXTDZ($A$1,$B14,CA$1)</f>
        <v>14.2</v>
      </c>
      <c r="CB14" s="116" cm="1">
        <f t="array" ref="CB14">_xll.EQNXTDZ($A$1,$B14,CB$1)</f>
        <v>14.99</v>
      </c>
      <c r="CC14" s="116" cm="1">
        <f t="array" ref="CC14">_xll.EQNXTDZ($A$1,$B14,CC$1)</f>
        <v>15.4</v>
      </c>
      <c r="CD14" s="116" cm="1">
        <f t="array" ref="CD14">_xll.EQNXTDZ($A$1,$B14,CD$1)</f>
        <v>15.1</v>
      </c>
      <c r="CE14" s="116" cm="1">
        <f t="array" ref="CE14">_xll.EQNXTDZ($A$1,$B14,CE$1)</f>
        <v>13</v>
      </c>
      <c r="CF14" s="116" cm="1">
        <f t="array" ref="CF14">_xll.EQNXTDZ($A$1,$B14,CF$1)</f>
        <v>13.45</v>
      </c>
      <c r="CG14" s="116" cm="1">
        <f t="array" ref="CG14">_xll.EQNXTDZ($A$1,$B14,CG$1)</f>
        <v>13.42</v>
      </c>
      <c r="CH14" s="116" cm="1">
        <f t="array" ref="CH14">_xll.EQNXTDZ($A$1,$B14,CH$1)</f>
        <v>12.4</v>
      </c>
      <c r="CI14" s="116" cm="1">
        <f t="array" ref="CI14">_xll.EQNXTDZ($A$1,$B14,CI$1)</f>
        <v>11.5</v>
      </c>
      <c r="CJ14" s="116" cm="1">
        <f t="array" ref="CJ14">_xll.EQNXTDZ($A$1,$B14,CJ$1)</f>
        <v>10.25</v>
      </c>
      <c r="CK14" s="116" cm="1">
        <f t="array" ref="CK14">_xll.EQNXTDZ($A$1,$B14,CK$1)</f>
        <v>10.3</v>
      </c>
      <c r="CL14" s="116" cm="1">
        <f t="array" ref="CL14">_xll.EQNXTDZ($A$1,$B14,CL$1)</f>
        <v>12.25</v>
      </c>
      <c r="CM14" s="116" cm="1">
        <f t="array" ref="CM14">_xll.EQNXTDZ($A$1,$B14,CM$1)</f>
        <v>10.53</v>
      </c>
      <c r="CN14" s="116" cm="1">
        <f t="array" ref="CN14">_xll.EQNXTDZ($A$1,$B14,CN$1)</f>
        <v>9.85</v>
      </c>
      <c r="CO14" s="116" cm="1">
        <f t="array" ref="CO14">_xll.EQNXTDZ($A$1,$B14,CO$1)</f>
        <v>8.4</v>
      </c>
      <c r="CP14" s="116" cm="1">
        <f t="array" ref="CP14">_xll.EQNXTDZ($A$1,$B14,CP$1)</f>
        <v>8.9</v>
      </c>
      <c r="CQ14" s="116" cm="1">
        <f t="array" ref="CQ14">_xll.EQNXTDZ($A$1,$B14,CQ$1)</f>
        <v>8.6999999999999993</v>
      </c>
      <c r="CR14" s="116" cm="1">
        <f t="array" ref="CR14">_xll.EQNXTDZ($A$1,$B14,CR$1)</f>
        <v>7.75</v>
      </c>
      <c r="CS14" s="116" cm="1">
        <f t="array" ref="CS14">_xll.EQNXTDZ($A$1,$B14,CS$1)</f>
        <v>5.9</v>
      </c>
      <c r="CT14" s="116" cm="1">
        <f t="array" ref="CT14">_xll.EQNXTDZ($A$1,$B14,CT$1)</f>
        <v>8.9700000000000006</v>
      </c>
      <c r="CU14" s="116" cm="1">
        <f t="array" ref="CU14">_xll.EQNXTDZ($A$1,$B14,CU$1)</f>
        <v>10.85</v>
      </c>
      <c r="CV14" s="116" cm="1">
        <f t="array" ref="CV14">_xll.EQNXTDZ($A$1,$B14,CV$1)</f>
        <v>12.42</v>
      </c>
      <c r="CW14" s="116" cm="1">
        <f t="array" ref="CW14">_xll.EQNXTDZ($A$1,$B14,CW$1)</f>
        <v>12.24</v>
      </c>
      <c r="CX14" s="116" cm="1">
        <f t="array" ref="CX14">_xll.EQNXTDZ($A$1,$B14,CX$1)</f>
        <v>12.5</v>
      </c>
      <c r="CY14" s="116" cm="1">
        <f t="array" ref="CY14">_xll.EQNXTDZ($A$1,$B14,CY$1)</f>
        <v>12.08</v>
      </c>
      <c r="CZ14" s="116" cm="1">
        <f t="array" ref="CZ14">_xll.EQNXTDZ($A$1,$B14,CZ$1)</f>
        <v>10.8</v>
      </c>
      <c r="DA14" s="116" cm="1">
        <f t="array" ref="DA14">_xll.EQNXTDZ($A$1,$B14,DA$1)</f>
        <v>11.9</v>
      </c>
      <c r="DB14" s="116" cm="1">
        <f t="array" ref="DB14">_xll.EQNXTDZ($A$1,$B14,DB$1)</f>
        <v>17.489999999999998</v>
      </c>
      <c r="DC14" s="116" cm="1">
        <f t="array" ref="DC14">_xll.EQNXTDZ($A$1,$B14,DC$1)</f>
        <v>13</v>
      </c>
      <c r="DD14" s="116" cm="1">
        <f t="array" ref="DD14">_xll.EQNXTDZ($A$1,$B14,DD$1)</f>
        <v>13</v>
      </c>
      <c r="DE14" s="116" cm="1">
        <f t="array" ref="DE14">_xll.EQNXTDZ($A$1,$B14,DE$1)</f>
        <v>15.43</v>
      </c>
      <c r="DF14" s="116" cm="1">
        <f t="array" ref="DF14">_xll.EQNXTDZ($A$1,$B14,DF$1)</f>
        <v>29.55</v>
      </c>
      <c r="DG14" s="116" cm="1">
        <f t="array" ref="DG14">_xll.EQNXTDZ($A$1,$B14,DG$1)</f>
        <v>50.8</v>
      </c>
      <c r="DH14" s="116" cm="1">
        <f t="array" ref="DH14">_xll.EQNXTDZ($A$1,$B14,DH$1)</f>
        <v>58.7</v>
      </c>
      <c r="DI14" s="116" cm="1">
        <f t="array" ref="DI14">_xll.EQNXTDZ($A$1,$B14,DI$1)</f>
        <v>76.05</v>
      </c>
      <c r="DJ14" s="116" cm="1">
        <f t="array" ref="DJ14">_xll.EQNXTDZ($A$1,$B14,DJ$1)</f>
        <v>91.1</v>
      </c>
      <c r="DK14" s="116" cm="1">
        <f t="array" ref="DK14">_xll.EQNXTDZ($A$1,$B14,DK$1)</f>
        <v>100.4</v>
      </c>
      <c r="DL14" s="116" cm="1">
        <f t="array" ref="DL14">_xll.EQNXTDZ($A$1,$B14,DL$1)</f>
        <v>96</v>
      </c>
      <c r="DM14" s="116" cm="1">
        <f t="array" ref="DM14">_xll.EQNXTDZ($A$1,$B14,DM$1)</f>
        <v>101.8</v>
      </c>
      <c r="DN14" s="116" cm="1">
        <f t="array" ref="DN14">_xll.EQNXTDZ($A$1,$B14,DN$1)</f>
        <v>145</v>
      </c>
      <c r="DO14" s="116" cm="1">
        <f t="array" ref="DO14">_xll.EQNXTDZ($A$1,$B14,DO$1)</f>
        <v>148.65</v>
      </c>
      <c r="DP14" s="116" cm="1">
        <f t="array" ref="DP14">_xll.EQNXTDZ($A$1,$B14,DP$1)</f>
        <v>141.80000000000001</v>
      </c>
      <c r="DQ14" s="116" cm="1">
        <f t="array" ref="DQ14">_xll.EQNXTDZ($A$1,$B14,DQ$1)</f>
        <v>232</v>
      </c>
      <c r="DR14" s="116" cm="1">
        <f t="array" ref="DR14">_xll.EQNXTDZ($A$1,$B14,DR$1)</f>
        <v>222</v>
      </c>
      <c r="DS14" s="116" cm="1">
        <f t="array" ref="DS14">_xll.EQNXTDZ($A$1,$B14,DS$1)</f>
        <v>151.55000000000001</v>
      </c>
      <c r="DT14" s="116" cm="1">
        <f t="array" ref="DT14">_xll.EQNXTDZ($A$1,$B14,DT$1)</f>
        <v>152.80000000000001</v>
      </c>
      <c r="DU14" s="116" cm="1">
        <f t="array" ref="DU14">_xll.EQNXTDZ($A$1,$B14,DU$1)</f>
        <v>147.85</v>
      </c>
      <c r="DV14" s="116" cm="1">
        <f t="array" ref="DV14">_xll.EQNXTDZ($A$1,$B14,DV$1)</f>
        <v>204.55</v>
      </c>
      <c r="DW14" s="116" cm="1">
        <f t="array" ref="DW14">_xll.EQNXTDZ($A$1,$B14,DW$1)</f>
        <v>200</v>
      </c>
      <c r="DX14" s="116" cm="1">
        <f t="array" ref="DX14">_xll.EQNXTDZ($A$1,$B14,DX$1)</f>
        <v>197.75</v>
      </c>
      <c r="DY14" s="116" cm="1">
        <f t="array" ref="DY14">_xll.EQNXTDZ($A$1,$B14,DY$1)</f>
        <v>253.9</v>
      </c>
      <c r="DZ14" s="116" cm="1">
        <f t="array" ref="DZ14">_xll.EQNXTDZ($A$1,$B14,DZ$1)</f>
        <v>294</v>
      </c>
      <c r="EA14" s="116" cm="1">
        <f t="array" ref="EA14">_xll.EQNXTDZ($A$1,$B14,EA$1)</f>
        <v>301</v>
      </c>
      <c r="EB14" s="116" cm="1">
        <f t="array" ref="EB14">_xll.EQNXTDZ($A$1,$B14,EB$1)</f>
        <v>324.8</v>
      </c>
      <c r="EC14" s="116" cm="1">
        <f t="array" ref="EC14">_xll.EQNXTDZ($A$1,$B14,EC$1)</f>
        <v>329.7</v>
      </c>
      <c r="ED14" s="116" cm="1">
        <f t="array" ref="ED14">_xll.EQNXTDZ($A$1,$B14,ED$1)</f>
        <v>344.9</v>
      </c>
      <c r="EE14" s="116" cm="1">
        <f t="array" ref="EE14">_xll.EQNXTDZ($A$1,$B14,EE$1)</f>
        <v>404</v>
      </c>
      <c r="EF14" s="116" cm="1">
        <f t="array" ref="EF14">_xll.EQNXTDZ($A$1,$B14,EF$1)</f>
        <v>634</v>
      </c>
      <c r="EG14" s="116" cm="1">
        <f t="array" ref="EG14">_xll.EQNXTDZ($A$1,$B14,EG$1)</f>
        <v>687.85</v>
      </c>
      <c r="EH14" s="116" cm="1">
        <f t="array" ref="EH14">_xll.EQNXTDZ($A$1,$B14,EH$1)</f>
        <v>594.4</v>
      </c>
      <c r="EI14" s="116" cm="1">
        <f t="array" ref="EI14">_xll.EQNXTDZ($A$1,$B14,EI$1)</f>
        <v>611.1</v>
      </c>
      <c r="EJ14" s="116" cm="1">
        <f t="array" ref="EJ14">_xll.EQNXTDZ($A$1,$B14,EJ$1)</f>
        <v>624.29999999999995</v>
      </c>
      <c r="EK14" s="116" cm="1">
        <f t="array" ref="EK14">_xll.EQNXTDZ($A$1,$B14,EK$1)</f>
        <v>656.05</v>
      </c>
      <c r="EL14" s="116" cm="1">
        <f t="array" ref="EL14">_xll.EQNXTDZ($A$1,$B14,EL$1)</f>
        <v>637</v>
      </c>
      <c r="EM14" s="116" cm="1">
        <f t="array" ref="EM14">_xll.EQNXTDZ($A$1,$B14,EM$1)</f>
        <v>606.95000000000005</v>
      </c>
      <c r="EN14" s="116" cm="1">
        <f t="array" ref="EN14">_xll.EQNXTDZ($A$1,$B14,EN$1)</f>
        <v>634.4</v>
      </c>
      <c r="EO14" s="116" cm="1">
        <f t="array" ref="EO14">_xll.EQNXTDZ($A$1,$B14,EO$1)</f>
        <v>749.85</v>
      </c>
      <c r="EP14" s="116" cm="1">
        <f t="array" ref="EP14">_xll.EQNXTDZ($A$1,$B14,EP$1)</f>
        <v>750</v>
      </c>
      <c r="EQ14" s="116" cm="1">
        <f t="array" ref="EQ14">_xll.EQNXTDZ($A$1,$B14,EQ$1)</f>
        <v>774.95</v>
      </c>
      <c r="ER14" s="116" cm="1">
        <f t="array" ref="ER14">_xll.EQNXTDZ($A$1,$B14,ER$1)</f>
        <v>785.9</v>
      </c>
      <c r="ES14" s="116" cm="1">
        <f t="array" ref="ES14">_xll.EQNXTDZ($A$1,$B14,ES$1)</f>
        <v>809</v>
      </c>
      <c r="ET14" s="116" cm="1">
        <f t="array" ref="ET14">_xll.EQNXTDZ($A$1,$B14,ET$1)</f>
        <v>959.65</v>
      </c>
      <c r="EU14" s="116" cm="1">
        <f t="array" ref="EU14">_xll.EQNXTDZ($A$1,$B14,EU$1)</f>
        <v>1041</v>
      </c>
      <c r="EV14" s="116" cm="1">
        <f t="array" ref="EV14">_xll.EQNXTDZ($A$1,$B14,EV$1)</f>
        <v>1061.25</v>
      </c>
      <c r="EW14" s="116" cm="1">
        <f t="array" ref="EW14">_xll.EQNXTDZ($A$1,$B14,EW$1)</f>
        <v>1233</v>
      </c>
      <c r="EX14" s="116" cm="1">
        <f t="array" ref="EX14">_xll.EQNXTDZ($A$1,$B14,EX$1)</f>
        <v>1477.5</v>
      </c>
      <c r="EY14" s="116" cm="1">
        <f t="array" ref="EY14">_xll.EQNXTDZ($A$1,$B14,EY$1)</f>
        <v>1258</v>
      </c>
      <c r="EZ14" s="116" cm="1">
        <f t="array" ref="EZ14">_xll.EQNXTDZ($A$1,$B14,EZ$1)</f>
        <v>1352</v>
      </c>
      <c r="FA14" s="116" cm="1">
        <f t="array" ref="FA14">_xll.EQNXTDZ($A$1,$B14,FA$1)</f>
        <v>1352</v>
      </c>
      <c r="FB14" s="116" cm="1">
        <f t="array" ref="FB14">_xll.EQNXTDZ($A$1,$B14,FB$1)</f>
        <v>1430.25</v>
      </c>
      <c r="FC14" s="116" cm="1">
        <f t="array" ref="FC14">_xll.EQNXTDZ($A$1,$B14,FC$1)</f>
        <v>1601.65</v>
      </c>
      <c r="FD14" s="116" cm="1">
        <f t="array" ref="FD14">_xll.EQNXTDZ($A$1,$B14,FD$1)</f>
        <v>1613.4</v>
      </c>
      <c r="FE14" s="116" cm="1">
        <f t="array" ref="FE14">_xll.EQNXTDZ($A$1,$B14,FE$1)</f>
        <v>1504.55</v>
      </c>
      <c r="FF14" s="116" cm="1">
        <f t="array" ref="FF14">_xll.EQNXTDZ($A$1,$B14,FF$1)</f>
        <v>1364.4</v>
      </c>
      <c r="FG14" s="116" cm="1">
        <f t="array" ref="FG14">_xll.EQNXTDZ($A$1,$B14,FG$1)</f>
        <v>1360.8</v>
      </c>
      <c r="FH14" s="116" cm="1">
        <f t="array" ref="FH14">_xll.EQNXTDZ($A$1,$B14,FH$1)</f>
        <v>1349.95</v>
      </c>
      <c r="FI14" s="116" cm="1">
        <f t="array" ref="FI14">_xll.EQNXTDZ($A$1,$B14,FI$1)</f>
        <v>1395.45</v>
      </c>
      <c r="FJ14" s="116" cm="1">
        <f t="array" ref="FJ14">_xll.EQNXTDZ($A$1,$B14,FJ$1)</f>
        <v>1374.8</v>
      </c>
      <c r="FK14" s="116" cm="1">
        <f t="array" ref="FK14">_xll.EQNXTDZ($A$1,$B14,FK$1)</f>
        <v>1328.7</v>
      </c>
      <c r="FL14" s="116" cm="1">
        <f t="array" ref="FL14">_xll.EQNXTDZ($A$1,$B14,FL$1)</f>
        <v>1340.6</v>
      </c>
      <c r="FM14" s="116" cm="1">
        <f t="array" ref="FM14">_xll.EQNXTDZ($A$1,$B14,FM$1)</f>
        <v>1785.45</v>
      </c>
      <c r="FN14" s="116" cm="1">
        <f t="array" ref="FN14">_xll.EQNXTDZ($A$1,$B14,FN$1)</f>
        <v>1889</v>
      </c>
      <c r="FO14" s="116" cm="1">
        <f t="array" ref="FO14">_xll.EQNXTDZ($A$1,$B14,FO$1)</f>
        <v>1845.5</v>
      </c>
      <c r="FP14" s="116" cm="1">
        <f t="array" ref="FP14">_xll.EQNXTDZ($A$1,$B14,FP$1)</f>
        <v>0</v>
      </c>
      <c r="FQ14" s="116" cm="1">
        <f t="array" ref="FQ14">_xll.EQNXTDZ($A$1,$B14,FQ$1)</f>
        <v>0</v>
      </c>
      <c r="FR14" s="116" cm="1">
        <f t="array" ref="FR14">_xll.EQNXTDZ($A$1,$B14,FR$1)</f>
        <v>0</v>
      </c>
      <c r="FS14" s="116" cm="1">
        <f t="array" ref="FS14">_xll.EQNXTDZ($A$1,$B14,FS$1)</f>
        <v>0</v>
      </c>
      <c r="FT14" s="116" cm="1">
        <f t="array" ref="FT14">_xll.EQNXTDZ($A$1,$B14,FT$1)</f>
        <v>0</v>
      </c>
      <c r="FU14" s="116" cm="1">
        <f t="array" ref="FU14">_xll.EQNXTDZ($A$1,$B14,FU$1)</f>
        <v>0</v>
      </c>
      <c r="FV14" s="116" cm="1">
        <f t="array" ref="FV14">_xll.EQNXTDZ($A$1,$B14,FV$1)</f>
        <v>0</v>
      </c>
      <c r="FW14" s="116" cm="1">
        <f t="array" ref="FW14">_xll.EQNXTDZ($A$1,$B14,FW$1)</f>
        <v>0</v>
      </c>
      <c r="FX14" s="116" cm="1">
        <f t="array" ref="FX14">_xll.EQNXTDZ($A$1,$B14,FX$1)</f>
        <v>0</v>
      </c>
      <c r="FY14" s="116" cm="1">
        <f t="array" ref="FY14">_xll.EQNXTDZ($A$1,$B14,FY$1)</f>
        <v>0</v>
      </c>
      <c r="FZ14" s="116" cm="1">
        <f t="array" ref="FZ14">_xll.EQNXTDZ($A$1,$B14,FZ$1)</f>
        <v>0</v>
      </c>
      <c r="GA14" s="116" cm="1">
        <f t="array" ref="GA14">_xll.EQNXTDZ($A$1,$B14,GA$1)</f>
        <v>0</v>
      </c>
      <c r="GB14" s="116" cm="1">
        <f t="array" ref="GB14">_xll.EQNXTDZ($A$1,$B14,GB$1)</f>
        <v>0</v>
      </c>
      <c r="GC14" s="116" cm="1">
        <f t="array" ref="GC14">_xll.EQNXTDZ($A$1,$B14,GC$1)</f>
        <v>0</v>
      </c>
      <c r="GD14" s="116" cm="1">
        <f t="array" ref="GD14">_xll.EQNXTDZ($A$1,$B14,GD$1)</f>
        <v>0</v>
      </c>
      <c r="GE14" s="116" cm="1">
        <f t="array" ref="GE14">_xll.EQNXTDZ($A$1,$B14,GE$1)</f>
        <v>0</v>
      </c>
      <c r="GF14" s="116" cm="1">
        <f t="array" ref="GF14">_xll.EQNXTDZ($A$1,$B14,GF$1)</f>
        <v>0</v>
      </c>
      <c r="GG14" s="116" cm="1">
        <f t="array" ref="GG14">_xll.EQNXTDZ($A$1,$B14,GG$1)</f>
        <v>0</v>
      </c>
      <c r="GH14" s="116" cm="1">
        <f t="array" ref="GH14">_xll.EQNXTDZ($A$1,$B14,GH$1)</f>
        <v>0</v>
      </c>
      <c r="GI14" s="116" cm="1">
        <f t="array" ref="GI14">_xll.EQNXTDZ($A$1,$B14,GI$1)</f>
        <v>0</v>
      </c>
      <c r="GJ14" s="116" cm="1">
        <f t="array" ref="GJ14">_xll.EQNXTDZ($A$1,$B14,GJ$1)</f>
        <v>0</v>
      </c>
      <c r="GK14" s="116" cm="1">
        <f t="array" ref="GK14">_xll.EQNXTDZ($A$1,$B14,GK$1)</f>
        <v>0</v>
      </c>
      <c r="GL14" s="116" cm="1">
        <f t="array" ref="GL14">_xll.EQNXTDZ($A$1,$B14,GL$1)</f>
        <v>0</v>
      </c>
      <c r="GM14" s="116" cm="1">
        <f t="array" ref="GM14">_xll.EQNXTDZ($A$1,$B14,GM$1)</f>
        <v>0</v>
      </c>
      <c r="GN14" s="116" cm="1">
        <f t="array" ref="GN14">_xll.EQNXTDZ($A$1,$B14,GN$1)</f>
        <v>0</v>
      </c>
      <c r="GO14" s="116" cm="1">
        <f t="array" ref="GO14">_xll.EQNXTDZ($A$1,$B14,GO$1)</f>
        <v>0</v>
      </c>
      <c r="GP14" s="116" cm="1">
        <f t="array" ref="GP14">_xll.EQNXTDZ($A$1,$B14,GP$1)</f>
        <v>0</v>
      </c>
      <c r="GQ14" s="116" cm="1">
        <f t="array" ref="GQ14">_xll.EQNXTDZ($A$1,$B14,GQ$1)</f>
        <v>0</v>
      </c>
      <c r="GR14" s="116" cm="1">
        <f t="array" ref="GR14">_xll.EQNXTDZ($A$1,$B14,GR$1)</f>
        <v>0</v>
      </c>
      <c r="GS14" s="116" cm="1">
        <f t="array" ref="GS14">_xll.EQNXTDZ($A$1,$B14,GS$1)</f>
        <v>0</v>
      </c>
      <c r="GT14" s="116" cm="1">
        <f t="array" ref="GT14">_xll.EQNXTDZ($A$1,$B14,GT$1)</f>
        <v>0</v>
      </c>
      <c r="GU14" s="116" cm="1">
        <f t="array" ref="GU14">_xll.EQNXTDZ($A$1,$B14,GU$1)</f>
        <v>0</v>
      </c>
      <c r="GV14" s="116" cm="1">
        <f t="array" ref="GV14">_xll.EQNXTDZ($A$1,$B14,GV$1)</f>
        <v>0</v>
      </c>
      <c r="GW14" s="116" cm="1">
        <f t="array" ref="GW14">_xll.EQNXTDZ($A$1,$B14,GW$1)</f>
        <v>0</v>
      </c>
      <c r="GX14" s="116" cm="1">
        <f t="array" ref="GX14">_xll.EQNXTDZ($A$1,$B14,GX$1)</f>
        <v>0</v>
      </c>
      <c r="GY14" s="116" cm="1">
        <f t="array" ref="GY14">_xll.EQNXTDZ($A$1,$B14,GY$1)</f>
        <v>0</v>
      </c>
      <c r="GZ14" s="116" cm="1">
        <f t="array" ref="GZ14">_xll.EQNXTDZ($A$1,$B14,GZ$1)</f>
        <v>0</v>
      </c>
      <c r="HA14" s="116" cm="1">
        <f t="array" ref="HA14">_xll.EQNXTDZ($A$1,$B14,HA$1)</f>
        <v>0</v>
      </c>
      <c r="HB14" s="116" cm="1">
        <f t="array" ref="HB14">_xll.EQNXTDZ($A$1,$B14,HB$1)</f>
        <v>0</v>
      </c>
      <c r="HC14" s="116" cm="1">
        <f t="array" ref="HC14">_xll.EQNXTDZ($A$1,$B14,HC$1)</f>
        <v>0</v>
      </c>
      <c r="HD14" s="116" cm="1">
        <f t="array" ref="HD14">_xll.EQNXTDZ($A$1,$B14,HD$1)</f>
        <v>0</v>
      </c>
      <c r="HE14" s="116" cm="1">
        <f t="array" ref="HE14">_xll.EQNXTDZ($A$1,$B14,HE$1)</f>
        <v>0</v>
      </c>
      <c r="HF14" s="116" cm="1">
        <f t="array" ref="HF14">_xll.EQNXTDZ($A$1,$B14,HF$1)</f>
        <v>0</v>
      </c>
      <c r="HG14" s="116" cm="1">
        <f t="array" ref="HG14">_xll.EQNXTDZ($A$1,$B14,HG$1)</f>
        <v>0</v>
      </c>
      <c r="HH14" s="116" cm="1">
        <f t="array" ref="HH14">_xll.EQNXTDZ($A$1,$B14,HH$1)</f>
        <v>0</v>
      </c>
      <c r="HP14" s="116">
        <f>+MAX(D14:F14)</f>
        <v>13.375</v>
      </c>
      <c r="HQ14" s="116">
        <f>+MAX(G14:I14)</f>
        <v>8.8000000000000007</v>
      </c>
      <c r="HR14" s="116">
        <f>+MAX(J14:L14)</f>
        <v>8.9749999999999996</v>
      </c>
      <c r="HS14" s="116">
        <f>+MAX(M14:O14)</f>
        <v>7.7249999999999996</v>
      </c>
      <c r="HT14" s="116">
        <f>+MAX(P14:R14)</f>
        <v>9.0749999999999993</v>
      </c>
      <c r="HU14" s="116">
        <f>+MAX(S14:U14)</f>
        <v>9.0749999999999993</v>
      </c>
      <c r="HV14" s="116">
        <f>+MAX(V14:X14)</f>
        <v>5</v>
      </c>
      <c r="HW14" s="116">
        <f>+MAX(Y14:AA14)</f>
        <v>7.4050000000000002</v>
      </c>
      <c r="HX14" s="116">
        <f>+MAX(AB14:AD14)</f>
        <v>6.88</v>
      </c>
      <c r="HY14" s="116">
        <f>+MAX(AE14:AG14)</f>
        <v>6.85</v>
      </c>
      <c r="HZ14" s="116">
        <f>+MAX(AH14:AJ14)</f>
        <v>5.7</v>
      </c>
      <c r="IA14" s="116">
        <f>+MAX(AK14:AM14)</f>
        <v>4.1950000000000003</v>
      </c>
      <c r="IB14" s="116">
        <f>+MAX(AN14:AP14)</f>
        <v>5</v>
      </c>
      <c r="IC14" s="116">
        <f>+MAX(AQ14:AS14)</f>
        <v>4.6950000000000003</v>
      </c>
      <c r="ID14" s="116">
        <f>+MAX(AT14:AV14)</f>
        <v>10.8</v>
      </c>
      <c r="IE14" s="116">
        <f>+MAX(AW14:AY14)</f>
        <v>17.475000000000001</v>
      </c>
      <c r="IF14" s="116">
        <f>+MAX(AZ14:BB14)</f>
        <v>17.399999999999999</v>
      </c>
      <c r="IG14" s="116">
        <f>+MAX(BC14:BE14)</f>
        <v>20.399999999999999</v>
      </c>
      <c r="IH14" s="116">
        <f>+MAX(BF14:BH14)</f>
        <v>19.239999999999998</v>
      </c>
      <c r="II14" s="116">
        <f>+MAX(BI14:BK14)</f>
        <v>23</v>
      </c>
      <c r="IJ14" s="116">
        <f>+MAX(BL14:BN14)</f>
        <v>22.2</v>
      </c>
      <c r="IK14" s="116">
        <f>+MAX(BO14:BQ14)</f>
        <v>22.95</v>
      </c>
      <c r="IL14" s="116">
        <f>+MAX(BR14:BT14)</f>
        <v>22.55</v>
      </c>
      <c r="IM14" s="116">
        <f>+MAX(BU14:BW14)</f>
        <v>19.899999999999999</v>
      </c>
      <c r="IN14" s="116">
        <f>+MAX(BX14:BZ14)</f>
        <v>18.399999999999999</v>
      </c>
      <c r="IO14" s="116">
        <f>+MAX(CA14:CC14)</f>
        <v>15.4</v>
      </c>
      <c r="IP14" s="116">
        <f>+MAX(CD14:CF14)</f>
        <v>15.1</v>
      </c>
      <c r="IQ14" s="116">
        <f>+MAX(CG14:CI14)</f>
        <v>13.42</v>
      </c>
      <c r="IR14" s="116">
        <f>+MAX(CJ14:CL14)</f>
        <v>12.25</v>
      </c>
      <c r="IS14" s="116">
        <f>+MAX(CM14:CO14)</f>
        <v>10.53</v>
      </c>
      <c r="IT14" s="116">
        <f>+MAX(CP14:CR14)</f>
        <v>8.9</v>
      </c>
      <c r="IU14" s="116">
        <f>+MAX(CS14:CU14)</f>
        <v>10.85</v>
      </c>
      <c r="IV14" s="116">
        <f>+MAX(CV14:CX14)</f>
        <v>12.5</v>
      </c>
      <c r="IW14" s="116">
        <f>+MAX(CY14:DA14)</f>
        <v>12.08</v>
      </c>
      <c r="IX14" s="116">
        <f>+MAX(DB14:DD14)</f>
        <v>17.489999999999998</v>
      </c>
      <c r="IY14" s="116">
        <f>+MAX(DE14:DG14)</f>
        <v>50.8</v>
      </c>
      <c r="IZ14" s="116">
        <f>+MAX(DH14:DJ14)</f>
        <v>91.1</v>
      </c>
      <c r="JA14" s="116">
        <f>+MAX(DK14:DM14)</f>
        <v>101.8</v>
      </c>
      <c r="JB14" s="116">
        <f>+MAX(DN14:DP14)</f>
        <v>148.65</v>
      </c>
      <c r="JC14" s="116">
        <f>+MAX(DQ14:DS14)</f>
        <v>232</v>
      </c>
      <c r="JD14" s="116">
        <f>+MAX(DT14:DV14)</f>
        <v>204.55</v>
      </c>
      <c r="JE14" s="116">
        <f>+MAX(DW14:DY14)</f>
        <v>253.9</v>
      </c>
      <c r="JF14" s="116">
        <f>+MAX(DZ14:EB14)</f>
        <v>324.8</v>
      </c>
      <c r="JG14" s="116">
        <f>+MAX(EC14:EE14)</f>
        <v>404</v>
      </c>
      <c r="JH14" s="116">
        <f>+MAX(EF14:EH14)</f>
        <v>687.85</v>
      </c>
      <c r="JI14" s="116">
        <f>+MAX(EI14:EK14)</f>
        <v>656.05</v>
      </c>
      <c r="JJ14" s="116">
        <f>+MAX(EL14:EN14)</f>
        <v>637</v>
      </c>
      <c r="JK14" s="116">
        <f>MAX(EO14:EQ14)</f>
        <v>774.95</v>
      </c>
      <c r="JL14" s="116">
        <f>MAX(ER14:ET14)</f>
        <v>959.65</v>
      </c>
      <c r="JM14" s="116">
        <f>MAX(EU14:EW14)</f>
        <v>1233</v>
      </c>
      <c r="JN14" s="116">
        <f>MAX(EX14:EZ14)</f>
        <v>1477.5</v>
      </c>
      <c r="JO14" s="116">
        <f>MAX(FA14:FC14)</f>
        <v>1601.65</v>
      </c>
      <c r="JP14" s="116">
        <f>MAX(FD14:FF14)</f>
        <v>1613.4</v>
      </c>
      <c r="JQ14" s="116">
        <f>MAX(FG14:FI14)</f>
        <v>1395.45</v>
      </c>
      <c r="JR14" s="116">
        <f>MAX(FJ14:FL14)</f>
        <v>1374.8</v>
      </c>
      <c r="JS14" s="116">
        <f>MAX(FM14:FO14)</f>
        <v>1889</v>
      </c>
      <c r="JT14" s="116">
        <f>MAX(FP14:FR14)</f>
        <v>0</v>
      </c>
      <c r="JU14" s="116">
        <f>MAX(FS14:FU14)</f>
        <v>0</v>
      </c>
      <c r="JV14" s="116">
        <f>MAX(FV14:FX14)</f>
        <v>0</v>
      </c>
      <c r="JW14" s="116">
        <f>MAX(FY14:GA14)</f>
        <v>0</v>
      </c>
      <c r="JX14" s="116">
        <f>MAX(GB14:GD14)</f>
        <v>0</v>
      </c>
      <c r="JY14" s="116">
        <f>MAX(GE14:GG14)</f>
        <v>0</v>
      </c>
      <c r="JZ14" s="116">
        <f>MAX(GH14:GJ14)</f>
        <v>0</v>
      </c>
      <c r="KA14" s="116">
        <f>MAX(GK14:GM14)</f>
        <v>0</v>
      </c>
      <c r="KB14" s="116">
        <f>MAX(GN14:GP14)</f>
        <v>0</v>
      </c>
      <c r="KC14" s="116">
        <f>MAX(GQ14:GS14)</f>
        <v>0</v>
      </c>
      <c r="KD14" s="116">
        <f>MAX(GT14:GV14)</f>
        <v>0</v>
      </c>
      <c r="KE14" s="116">
        <f>MAX(GW14:GY14)</f>
        <v>0</v>
      </c>
      <c r="KF14" s="116">
        <f>MAX(GZ14:HB14)</f>
        <v>0</v>
      </c>
      <c r="KG14" s="116">
        <f>MAX(HC14:HE14)</f>
        <v>0</v>
      </c>
      <c r="KH14" s="116">
        <f>MAX(HF14:HH14)</f>
        <v>0</v>
      </c>
    </row>
    <row r="15" spans="1:294" s="116" customFormat="1" x14ac:dyDescent="0.25">
      <c r="A15" s="116" t="s">
        <v>39</v>
      </c>
      <c r="B15" s="116" t="s">
        <v>423</v>
      </c>
      <c r="C15" s="116" cm="1">
        <f t="array" ref="C15">_xll.EQNXTDZ($A$1,$B15,C$1)</f>
        <v>9.2750000000000004</v>
      </c>
      <c r="D15" s="116" cm="1">
        <f t="array" ref="D15">_xll.EQNXTDZ($A$1,$B15,D$1)</f>
        <v>9.5250000000000004</v>
      </c>
      <c r="E15" s="116" cm="1">
        <f t="array" ref="E15">_xll.EQNXTDZ($A$1,$B15,E$1)</f>
        <v>8</v>
      </c>
      <c r="F15" s="116" cm="1">
        <f t="array" ref="F15">_xll.EQNXTDZ($A$1,$B15,F$1)</f>
        <v>7.7249999999999996</v>
      </c>
      <c r="G15" s="116" cm="1">
        <f t="array" ref="G15">_xll.EQNXTDZ($A$1,$B15,G$1)</f>
        <v>6.85</v>
      </c>
      <c r="H15" s="116" cm="1">
        <f t="array" ref="H15">_xll.EQNXTDZ($A$1,$B15,H$1)</f>
        <v>6.75</v>
      </c>
      <c r="I15" s="116" cm="1">
        <f t="array" ref="I15">_xll.EQNXTDZ($A$1,$B15,I$1)</f>
        <v>7.1749999999999998</v>
      </c>
      <c r="J15" s="116" cm="1">
        <f t="array" ref="J15">_xll.EQNXTDZ($A$1,$B15,J$1)</f>
        <v>7.0250000000000004</v>
      </c>
      <c r="K15" s="116" cm="1">
        <f t="array" ref="K15">_xll.EQNXTDZ($A$1,$B15,K$1)</f>
        <v>6.15</v>
      </c>
      <c r="L15" s="116" cm="1">
        <f t="array" ref="L15">_xll.EQNXTDZ($A$1,$B15,L$1)</f>
        <v>5.7750000000000004</v>
      </c>
      <c r="M15" s="116" cm="1">
        <f t="array" ref="M15">_xll.EQNXTDZ($A$1,$B15,M$1)</f>
        <v>5.5</v>
      </c>
      <c r="N15" s="116" cm="1">
        <f t="array" ref="N15">_xll.EQNXTDZ($A$1,$B15,N$1)</f>
        <v>5.0750000000000002</v>
      </c>
      <c r="O15" s="116" cm="1">
        <f t="array" ref="O15">_xll.EQNXTDZ($A$1,$B15,O$1)</f>
        <v>4.4550000000000001</v>
      </c>
      <c r="P15" s="116" cm="1">
        <f t="array" ref="P15">_xll.EQNXTDZ($A$1,$B15,P$1)</f>
        <v>4.46</v>
      </c>
      <c r="Q15" s="116" cm="1">
        <f t="array" ref="Q15">_xll.EQNXTDZ($A$1,$B15,Q$1)</f>
        <v>5.0049999999999999</v>
      </c>
      <c r="R15" s="116" cm="1">
        <f t="array" ref="R15">_xll.EQNXTDZ($A$1,$B15,R$1)</f>
        <v>7.625</v>
      </c>
      <c r="S15" s="116" cm="1">
        <f t="array" ref="S15">_xll.EQNXTDZ($A$1,$B15,S$1)</f>
        <v>6.05</v>
      </c>
      <c r="T15" s="116" cm="1">
        <f t="array" ref="T15">_xll.EQNXTDZ($A$1,$B15,T$1)</f>
        <v>4.8949999999999996</v>
      </c>
      <c r="U15" s="116" cm="1">
        <f t="array" ref="U15">_xll.EQNXTDZ($A$1,$B15,U$1)</f>
        <v>4.3</v>
      </c>
      <c r="V15" s="116" cm="1">
        <f t="array" ref="V15">_xll.EQNXTDZ($A$1,$B15,V$1)</f>
        <v>3.9449999999999998</v>
      </c>
      <c r="W15" s="116" cm="1">
        <f t="array" ref="W15">_xll.EQNXTDZ($A$1,$B15,W$1)</f>
        <v>3.15</v>
      </c>
      <c r="X15" s="116" cm="1">
        <f t="array" ref="X15">_xll.EQNXTDZ($A$1,$B15,X$1)</f>
        <v>3.0750000000000002</v>
      </c>
      <c r="Y15" s="116" cm="1">
        <f t="array" ref="Y15">_xll.EQNXTDZ($A$1,$B15,Y$1)</f>
        <v>3.7850000000000001</v>
      </c>
      <c r="Z15" s="116" cm="1">
        <f t="array" ref="Z15">_xll.EQNXTDZ($A$1,$B15,Z$1)</f>
        <v>3.8450000000000002</v>
      </c>
      <c r="AA15" s="116" cm="1">
        <f t="array" ref="AA15">_xll.EQNXTDZ($A$1,$B15,AA$1)</f>
        <v>4.4749999999999996</v>
      </c>
      <c r="AB15" s="116" cm="1">
        <f t="array" ref="AB15">_xll.EQNXTDZ($A$1,$B15,AB$1)</f>
        <v>5.01</v>
      </c>
      <c r="AC15" s="116" cm="1">
        <f t="array" ref="AC15">_xll.EQNXTDZ($A$1,$B15,AC$1)</f>
        <v>5.0049999999999999</v>
      </c>
      <c r="AD15" s="116" cm="1">
        <f t="array" ref="AD15">_xll.EQNXTDZ($A$1,$B15,AD$1)</f>
        <v>4.585</v>
      </c>
      <c r="AE15" s="116" cm="1">
        <f t="array" ref="AE15">_xll.EQNXTDZ($A$1,$B15,AE$1)</f>
        <v>4.0650000000000004</v>
      </c>
      <c r="AF15" s="116" cm="1">
        <f t="array" ref="AF15">_xll.EQNXTDZ($A$1,$B15,AF$1)</f>
        <v>4.26</v>
      </c>
      <c r="AG15" s="116" cm="1">
        <f t="array" ref="AG15">_xll.EQNXTDZ($A$1,$B15,AG$1)</f>
        <v>4.03</v>
      </c>
      <c r="AH15" s="116" cm="1">
        <f t="array" ref="AH15">_xll.EQNXTDZ($A$1,$B15,AH$1)</f>
        <v>4.55</v>
      </c>
      <c r="AI15" s="116" cm="1">
        <f t="array" ref="AI15">_xll.EQNXTDZ($A$1,$B15,AI$1)</f>
        <v>4.0449999999999999</v>
      </c>
      <c r="AJ15" s="116" cm="1">
        <f t="array" ref="AJ15">_xll.EQNXTDZ($A$1,$B15,AJ$1)</f>
        <v>3.0550000000000002</v>
      </c>
      <c r="AK15" s="116" cm="1">
        <f t="array" ref="AK15">_xll.EQNXTDZ($A$1,$B15,AK$1)</f>
        <v>3.15</v>
      </c>
      <c r="AL15" s="116" cm="1">
        <f t="array" ref="AL15">_xll.EQNXTDZ($A$1,$B15,AL$1)</f>
        <v>3.2250000000000001</v>
      </c>
      <c r="AM15" s="116" cm="1">
        <f t="array" ref="AM15">_xll.EQNXTDZ($A$1,$B15,AM$1)</f>
        <v>2.8650000000000002</v>
      </c>
      <c r="AN15" s="116" cm="1">
        <f t="array" ref="AN15">_xll.EQNXTDZ($A$1,$B15,AN$1)</f>
        <v>2.7749999999999999</v>
      </c>
      <c r="AO15" s="116" cm="1">
        <f t="array" ref="AO15">_xll.EQNXTDZ($A$1,$B15,AO$1)</f>
        <v>3</v>
      </c>
      <c r="AP15" s="116" cm="1">
        <f t="array" ref="AP15">_xll.EQNXTDZ($A$1,$B15,AP$1)</f>
        <v>2.875</v>
      </c>
      <c r="AQ15" s="116" cm="1">
        <f t="array" ref="AQ15">_xll.EQNXTDZ($A$1,$B15,AQ$1)</f>
        <v>3.26</v>
      </c>
      <c r="AR15" s="116" cm="1">
        <f t="array" ref="AR15">_xll.EQNXTDZ($A$1,$B15,AR$1)</f>
        <v>3</v>
      </c>
      <c r="AS15" s="116" cm="1">
        <f t="array" ref="AS15">_xll.EQNXTDZ($A$1,$B15,AS$1)</f>
        <v>3.2</v>
      </c>
      <c r="AT15" s="116" cm="1">
        <f t="array" ref="AT15">_xll.EQNXTDZ($A$1,$B15,AT$1)</f>
        <v>3.63</v>
      </c>
      <c r="AU15" s="116" cm="1">
        <f t="array" ref="AU15">_xll.EQNXTDZ($A$1,$B15,AU$1)</f>
        <v>4.4050000000000002</v>
      </c>
      <c r="AV15" s="116" cm="1">
        <f t="array" ref="AV15">_xll.EQNXTDZ($A$1,$B15,AV$1)</f>
        <v>7.5750000000000002</v>
      </c>
      <c r="AW15" s="116" cm="1">
        <f t="array" ref="AW15">_xll.EQNXTDZ($A$1,$B15,AW$1)</f>
        <v>9.6</v>
      </c>
      <c r="AX15" s="116" cm="1">
        <f t="array" ref="AX15">_xll.EQNXTDZ($A$1,$B15,AX$1)</f>
        <v>11.3</v>
      </c>
      <c r="AY15" s="116" cm="1">
        <f t="array" ref="AY15">_xll.EQNXTDZ($A$1,$B15,AY$1)</f>
        <v>12.5</v>
      </c>
      <c r="AZ15" s="116" cm="1">
        <f t="array" ref="AZ15">_xll.EQNXTDZ($A$1,$B15,AZ$1)</f>
        <v>13.2</v>
      </c>
      <c r="BA15" s="116" cm="1">
        <f t="array" ref="BA15">_xll.EQNXTDZ($A$1,$B15,BA$1)</f>
        <v>12.51</v>
      </c>
      <c r="BB15" s="116" cm="1">
        <f t="array" ref="BB15">_xll.EQNXTDZ($A$1,$B15,BB$1)</f>
        <v>12.8</v>
      </c>
      <c r="BC15" s="116" cm="1">
        <f t="array" ref="BC15">_xll.EQNXTDZ($A$1,$B15,BC$1)</f>
        <v>11.3</v>
      </c>
      <c r="BD15" s="116" cm="1">
        <f t="array" ref="BD15">_xll.EQNXTDZ($A$1,$B15,BD$1)</f>
        <v>12.82</v>
      </c>
      <c r="BE15" s="116" cm="1">
        <f t="array" ref="BE15">_xll.EQNXTDZ($A$1,$B15,BE$1)</f>
        <v>9.0500000000000007</v>
      </c>
      <c r="BF15" s="116" cm="1">
        <f t="array" ref="BF15">_xll.EQNXTDZ($A$1,$B15,BF$1)</f>
        <v>10.4</v>
      </c>
      <c r="BG15" s="116" cm="1">
        <f t="array" ref="BG15">_xll.EQNXTDZ($A$1,$B15,BG$1)</f>
        <v>13.91</v>
      </c>
      <c r="BH15" s="116" cm="1">
        <f t="array" ref="BH15">_xll.EQNXTDZ($A$1,$B15,BH$1)</f>
        <v>14.6</v>
      </c>
      <c r="BI15" s="116" cm="1">
        <f t="array" ref="BI15">_xll.EQNXTDZ($A$1,$B15,BI$1)</f>
        <v>15.1</v>
      </c>
      <c r="BJ15" s="116" cm="1">
        <f t="array" ref="BJ15">_xll.EQNXTDZ($A$1,$B15,BJ$1)</f>
        <v>16.899999999999999</v>
      </c>
      <c r="BK15" s="116" cm="1">
        <f t="array" ref="BK15">_xll.EQNXTDZ($A$1,$B15,BK$1)</f>
        <v>15.05</v>
      </c>
      <c r="BL15" s="116" cm="1">
        <f t="array" ref="BL15">_xll.EQNXTDZ($A$1,$B15,BL$1)</f>
        <v>16.25</v>
      </c>
      <c r="BM15" s="116" cm="1">
        <f t="array" ref="BM15">_xll.EQNXTDZ($A$1,$B15,BM$1)</f>
        <v>15</v>
      </c>
      <c r="BN15" s="116" cm="1">
        <f t="array" ref="BN15">_xll.EQNXTDZ($A$1,$B15,BN$1)</f>
        <v>15.55</v>
      </c>
      <c r="BO15" s="116" cm="1">
        <f t="array" ref="BO15">_xll.EQNXTDZ($A$1,$B15,BO$1)</f>
        <v>16.05</v>
      </c>
      <c r="BP15" s="116" cm="1">
        <f t="array" ref="BP15">_xll.EQNXTDZ($A$1,$B15,BP$1)</f>
        <v>18.100000000000001</v>
      </c>
      <c r="BQ15" s="116" cm="1">
        <f t="array" ref="BQ15">_xll.EQNXTDZ($A$1,$B15,BQ$1)</f>
        <v>16.2</v>
      </c>
      <c r="BR15" s="116" cm="1">
        <f t="array" ref="BR15">_xll.EQNXTDZ($A$1,$B15,BR$1)</f>
        <v>17.2</v>
      </c>
      <c r="BS15" s="116" cm="1">
        <f t="array" ref="BS15">_xll.EQNXTDZ($A$1,$B15,BS$1)</f>
        <v>15.35</v>
      </c>
      <c r="BT15" s="116" cm="1">
        <f t="array" ref="BT15">_xll.EQNXTDZ($A$1,$B15,BT$1)</f>
        <v>13.5</v>
      </c>
      <c r="BU15" s="116" cm="1">
        <f t="array" ref="BU15">_xll.EQNXTDZ($A$1,$B15,BU$1)</f>
        <v>14.3</v>
      </c>
      <c r="BV15" s="116" cm="1">
        <f t="array" ref="BV15">_xll.EQNXTDZ($A$1,$B15,BV$1)</f>
        <v>14.8</v>
      </c>
      <c r="BW15" s="116" cm="1">
        <f t="array" ref="BW15">_xll.EQNXTDZ($A$1,$B15,BW$1)</f>
        <v>11.5</v>
      </c>
      <c r="BX15" s="116" cm="1">
        <f t="array" ref="BX15">_xll.EQNXTDZ($A$1,$B15,BX$1)</f>
        <v>13</v>
      </c>
      <c r="BY15" s="116" cm="1">
        <f t="array" ref="BY15">_xll.EQNXTDZ($A$1,$B15,BY$1)</f>
        <v>14.75</v>
      </c>
      <c r="BZ15" s="116" cm="1">
        <f t="array" ref="BZ15">_xll.EQNXTDZ($A$1,$B15,BZ$1)</f>
        <v>13.45</v>
      </c>
      <c r="CA15" s="116" cm="1">
        <f t="array" ref="CA15">_xll.EQNXTDZ($A$1,$B15,CA$1)</f>
        <v>12.21</v>
      </c>
      <c r="CB15" s="116" cm="1">
        <f t="array" ref="CB15">_xll.EQNXTDZ($A$1,$B15,CB$1)</f>
        <v>12.02</v>
      </c>
      <c r="CC15" s="116" cm="1">
        <f t="array" ref="CC15">_xll.EQNXTDZ($A$1,$B15,CC$1)</f>
        <v>12.5</v>
      </c>
      <c r="CD15" s="116" cm="1">
        <f t="array" ref="CD15">_xll.EQNXTDZ($A$1,$B15,CD$1)</f>
        <v>11.5</v>
      </c>
      <c r="CE15" s="116" cm="1">
        <f t="array" ref="CE15">_xll.EQNXTDZ($A$1,$B15,CE$1)</f>
        <v>10.5</v>
      </c>
      <c r="CF15" s="116" cm="1">
        <f t="array" ref="CF15">_xll.EQNXTDZ($A$1,$B15,CF$1)</f>
        <v>11.51</v>
      </c>
      <c r="CG15" s="116" cm="1">
        <f t="array" ref="CG15">_xll.EQNXTDZ($A$1,$B15,CG$1)</f>
        <v>11.51</v>
      </c>
      <c r="CH15" s="116" cm="1">
        <f t="array" ref="CH15">_xll.EQNXTDZ($A$1,$B15,CH$1)</f>
        <v>10</v>
      </c>
      <c r="CI15" s="116" cm="1">
        <f t="array" ref="CI15">_xll.EQNXTDZ($A$1,$B15,CI$1)</f>
        <v>7.03</v>
      </c>
      <c r="CJ15" s="116" cm="1">
        <f t="array" ref="CJ15">_xll.EQNXTDZ($A$1,$B15,CJ$1)</f>
        <v>8</v>
      </c>
      <c r="CK15" s="116" cm="1">
        <f t="array" ref="CK15">_xll.EQNXTDZ($A$1,$B15,CK$1)</f>
        <v>8.3000000000000007</v>
      </c>
      <c r="CL15" s="116" cm="1">
        <f t="array" ref="CL15">_xll.EQNXTDZ($A$1,$B15,CL$1)</f>
        <v>8.6999999999999993</v>
      </c>
      <c r="CM15" s="116" cm="1">
        <f t="array" ref="CM15">_xll.EQNXTDZ($A$1,$B15,CM$1)</f>
        <v>8.5</v>
      </c>
      <c r="CN15" s="116" cm="1">
        <f t="array" ref="CN15">_xll.EQNXTDZ($A$1,$B15,CN$1)</f>
        <v>7.05</v>
      </c>
      <c r="CO15" s="116" cm="1">
        <f t="array" ref="CO15">_xll.EQNXTDZ($A$1,$B15,CO$1)</f>
        <v>6.9</v>
      </c>
      <c r="CP15" s="116" cm="1">
        <f t="array" ref="CP15">_xll.EQNXTDZ($A$1,$B15,CP$1)</f>
        <v>6.9</v>
      </c>
      <c r="CQ15" s="116" cm="1">
        <f t="array" ref="CQ15">_xll.EQNXTDZ($A$1,$B15,CQ$1)</f>
        <v>7</v>
      </c>
      <c r="CR15" s="116" cm="1">
        <f t="array" ref="CR15">_xll.EQNXTDZ($A$1,$B15,CR$1)</f>
        <v>4.16</v>
      </c>
      <c r="CS15" s="116" cm="1">
        <f t="array" ref="CS15">_xll.EQNXTDZ($A$1,$B15,CS$1)</f>
        <v>4.12</v>
      </c>
      <c r="CT15" s="116" cm="1">
        <f t="array" ref="CT15">_xll.EQNXTDZ($A$1,$B15,CT$1)</f>
        <v>4.41</v>
      </c>
      <c r="CU15" s="116" cm="1">
        <f t="array" ref="CU15">_xll.EQNXTDZ($A$1,$B15,CU$1)</f>
        <v>6.6</v>
      </c>
      <c r="CV15" s="116" cm="1">
        <f t="array" ref="CV15">_xll.EQNXTDZ($A$1,$B15,CV$1)</f>
        <v>9.31</v>
      </c>
      <c r="CW15" s="116" cm="1">
        <f t="array" ref="CW15">_xll.EQNXTDZ($A$1,$B15,CW$1)</f>
        <v>9.94</v>
      </c>
      <c r="CX15" s="116" cm="1">
        <f t="array" ref="CX15">_xll.EQNXTDZ($A$1,$B15,CX$1)</f>
        <v>9.2200000000000006</v>
      </c>
      <c r="CY15" s="116" cm="1">
        <f t="array" ref="CY15">_xll.EQNXTDZ($A$1,$B15,CY$1)</f>
        <v>9.81</v>
      </c>
      <c r="CZ15" s="116" cm="1">
        <f t="array" ref="CZ15">_xll.EQNXTDZ($A$1,$B15,CZ$1)</f>
        <v>9.25</v>
      </c>
      <c r="DA15" s="116" cm="1">
        <f t="array" ref="DA15">_xll.EQNXTDZ($A$1,$B15,DA$1)</f>
        <v>9.31</v>
      </c>
      <c r="DB15" s="116" cm="1">
        <f t="array" ref="DB15">_xll.EQNXTDZ($A$1,$B15,DB$1)</f>
        <v>9.8000000000000007</v>
      </c>
      <c r="DC15" s="116" cm="1">
        <f t="array" ref="DC15">_xll.EQNXTDZ($A$1,$B15,DC$1)</f>
        <v>10.7</v>
      </c>
      <c r="DD15" s="116" cm="1">
        <f t="array" ref="DD15">_xll.EQNXTDZ($A$1,$B15,DD$1)</f>
        <v>10.48</v>
      </c>
      <c r="DE15" s="116" cm="1">
        <f t="array" ref="DE15">_xll.EQNXTDZ($A$1,$B15,DE$1)</f>
        <v>10.49</v>
      </c>
      <c r="DF15" s="116" cm="1">
        <f t="array" ref="DF15">_xll.EQNXTDZ($A$1,$B15,DF$1)</f>
        <v>14.3</v>
      </c>
      <c r="DG15" s="116" cm="1">
        <f t="array" ref="DG15">_xll.EQNXTDZ($A$1,$B15,DG$1)</f>
        <v>30.1</v>
      </c>
      <c r="DH15" s="116" cm="1">
        <f t="array" ref="DH15">_xll.EQNXTDZ($A$1,$B15,DH$1)</f>
        <v>47.25</v>
      </c>
      <c r="DI15" s="116" cm="1">
        <f t="array" ref="DI15">_xll.EQNXTDZ($A$1,$B15,DI$1)</f>
        <v>55</v>
      </c>
      <c r="DJ15" s="116" cm="1">
        <f t="array" ref="DJ15">_xll.EQNXTDZ($A$1,$B15,DJ$1)</f>
        <v>64.2</v>
      </c>
      <c r="DK15" s="116" cm="1">
        <f t="array" ref="DK15">_xll.EQNXTDZ($A$1,$B15,DK$1)</f>
        <v>84.75</v>
      </c>
      <c r="DL15" s="116" cm="1">
        <f t="array" ref="DL15">_xll.EQNXTDZ($A$1,$B15,DL$1)</f>
        <v>75.55</v>
      </c>
      <c r="DM15" s="116" cm="1">
        <f t="array" ref="DM15">_xll.EQNXTDZ($A$1,$B15,DM$1)</f>
        <v>71.599999999999994</v>
      </c>
      <c r="DN15" s="116" cm="1">
        <f t="array" ref="DN15">_xll.EQNXTDZ($A$1,$B15,DN$1)</f>
        <v>102.45</v>
      </c>
      <c r="DO15" s="116" cm="1">
        <f t="array" ref="DO15">_xll.EQNXTDZ($A$1,$B15,DO$1)</f>
        <v>115.65</v>
      </c>
      <c r="DP15" s="116" cm="1">
        <f t="array" ref="DP15">_xll.EQNXTDZ($A$1,$B15,DP$1)</f>
        <v>110.7</v>
      </c>
      <c r="DQ15" s="116" cm="1">
        <f t="array" ref="DQ15">_xll.EQNXTDZ($A$1,$B15,DQ$1)</f>
        <v>130.05000000000001</v>
      </c>
      <c r="DR15" s="116" cm="1">
        <f t="array" ref="DR15">_xll.EQNXTDZ($A$1,$B15,DR$1)</f>
        <v>136</v>
      </c>
      <c r="DS15" s="116" cm="1">
        <f t="array" ref="DS15">_xll.EQNXTDZ($A$1,$B15,DS$1)</f>
        <v>126.1</v>
      </c>
      <c r="DT15" s="116" cm="1">
        <f t="array" ref="DT15">_xll.EQNXTDZ($A$1,$B15,DT$1)</f>
        <v>132.44999999999999</v>
      </c>
      <c r="DU15" s="116" cm="1">
        <f t="array" ref="DU15">_xll.EQNXTDZ($A$1,$B15,DU$1)</f>
        <v>136.75</v>
      </c>
      <c r="DV15" s="116" cm="1">
        <f t="array" ref="DV15">_xll.EQNXTDZ($A$1,$B15,DV$1)</f>
        <v>138.5</v>
      </c>
      <c r="DW15" s="116" cm="1">
        <f t="array" ref="DW15">_xll.EQNXTDZ($A$1,$B15,DW$1)</f>
        <v>170.7</v>
      </c>
      <c r="DX15" s="116" cm="1">
        <f t="array" ref="DX15">_xll.EQNXTDZ($A$1,$B15,DX$1)</f>
        <v>163.15</v>
      </c>
      <c r="DY15" s="116" cm="1">
        <f t="array" ref="DY15">_xll.EQNXTDZ($A$1,$B15,DY$1)</f>
        <v>166.85</v>
      </c>
      <c r="DZ15" s="116" cm="1">
        <f t="array" ref="DZ15">_xll.EQNXTDZ($A$1,$B15,DZ$1)</f>
        <v>235.6</v>
      </c>
      <c r="EA15" s="116" cm="1">
        <f t="array" ref="EA15">_xll.EQNXTDZ($A$1,$B15,EA$1)</f>
        <v>264</v>
      </c>
      <c r="EB15" s="116" cm="1">
        <f t="array" ref="EB15">_xll.EQNXTDZ($A$1,$B15,EB$1)</f>
        <v>275</v>
      </c>
      <c r="EC15" s="116" cm="1">
        <f t="array" ref="EC15">_xll.EQNXTDZ($A$1,$B15,EC$1)</f>
        <v>275</v>
      </c>
      <c r="ED15" s="116" cm="1">
        <f t="array" ref="ED15">_xll.EQNXTDZ($A$1,$B15,ED$1)</f>
        <v>299.7</v>
      </c>
      <c r="EE15" s="116" cm="1">
        <f t="array" ref="EE15">_xll.EQNXTDZ($A$1,$B15,EE$1)</f>
        <v>318</v>
      </c>
      <c r="EF15" s="116" cm="1">
        <f t="array" ref="EF15">_xll.EQNXTDZ($A$1,$B15,EF$1)</f>
        <v>395.2</v>
      </c>
      <c r="EG15" s="116" cm="1">
        <f t="array" ref="EG15">_xll.EQNXTDZ($A$1,$B15,EG$1)</f>
        <v>498.55</v>
      </c>
      <c r="EH15" s="116" cm="1">
        <f t="array" ref="EH15">_xll.EQNXTDZ($A$1,$B15,EH$1)</f>
        <v>521.20000000000005</v>
      </c>
      <c r="EI15" s="116" cm="1">
        <f t="array" ref="EI15">_xll.EQNXTDZ($A$1,$B15,EI$1)</f>
        <v>502.45</v>
      </c>
      <c r="EJ15" s="116" cm="1">
        <f t="array" ref="EJ15">_xll.EQNXTDZ($A$1,$B15,EJ$1)</f>
        <v>485.3</v>
      </c>
      <c r="EK15" s="116" cm="1">
        <f t="array" ref="EK15">_xll.EQNXTDZ($A$1,$B15,EK$1)</f>
        <v>522</v>
      </c>
      <c r="EL15" s="116" cm="1">
        <f t="array" ref="EL15">_xll.EQNXTDZ($A$1,$B15,EL$1)</f>
        <v>557.6</v>
      </c>
      <c r="EM15" s="116" cm="1">
        <f t="array" ref="EM15">_xll.EQNXTDZ($A$1,$B15,EM$1)</f>
        <v>522.4</v>
      </c>
      <c r="EN15" s="116" cm="1">
        <f t="array" ref="EN15">_xll.EQNXTDZ($A$1,$B15,EN$1)</f>
        <v>530</v>
      </c>
      <c r="EO15" s="116" cm="1">
        <f t="array" ref="EO15">_xll.EQNXTDZ($A$1,$B15,EO$1)</f>
        <v>593.85</v>
      </c>
      <c r="EP15" s="116" cm="1">
        <f t="array" ref="EP15">_xll.EQNXTDZ($A$1,$B15,EP$1)</f>
        <v>655</v>
      </c>
      <c r="EQ15" s="116" cm="1">
        <f t="array" ref="EQ15">_xll.EQNXTDZ($A$1,$B15,EQ$1)</f>
        <v>592.1</v>
      </c>
      <c r="ER15" s="116" cm="1">
        <f t="array" ref="ER15">_xll.EQNXTDZ($A$1,$B15,ER$1)</f>
        <v>675</v>
      </c>
      <c r="ES15" s="116" cm="1">
        <f t="array" ref="ES15">_xll.EQNXTDZ($A$1,$B15,ES$1)</f>
        <v>704.75</v>
      </c>
      <c r="ET15" s="116" cm="1">
        <f t="array" ref="ET15">_xll.EQNXTDZ($A$1,$B15,ET$1)</f>
        <v>734.1</v>
      </c>
      <c r="EU15" s="116" cm="1">
        <f t="array" ref="EU15">_xll.EQNXTDZ($A$1,$B15,EU$1)</f>
        <v>880.95</v>
      </c>
      <c r="EV15" s="116" cm="1">
        <f t="array" ref="EV15">_xll.EQNXTDZ($A$1,$B15,EV$1)</f>
        <v>907.95</v>
      </c>
      <c r="EW15" s="116" cm="1">
        <f t="array" ref="EW15">_xll.EQNXTDZ($A$1,$B15,EW$1)</f>
        <v>1041.8499999999999</v>
      </c>
      <c r="EX15" s="116" cm="1">
        <f t="array" ref="EX15">_xll.EQNXTDZ($A$1,$B15,EX$1)</f>
        <v>1144.5</v>
      </c>
      <c r="EY15" s="116" cm="1">
        <f t="array" ref="EY15">_xll.EQNXTDZ($A$1,$B15,EY$1)</f>
        <v>1000.05</v>
      </c>
      <c r="EZ15" s="116" cm="1">
        <f t="array" ref="EZ15">_xll.EQNXTDZ($A$1,$B15,EZ$1)</f>
        <v>943.25</v>
      </c>
      <c r="FA15" s="116" cm="1">
        <f t="array" ref="FA15">_xll.EQNXTDZ($A$1,$B15,FA$1)</f>
        <v>1005.05</v>
      </c>
      <c r="FB15" s="116" cm="1">
        <f t="array" ref="FB15">_xll.EQNXTDZ($A$1,$B15,FB$1)</f>
        <v>1146.55</v>
      </c>
      <c r="FC15" s="116" cm="1">
        <f t="array" ref="FC15">_xll.EQNXTDZ($A$1,$B15,FC$1)</f>
        <v>1330</v>
      </c>
      <c r="FD15" s="116" cm="1">
        <f t="array" ref="FD15">_xll.EQNXTDZ($A$1,$B15,FD$1)</f>
        <v>1457.05</v>
      </c>
      <c r="FE15" s="116" cm="1">
        <f t="array" ref="FE15">_xll.EQNXTDZ($A$1,$B15,FE$1)</f>
        <v>1285</v>
      </c>
      <c r="FF15" s="116" cm="1">
        <f t="array" ref="FF15">_xll.EQNXTDZ($A$1,$B15,FF$1)</f>
        <v>1201.5</v>
      </c>
      <c r="FG15" s="116" cm="1">
        <f t="array" ref="FG15">_xll.EQNXTDZ($A$1,$B15,FG$1)</f>
        <v>1210</v>
      </c>
      <c r="FH15" s="116" cm="1">
        <f t="array" ref="FH15">_xll.EQNXTDZ($A$1,$B15,FH$1)</f>
        <v>1170.7</v>
      </c>
      <c r="FI15" s="116" cm="1">
        <f t="array" ref="FI15">_xll.EQNXTDZ($A$1,$B15,FI$1)</f>
        <v>1186.5999999999999</v>
      </c>
      <c r="FJ15" s="116" cm="1">
        <f t="array" ref="FJ15">_xll.EQNXTDZ($A$1,$B15,FJ$1)</f>
        <v>1084</v>
      </c>
      <c r="FK15" s="116" cm="1">
        <f t="array" ref="FK15">_xll.EQNXTDZ($A$1,$B15,FK$1)</f>
        <v>1044</v>
      </c>
      <c r="FL15" s="116" cm="1">
        <f t="array" ref="FL15">_xll.EQNXTDZ($A$1,$B15,FL$1)</f>
        <v>1120</v>
      </c>
      <c r="FM15" s="116" cm="1">
        <f t="array" ref="FM15">_xll.EQNXTDZ($A$1,$B15,FM$1)</f>
        <v>1289.1500000000001</v>
      </c>
      <c r="FN15" s="116" cm="1">
        <f t="array" ref="FN15">_xll.EQNXTDZ($A$1,$B15,FN$1)</f>
        <v>1637</v>
      </c>
      <c r="FO15" s="116" cm="1">
        <f t="array" ref="FO15">_xll.EQNXTDZ($A$1,$B15,FO$1)</f>
        <v>1670.05</v>
      </c>
      <c r="FP15" s="116" cm="1">
        <f t="array" ref="FP15">_xll.EQNXTDZ($A$1,$B15,FP$1)</f>
        <v>0</v>
      </c>
      <c r="FQ15" s="116" cm="1">
        <f t="array" ref="FQ15">_xll.EQNXTDZ($A$1,$B15,FQ$1)</f>
        <v>0</v>
      </c>
      <c r="FR15" s="116" cm="1">
        <f t="array" ref="FR15">_xll.EQNXTDZ($A$1,$B15,FR$1)</f>
        <v>0</v>
      </c>
      <c r="FS15" s="116" cm="1">
        <f t="array" ref="FS15">_xll.EQNXTDZ($A$1,$B15,FS$1)</f>
        <v>0</v>
      </c>
      <c r="FT15" s="116" cm="1">
        <f t="array" ref="FT15">_xll.EQNXTDZ($A$1,$B15,FT$1)</f>
        <v>0</v>
      </c>
      <c r="FU15" s="116" cm="1">
        <f t="array" ref="FU15">_xll.EQNXTDZ($A$1,$B15,FU$1)</f>
        <v>0</v>
      </c>
      <c r="FV15" s="116" cm="1">
        <f t="array" ref="FV15">_xll.EQNXTDZ($A$1,$B15,FV$1)</f>
        <v>0</v>
      </c>
      <c r="FW15" s="116" cm="1">
        <f t="array" ref="FW15">_xll.EQNXTDZ($A$1,$B15,FW$1)</f>
        <v>0</v>
      </c>
      <c r="FX15" s="116" cm="1">
        <f t="array" ref="FX15">_xll.EQNXTDZ($A$1,$B15,FX$1)</f>
        <v>0</v>
      </c>
      <c r="FY15" s="116" cm="1">
        <f t="array" ref="FY15">_xll.EQNXTDZ($A$1,$B15,FY$1)</f>
        <v>0</v>
      </c>
      <c r="FZ15" s="116" cm="1">
        <f t="array" ref="FZ15">_xll.EQNXTDZ($A$1,$B15,FZ$1)</f>
        <v>0</v>
      </c>
      <c r="GA15" s="116" cm="1">
        <f t="array" ref="GA15">_xll.EQNXTDZ($A$1,$B15,GA$1)</f>
        <v>0</v>
      </c>
      <c r="GB15" s="116" cm="1">
        <f t="array" ref="GB15">_xll.EQNXTDZ($A$1,$B15,GB$1)</f>
        <v>0</v>
      </c>
      <c r="GC15" s="116" cm="1">
        <f t="array" ref="GC15">_xll.EQNXTDZ($A$1,$B15,GC$1)</f>
        <v>0</v>
      </c>
      <c r="GD15" s="116" cm="1">
        <f t="array" ref="GD15">_xll.EQNXTDZ($A$1,$B15,GD$1)</f>
        <v>0</v>
      </c>
      <c r="GE15" s="116" cm="1">
        <f t="array" ref="GE15">_xll.EQNXTDZ($A$1,$B15,GE$1)</f>
        <v>0</v>
      </c>
      <c r="GF15" s="116" cm="1">
        <f t="array" ref="GF15">_xll.EQNXTDZ($A$1,$B15,GF$1)</f>
        <v>0</v>
      </c>
      <c r="GG15" s="116" cm="1">
        <f t="array" ref="GG15">_xll.EQNXTDZ($A$1,$B15,GG$1)</f>
        <v>0</v>
      </c>
      <c r="GH15" s="116" cm="1">
        <f t="array" ref="GH15">_xll.EQNXTDZ($A$1,$B15,GH$1)</f>
        <v>0</v>
      </c>
      <c r="GI15" s="116" cm="1">
        <f t="array" ref="GI15">_xll.EQNXTDZ($A$1,$B15,GI$1)</f>
        <v>0</v>
      </c>
      <c r="GJ15" s="116" cm="1">
        <f t="array" ref="GJ15">_xll.EQNXTDZ($A$1,$B15,GJ$1)</f>
        <v>0</v>
      </c>
      <c r="GK15" s="116" cm="1">
        <f t="array" ref="GK15">_xll.EQNXTDZ($A$1,$B15,GK$1)</f>
        <v>0</v>
      </c>
      <c r="GL15" s="116" cm="1">
        <f t="array" ref="GL15">_xll.EQNXTDZ($A$1,$B15,GL$1)</f>
        <v>0</v>
      </c>
      <c r="GM15" s="116" cm="1">
        <f t="array" ref="GM15">_xll.EQNXTDZ($A$1,$B15,GM$1)</f>
        <v>0</v>
      </c>
      <c r="GN15" s="116" cm="1">
        <f t="array" ref="GN15">_xll.EQNXTDZ($A$1,$B15,GN$1)</f>
        <v>0</v>
      </c>
      <c r="GO15" s="116" cm="1">
        <f t="array" ref="GO15">_xll.EQNXTDZ($A$1,$B15,GO$1)</f>
        <v>0</v>
      </c>
      <c r="GP15" s="116" cm="1">
        <f t="array" ref="GP15">_xll.EQNXTDZ($A$1,$B15,GP$1)</f>
        <v>0</v>
      </c>
      <c r="GQ15" s="116" cm="1">
        <f t="array" ref="GQ15">_xll.EQNXTDZ($A$1,$B15,GQ$1)</f>
        <v>0</v>
      </c>
      <c r="GR15" s="116" cm="1">
        <f t="array" ref="GR15">_xll.EQNXTDZ($A$1,$B15,GR$1)</f>
        <v>0</v>
      </c>
      <c r="GS15" s="116" cm="1">
        <f t="array" ref="GS15">_xll.EQNXTDZ($A$1,$B15,GS$1)</f>
        <v>0</v>
      </c>
      <c r="GT15" s="116" cm="1">
        <f t="array" ref="GT15">_xll.EQNXTDZ($A$1,$B15,GT$1)</f>
        <v>0</v>
      </c>
      <c r="GU15" s="116" cm="1">
        <f t="array" ref="GU15">_xll.EQNXTDZ($A$1,$B15,GU$1)</f>
        <v>0</v>
      </c>
      <c r="GV15" s="116" cm="1">
        <f t="array" ref="GV15">_xll.EQNXTDZ($A$1,$B15,GV$1)</f>
        <v>0</v>
      </c>
      <c r="GW15" s="116" cm="1">
        <f t="array" ref="GW15">_xll.EQNXTDZ($A$1,$B15,GW$1)</f>
        <v>0</v>
      </c>
      <c r="GX15" s="116" cm="1">
        <f t="array" ref="GX15">_xll.EQNXTDZ($A$1,$B15,GX$1)</f>
        <v>0</v>
      </c>
      <c r="GY15" s="116" cm="1">
        <f t="array" ref="GY15">_xll.EQNXTDZ($A$1,$B15,GY$1)</f>
        <v>0</v>
      </c>
      <c r="GZ15" s="116" cm="1">
        <f t="array" ref="GZ15">_xll.EQNXTDZ($A$1,$B15,GZ$1)</f>
        <v>0</v>
      </c>
      <c r="HA15" s="116" cm="1">
        <f t="array" ref="HA15">_xll.EQNXTDZ($A$1,$B15,HA$1)</f>
        <v>0</v>
      </c>
      <c r="HB15" s="116" cm="1">
        <f t="array" ref="HB15">_xll.EQNXTDZ($A$1,$B15,HB$1)</f>
        <v>0</v>
      </c>
      <c r="HC15" s="116" cm="1">
        <f t="array" ref="HC15">_xll.EQNXTDZ($A$1,$B15,HC$1)</f>
        <v>0</v>
      </c>
      <c r="HD15" s="116" cm="1">
        <f t="array" ref="HD15">_xll.EQNXTDZ($A$1,$B15,HD$1)</f>
        <v>0</v>
      </c>
      <c r="HE15" s="116" cm="1">
        <f t="array" ref="HE15">_xll.EQNXTDZ($A$1,$B15,HE$1)</f>
        <v>0</v>
      </c>
      <c r="HF15" s="116" cm="1">
        <f t="array" ref="HF15">_xll.EQNXTDZ($A$1,$B15,HF$1)</f>
        <v>0</v>
      </c>
      <c r="HG15" s="116" cm="1">
        <f t="array" ref="HG15">_xll.EQNXTDZ($A$1,$B15,HG$1)</f>
        <v>0</v>
      </c>
      <c r="HH15" s="116" cm="1">
        <f t="array" ref="HH15">_xll.EQNXTDZ($A$1,$B15,HH$1)</f>
        <v>0</v>
      </c>
      <c r="HP15" s="116">
        <f>+MIN(D15:F15)</f>
        <v>7.7249999999999996</v>
      </c>
      <c r="HQ15" s="116">
        <f>+MIN(G15:I15)</f>
        <v>6.75</v>
      </c>
      <c r="HR15" s="116">
        <f>+MIN(J15:L15)</f>
        <v>5.7750000000000004</v>
      </c>
      <c r="HS15" s="116">
        <f>+MIN(M15:O15)</f>
        <v>4.4550000000000001</v>
      </c>
      <c r="HT15" s="116">
        <f>+MIN(P15:R15)</f>
        <v>4.46</v>
      </c>
      <c r="HU15" s="116">
        <f>+MIN(S15:U15)</f>
        <v>4.3</v>
      </c>
      <c r="HV15" s="116">
        <f>+MIN(V15:X15)</f>
        <v>3.0750000000000002</v>
      </c>
      <c r="HW15" s="116">
        <f>+MIN(Y15:AA15)</f>
        <v>3.7850000000000001</v>
      </c>
      <c r="HX15" s="116">
        <f>+MIN(AB15:AD15)</f>
        <v>4.585</v>
      </c>
      <c r="HY15" s="116">
        <f>+MIN(AE15:AG15)</f>
        <v>4.03</v>
      </c>
      <c r="HZ15" s="116">
        <f>+MIN(AH15:AJ15)</f>
        <v>3.0550000000000002</v>
      </c>
      <c r="IA15" s="116">
        <f>+MIN(AK15:AM15)</f>
        <v>2.8650000000000002</v>
      </c>
      <c r="IB15" s="116">
        <f>+MIN(AN15:AP15)</f>
        <v>2.7749999999999999</v>
      </c>
      <c r="IC15" s="116">
        <f>+MIN(AQ15:AS15)</f>
        <v>3</v>
      </c>
      <c r="ID15" s="116">
        <f>+MIN(AT15:AV15)</f>
        <v>3.63</v>
      </c>
      <c r="IE15" s="116">
        <f>+MIN(AW15:AY15)</f>
        <v>9.6</v>
      </c>
      <c r="IF15" s="116">
        <f>+MIN(AZ15:BB15)</f>
        <v>12.51</v>
      </c>
      <c r="IG15" s="116">
        <f>+MIN(BC15:BE15)</f>
        <v>9.0500000000000007</v>
      </c>
      <c r="IH15" s="116">
        <f>+MIN(BF15:BH15)</f>
        <v>10.4</v>
      </c>
      <c r="II15" s="116">
        <f>+MIN(BI15:BK15)</f>
        <v>15.05</v>
      </c>
      <c r="IJ15" s="116">
        <f>+MIN(BL15:BN15)</f>
        <v>15</v>
      </c>
      <c r="IK15" s="116">
        <f>+MIN(BO15:BQ15)</f>
        <v>16.05</v>
      </c>
      <c r="IL15" s="116">
        <f>+MIN(BR15:BT15)</f>
        <v>13.5</v>
      </c>
      <c r="IM15" s="116">
        <f>+MIN(BU15:BW15)</f>
        <v>11.5</v>
      </c>
      <c r="IN15" s="116">
        <f>+MIN(BX15:BZ15)</f>
        <v>13</v>
      </c>
      <c r="IO15" s="116">
        <f>+MIN(CA15:CC15)</f>
        <v>12.02</v>
      </c>
      <c r="IP15" s="116">
        <f>+MIN(CD15:CF15)</f>
        <v>10.5</v>
      </c>
      <c r="IQ15" s="116">
        <f>+MIN(CG15:CI15)</f>
        <v>7.03</v>
      </c>
      <c r="IR15" s="116">
        <f>+MIN(CJ15:CL15)</f>
        <v>8</v>
      </c>
      <c r="IS15" s="116">
        <f>+MIN(CM15:CO15)</f>
        <v>6.9</v>
      </c>
      <c r="IT15" s="116">
        <f>+MIN(CP15:CR15)</f>
        <v>4.16</v>
      </c>
      <c r="IU15" s="116">
        <f>+MIN(CS15:CU15)</f>
        <v>4.12</v>
      </c>
      <c r="IV15" s="116">
        <f>+MIN(CV15:CX15)</f>
        <v>9.2200000000000006</v>
      </c>
      <c r="IW15" s="116">
        <f>+MIN(CY15:DA15)</f>
        <v>9.25</v>
      </c>
      <c r="IX15" s="116">
        <f>+MIN(DB15:DD15)</f>
        <v>9.8000000000000007</v>
      </c>
      <c r="IY15" s="116">
        <f>+MIN(DE15:DG15)</f>
        <v>10.49</v>
      </c>
      <c r="IZ15" s="116">
        <f>+MIN(DH15:DJ15)</f>
        <v>47.25</v>
      </c>
      <c r="JA15" s="116">
        <f>+MIN(DK15:DM15)</f>
        <v>71.599999999999994</v>
      </c>
      <c r="JB15" s="116">
        <f>+MIN(DN15:DP15)</f>
        <v>102.45</v>
      </c>
      <c r="JC15" s="116">
        <f>+MIN(DQ15:DS15)</f>
        <v>126.1</v>
      </c>
      <c r="JD15" s="116">
        <f>+MIN(DT15:DV15)</f>
        <v>132.44999999999999</v>
      </c>
      <c r="JE15" s="116">
        <f>+MIN(DW15:DY15)</f>
        <v>163.15</v>
      </c>
      <c r="JF15" s="116">
        <f>+MIN(DZ15:EB15)</f>
        <v>235.6</v>
      </c>
      <c r="JG15" s="116">
        <f>+MIN(EC15:EE15)</f>
        <v>275</v>
      </c>
      <c r="JH15" s="116">
        <f>+MIN(EF15:EH15)</f>
        <v>395.2</v>
      </c>
      <c r="JI15" s="116">
        <f>+MIN(EI15:EK15)</f>
        <v>485.3</v>
      </c>
      <c r="JJ15" s="116">
        <f>+MIN(EL15:EN15)</f>
        <v>522.4</v>
      </c>
      <c r="JK15" s="116">
        <f>MIN(EO15:EQ15)</f>
        <v>592.1</v>
      </c>
      <c r="JL15" s="116">
        <f>MIN(ER15:ET15)</f>
        <v>675</v>
      </c>
      <c r="JM15" s="116">
        <f>MIN(EU15:EW15)</f>
        <v>880.95</v>
      </c>
      <c r="JN15" s="116">
        <f>MIN(EX15:EZ15)</f>
        <v>943.25</v>
      </c>
      <c r="JO15" s="116">
        <f>MIN(FA15:FC15)</f>
        <v>1005.05</v>
      </c>
      <c r="JP15" s="116">
        <f>MIN(FD15:FF15)</f>
        <v>1201.5</v>
      </c>
      <c r="JQ15" s="116">
        <f>MIN(FG15:FI15)</f>
        <v>1170.7</v>
      </c>
      <c r="JR15" s="116">
        <f>MIN(FJ15:FL15)</f>
        <v>1044</v>
      </c>
      <c r="JS15" s="116">
        <f>MIN(FM15:FO15)</f>
        <v>1289.1500000000001</v>
      </c>
      <c r="JT15" s="116">
        <f>MIN(FP15:FR15)</f>
        <v>0</v>
      </c>
      <c r="JU15" s="116">
        <f>MIN(FS15:FU15)</f>
        <v>0</v>
      </c>
      <c r="JV15" s="116">
        <f>MIN(FV15:FX15)</f>
        <v>0</v>
      </c>
      <c r="JW15" s="116">
        <f>MIN(FY15:GA15)</f>
        <v>0</v>
      </c>
      <c r="JX15" s="116">
        <f>MIN(GB15:GD15)</f>
        <v>0</v>
      </c>
      <c r="JY15" s="116">
        <f>MIN(GE15:GG15)</f>
        <v>0</v>
      </c>
      <c r="JZ15" s="116">
        <f>MIN(GH15:GJ15)</f>
        <v>0</v>
      </c>
      <c r="KA15" s="116">
        <f>MIN(GK15:GM15)</f>
        <v>0</v>
      </c>
      <c r="KB15" s="116">
        <f>MIN(GN15:GP15)</f>
        <v>0</v>
      </c>
      <c r="KC15" s="116">
        <f>MIN(GQ15:GS15)</f>
        <v>0</v>
      </c>
      <c r="KD15" s="116">
        <f>MIN(GT15:GV15)</f>
        <v>0</v>
      </c>
      <c r="KE15" s="116">
        <f>MIN(GW15:GY15)</f>
        <v>0</v>
      </c>
      <c r="KF15" s="116">
        <f>MIN(GZ15:HB15)</f>
        <v>0</v>
      </c>
      <c r="KG15" s="116">
        <f>MIN(HC15:HE15)</f>
        <v>0</v>
      </c>
      <c r="KH15" s="116">
        <f>MIN(HF15:HH15)</f>
        <v>0</v>
      </c>
    </row>
    <row r="16" spans="1:294" s="116" customFormat="1" x14ac:dyDescent="0.25">
      <c r="A16" s="116" t="s">
        <v>37</v>
      </c>
      <c r="B16" s="116" t="s">
        <v>336</v>
      </c>
      <c r="C16" s="116" cm="1">
        <f t="array" ref="C16">_xll.EQNXTDZ($A$1,$B16,C$1)</f>
        <v>9.9749999999999996</v>
      </c>
      <c r="D16" s="116" cm="1">
        <f t="array" ref="D16">_xll.EQNXTDZ($A$1,$B16,D$1)</f>
        <v>9.875</v>
      </c>
      <c r="E16" s="116" cm="1">
        <f t="array" ref="E16">_xll.EQNXTDZ($A$1,$B16,E$1)</f>
        <v>8.2750000000000004</v>
      </c>
      <c r="F16" s="116" cm="1">
        <f t="array" ref="F16">_xll.EQNXTDZ($A$1,$B16,F$1)</f>
        <v>8.1999999999999993</v>
      </c>
      <c r="G16" s="116" cm="1">
        <f t="array" ref="G16">_xll.EQNXTDZ($A$1,$B16,G$1)</f>
        <v>7.3</v>
      </c>
      <c r="H16" s="116" cm="1">
        <f t="array" ref="H16">_xll.EQNXTDZ($A$1,$B16,H$1)</f>
        <v>7.585</v>
      </c>
      <c r="I16" s="116" cm="1">
        <f t="array" ref="I16">_xll.EQNXTDZ($A$1,$B16,I$1)</f>
        <v>8.65</v>
      </c>
      <c r="J16" s="116" cm="1">
        <f t="array" ref="J16">_xll.EQNXTDZ($A$1,$B16,J$1)</f>
        <v>7.55</v>
      </c>
      <c r="K16" s="116" cm="1">
        <f t="array" ref="K16">_xll.EQNXTDZ($A$1,$B16,K$1)</f>
        <v>7</v>
      </c>
      <c r="L16" s="116" cm="1">
        <f t="array" ref="L16">_xll.EQNXTDZ($A$1,$B16,L$1)</f>
        <v>5.99</v>
      </c>
      <c r="M16" s="116" cm="1">
        <f t="array" ref="M16">_xll.EQNXTDZ($A$1,$B16,M$1)</f>
        <v>5.9</v>
      </c>
      <c r="N16" s="116" cm="1">
        <f t="array" ref="N16">_xll.EQNXTDZ($A$1,$B16,N$1)</f>
        <v>5.5</v>
      </c>
      <c r="O16" s="116" cm="1">
        <f t="array" ref="O16">_xll.EQNXTDZ($A$1,$B16,O$1)</f>
        <v>4.4550000000000001</v>
      </c>
      <c r="P16" s="116" cm="1">
        <f t="array" ref="P16">_xll.EQNXTDZ($A$1,$B16,P$1)</f>
        <v>5.08</v>
      </c>
      <c r="Q16" s="116" cm="1">
        <f t="array" ref="Q16">_xll.EQNXTDZ($A$1,$B16,Q$1)</f>
        <v>8.5</v>
      </c>
      <c r="R16" s="116" cm="1">
        <f t="array" ref="R16">_xll.EQNXTDZ($A$1,$B16,R$1)</f>
        <v>8.65</v>
      </c>
      <c r="S16" s="116" cm="1">
        <f t="array" ref="S16">_xll.EQNXTDZ($A$1,$B16,S$1)</f>
        <v>6.65</v>
      </c>
      <c r="T16" s="116" cm="1">
        <f t="array" ref="T16">_xll.EQNXTDZ($A$1,$B16,T$1)</f>
        <v>4.8949999999999996</v>
      </c>
      <c r="U16" s="116" cm="1">
        <f t="array" ref="U16">_xll.EQNXTDZ($A$1,$B16,U$1)</f>
        <v>4.96</v>
      </c>
      <c r="V16" s="116" cm="1">
        <f t="array" ref="V16">_xll.EQNXTDZ($A$1,$B16,V$1)</f>
        <v>3.9449999999999998</v>
      </c>
      <c r="W16" s="116" cm="1">
        <f t="array" ref="W16">_xll.EQNXTDZ($A$1,$B16,W$1)</f>
        <v>3.6349999999999998</v>
      </c>
      <c r="X16" s="116" cm="1">
        <f t="array" ref="X16">_xll.EQNXTDZ($A$1,$B16,X$1)</f>
        <v>3.9550000000000001</v>
      </c>
      <c r="Y16" s="116" cm="1">
        <f t="array" ref="Y16">_xll.EQNXTDZ($A$1,$B16,Y$1)</f>
        <v>4.2549999999999999</v>
      </c>
      <c r="Z16" s="116" cm="1">
        <f t="array" ref="Z16">_xll.EQNXTDZ($A$1,$B16,Z$1)</f>
        <v>4.7</v>
      </c>
      <c r="AA16" s="116" cm="1">
        <f t="array" ref="AA16">_xll.EQNXTDZ($A$1,$B16,AA$1)</f>
        <v>6.63</v>
      </c>
      <c r="AB16" s="116" cm="1">
        <f t="array" ref="AB16">_xll.EQNXTDZ($A$1,$B16,AB$1)</f>
        <v>5.7</v>
      </c>
      <c r="AC16" s="116" cm="1">
        <f t="array" ref="AC16">_xll.EQNXTDZ($A$1,$B16,AC$1)</f>
        <v>5.45</v>
      </c>
      <c r="AD16" s="116" cm="1">
        <f t="array" ref="AD16">_xll.EQNXTDZ($A$1,$B16,AD$1)</f>
        <v>4.9000000000000004</v>
      </c>
      <c r="AE16" s="116" cm="1">
        <f t="array" ref="AE16">_xll.EQNXTDZ($A$1,$B16,AE$1)</f>
        <v>5.49</v>
      </c>
      <c r="AF16" s="116" cm="1">
        <f t="array" ref="AF16">_xll.EQNXTDZ($A$1,$B16,AF$1)</f>
        <v>4.3099999999999996</v>
      </c>
      <c r="AG16" s="116" cm="1">
        <f t="array" ref="AG16">_xll.EQNXTDZ($A$1,$B16,AG$1)</f>
        <v>4.9649999999999999</v>
      </c>
      <c r="AH16" s="116" cm="1">
        <f t="array" ref="AH16">_xll.EQNXTDZ($A$1,$B16,AH$1)</f>
        <v>4.6550000000000002</v>
      </c>
      <c r="AI16" s="116" cm="1">
        <f t="array" ref="AI16">_xll.EQNXTDZ($A$1,$B16,AI$1)</f>
        <v>4.54</v>
      </c>
      <c r="AJ16" s="116" cm="1">
        <f t="array" ref="AJ16">_xll.EQNXTDZ($A$1,$B16,AJ$1)</f>
        <v>3.1949999999999998</v>
      </c>
      <c r="AK16" s="116" cm="1">
        <f t="array" ref="AK16">_xll.EQNXTDZ($A$1,$B16,AK$1)</f>
        <v>4.0750000000000002</v>
      </c>
      <c r="AL16" s="116" cm="1">
        <f t="array" ref="AL16">_xll.EQNXTDZ($A$1,$B16,AL$1)</f>
        <v>3.28</v>
      </c>
      <c r="AM16" s="116" cm="1">
        <f t="array" ref="AM16">_xll.EQNXTDZ($A$1,$B16,AM$1)</f>
        <v>2.94</v>
      </c>
      <c r="AN16" s="116" cm="1">
        <f t="array" ref="AN16">_xll.EQNXTDZ($A$1,$B16,AN$1)</f>
        <v>2.9049999999999998</v>
      </c>
      <c r="AO16" s="116" cm="1">
        <f t="array" ref="AO16">_xll.EQNXTDZ($A$1,$B16,AO$1)</f>
        <v>3.2149999999999999</v>
      </c>
      <c r="AP16" s="116" cm="1">
        <f t="array" ref="AP16">_xll.EQNXTDZ($A$1,$B16,AP$1)</f>
        <v>3.7949999999999999</v>
      </c>
      <c r="AQ16" s="116" cm="1">
        <f t="array" ref="AQ16">_xll.EQNXTDZ($A$1,$B16,AQ$1)</f>
        <v>3.4550000000000001</v>
      </c>
      <c r="AR16" s="116" cm="1">
        <f t="array" ref="AR16">_xll.EQNXTDZ($A$1,$B16,AR$1)</f>
        <v>3.835</v>
      </c>
      <c r="AS16" s="116" cm="1">
        <f t="array" ref="AS16">_xll.EQNXTDZ($A$1,$B16,AS$1)</f>
        <v>3.75</v>
      </c>
      <c r="AT16" s="116" cm="1">
        <f t="array" ref="AT16">_xll.EQNXTDZ($A$1,$B16,AT$1)</f>
        <v>4.4800000000000004</v>
      </c>
      <c r="AU16" s="116" cm="1">
        <f t="array" ref="AU16">_xll.EQNXTDZ($A$1,$B16,AU$1)</f>
        <v>8.0649999999999995</v>
      </c>
      <c r="AV16" s="116" cm="1">
        <f t="array" ref="AV16">_xll.EQNXTDZ($A$1,$B16,AV$1)</f>
        <v>10.1</v>
      </c>
      <c r="AW16" s="116" cm="1">
        <f t="array" ref="AW16">_xll.EQNXTDZ($A$1,$B16,AW$1)</f>
        <v>13.65</v>
      </c>
      <c r="AX16" s="116" cm="1">
        <f t="array" ref="AX16">_xll.EQNXTDZ($A$1,$B16,AX$1)</f>
        <v>13.375</v>
      </c>
      <c r="AY16" s="116" cm="1">
        <f t="array" ref="AY16">_xll.EQNXTDZ($A$1,$B16,AY$1)</f>
        <v>15.324999999999999</v>
      </c>
      <c r="AZ16" s="116" cm="1">
        <f t="array" ref="AZ16">_xll.EQNXTDZ($A$1,$B16,AZ$1)</f>
        <v>14.2</v>
      </c>
      <c r="BA16" s="116" cm="1">
        <f t="array" ref="BA16">_xll.EQNXTDZ($A$1,$B16,BA$1)</f>
        <v>14.7</v>
      </c>
      <c r="BB16" s="116" cm="1">
        <f t="array" ref="BB16">_xll.EQNXTDZ($A$1,$B16,BB$1)</f>
        <v>13.45</v>
      </c>
      <c r="BC16" s="116" cm="1">
        <f t="array" ref="BC16">_xll.EQNXTDZ($A$1,$B16,BC$1)</f>
        <v>13.1</v>
      </c>
      <c r="BD16" s="116" cm="1">
        <f t="array" ref="BD16">_xll.EQNXTDZ($A$1,$B16,BD$1)</f>
        <v>14.64</v>
      </c>
      <c r="BE16" s="116" cm="1">
        <f t="array" ref="BE16">_xll.EQNXTDZ($A$1,$B16,BE$1)</f>
        <v>10.67</v>
      </c>
      <c r="BF16" s="116" cm="1">
        <f t="array" ref="BF16">_xll.EQNXTDZ($A$1,$B16,BF$1)</f>
        <v>13.87</v>
      </c>
      <c r="BG16" s="116" cm="1">
        <f t="array" ref="BG16">_xll.EQNXTDZ($A$1,$B16,BG$1)</f>
        <v>17.04</v>
      </c>
      <c r="BH16" s="116" cm="1">
        <f t="array" ref="BH16">_xll.EQNXTDZ($A$1,$B16,BH$1)</f>
        <v>15.3</v>
      </c>
      <c r="BI16" s="116" cm="1">
        <f t="array" ref="BI16">_xll.EQNXTDZ($A$1,$B16,BI$1)</f>
        <v>16.899999999999999</v>
      </c>
      <c r="BJ16" s="116" cm="1">
        <f t="array" ref="BJ16">_xll.EQNXTDZ($A$1,$B16,BJ$1)</f>
        <v>19</v>
      </c>
      <c r="BK16" s="116" cm="1">
        <f t="array" ref="BK16">_xll.EQNXTDZ($A$1,$B16,BK$1)</f>
        <v>17.3</v>
      </c>
      <c r="BL16" s="116" cm="1">
        <f t="array" ref="BL16">_xll.EQNXTDZ($A$1,$B16,BL$1)</f>
        <v>17.649999999999999</v>
      </c>
      <c r="BM16" s="116" cm="1">
        <f t="array" ref="BM16">_xll.EQNXTDZ($A$1,$B16,BM$1)</f>
        <v>17.45</v>
      </c>
      <c r="BN16" s="116" cm="1">
        <f t="array" ref="BN16">_xll.EQNXTDZ($A$1,$B16,BN$1)</f>
        <v>17.7</v>
      </c>
      <c r="BO16" s="116" cm="1">
        <f t="array" ref="BO16">_xll.EQNXTDZ($A$1,$B16,BO$1)</f>
        <v>19.8</v>
      </c>
      <c r="BP16" s="116" cm="1">
        <f t="array" ref="BP16">_xll.EQNXTDZ($A$1,$B16,BP$1)</f>
        <v>18.5</v>
      </c>
      <c r="BQ16" s="116" cm="1">
        <f t="array" ref="BQ16">_xll.EQNXTDZ($A$1,$B16,BQ$1)</f>
        <v>17.55</v>
      </c>
      <c r="BR16" s="116" cm="1">
        <f t="array" ref="BR16">_xll.EQNXTDZ($A$1,$B16,BR$1)</f>
        <v>17.350000000000001</v>
      </c>
      <c r="BS16" s="116" cm="1">
        <f t="array" ref="BS16">_xll.EQNXTDZ($A$1,$B16,BS$1)</f>
        <v>16.25</v>
      </c>
      <c r="BT16" s="116" cm="1">
        <f t="array" ref="BT16">_xll.EQNXTDZ($A$1,$B16,BT$1)</f>
        <v>15.3</v>
      </c>
      <c r="BU16" s="116" cm="1">
        <f t="array" ref="BU16">_xll.EQNXTDZ($A$1,$B16,BU$1)</f>
        <v>16</v>
      </c>
      <c r="BV16" s="116" cm="1">
        <f t="array" ref="BV16">_xll.EQNXTDZ($A$1,$B16,BV$1)</f>
        <v>15.3</v>
      </c>
      <c r="BW16" s="116" cm="1">
        <f t="array" ref="BW16">_xll.EQNXTDZ($A$1,$B16,BW$1)</f>
        <v>13.3</v>
      </c>
      <c r="BX16" s="116" cm="1">
        <f t="array" ref="BX16">_xll.EQNXTDZ($A$1,$B16,BX$1)</f>
        <v>15.33</v>
      </c>
      <c r="BY16" s="116" cm="1">
        <f t="array" ref="BY16">_xll.EQNXTDZ($A$1,$B16,BY$1)</f>
        <v>16.75</v>
      </c>
      <c r="BZ16" s="116" cm="1">
        <f t="array" ref="BZ16">_xll.EQNXTDZ($A$1,$B16,BZ$1)</f>
        <v>13.55</v>
      </c>
      <c r="CA16" s="116" cm="1">
        <f t="array" ref="CA16">_xll.EQNXTDZ($A$1,$B16,CA$1)</f>
        <v>12.67</v>
      </c>
      <c r="CB16" s="116" cm="1">
        <f t="array" ref="CB16">_xll.EQNXTDZ($A$1,$B16,CB$1)</f>
        <v>13.42</v>
      </c>
      <c r="CC16" s="116" cm="1">
        <f t="array" ref="CC16">_xll.EQNXTDZ($A$1,$B16,CC$1)</f>
        <v>14.25</v>
      </c>
      <c r="CD16" s="116" cm="1">
        <f t="array" ref="CD16">_xll.EQNXTDZ($A$1,$B16,CD$1)</f>
        <v>13</v>
      </c>
      <c r="CE16" s="116" cm="1">
        <f t="array" ref="CE16">_xll.EQNXTDZ($A$1,$B16,CE$1)</f>
        <v>12.59</v>
      </c>
      <c r="CF16" s="116" cm="1">
        <f t="array" ref="CF16">_xll.EQNXTDZ($A$1,$B16,CF$1)</f>
        <v>12.46</v>
      </c>
      <c r="CG16" s="116" cm="1">
        <f t="array" ref="CG16">_xll.EQNXTDZ($A$1,$B16,CG$1)</f>
        <v>11.9</v>
      </c>
      <c r="CH16" s="116" cm="1">
        <f t="array" ref="CH16">_xll.EQNXTDZ($A$1,$B16,CH$1)</f>
        <v>10.88</v>
      </c>
      <c r="CI16" s="116" cm="1">
        <f t="array" ref="CI16">_xll.EQNXTDZ($A$1,$B16,CI$1)</f>
        <v>8.8699999999999992</v>
      </c>
      <c r="CJ16" s="116" cm="1">
        <f t="array" ref="CJ16">_xll.EQNXTDZ($A$1,$B16,CJ$1)</f>
        <v>8.9499999999999993</v>
      </c>
      <c r="CK16" s="116" cm="1">
        <f t="array" ref="CK16">_xll.EQNXTDZ($A$1,$B16,CK$1)</f>
        <v>9.01</v>
      </c>
      <c r="CL16" s="116" cm="1">
        <f t="array" ref="CL16">_xll.EQNXTDZ($A$1,$B16,CL$1)</f>
        <v>10.4</v>
      </c>
      <c r="CM16" s="116" cm="1">
        <f t="array" ref="CM16">_xll.EQNXTDZ($A$1,$B16,CM$1)</f>
        <v>9.02</v>
      </c>
      <c r="CN16" s="116" cm="1">
        <f t="array" ref="CN16">_xll.EQNXTDZ($A$1,$B16,CN$1)</f>
        <v>8.3000000000000007</v>
      </c>
      <c r="CO16" s="116" cm="1">
        <f t="array" ref="CO16">_xll.EQNXTDZ($A$1,$B16,CO$1)</f>
        <v>7.57</v>
      </c>
      <c r="CP16" s="116" cm="1">
        <f t="array" ref="CP16">_xll.EQNXTDZ($A$1,$B16,CP$1)</f>
        <v>7.9</v>
      </c>
      <c r="CQ16" s="116" cm="1">
        <f t="array" ref="CQ16">_xll.EQNXTDZ($A$1,$B16,CQ$1)</f>
        <v>7.24</v>
      </c>
      <c r="CR16" s="116" cm="1">
        <f t="array" ref="CR16">_xll.EQNXTDZ($A$1,$B16,CR$1)</f>
        <v>5.76</v>
      </c>
      <c r="CS16" s="116" cm="1">
        <f t="array" ref="CS16">_xll.EQNXTDZ($A$1,$B16,CS$1)</f>
        <v>4.59</v>
      </c>
      <c r="CT16" s="116" cm="1">
        <f t="array" ref="CT16">_xll.EQNXTDZ($A$1,$B16,CT$1)</f>
        <v>6.61</v>
      </c>
      <c r="CU16" s="116" cm="1">
        <f t="array" ref="CU16">_xll.EQNXTDZ($A$1,$B16,CU$1)</f>
        <v>10.56</v>
      </c>
      <c r="CV16" s="116" cm="1">
        <f t="array" ref="CV16">_xll.EQNXTDZ($A$1,$B16,CV$1)</f>
        <v>12.14</v>
      </c>
      <c r="CW16" s="116" cm="1">
        <f t="array" ref="CW16">_xll.EQNXTDZ($A$1,$B16,CW$1)</f>
        <v>10.3</v>
      </c>
      <c r="CX16" s="116" cm="1">
        <f t="array" ref="CX16">_xll.EQNXTDZ($A$1,$B16,CX$1)</f>
        <v>11.65</v>
      </c>
      <c r="CY16" s="116" cm="1">
        <f t="array" ref="CY16">_xll.EQNXTDZ($A$1,$B16,CY$1)</f>
        <v>10.31</v>
      </c>
      <c r="CZ16" s="116" cm="1">
        <f t="array" ref="CZ16">_xll.EQNXTDZ($A$1,$B16,CZ$1)</f>
        <v>9.6</v>
      </c>
      <c r="DA16" s="116" cm="1">
        <f t="array" ref="DA16">_xll.EQNXTDZ($A$1,$B16,DA$1)</f>
        <v>10.07</v>
      </c>
      <c r="DB16" s="116" cm="1">
        <f t="array" ref="DB16">_xll.EQNXTDZ($A$1,$B16,DB$1)</f>
        <v>12.7</v>
      </c>
      <c r="DC16" s="116" cm="1">
        <f t="array" ref="DC16">_xll.EQNXTDZ($A$1,$B16,DC$1)</f>
        <v>11.13</v>
      </c>
      <c r="DD16" s="116" cm="1">
        <f t="array" ref="DD16">_xll.EQNXTDZ($A$1,$B16,DD$1)</f>
        <v>11</v>
      </c>
      <c r="DE16" s="116" cm="1">
        <f t="array" ref="DE16">_xll.EQNXTDZ($A$1,$B16,DE$1)</f>
        <v>15.03</v>
      </c>
      <c r="DF16" s="116" cm="1">
        <f t="array" ref="DF16">_xll.EQNXTDZ($A$1,$B16,DF$1)</f>
        <v>29.55</v>
      </c>
      <c r="DG16" s="116" cm="1">
        <f t="array" ref="DG16">_xll.EQNXTDZ($A$1,$B16,DG$1)</f>
        <v>50.8</v>
      </c>
      <c r="DH16" s="116" cm="1">
        <f t="array" ref="DH16">_xll.EQNXTDZ($A$1,$B16,DH$1)</f>
        <v>55.7</v>
      </c>
      <c r="DI16" s="116" cm="1">
        <f t="array" ref="DI16">_xll.EQNXTDZ($A$1,$B16,DI$1)</f>
        <v>66.3</v>
      </c>
      <c r="DJ16" s="116" cm="1">
        <f t="array" ref="DJ16">_xll.EQNXTDZ($A$1,$B16,DJ$1)</f>
        <v>91.1</v>
      </c>
      <c r="DK16" s="116" cm="1">
        <f t="array" ref="DK16">_xll.EQNXTDZ($A$1,$B16,DK$1)</f>
        <v>89.45</v>
      </c>
      <c r="DL16" s="116" cm="1">
        <f t="array" ref="DL16">_xll.EQNXTDZ($A$1,$B16,DL$1)</f>
        <v>78.75</v>
      </c>
      <c r="DM16" s="116" cm="1">
        <f t="array" ref="DM16">_xll.EQNXTDZ($A$1,$B16,DM$1)</f>
        <v>100.4</v>
      </c>
      <c r="DN16" s="116" cm="1">
        <f t="array" ref="DN16">_xll.EQNXTDZ($A$1,$B16,DN$1)</f>
        <v>129.80000000000001</v>
      </c>
      <c r="DO16" s="116" cm="1">
        <f t="array" ref="DO16">_xll.EQNXTDZ($A$1,$B16,DO$1)</f>
        <v>115.8</v>
      </c>
      <c r="DP16" s="116" cm="1">
        <f t="array" ref="DP16">_xll.EQNXTDZ($A$1,$B16,DP$1)</f>
        <v>132.65</v>
      </c>
      <c r="DQ16" s="116" cm="1">
        <f t="array" ref="DQ16">_xll.EQNXTDZ($A$1,$B16,DQ$1)</f>
        <v>203.05</v>
      </c>
      <c r="DR16" s="116" cm="1">
        <f t="array" ref="DR16">_xll.EQNXTDZ($A$1,$B16,DR$1)</f>
        <v>142.25</v>
      </c>
      <c r="DS16" s="116" cm="1">
        <f t="array" ref="DS16">_xll.EQNXTDZ($A$1,$B16,DS$1)</f>
        <v>139.9</v>
      </c>
      <c r="DT16" s="116" cm="1">
        <f t="array" ref="DT16">_xll.EQNXTDZ($A$1,$B16,DT$1)</f>
        <v>139.80000000000001</v>
      </c>
      <c r="DU16" s="116" cm="1">
        <f t="array" ref="DU16">_xll.EQNXTDZ($A$1,$B16,DU$1)</f>
        <v>139.15</v>
      </c>
      <c r="DV16" s="116" cm="1">
        <f t="array" ref="DV16">_xll.EQNXTDZ($A$1,$B16,DV$1)</f>
        <v>178.1</v>
      </c>
      <c r="DW16" s="116" cm="1">
        <f t="array" ref="DW16">_xll.EQNXTDZ($A$1,$B16,DW$1)</f>
        <v>195.35</v>
      </c>
      <c r="DX16" s="116" cm="1">
        <f t="array" ref="DX16">_xll.EQNXTDZ($A$1,$B16,DX$1)</f>
        <v>165.8</v>
      </c>
      <c r="DY16" s="116" cm="1">
        <f t="array" ref="DY16">_xll.EQNXTDZ($A$1,$B16,DY$1)</f>
        <v>245.3</v>
      </c>
      <c r="DZ16" s="116" cm="1">
        <f t="array" ref="DZ16">_xll.EQNXTDZ($A$1,$B16,DZ$1)</f>
        <v>290.10000000000002</v>
      </c>
      <c r="EA16" s="116" cm="1">
        <f t="array" ref="EA16">_xll.EQNXTDZ($A$1,$B16,EA$1)</f>
        <v>279.5</v>
      </c>
      <c r="EB16" s="116" cm="1">
        <f t="array" ref="EB16">_xll.EQNXTDZ($A$1,$B16,EB$1)</f>
        <v>284.7</v>
      </c>
      <c r="EC16" s="116" cm="1">
        <f t="array" ref="EC16">_xll.EQNXTDZ($A$1,$B16,EC$1)</f>
        <v>323.39999999999998</v>
      </c>
      <c r="ED16" s="116" cm="1">
        <f t="array" ref="ED16">_xll.EQNXTDZ($A$1,$B16,ED$1)</f>
        <v>319.60000000000002</v>
      </c>
      <c r="EE16" s="116" cm="1">
        <f t="array" ref="EE16">_xll.EQNXTDZ($A$1,$B16,EE$1)</f>
        <v>395.7</v>
      </c>
      <c r="EF16" s="116" cm="1">
        <f t="array" ref="EF16">_xll.EQNXTDZ($A$1,$B16,EF$1)</f>
        <v>628.85</v>
      </c>
      <c r="EG16" s="116" cm="1">
        <f t="array" ref="EG16">_xll.EQNXTDZ($A$1,$B16,EG$1)</f>
        <v>536.95000000000005</v>
      </c>
      <c r="EH16" s="116" cm="1">
        <f t="array" ref="EH16">_xll.EQNXTDZ($A$1,$B16,EH$1)</f>
        <v>536.6</v>
      </c>
      <c r="EI16" s="116" cm="1">
        <f t="array" ref="EI16">_xll.EQNXTDZ($A$1,$B16,EI$1)</f>
        <v>515.85</v>
      </c>
      <c r="EJ16" s="116" cm="1">
        <f t="array" ref="EJ16">_xll.EQNXTDZ($A$1,$B16,EJ$1)</f>
        <v>520.1</v>
      </c>
      <c r="EK16" s="116" cm="1">
        <f t="array" ref="EK16">_xll.EQNXTDZ($A$1,$B16,EK$1)</f>
        <v>599.20000000000005</v>
      </c>
      <c r="EL16" s="116" cm="1">
        <f t="array" ref="EL16">_xll.EQNXTDZ($A$1,$B16,EL$1)</f>
        <v>566.45000000000005</v>
      </c>
      <c r="EM16" s="116" cm="1">
        <f t="array" ref="EM16">_xll.EQNXTDZ($A$1,$B16,EM$1)</f>
        <v>596.5</v>
      </c>
      <c r="EN16" s="116" cm="1">
        <f t="array" ref="EN16">_xll.EQNXTDZ($A$1,$B16,EN$1)</f>
        <v>602.95000000000005</v>
      </c>
      <c r="EO16" s="116" cm="1">
        <f t="array" ref="EO16">_xll.EQNXTDZ($A$1,$B16,EO$1)</f>
        <v>744.05</v>
      </c>
      <c r="EP16" s="116" cm="1">
        <f t="array" ref="EP16">_xll.EQNXTDZ($A$1,$B16,EP$1)</f>
        <v>680.35</v>
      </c>
      <c r="EQ16" s="116" cm="1">
        <f t="array" ref="EQ16">_xll.EQNXTDZ($A$1,$B16,EQ$1)</f>
        <v>732.25</v>
      </c>
      <c r="ER16" s="116" cm="1">
        <f t="array" ref="ER16">_xll.EQNXTDZ($A$1,$B16,ER$1)</f>
        <v>732.3</v>
      </c>
      <c r="ES16" s="116" cm="1">
        <f t="array" ref="ES16">_xll.EQNXTDZ($A$1,$B16,ES$1)</f>
        <v>774.2</v>
      </c>
      <c r="ET16" s="116" cm="1">
        <f t="array" ref="ET16">_xll.EQNXTDZ($A$1,$B16,ET$1)</f>
        <v>948.65</v>
      </c>
      <c r="EU16" s="116" cm="1">
        <f t="array" ref="EU16">_xll.EQNXTDZ($A$1,$B16,EU$1)</f>
        <v>971.9</v>
      </c>
      <c r="EV16" s="116" cm="1">
        <f t="array" ref="EV16">_xll.EQNXTDZ($A$1,$B16,EV$1)</f>
        <v>1040.5</v>
      </c>
      <c r="EW16" s="116" cm="1">
        <f t="array" ref="EW16">_xll.EQNXTDZ($A$1,$B16,EW$1)</f>
        <v>1231.3</v>
      </c>
      <c r="EX16" s="116" cm="1">
        <f t="array" ref="EX16">_xll.EQNXTDZ($A$1,$B16,EX$1)</f>
        <v>1239.8</v>
      </c>
      <c r="EY16" s="116" cm="1">
        <f t="array" ref="EY16">_xll.EQNXTDZ($A$1,$B16,EY$1)</f>
        <v>1021.3</v>
      </c>
      <c r="EZ16" s="116" cm="1">
        <f t="array" ref="EZ16">_xll.EQNXTDZ($A$1,$B16,EZ$1)</f>
        <v>1285.5</v>
      </c>
      <c r="FA16" s="116" cm="1">
        <f t="array" ref="FA16">_xll.EQNXTDZ($A$1,$B16,FA$1)</f>
        <v>1202.1500000000001</v>
      </c>
      <c r="FB16" s="116" cm="1">
        <f t="array" ref="FB16">_xll.EQNXTDZ($A$1,$B16,FB$1)</f>
        <v>1392.25</v>
      </c>
      <c r="FC16" s="116" cm="1">
        <f t="array" ref="FC16">_xll.EQNXTDZ($A$1,$B16,FC$1)</f>
        <v>1590.65</v>
      </c>
      <c r="FD16" s="116" cm="1">
        <f t="array" ref="FD16">_xll.EQNXTDZ($A$1,$B16,FD$1)</f>
        <v>1501.75</v>
      </c>
      <c r="FE16" s="116" cm="1">
        <f t="array" ref="FE16">_xll.EQNXTDZ($A$1,$B16,FE$1)</f>
        <v>1289.45</v>
      </c>
      <c r="FF16" s="116" cm="1">
        <f t="array" ref="FF16">_xll.EQNXTDZ($A$1,$B16,FF$1)</f>
        <v>1226.5</v>
      </c>
      <c r="FG16" s="116" cm="1">
        <f t="array" ref="FG16">_xll.EQNXTDZ($A$1,$B16,FG$1)</f>
        <v>1304.9000000000001</v>
      </c>
      <c r="FH16" s="116" cm="1">
        <f t="array" ref="FH16">_xll.EQNXTDZ($A$1,$B16,FH$1)</f>
        <v>1220.8499999999999</v>
      </c>
      <c r="FI16" s="116" cm="1">
        <f t="array" ref="FI16">_xll.EQNXTDZ($A$1,$B16,FI$1)</f>
        <v>1322</v>
      </c>
      <c r="FJ16" s="116" cm="1">
        <f t="array" ref="FJ16">_xll.EQNXTDZ($A$1,$B16,FJ$1)</f>
        <v>1102.6500000000001</v>
      </c>
      <c r="FK16" s="116" cm="1">
        <f t="array" ref="FK16">_xll.EQNXTDZ($A$1,$B16,FK$1)</f>
        <v>1232.6500000000001</v>
      </c>
      <c r="FL16" s="116" cm="1">
        <f t="array" ref="FL16">_xll.EQNXTDZ($A$1,$B16,FL$1)</f>
        <v>1270.7</v>
      </c>
      <c r="FM16" s="116" cm="1">
        <f t="array" ref="FM16">_xll.EQNXTDZ($A$1,$B16,FM$1)</f>
        <v>1764.55</v>
      </c>
      <c r="FN16" s="116" cm="1">
        <f t="array" ref="FN16">_xll.EQNXTDZ($A$1,$B16,FN$1)</f>
        <v>1803.35</v>
      </c>
      <c r="FO16" s="116" cm="1">
        <f t="array" ref="FO16">_xll.EQNXTDZ($A$1,$B16,FO$1)</f>
        <v>1766.55</v>
      </c>
      <c r="FP16" s="116" cm="1">
        <f t="array" ref="FP16">_xll.EQNXTDZ($A$1,$B16,FP$1)</f>
        <v>0</v>
      </c>
      <c r="FQ16" s="116" cm="1">
        <f t="array" ref="FQ16">_xll.EQNXTDZ($A$1,$B16,FQ$1)</f>
        <v>0</v>
      </c>
      <c r="FR16" s="116" cm="1">
        <f t="array" ref="FR16">_xll.EQNXTDZ($A$1,$B16,FR$1)</f>
        <v>0</v>
      </c>
      <c r="FS16" s="116" cm="1">
        <f t="array" ref="FS16">_xll.EQNXTDZ($A$1,$B16,FS$1)</f>
        <v>0</v>
      </c>
      <c r="FT16" s="116" cm="1">
        <f t="array" ref="FT16">_xll.EQNXTDZ($A$1,$B16,FT$1)</f>
        <v>0</v>
      </c>
      <c r="FU16" s="116" cm="1">
        <f t="array" ref="FU16">_xll.EQNXTDZ($A$1,$B16,FU$1)</f>
        <v>0</v>
      </c>
      <c r="FV16" s="116" cm="1">
        <f t="array" ref="FV16">_xll.EQNXTDZ($A$1,$B16,FV$1)</f>
        <v>0</v>
      </c>
      <c r="FW16" s="116" cm="1">
        <f t="array" ref="FW16">_xll.EQNXTDZ($A$1,$B16,FW$1)</f>
        <v>0</v>
      </c>
      <c r="FX16" s="116" cm="1">
        <f t="array" ref="FX16">_xll.EQNXTDZ($A$1,$B16,FX$1)</f>
        <v>0</v>
      </c>
      <c r="FY16" s="116" cm="1">
        <f t="array" ref="FY16">_xll.EQNXTDZ($A$1,$B16,FY$1)</f>
        <v>0</v>
      </c>
      <c r="FZ16" s="116" cm="1">
        <f t="array" ref="FZ16">_xll.EQNXTDZ($A$1,$B16,FZ$1)</f>
        <v>0</v>
      </c>
      <c r="GA16" s="116" cm="1">
        <f t="array" ref="GA16">_xll.EQNXTDZ($A$1,$B16,GA$1)</f>
        <v>0</v>
      </c>
      <c r="GB16" s="116" cm="1">
        <f t="array" ref="GB16">_xll.EQNXTDZ($A$1,$B16,GB$1)</f>
        <v>0</v>
      </c>
      <c r="GC16" s="116" cm="1">
        <f t="array" ref="GC16">_xll.EQNXTDZ($A$1,$B16,GC$1)</f>
        <v>0</v>
      </c>
      <c r="GD16" s="116" cm="1">
        <f t="array" ref="GD16">_xll.EQNXTDZ($A$1,$B16,GD$1)</f>
        <v>0</v>
      </c>
      <c r="GE16" s="116" cm="1">
        <f t="array" ref="GE16">_xll.EQNXTDZ($A$1,$B16,GE$1)</f>
        <v>0</v>
      </c>
      <c r="GF16" s="116" cm="1">
        <f t="array" ref="GF16">_xll.EQNXTDZ($A$1,$B16,GF$1)</f>
        <v>0</v>
      </c>
      <c r="GG16" s="116" cm="1">
        <f t="array" ref="GG16">_xll.EQNXTDZ($A$1,$B16,GG$1)</f>
        <v>0</v>
      </c>
      <c r="GH16" s="116" cm="1">
        <f t="array" ref="GH16">_xll.EQNXTDZ($A$1,$B16,GH$1)</f>
        <v>0</v>
      </c>
      <c r="GI16" s="116" cm="1">
        <f t="array" ref="GI16">_xll.EQNXTDZ($A$1,$B16,GI$1)</f>
        <v>0</v>
      </c>
      <c r="GJ16" s="116" cm="1">
        <f t="array" ref="GJ16">_xll.EQNXTDZ($A$1,$B16,GJ$1)</f>
        <v>0</v>
      </c>
      <c r="GK16" s="116" cm="1">
        <f t="array" ref="GK16">_xll.EQNXTDZ($A$1,$B16,GK$1)</f>
        <v>0</v>
      </c>
      <c r="GL16" s="116" cm="1">
        <f t="array" ref="GL16">_xll.EQNXTDZ($A$1,$B16,GL$1)</f>
        <v>0</v>
      </c>
      <c r="GM16" s="116" cm="1">
        <f t="array" ref="GM16">_xll.EQNXTDZ($A$1,$B16,GM$1)</f>
        <v>0</v>
      </c>
      <c r="GN16" s="116" cm="1">
        <f t="array" ref="GN16">_xll.EQNXTDZ($A$1,$B16,GN$1)</f>
        <v>0</v>
      </c>
      <c r="GO16" s="116" cm="1">
        <f t="array" ref="GO16">_xll.EQNXTDZ($A$1,$B16,GO$1)</f>
        <v>0</v>
      </c>
      <c r="GP16" s="116" cm="1">
        <f t="array" ref="GP16">_xll.EQNXTDZ($A$1,$B16,GP$1)</f>
        <v>0</v>
      </c>
      <c r="GQ16" s="116" cm="1">
        <f t="array" ref="GQ16">_xll.EQNXTDZ($A$1,$B16,GQ$1)</f>
        <v>0</v>
      </c>
      <c r="GR16" s="116" cm="1">
        <f t="array" ref="GR16">_xll.EQNXTDZ($A$1,$B16,GR$1)</f>
        <v>0</v>
      </c>
      <c r="GS16" s="116" cm="1">
        <f t="array" ref="GS16">_xll.EQNXTDZ($A$1,$B16,GS$1)</f>
        <v>0</v>
      </c>
      <c r="GT16" s="116" cm="1">
        <f t="array" ref="GT16">_xll.EQNXTDZ($A$1,$B16,GT$1)</f>
        <v>0</v>
      </c>
      <c r="GU16" s="116" cm="1">
        <f t="array" ref="GU16">_xll.EQNXTDZ($A$1,$B16,GU$1)</f>
        <v>0</v>
      </c>
      <c r="GV16" s="116" cm="1">
        <f t="array" ref="GV16">_xll.EQNXTDZ($A$1,$B16,GV$1)</f>
        <v>0</v>
      </c>
      <c r="GW16" s="116" cm="1">
        <f t="array" ref="GW16">_xll.EQNXTDZ($A$1,$B16,GW$1)</f>
        <v>0</v>
      </c>
      <c r="GX16" s="116" cm="1">
        <f t="array" ref="GX16">_xll.EQNXTDZ($A$1,$B16,GX$1)</f>
        <v>0</v>
      </c>
      <c r="GY16" s="116" cm="1">
        <f t="array" ref="GY16">_xll.EQNXTDZ($A$1,$B16,GY$1)</f>
        <v>0</v>
      </c>
      <c r="GZ16" s="116" cm="1">
        <f t="array" ref="GZ16">_xll.EQNXTDZ($A$1,$B16,GZ$1)</f>
        <v>0</v>
      </c>
      <c r="HA16" s="116" cm="1">
        <f t="array" ref="HA16">_xll.EQNXTDZ($A$1,$B16,HA$1)</f>
        <v>0</v>
      </c>
      <c r="HB16" s="116" cm="1">
        <f t="array" ref="HB16">_xll.EQNXTDZ($A$1,$B16,HB$1)</f>
        <v>0</v>
      </c>
      <c r="HC16" s="116" cm="1">
        <f t="array" ref="HC16">_xll.EQNXTDZ($A$1,$B16,HC$1)</f>
        <v>0</v>
      </c>
      <c r="HD16" s="116" cm="1">
        <f t="array" ref="HD16">_xll.EQNXTDZ($A$1,$B16,HD$1)</f>
        <v>0</v>
      </c>
      <c r="HE16" s="116" cm="1">
        <f t="array" ref="HE16">_xll.EQNXTDZ($A$1,$B16,HE$1)</f>
        <v>0</v>
      </c>
      <c r="HF16" s="116" cm="1">
        <f t="array" ref="HF16">_xll.EQNXTDZ($A$1,$B16,HF$1)</f>
        <v>0</v>
      </c>
      <c r="HG16" s="116" cm="1">
        <f t="array" ref="HG16">_xll.EQNXTDZ($A$1,$B16,HG$1)</f>
        <v>0</v>
      </c>
      <c r="HH16" s="116" cm="1">
        <f t="array" ref="HH16">_xll.EQNXTDZ($A$1,$B16,HH$1)</f>
        <v>0</v>
      </c>
      <c r="HP16" s="116">
        <f>+F16</f>
        <v>8.1999999999999993</v>
      </c>
      <c r="HQ16" s="116">
        <f>+I16</f>
        <v>8.65</v>
      </c>
      <c r="HR16" s="116">
        <f>+L16</f>
        <v>5.99</v>
      </c>
      <c r="HS16" s="116">
        <f>+O16</f>
        <v>4.4550000000000001</v>
      </c>
      <c r="HT16" s="116">
        <f>+R16</f>
        <v>8.65</v>
      </c>
      <c r="HU16" s="116">
        <f>+U16</f>
        <v>4.96</v>
      </c>
      <c r="HV16" s="116">
        <f>+X16</f>
        <v>3.9550000000000001</v>
      </c>
      <c r="HW16" s="116">
        <f>+AA16</f>
        <v>6.63</v>
      </c>
      <c r="HX16" s="116">
        <f>+AD16</f>
        <v>4.9000000000000004</v>
      </c>
      <c r="HY16" s="116">
        <f>+AG16</f>
        <v>4.9649999999999999</v>
      </c>
      <c r="HZ16" s="116">
        <f>+AJ16</f>
        <v>3.1949999999999998</v>
      </c>
      <c r="IA16" s="116">
        <f>+AM16</f>
        <v>2.94</v>
      </c>
      <c r="IB16" s="116">
        <f>+AP16</f>
        <v>3.7949999999999999</v>
      </c>
      <c r="IC16" s="116">
        <f>+AS16</f>
        <v>3.75</v>
      </c>
      <c r="ID16" s="116">
        <f>+AV16</f>
        <v>10.1</v>
      </c>
      <c r="IE16" s="116">
        <f>+AY16</f>
        <v>15.324999999999999</v>
      </c>
      <c r="IF16" s="116">
        <f>+BB16</f>
        <v>13.45</v>
      </c>
      <c r="IG16" s="116">
        <f>+BE16</f>
        <v>10.67</v>
      </c>
      <c r="IH16" s="116">
        <f>+BH16</f>
        <v>15.3</v>
      </c>
      <c r="II16" s="116">
        <f>+BK16</f>
        <v>17.3</v>
      </c>
      <c r="IJ16" s="116">
        <f>+BN16</f>
        <v>17.7</v>
      </c>
      <c r="IK16" s="116">
        <f>+BQ16</f>
        <v>17.55</v>
      </c>
      <c r="IL16" s="116">
        <f>+BT16</f>
        <v>15.3</v>
      </c>
      <c r="IM16" s="116">
        <f>+BW16</f>
        <v>13.3</v>
      </c>
      <c r="IN16" s="116">
        <f>+BZ16</f>
        <v>13.55</v>
      </c>
      <c r="IO16" s="116">
        <f>+CC16</f>
        <v>14.25</v>
      </c>
      <c r="IP16" s="116">
        <f>+CF16</f>
        <v>12.46</v>
      </c>
      <c r="IQ16" s="116">
        <f>+CI16</f>
        <v>8.8699999999999992</v>
      </c>
      <c r="IR16" s="116">
        <f>+CL16</f>
        <v>10.4</v>
      </c>
      <c r="IS16" s="116">
        <f>+CO16</f>
        <v>7.57</v>
      </c>
      <c r="IT16" s="116">
        <f>+CR16</f>
        <v>5.76</v>
      </c>
      <c r="IU16" s="116">
        <f>+CU16</f>
        <v>10.56</v>
      </c>
      <c r="IV16" s="116">
        <f>+CX16</f>
        <v>11.65</v>
      </c>
      <c r="IW16" s="116">
        <f>+DA16</f>
        <v>10.07</v>
      </c>
      <c r="IX16" s="116">
        <f>+DD16</f>
        <v>11</v>
      </c>
      <c r="IY16" s="116">
        <f>+DG16</f>
        <v>50.8</v>
      </c>
      <c r="IZ16" s="116">
        <f>+DJ16</f>
        <v>91.1</v>
      </c>
      <c r="JA16" s="116">
        <f>+DM16</f>
        <v>100.4</v>
      </c>
      <c r="JB16" s="116">
        <f>+DP16</f>
        <v>132.65</v>
      </c>
      <c r="JC16" s="116">
        <f>+DS16</f>
        <v>139.9</v>
      </c>
      <c r="JD16" s="116">
        <f>+DV16</f>
        <v>178.1</v>
      </c>
      <c r="JE16" s="116">
        <f>+DY16</f>
        <v>245.3</v>
      </c>
      <c r="JF16" s="116">
        <f>+EB16</f>
        <v>284.7</v>
      </c>
      <c r="JG16" s="116">
        <f>+EE16</f>
        <v>395.7</v>
      </c>
      <c r="JH16" s="116">
        <f>+EH16</f>
        <v>536.6</v>
      </c>
      <c r="JI16" s="116">
        <f>+EK16</f>
        <v>599.20000000000005</v>
      </c>
      <c r="JJ16" s="116">
        <f>+EN16</f>
        <v>602.95000000000005</v>
      </c>
      <c r="JK16" s="116">
        <f>EQ16</f>
        <v>732.25</v>
      </c>
      <c r="JL16" s="116">
        <f>ET16</f>
        <v>948.65</v>
      </c>
      <c r="JM16" s="116">
        <f>EW16</f>
        <v>1231.3</v>
      </c>
      <c r="JN16" s="116">
        <f>EZ16</f>
        <v>1285.5</v>
      </c>
      <c r="JO16" s="116">
        <f>FC16</f>
        <v>1590.65</v>
      </c>
      <c r="JP16" s="116">
        <f>FF16</f>
        <v>1226.5</v>
      </c>
      <c r="JQ16" s="116">
        <f>FI16</f>
        <v>1322</v>
      </c>
      <c r="JR16" s="116">
        <f>FL16</f>
        <v>1270.7</v>
      </c>
      <c r="JS16" s="116">
        <f>FO16</f>
        <v>1766.55</v>
      </c>
      <c r="JT16" s="116">
        <f>FR16</f>
        <v>0</v>
      </c>
      <c r="JU16" s="116">
        <f>FU16</f>
        <v>0</v>
      </c>
      <c r="JV16" s="116">
        <f>FX16</f>
        <v>0</v>
      </c>
      <c r="JW16" s="116">
        <f>GA16</f>
        <v>0</v>
      </c>
      <c r="JX16" s="116">
        <f>GD16</f>
        <v>0</v>
      </c>
      <c r="JY16" s="116">
        <f>GG16</f>
        <v>0</v>
      </c>
      <c r="JZ16" s="116">
        <f>GJ16</f>
        <v>0</v>
      </c>
      <c r="KA16" s="116">
        <f>GM16</f>
        <v>0</v>
      </c>
      <c r="KB16" s="116">
        <f>GP16</f>
        <v>0</v>
      </c>
      <c r="KC16" s="116">
        <f>GS16</f>
        <v>0</v>
      </c>
      <c r="KD16" s="116">
        <f>GV16</f>
        <v>0</v>
      </c>
      <c r="KE16" s="116">
        <f>GY16</f>
        <v>0</v>
      </c>
      <c r="KF16" s="116">
        <f>HB16</f>
        <v>0</v>
      </c>
      <c r="KG16" s="116">
        <f>HE16</f>
        <v>0</v>
      </c>
      <c r="KH16" s="116">
        <f>HH16</f>
        <v>0</v>
      </c>
    </row>
    <row r="17" spans="1:294" s="116" customFormat="1" x14ac:dyDescent="0.25"/>
    <row r="18" spans="1:294" s="116" customFormat="1" x14ac:dyDescent="0.25"/>
    <row r="19" spans="1:294" s="116" customFormat="1" x14ac:dyDescent="0.25">
      <c r="A19" s="116" t="s">
        <v>38</v>
      </c>
      <c r="HP19" s="116">
        <f>+IF(HP14=0,HP7,HP14)</f>
        <v>13.375</v>
      </c>
      <c r="HQ19" s="116">
        <f t="shared" ref="HQ19:JI21" si="1">+IF(HQ14=0,HQ7,HQ14)</f>
        <v>8.8000000000000007</v>
      </c>
      <c r="HR19" s="116">
        <f t="shared" si="1"/>
        <v>8.9749999999999996</v>
      </c>
      <c r="HS19" s="116">
        <f t="shared" si="1"/>
        <v>7.7249999999999996</v>
      </c>
      <c r="HT19" s="116">
        <f t="shared" si="1"/>
        <v>9.0749999999999993</v>
      </c>
      <c r="HU19" s="116">
        <f t="shared" si="1"/>
        <v>9.0749999999999993</v>
      </c>
      <c r="HV19" s="116">
        <f t="shared" si="1"/>
        <v>5</v>
      </c>
      <c r="HW19" s="116">
        <f t="shared" si="1"/>
        <v>7.4050000000000002</v>
      </c>
      <c r="HX19" s="116">
        <f t="shared" si="1"/>
        <v>6.88</v>
      </c>
      <c r="HY19" s="116">
        <f t="shared" si="1"/>
        <v>6.85</v>
      </c>
      <c r="HZ19" s="116">
        <f t="shared" si="1"/>
        <v>5.7</v>
      </c>
      <c r="IA19" s="116">
        <f t="shared" si="1"/>
        <v>4.1950000000000003</v>
      </c>
      <c r="IB19" s="116">
        <f t="shared" si="1"/>
        <v>5</v>
      </c>
      <c r="IC19" s="116">
        <f t="shared" si="1"/>
        <v>4.6950000000000003</v>
      </c>
      <c r="ID19" s="116">
        <f t="shared" si="1"/>
        <v>10.8</v>
      </c>
      <c r="IE19" s="116">
        <f t="shared" si="1"/>
        <v>17.475000000000001</v>
      </c>
      <c r="IF19" s="116">
        <f t="shared" si="1"/>
        <v>17.399999999999999</v>
      </c>
      <c r="IG19" s="116">
        <f t="shared" si="1"/>
        <v>20.399999999999999</v>
      </c>
      <c r="IH19" s="116">
        <f t="shared" si="1"/>
        <v>19.239999999999998</v>
      </c>
      <c r="II19" s="116">
        <f t="shared" si="1"/>
        <v>23</v>
      </c>
      <c r="IJ19" s="116">
        <f t="shared" si="1"/>
        <v>22.2</v>
      </c>
      <c r="IK19" s="116">
        <f t="shared" si="1"/>
        <v>22.95</v>
      </c>
      <c r="IL19" s="116">
        <f t="shared" si="1"/>
        <v>22.55</v>
      </c>
      <c r="IM19" s="116">
        <f t="shared" si="1"/>
        <v>19.899999999999999</v>
      </c>
      <c r="IN19" s="116">
        <f t="shared" si="1"/>
        <v>18.399999999999999</v>
      </c>
      <c r="IO19" s="116">
        <f t="shared" si="1"/>
        <v>15.4</v>
      </c>
      <c r="IP19" s="116">
        <f t="shared" si="1"/>
        <v>15.1</v>
      </c>
      <c r="IQ19" s="116">
        <f t="shared" si="1"/>
        <v>13.42</v>
      </c>
      <c r="IR19" s="116">
        <f t="shared" si="1"/>
        <v>12.25</v>
      </c>
      <c r="IS19" s="116">
        <f t="shared" si="1"/>
        <v>10.53</v>
      </c>
      <c r="IT19" s="116">
        <f t="shared" si="1"/>
        <v>8.9</v>
      </c>
      <c r="IU19" s="116">
        <f t="shared" si="1"/>
        <v>10.85</v>
      </c>
      <c r="IV19" s="116">
        <f t="shared" si="1"/>
        <v>12.5</v>
      </c>
      <c r="IW19" s="116">
        <f t="shared" si="1"/>
        <v>12.08</v>
      </c>
      <c r="IX19" s="116">
        <f t="shared" si="1"/>
        <v>17.489999999999998</v>
      </c>
      <c r="IY19" s="116">
        <f t="shared" si="1"/>
        <v>50.8</v>
      </c>
      <c r="IZ19" s="116">
        <f t="shared" si="1"/>
        <v>91.1</v>
      </c>
      <c r="JA19" s="116">
        <f t="shared" si="1"/>
        <v>101.8</v>
      </c>
      <c r="JB19" s="116">
        <f t="shared" si="1"/>
        <v>148.65</v>
      </c>
      <c r="JC19" s="116">
        <f t="shared" si="1"/>
        <v>232</v>
      </c>
      <c r="JD19" s="116">
        <f t="shared" si="1"/>
        <v>204.55</v>
      </c>
      <c r="JE19" s="116">
        <f t="shared" si="1"/>
        <v>253.9</v>
      </c>
      <c r="JF19" s="116">
        <f t="shared" si="1"/>
        <v>324.8</v>
      </c>
      <c r="JG19" s="116">
        <f t="shared" si="1"/>
        <v>404</v>
      </c>
      <c r="JH19" s="116">
        <f t="shared" si="1"/>
        <v>687.85</v>
      </c>
      <c r="JI19" s="116">
        <f t="shared" si="1"/>
        <v>656.05</v>
      </c>
      <c r="JJ19" s="116">
        <f t="shared" ref="JJ19:JJ21" si="2">+IF(JJ14=0,JJ7,JJ14)</f>
        <v>637</v>
      </c>
      <c r="JK19" s="116">
        <f t="shared" ref="JK19" si="3">+IF(JK14=0,JK7,JK14)</f>
        <v>774.95</v>
      </c>
      <c r="JL19" s="116">
        <f t="shared" ref="JL19:JM19" si="4">+IF(JL14=0,JL7,JL14)</f>
        <v>959.65</v>
      </c>
      <c r="JM19" s="116">
        <f t="shared" si="4"/>
        <v>1233</v>
      </c>
      <c r="JN19" s="116">
        <f t="shared" ref="JN19:JO19" si="5">+IF(JN14=0,JN7,JN14)</f>
        <v>1477.5</v>
      </c>
      <c r="JO19" s="116">
        <f t="shared" si="5"/>
        <v>1601.65</v>
      </c>
      <c r="JP19" s="116">
        <f t="shared" ref="JP19" si="6">+IF(JP14=0,JP7,JP14)</f>
        <v>1613.4</v>
      </c>
      <c r="JQ19" s="116">
        <f t="shared" ref="JQ19:KH19" si="7">+IF(JQ14=0,JQ7,JQ14)</f>
        <v>1395.45</v>
      </c>
      <c r="JR19" s="116">
        <f t="shared" si="7"/>
        <v>1374.8</v>
      </c>
      <c r="JS19" s="116">
        <f t="shared" si="7"/>
        <v>1889</v>
      </c>
      <c r="JT19" s="116">
        <f t="shared" si="7"/>
        <v>0</v>
      </c>
      <c r="JU19" s="116">
        <f t="shared" si="7"/>
        <v>0</v>
      </c>
      <c r="JV19" s="116">
        <f t="shared" si="7"/>
        <v>0</v>
      </c>
      <c r="JW19" s="116">
        <f t="shared" si="7"/>
        <v>0</v>
      </c>
      <c r="JX19" s="116">
        <f t="shared" si="7"/>
        <v>0</v>
      </c>
      <c r="JY19" s="116">
        <f t="shared" si="7"/>
        <v>0</v>
      </c>
      <c r="JZ19" s="116">
        <f t="shared" si="7"/>
        <v>0</v>
      </c>
      <c r="KA19" s="116">
        <f t="shared" si="7"/>
        <v>0</v>
      </c>
      <c r="KB19" s="116">
        <f t="shared" si="7"/>
        <v>0</v>
      </c>
      <c r="KC19" s="116">
        <f t="shared" si="7"/>
        <v>0</v>
      </c>
      <c r="KD19" s="116">
        <f t="shared" si="7"/>
        <v>0</v>
      </c>
      <c r="KE19" s="116">
        <f t="shared" si="7"/>
        <v>0</v>
      </c>
      <c r="KF19" s="116">
        <f t="shared" si="7"/>
        <v>0</v>
      </c>
      <c r="KG19" s="116">
        <f t="shared" si="7"/>
        <v>0</v>
      </c>
      <c r="KH19" s="116">
        <f t="shared" si="7"/>
        <v>0</v>
      </c>
    </row>
    <row r="20" spans="1:294" s="116" customFormat="1" x14ac:dyDescent="0.25">
      <c r="A20" s="116" t="s">
        <v>39</v>
      </c>
      <c r="HP20" s="116">
        <f t="shared" ref="HP20:IE21" si="8">+IF(HP15=0,HP8,HP15)</f>
        <v>7.7249999999999996</v>
      </c>
      <c r="HQ20" s="116">
        <f t="shared" si="8"/>
        <v>6.75</v>
      </c>
      <c r="HR20" s="116">
        <f t="shared" si="8"/>
        <v>5.7750000000000004</v>
      </c>
      <c r="HS20" s="116">
        <f t="shared" si="8"/>
        <v>4.4550000000000001</v>
      </c>
      <c r="HT20" s="116">
        <f t="shared" si="8"/>
        <v>4.46</v>
      </c>
      <c r="HU20" s="116">
        <f t="shared" si="8"/>
        <v>4.3</v>
      </c>
      <c r="HV20" s="116">
        <f t="shared" si="8"/>
        <v>3.0750000000000002</v>
      </c>
      <c r="HW20" s="116">
        <f t="shared" si="8"/>
        <v>3.7850000000000001</v>
      </c>
      <c r="HX20" s="116">
        <f t="shared" si="8"/>
        <v>4.585</v>
      </c>
      <c r="HY20" s="116">
        <f t="shared" si="8"/>
        <v>4.03</v>
      </c>
      <c r="HZ20" s="116">
        <f t="shared" si="8"/>
        <v>3.0550000000000002</v>
      </c>
      <c r="IA20" s="116">
        <f t="shared" si="8"/>
        <v>2.8650000000000002</v>
      </c>
      <c r="IB20" s="116">
        <f t="shared" si="8"/>
        <v>2.7749999999999999</v>
      </c>
      <c r="IC20" s="116">
        <f t="shared" si="8"/>
        <v>3</v>
      </c>
      <c r="ID20" s="116">
        <f t="shared" si="8"/>
        <v>3.63</v>
      </c>
      <c r="IE20" s="116">
        <f t="shared" si="8"/>
        <v>9.6</v>
      </c>
      <c r="IF20" s="116">
        <f t="shared" si="1"/>
        <v>12.51</v>
      </c>
      <c r="IG20" s="116">
        <f t="shared" si="1"/>
        <v>9.0500000000000007</v>
      </c>
      <c r="IH20" s="116">
        <f t="shared" si="1"/>
        <v>10.4</v>
      </c>
      <c r="II20" s="116">
        <f t="shared" si="1"/>
        <v>15.05</v>
      </c>
      <c r="IJ20" s="116">
        <f t="shared" si="1"/>
        <v>15</v>
      </c>
      <c r="IK20" s="116">
        <f t="shared" si="1"/>
        <v>16.05</v>
      </c>
      <c r="IL20" s="116">
        <f t="shared" si="1"/>
        <v>13.5</v>
      </c>
      <c r="IM20" s="116">
        <f t="shared" si="1"/>
        <v>11.5</v>
      </c>
      <c r="IN20" s="116">
        <f t="shared" si="1"/>
        <v>13</v>
      </c>
      <c r="IO20" s="116">
        <f t="shared" si="1"/>
        <v>12.02</v>
      </c>
      <c r="IP20" s="116">
        <f t="shared" si="1"/>
        <v>10.5</v>
      </c>
      <c r="IQ20" s="116">
        <f t="shared" si="1"/>
        <v>7.03</v>
      </c>
      <c r="IR20" s="116">
        <f t="shared" si="1"/>
        <v>8</v>
      </c>
      <c r="IS20" s="116">
        <f t="shared" si="1"/>
        <v>6.9</v>
      </c>
      <c r="IT20" s="116">
        <f t="shared" si="1"/>
        <v>4.16</v>
      </c>
      <c r="IU20" s="116">
        <f t="shared" si="1"/>
        <v>4.12</v>
      </c>
      <c r="IV20" s="116">
        <f t="shared" si="1"/>
        <v>9.2200000000000006</v>
      </c>
      <c r="IW20" s="116">
        <f t="shared" si="1"/>
        <v>9.25</v>
      </c>
      <c r="IX20" s="116">
        <f t="shared" si="1"/>
        <v>9.8000000000000007</v>
      </c>
      <c r="IY20" s="116">
        <f t="shared" si="1"/>
        <v>10.49</v>
      </c>
      <c r="IZ20" s="116">
        <f t="shared" si="1"/>
        <v>47.25</v>
      </c>
      <c r="JA20" s="116">
        <f t="shared" si="1"/>
        <v>71.599999999999994</v>
      </c>
      <c r="JB20" s="116">
        <f t="shared" si="1"/>
        <v>102.45</v>
      </c>
      <c r="JC20" s="116">
        <f t="shared" si="1"/>
        <v>126.1</v>
      </c>
      <c r="JD20" s="116">
        <f t="shared" si="1"/>
        <v>132.44999999999999</v>
      </c>
      <c r="JE20" s="116">
        <f t="shared" si="1"/>
        <v>163.15</v>
      </c>
      <c r="JF20" s="116">
        <f t="shared" si="1"/>
        <v>235.6</v>
      </c>
      <c r="JG20" s="116">
        <f t="shared" si="1"/>
        <v>275</v>
      </c>
      <c r="JH20" s="116">
        <f t="shared" si="1"/>
        <v>395.2</v>
      </c>
      <c r="JI20" s="116">
        <f t="shared" si="1"/>
        <v>485.3</v>
      </c>
      <c r="JJ20" s="116">
        <f t="shared" si="2"/>
        <v>522.4</v>
      </c>
      <c r="JK20" s="116">
        <f t="shared" ref="JK20" si="9">+IF(JK15=0,JK8,JK15)</f>
        <v>592.1</v>
      </c>
      <c r="JL20" s="116">
        <f t="shared" ref="JL20:JM20" si="10">+IF(JL15=0,JL8,JL15)</f>
        <v>675</v>
      </c>
      <c r="JM20" s="116">
        <f t="shared" si="10"/>
        <v>880.95</v>
      </c>
      <c r="JN20" s="116">
        <f t="shared" ref="JN20:JO20" si="11">+IF(JN15=0,JN8,JN15)</f>
        <v>943.25</v>
      </c>
      <c r="JO20" s="116">
        <f t="shared" si="11"/>
        <v>1005.05</v>
      </c>
      <c r="JP20" s="116">
        <f t="shared" ref="JP20" si="12">+IF(JP15=0,JP8,JP15)</f>
        <v>1201.5</v>
      </c>
      <c r="JQ20" s="116">
        <f t="shared" ref="JQ20:KH20" si="13">+IF(JQ15=0,JQ8,JQ15)</f>
        <v>1170.7</v>
      </c>
      <c r="JR20" s="116">
        <f t="shared" si="13"/>
        <v>1044</v>
      </c>
      <c r="JS20" s="116">
        <f t="shared" si="13"/>
        <v>1289.1500000000001</v>
      </c>
      <c r="JT20" s="116">
        <f t="shared" si="13"/>
        <v>0</v>
      </c>
      <c r="JU20" s="116">
        <f t="shared" si="13"/>
        <v>0</v>
      </c>
      <c r="JV20" s="116">
        <f t="shared" si="13"/>
        <v>0</v>
      </c>
      <c r="JW20" s="116">
        <f t="shared" si="13"/>
        <v>0</v>
      </c>
      <c r="JX20" s="116">
        <f t="shared" si="13"/>
        <v>0</v>
      </c>
      <c r="JY20" s="116">
        <f t="shared" si="13"/>
        <v>0</v>
      </c>
      <c r="JZ20" s="116">
        <f t="shared" si="13"/>
        <v>0</v>
      </c>
      <c r="KA20" s="116">
        <f t="shared" si="13"/>
        <v>0</v>
      </c>
      <c r="KB20" s="116">
        <f t="shared" si="13"/>
        <v>0</v>
      </c>
      <c r="KC20" s="116">
        <f t="shared" si="13"/>
        <v>0</v>
      </c>
      <c r="KD20" s="116">
        <f t="shared" si="13"/>
        <v>0</v>
      </c>
      <c r="KE20" s="116">
        <f t="shared" si="13"/>
        <v>0</v>
      </c>
      <c r="KF20" s="116">
        <f t="shared" si="13"/>
        <v>0</v>
      </c>
      <c r="KG20" s="116">
        <f t="shared" si="13"/>
        <v>0</v>
      </c>
      <c r="KH20" s="116">
        <f t="shared" si="13"/>
        <v>0</v>
      </c>
    </row>
    <row r="21" spans="1:294" s="116" customFormat="1" x14ac:dyDescent="0.25">
      <c r="A21" s="116" t="s">
        <v>37</v>
      </c>
      <c r="HP21" s="116">
        <f t="shared" si="8"/>
        <v>8.1999999999999993</v>
      </c>
      <c r="HQ21" s="116">
        <f t="shared" si="1"/>
        <v>8.65</v>
      </c>
      <c r="HR21" s="116">
        <f t="shared" si="1"/>
        <v>5.99</v>
      </c>
      <c r="HS21" s="116">
        <f t="shared" si="1"/>
        <v>4.4550000000000001</v>
      </c>
      <c r="HT21" s="116">
        <f t="shared" si="1"/>
        <v>8.65</v>
      </c>
      <c r="HU21" s="116">
        <f t="shared" si="1"/>
        <v>4.96</v>
      </c>
      <c r="HV21" s="116">
        <f t="shared" si="1"/>
        <v>3.9550000000000001</v>
      </c>
      <c r="HW21" s="116">
        <f t="shared" si="1"/>
        <v>6.63</v>
      </c>
      <c r="HX21" s="116">
        <f t="shared" si="1"/>
        <v>4.9000000000000004</v>
      </c>
      <c r="HY21" s="116">
        <f t="shared" si="1"/>
        <v>4.9649999999999999</v>
      </c>
      <c r="HZ21" s="116">
        <f t="shared" si="1"/>
        <v>3.1949999999999998</v>
      </c>
      <c r="IA21" s="116">
        <f t="shared" si="1"/>
        <v>2.94</v>
      </c>
      <c r="IB21" s="116">
        <f t="shared" si="1"/>
        <v>3.7949999999999999</v>
      </c>
      <c r="IC21" s="116">
        <f t="shared" si="1"/>
        <v>3.75</v>
      </c>
      <c r="ID21" s="116">
        <f t="shared" si="1"/>
        <v>10.1</v>
      </c>
      <c r="IE21" s="116">
        <f t="shared" si="1"/>
        <v>15.324999999999999</v>
      </c>
      <c r="IF21" s="116">
        <f t="shared" si="1"/>
        <v>13.45</v>
      </c>
      <c r="IG21" s="116">
        <f t="shared" si="1"/>
        <v>10.67</v>
      </c>
      <c r="IH21" s="116">
        <f t="shared" si="1"/>
        <v>15.3</v>
      </c>
      <c r="II21" s="116">
        <f t="shared" si="1"/>
        <v>17.3</v>
      </c>
      <c r="IJ21" s="116">
        <f t="shared" si="1"/>
        <v>17.7</v>
      </c>
      <c r="IK21" s="116">
        <f t="shared" si="1"/>
        <v>17.55</v>
      </c>
      <c r="IL21" s="116">
        <f t="shared" si="1"/>
        <v>15.3</v>
      </c>
      <c r="IM21" s="116">
        <f t="shared" si="1"/>
        <v>13.3</v>
      </c>
      <c r="IN21" s="116">
        <f t="shared" si="1"/>
        <v>13.55</v>
      </c>
      <c r="IO21" s="116">
        <f t="shared" si="1"/>
        <v>14.25</v>
      </c>
      <c r="IP21" s="116">
        <f t="shared" si="1"/>
        <v>12.46</v>
      </c>
      <c r="IQ21" s="116">
        <f t="shared" si="1"/>
        <v>8.8699999999999992</v>
      </c>
      <c r="IR21" s="116">
        <f t="shared" si="1"/>
        <v>10.4</v>
      </c>
      <c r="IS21" s="116">
        <f t="shared" si="1"/>
        <v>7.57</v>
      </c>
      <c r="IT21" s="116">
        <f t="shared" si="1"/>
        <v>5.76</v>
      </c>
      <c r="IU21" s="116">
        <f t="shared" si="1"/>
        <v>10.56</v>
      </c>
      <c r="IV21" s="116">
        <f t="shared" si="1"/>
        <v>11.65</v>
      </c>
      <c r="IW21" s="116">
        <f t="shared" si="1"/>
        <v>10.07</v>
      </c>
      <c r="IX21" s="116">
        <f t="shared" si="1"/>
        <v>11</v>
      </c>
      <c r="IY21" s="116">
        <f t="shared" si="1"/>
        <v>50.8</v>
      </c>
      <c r="IZ21" s="116">
        <f t="shared" si="1"/>
        <v>91.1</v>
      </c>
      <c r="JA21" s="116">
        <f t="shared" si="1"/>
        <v>100.4</v>
      </c>
      <c r="JB21" s="116">
        <f t="shared" si="1"/>
        <v>132.65</v>
      </c>
      <c r="JC21" s="116">
        <f t="shared" si="1"/>
        <v>139.9</v>
      </c>
      <c r="JD21" s="116">
        <f t="shared" si="1"/>
        <v>178.1</v>
      </c>
      <c r="JE21" s="116">
        <f t="shared" si="1"/>
        <v>245.3</v>
      </c>
      <c r="JF21" s="116">
        <f t="shared" si="1"/>
        <v>284.7</v>
      </c>
      <c r="JG21" s="116">
        <f t="shared" si="1"/>
        <v>395.7</v>
      </c>
      <c r="JH21" s="116">
        <f t="shared" si="1"/>
        <v>536.6</v>
      </c>
      <c r="JI21" s="116">
        <f t="shared" si="1"/>
        <v>599.20000000000005</v>
      </c>
      <c r="JJ21" s="116">
        <f t="shared" si="2"/>
        <v>602.95000000000005</v>
      </c>
      <c r="JK21" s="116">
        <f t="shared" ref="JK21" si="14">+IF(JK16=0,JK9,JK16)</f>
        <v>732.25</v>
      </c>
      <c r="JL21" s="116">
        <f t="shared" ref="JL21:JM21" si="15">+IF(JL16=0,JL9,JL16)</f>
        <v>948.65</v>
      </c>
      <c r="JM21" s="116">
        <f t="shared" si="15"/>
        <v>1231.3</v>
      </c>
      <c r="JN21" s="116">
        <f t="shared" ref="JN21:JO21" si="16">+IF(JN16=0,JN9,JN16)</f>
        <v>1285.5</v>
      </c>
      <c r="JO21" s="116">
        <f t="shared" si="16"/>
        <v>1590.65</v>
      </c>
      <c r="JP21" s="116">
        <f t="shared" ref="JP21" si="17">+IF(JP16=0,JP9,JP16)</f>
        <v>1226.5</v>
      </c>
      <c r="JQ21" s="116">
        <f t="shared" ref="JQ21:KH21" si="18">+IF(JQ16=0,JQ9,JQ16)</f>
        <v>1322</v>
      </c>
      <c r="JR21" s="116">
        <f t="shared" si="18"/>
        <v>1270.7</v>
      </c>
      <c r="JS21" s="116">
        <f t="shared" si="18"/>
        <v>1766.55</v>
      </c>
      <c r="JT21" s="116">
        <f t="shared" si="18"/>
        <v>0</v>
      </c>
      <c r="JU21" s="116">
        <f t="shared" si="18"/>
        <v>0</v>
      </c>
      <c r="JV21" s="116">
        <f t="shared" si="18"/>
        <v>0</v>
      </c>
      <c r="JW21" s="116">
        <f t="shared" si="18"/>
        <v>0</v>
      </c>
      <c r="JX21" s="116">
        <f t="shared" si="18"/>
        <v>0</v>
      </c>
      <c r="JY21" s="116">
        <f t="shared" si="18"/>
        <v>0</v>
      </c>
      <c r="JZ21" s="116">
        <f t="shared" si="18"/>
        <v>0</v>
      </c>
      <c r="KA21" s="116">
        <f t="shared" si="18"/>
        <v>0</v>
      </c>
      <c r="KB21" s="116">
        <f t="shared" si="18"/>
        <v>0</v>
      </c>
      <c r="KC21" s="116">
        <f t="shared" si="18"/>
        <v>0</v>
      </c>
      <c r="KD21" s="116">
        <f t="shared" si="18"/>
        <v>0</v>
      </c>
      <c r="KE21" s="116">
        <f t="shared" si="18"/>
        <v>0</v>
      </c>
      <c r="KF21" s="116">
        <f t="shared" si="18"/>
        <v>0</v>
      </c>
      <c r="KG21" s="116">
        <f t="shared" si="18"/>
        <v>0</v>
      </c>
      <c r="KH21" s="116">
        <f t="shared" si="18"/>
        <v>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FFC90-D2E8-4CED-9FE3-7AF0742491CE}">
  <dimension ref="A1:AY7"/>
  <sheetViews>
    <sheetView workbookViewId="0">
      <selection activeCell="B6" sqref="B6"/>
    </sheetView>
  </sheetViews>
  <sheetFormatPr defaultRowHeight="15" x14ac:dyDescent="0.25"/>
  <cols>
    <col min="1" max="1" width="16.140625" bestFit="1" customWidth="1"/>
    <col min="2" max="2" width="20.140625" bestFit="1" customWidth="1"/>
    <col min="3" max="16" width="10" bestFit="1" customWidth="1"/>
    <col min="17" max="50" width="11" bestFit="1" customWidth="1"/>
    <col min="51" max="51" width="10" bestFit="1" customWidth="1"/>
  </cols>
  <sheetData>
    <row r="1" spans="1:51" x14ac:dyDescent="0.25">
      <c r="A1">
        <f>'QTR Raw'!A1</f>
        <v>112455</v>
      </c>
      <c r="C1">
        <v>201206</v>
      </c>
      <c r="D1">
        <v>201209</v>
      </c>
      <c r="E1">
        <v>201212</v>
      </c>
      <c r="F1">
        <v>201303</v>
      </c>
      <c r="G1">
        <v>201306</v>
      </c>
      <c r="H1">
        <v>201309</v>
      </c>
      <c r="I1">
        <v>201312</v>
      </c>
      <c r="J1">
        <v>201403</v>
      </c>
      <c r="K1">
        <v>201406</v>
      </c>
      <c r="L1">
        <v>201409</v>
      </c>
      <c r="M1">
        <v>201412</v>
      </c>
      <c r="N1">
        <v>201503</v>
      </c>
      <c r="O1">
        <v>201506</v>
      </c>
      <c r="P1">
        <v>201509</v>
      </c>
      <c r="Q1">
        <v>201512</v>
      </c>
      <c r="R1">
        <v>201603</v>
      </c>
      <c r="S1">
        <v>201606</v>
      </c>
      <c r="T1">
        <v>201609</v>
      </c>
      <c r="U1">
        <v>201612</v>
      </c>
      <c r="V1">
        <v>201703</v>
      </c>
      <c r="W1">
        <v>201706</v>
      </c>
      <c r="X1">
        <v>201709</v>
      </c>
      <c r="Y1">
        <v>201712</v>
      </c>
      <c r="Z1">
        <v>201803</v>
      </c>
      <c r="AA1">
        <v>201806</v>
      </c>
      <c r="AB1">
        <v>201809</v>
      </c>
      <c r="AC1">
        <v>201812</v>
      </c>
      <c r="AD1">
        <v>201903</v>
      </c>
      <c r="AE1">
        <v>201906</v>
      </c>
      <c r="AF1">
        <v>201909</v>
      </c>
      <c r="AG1">
        <v>201912</v>
      </c>
      <c r="AH1">
        <v>202003</v>
      </c>
      <c r="AI1">
        <v>202006</v>
      </c>
      <c r="AJ1">
        <v>202009</v>
      </c>
      <c r="AK1">
        <v>202012</v>
      </c>
      <c r="AL1">
        <v>202103</v>
      </c>
      <c r="AM1">
        <v>202106</v>
      </c>
      <c r="AN1">
        <v>202109</v>
      </c>
      <c r="AO1">
        <v>202112</v>
      </c>
      <c r="AP1">
        <v>202203</v>
      </c>
      <c r="AQ1">
        <v>202206</v>
      </c>
      <c r="AR1">
        <v>202209</v>
      </c>
      <c r="AS1">
        <v>202212</v>
      </c>
      <c r="AT1">
        <v>202303</v>
      </c>
      <c r="AU1">
        <v>202306</v>
      </c>
      <c r="AV1">
        <v>202309</v>
      </c>
      <c r="AW1">
        <v>202312</v>
      </c>
      <c r="AX1">
        <v>202403</v>
      </c>
      <c r="AY1">
        <v>202406</v>
      </c>
    </row>
    <row r="4" spans="1:51" x14ac:dyDescent="0.25">
      <c r="A4" t="s">
        <v>110</v>
      </c>
      <c r="B4" t="s">
        <v>111</v>
      </c>
    </row>
    <row r="5" spans="1:51" x14ac:dyDescent="0.25">
      <c r="A5" t="s">
        <v>252</v>
      </c>
      <c r="B5" t="s">
        <v>329</v>
      </c>
      <c r="C5" cm="1">
        <f t="array" ref="C5">_xll.EQNXTDZ($A$1,$B5,C$1)</f>
        <v>201206</v>
      </c>
      <c r="D5" cm="1">
        <f t="array" ref="D5">_xll.EQNXTDZ($A$1,$B5,D$1)</f>
        <v>201209</v>
      </c>
      <c r="E5" cm="1">
        <f t="array" ref="E5">_xll.EQNXTDZ($A$1,$B5,E$1)</f>
        <v>201212</v>
      </c>
      <c r="F5" cm="1">
        <f t="array" ref="F5">_xll.EQNXTDZ($A$1,$B5,F$1)</f>
        <v>201303</v>
      </c>
      <c r="G5" cm="1">
        <f t="array" ref="G5">_xll.EQNXTDZ($A$1,$B5,G$1)</f>
        <v>201306</v>
      </c>
      <c r="H5" cm="1">
        <f t="array" ref="H5">_xll.EQNXTDZ($A$1,$B5,H$1)</f>
        <v>201309</v>
      </c>
      <c r="I5" cm="1">
        <f t="array" ref="I5">_xll.EQNXTDZ($A$1,$B5,I$1)</f>
        <v>201312</v>
      </c>
      <c r="J5" cm="1">
        <f t="array" ref="J5">_xll.EQNXTDZ($A$1,$B5,J$1)</f>
        <v>201403</v>
      </c>
      <c r="K5" cm="1">
        <f t="array" ref="K5">_xll.EQNXTDZ($A$1,$B5,K$1)</f>
        <v>201406</v>
      </c>
      <c r="L5" cm="1">
        <f t="array" ref="L5">_xll.EQNXTDZ($A$1,$B5,L$1)</f>
        <v>201409</v>
      </c>
      <c r="M5" cm="1">
        <f t="array" ref="M5">_xll.EQNXTDZ($A$1,$B5,M$1)</f>
        <v>201412</v>
      </c>
      <c r="N5" cm="1">
        <f t="array" ref="N5">_xll.EQNXTDZ($A$1,$B5,N$1)</f>
        <v>201503</v>
      </c>
      <c r="O5" cm="1">
        <f t="array" ref="O5">_xll.EQNXTDZ($A$1,$B5,O$1)</f>
        <v>201506</v>
      </c>
      <c r="P5" cm="1">
        <f t="array" ref="P5">_xll.EQNXTDZ($A$1,$B5,P$1)</f>
        <v>201509</v>
      </c>
      <c r="Q5" cm="1">
        <f t="array" ref="Q5">_xll.EQNXTDZ($A$1,$B5,Q$1)</f>
        <v>201512</v>
      </c>
      <c r="R5" cm="1">
        <f t="array" ref="R5">_xll.EQNXTDZ($A$1,$B5,R$1)</f>
        <v>201603</v>
      </c>
      <c r="S5" cm="1">
        <f t="array" ref="S5">_xll.EQNXTDZ($A$1,$B5,S$1)</f>
        <v>201606</v>
      </c>
      <c r="T5" cm="1">
        <f t="array" ref="T5">_xll.EQNXTDZ($A$1,$B5,T$1)</f>
        <v>201609</v>
      </c>
      <c r="U5" cm="1">
        <f t="array" ref="U5">_xll.EQNXTDZ($A$1,$B5,U$1)</f>
        <v>201612</v>
      </c>
      <c r="V5" cm="1">
        <f t="array" ref="V5">_xll.EQNXTDZ($A$1,$B5,V$1)</f>
        <v>201703</v>
      </c>
      <c r="W5" cm="1">
        <f t="array" ref="W5">_xll.EQNXTDZ($A$1,$B5,W$1)</f>
        <v>201706</v>
      </c>
      <c r="X5" cm="1">
        <f t="array" ref="X5">_xll.EQNXTDZ($A$1,$B5,X$1)</f>
        <v>201709</v>
      </c>
      <c r="Y5" cm="1">
        <f t="array" ref="Y5">_xll.EQNXTDZ($A$1,$B5,Y$1)</f>
        <v>201712</v>
      </c>
      <c r="Z5" cm="1">
        <f t="array" ref="Z5">_xll.EQNXTDZ($A$1,$B5,Z$1)</f>
        <v>201803</v>
      </c>
      <c r="AA5" cm="1">
        <f t="array" ref="AA5">_xll.EQNXTDZ($A$1,$B5,AA$1)</f>
        <v>201806</v>
      </c>
      <c r="AB5" cm="1">
        <f t="array" ref="AB5">_xll.EQNXTDZ($A$1,$B5,AB$1)</f>
        <v>201809</v>
      </c>
      <c r="AC5" cm="1">
        <f t="array" ref="AC5">_xll.EQNXTDZ($A$1,$B5,AC$1)</f>
        <v>201812</v>
      </c>
      <c r="AD5" cm="1">
        <f t="array" ref="AD5">_xll.EQNXTDZ($A$1,$B5,AD$1)</f>
        <v>201903</v>
      </c>
      <c r="AE5" cm="1">
        <f t="array" ref="AE5">_xll.EQNXTDZ($A$1,$B5,AE$1)</f>
        <v>201906</v>
      </c>
      <c r="AF5" cm="1">
        <f t="array" ref="AF5">_xll.EQNXTDZ($A$1,$B5,AF$1)</f>
        <v>201909</v>
      </c>
      <c r="AG5" cm="1">
        <f t="array" ref="AG5">_xll.EQNXTDZ($A$1,$B5,AG$1)</f>
        <v>201912</v>
      </c>
      <c r="AH5" cm="1">
        <f t="array" ref="AH5">_xll.EQNXTDZ($A$1,$B5,AH$1)</f>
        <v>202003</v>
      </c>
      <c r="AI5" cm="1">
        <f t="array" ref="AI5">_xll.EQNXTDZ($A$1,$B5,AI$1)</f>
        <v>202006</v>
      </c>
      <c r="AJ5" cm="1">
        <f t="array" ref="AJ5">_xll.EQNXTDZ($A$1,$B5,AJ$1)</f>
        <v>202009</v>
      </c>
      <c r="AK5" cm="1">
        <f t="array" ref="AK5">_xll.EQNXTDZ($A$1,$B5,AK$1)</f>
        <v>202012</v>
      </c>
      <c r="AL5" cm="1">
        <f t="array" ref="AL5">_xll.EQNXTDZ($A$1,$B5,AL$1)</f>
        <v>202103</v>
      </c>
      <c r="AM5" cm="1">
        <f t="array" ref="AM5">_xll.EQNXTDZ($A$1,$B5,AM$1)</f>
        <v>202106</v>
      </c>
      <c r="AN5" cm="1">
        <f t="array" ref="AN5">_xll.EQNXTDZ($A$1,$B5,AN$1)</f>
        <v>202109</v>
      </c>
      <c r="AO5" cm="1">
        <f t="array" ref="AO5">_xll.EQNXTDZ($A$1,$B5,AO$1)</f>
        <v>202112</v>
      </c>
      <c r="AP5" cm="1">
        <f t="array" ref="AP5">_xll.EQNXTDZ($A$1,$B5,AP$1)</f>
        <v>202203</v>
      </c>
      <c r="AQ5" cm="1">
        <f t="array" ref="AQ5">_xll.EQNXTDZ($A$1,$B5,AQ$1)</f>
        <v>202206</v>
      </c>
      <c r="AR5" cm="1">
        <f t="array" ref="AR5">_xll.EQNXTDZ($A$1,$B5,AR$1)</f>
        <v>202209</v>
      </c>
      <c r="AS5" cm="1">
        <f t="array" ref="AS5">_xll.EQNXTDZ($A$1,$B5,AS$1)</f>
        <v>202212</v>
      </c>
      <c r="AT5" cm="1">
        <f t="array" ref="AT5">_xll.EQNXTDZ($A$1,$B5,AT$1)</f>
        <v>202303</v>
      </c>
      <c r="AU5" cm="1">
        <f t="array" ref="AU5">_xll.EQNXTDZ($A$1,$B5,AU$1)</f>
        <v>202306</v>
      </c>
      <c r="AV5" cm="1">
        <f t="array" ref="AV5">_xll.EQNXTDZ($A$1,$B5,AV$1)</f>
        <v>202309</v>
      </c>
      <c r="AW5" cm="1">
        <f t="array" ref="AW5">_xll.EQNXTDZ($A$1,$B5,AW$1)</f>
        <v>202312</v>
      </c>
      <c r="AX5" cm="1">
        <f t="array" ref="AX5">_xll.EQNXTDZ($A$1,$B5,AX$1)</f>
        <v>202403</v>
      </c>
      <c r="AY5" cm="1">
        <f t="array" ref="AY5">_xll.EQNXTDZ($A$1,$B5,AY$1)</f>
        <v>202406</v>
      </c>
    </row>
    <row r="6" spans="1:51" x14ac:dyDescent="0.25">
      <c r="A6" t="s">
        <v>427</v>
      </c>
      <c r="B6" t="s">
        <v>428</v>
      </c>
      <c r="C6" cm="1">
        <f t="array" ref="C6">_xll.EQNXTDZ($A$1,$B6,C$1)</f>
        <v>111291290</v>
      </c>
      <c r="D6" cm="1">
        <f t="array" ref="D6">_xll.EQNXTDZ($A$1,$B6,D$1)</f>
        <v>111291290</v>
      </c>
      <c r="E6" cm="1">
        <f t="array" ref="E6">_xll.EQNXTDZ($A$1,$B6,E$1)</f>
        <v>111291290</v>
      </c>
      <c r="F6" cm="1">
        <f t="array" ref="F6">_xll.EQNXTDZ($A$1,$B6,F$1)</f>
        <v>111291290</v>
      </c>
      <c r="G6" cm="1">
        <f t="array" ref="G6">_xll.EQNXTDZ($A$1,$B6,G$1)</f>
        <v>111291290</v>
      </c>
      <c r="H6" cm="1">
        <f t="array" ref="H6">_xll.EQNXTDZ($A$1,$B6,H$1)</f>
        <v>111291290</v>
      </c>
      <c r="I6" cm="1">
        <f t="array" ref="I6">_xll.EQNXTDZ($A$1,$B6,I$1)</f>
        <v>111291290</v>
      </c>
      <c r="J6" cm="1">
        <f t="array" ref="J6">_xll.EQNXTDZ($A$1,$B6,J$1)</f>
        <v>111291290</v>
      </c>
      <c r="K6" cm="1">
        <f t="array" ref="K6">_xll.EQNXTDZ($A$1,$B6,K$1)</f>
        <v>111291290</v>
      </c>
      <c r="L6" cm="1">
        <f t="array" ref="L6">_xll.EQNXTDZ($A$1,$B6,L$1)</f>
        <v>111291290</v>
      </c>
      <c r="M6" cm="1">
        <f t="array" ref="M6">_xll.EQNXTDZ($A$1,$B6,M$1)</f>
        <v>111291290</v>
      </c>
      <c r="N6" cm="1">
        <f t="array" ref="N6">_xll.EQNXTDZ($A$1,$B6,N$1)</f>
        <v>111291290</v>
      </c>
      <c r="O6" cm="1">
        <f t="array" ref="O6">_xll.EQNXTDZ($A$1,$B6,O$1)</f>
        <v>111291290</v>
      </c>
      <c r="P6" cm="1">
        <f t="array" ref="P6">_xll.EQNXTDZ($A$1,$B6,P$1)</f>
        <v>111291290</v>
      </c>
      <c r="Q6" cm="1">
        <f t="array" ref="Q6">_xll.EQNXTDZ($A$1,$B6,Q$1)</f>
        <v>111291290</v>
      </c>
      <c r="R6" cm="1">
        <f t="array" ref="R6">_xll.EQNXTDZ($A$1,$B6,R$1)</f>
        <v>111291290</v>
      </c>
      <c r="S6" cm="1">
        <f t="array" ref="S6">_xll.EQNXTDZ($A$1,$B6,S$1)</f>
        <v>111291290</v>
      </c>
      <c r="T6" cm="1">
        <f t="array" ref="T6">_xll.EQNXTDZ($A$1,$B6,T$1)</f>
        <v>222582580</v>
      </c>
      <c r="U6" cm="1">
        <f t="array" ref="U6">_xll.EQNXTDZ($A$1,$B6,U$1)</f>
        <v>222582580</v>
      </c>
      <c r="V6" cm="1">
        <f t="array" ref="V6">_xll.EQNXTDZ($A$1,$B6,V$1)</f>
        <v>222582580</v>
      </c>
      <c r="W6" cm="1">
        <f t="array" ref="W6">_xll.EQNXTDZ($A$1,$B6,W$1)</f>
        <v>222582580</v>
      </c>
      <c r="X6" cm="1">
        <f t="array" ref="X6">_xll.EQNXTDZ($A$1,$B6,X$1)</f>
        <v>222582580</v>
      </c>
      <c r="Y6" cm="1">
        <f t="array" ref="Y6">_xll.EQNXTDZ($A$1,$B6,Y$1)</f>
        <v>222582580</v>
      </c>
      <c r="Z6" cm="1">
        <f t="array" ref="Z6">_xll.EQNXTDZ($A$1,$B6,Z$1)</f>
        <v>222582580</v>
      </c>
      <c r="AA6" cm="1">
        <f t="array" ref="AA6">_xll.EQNXTDZ($A$1,$B6,AA$1)</f>
        <v>222582580</v>
      </c>
      <c r="AB6" cm="1">
        <f t="array" ref="AB6">_xll.EQNXTDZ($A$1,$B6,AB$1)</f>
        <v>222582580</v>
      </c>
      <c r="AC6" cm="1">
        <f t="array" ref="AC6">_xll.EQNXTDZ($A$1,$B6,AC$1)</f>
        <v>222582580</v>
      </c>
      <c r="AD6" cm="1">
        <f t="array" ref="AD6">_xll.EQNXTDZ($A$1,$B6,AD$1)</f>
        <v>222582580</v>
      </c>
      <c r="AE6" cm="1">
        <f t="array" ref="AE6">_xll.EQNXTDZ($A$1,$B6,AE$1)</f>
        <v>222582580</v>
      </c>
      <c r="AF6" cm="1">
        <f t="array" ref="AF6">_xll.EQNXTDZ($A$1,$B6,AF$1)</f>
        <v>225178400</v>
      </c>
      <c r="AG6" cm="1">
        <f t="array" ref="AG6">_xll.EQNXTDZ($A$1,$B6,AG$1)</f>
        <v>225178400</v>
      </c>
      <c r="AH6" cm="1">
        <f t="array" ref="AH6">_xll.EQNXTDZ($A$1,$B6,AH$1)</f>
        <v>225178400</v>
      </c>
      <c r="AI6" cm="1">
        <f t="array" ref="AI6">_xll.EQNXTDZ($A$1,$B6,AI$1)</f>
        <v>225178400</v>
      </c>
      <c r="AJ6" cm="1">
        <f t="array" ref="AJ6">_xll.EQNXTDZ($A$1,$B6,AJ$1)</f>
        <v>251749220</v>
      </c>
      <c r="AK6" cm="1">
        <f t="array" ref="AK6">_xll.EQNXTDZ($A$1,$B6,AK$1)</f>
        <v>251749220</v>
      </c>
      <c r="AL6" cm="1">
        <f t="array" ref="AL6">_xll.EQNXTDZ($A$1,$B6,AL$1)</f>
        <v>251749220</v>
      </c>
      <c r="AM6" cm="1">
        <f t="array" ref="AM6">_xll.EQNXTDZ($A$1,$B6,AM$1)</f>
        <v>368399220</v>
      </c>
      <c r="AN6" cm="1">
        <f t="array" ref="AN6">_xll.EQNXTDZ($A$1,$B6,AN$1)</f>
        <v>368719220</v>
      </c>
      <c r="AO6" cm="1">
        <f t="array" ref="AO6">_xll.EQNXTDZ($A$1,$B6,AO$1)</f>
        <v>368719220</v>
      </c>
      <c r="AP6" cm="1">
        <f t="array" ref="AP6">_xll.EQNXTDZ($A$1,$B6,AP$1)</f>
        <v>368719220</v>
      </c>
      <c r="AQ6" cm="1">
        <f t="array" ref="AQ6">_xll.EQNXTDZ($A$1,$B6,AQ$1)</f>
        <v>444719220</v>
      </c>
      <c r="AR6" cm="1">
        <f t="array" ref="AR6">_xll.EQNXTDZ($A$1,$B6,AR$1)</f>
        <v>444719220</v>
      </c>
      <c r="AS6" cm="1">
        <f t="array" ref="AS6">_xll.EQNXTDZ($A$1,$B6,AS$1)</f>
        <v>444824220</v>
      </c>
      <c r="AT6" cm="1">
        <f t="array" ref="AT6">_xll.EQNXTDZ($A$1,$B6,AT$1)</f>
        <v>504824220</v>
      </c>
      <c r="AU6" cm="1">
        <f t="array" ref="AU6">_xll.EQNXTDZ($A$1,$B6,AU$1)</f>
        <v>504824220</v>
      </c>
      <c r="AV6" cm="1">
        <f t="array" ref="AV6">_xll.EQNXTDZ($A$1,$B6,AV$1)</f>
        <v>504824220</v>
      </c>
      <c r="AW6" cm="1">
        <f t="array" ref="AW6">_xll.EQNXTDZ($A$1,$B6,AW$1)</f>
        <v>505253535</v>
      </c>
      <c r="AX6" cm="1">
        <f t="array" ref="AX6">_xll.EQNXTDZ($A$1,$B6,AX$1)</f>
        <v>505253535</v>
      </c>
      <c r="AY6" cm="1">
        <f t="array" ref="AY6">_xll.EQNXTDZ($A$1,$B6,AY$1)</f>
        <v>505253535</v>
      </c>
    </row>
    <row r="7" spans="1:51" x14ac:dyDescent="0.25">
      <c r="B7" t="s">
        <v>429</v>
      </c>
      <c r="C7" s="100">
        <f>+C6/10^7</f>
        <v>11.129129000000001</v>
      </c>
      <c r="D7" s="100">
        <f t="shared" ref="D7:X7" si="0">+D6/10^7</f>
        <v>11.129129000000001</v>
      </c>
      <c r="E7" s="100">
        <f t="shared" si="0"/>
        <v>11.129129000000001</v>
      </c>
      <c r="F7" s="100">
        <f t="shared" si="0"/>
        <v>11.129129000000001</v>
      </c>
      <c r="G7" s="100">
        <f t="shared" si="0"/>
        <v>11.129129000000001</v>
      </c>
      <c r="H7" s="100">
        <f t="shared" si="0"/>
        <v>11.129129000000001</v>
      </c>
      <c r="I7" s="100">
        <f t="shared" si="0"/>
        <v>11.129129000000001</v>
      </c>
      <c r="J7" s="100">
        <f t="shared" si="0"/>
        <v>11.129129000000001</v>
      </c>
      <c r="K7" s="100">
        <f t="shared" si="0"/>
        <v>11.129129000000001</v>
      </c>
      <c r="L7" s="100">
        <f t="shared" si="0"/>
        <v>11.129129000000001</v>
      </c>
      <c r="M7" s="100">
        <f t="shared" si="0"/>
        <v>11.129129000000001</v>
      </c>
      <c r="N7" s="100">
        <f t="shared" si="0"/>
        <v>11.129129000000001</v>
      </c>
      <c r="O7" s="100">
        <f t="shared" si="0"/>
        <v>11.129129000000001</v>
      </c>
      <c r="P7" s="100">
        <f t="shared" si="0"/>
        <v>11.129129000000001</v>
      </c>
      <c r="Q7" s="100">
        <f t="shared" si="0"/>
        <v>11.129129000000001</v>
      </c>
      <c r="R7" s="100">
        <f t="shared" si="0"/>
        <v>11.129129000000001</v>
      </c>
      <c r="S7" s="100">
        <f t="shared" si="0"/>
        <v>11.129129000000001</v>
      </c>
      <c r="T7" s="100">
        <f t="shared" si="0"/>
        <v>22.258258000000001</v>
      </c>
      <c r="U7" s="100">
        <f t="shared" si="0"/>
        <v>22.258258000000001</v>
      </c>
      <c r="V7" s="100">
        <f t="shared" si="0"/>
        <v>22.258258000000001</v>
      </c>
      <c r="W7" s="100">
        <f t="shared" si="0"/>
        <v>22.258258000000001</v>
      </c>
      <c r="X7" s="100">
        <f t="shared" si="0"/>
        <v>22.258258000000001</v>
      </c>
      <c r="Y7" s="100">
        <f t="shared" ref="Y7:AS7" si="1">+Y6/10^7</f>
        <v>22.258258000000001</v>
      </c>
      <c r="Z7" s="100">
        <f t="shared" si="1"/>
        <v>22.258258000000001</v>
      </c>
      <c r="AA7" s="100">
        <f t="shared" si="1"/>
        <v>22.258258000000001</v>
      </c>
      <c r="AB7" s="100">
        <f t="shared" si="1"/>
        <v>22.258258000000001</v>
      </c>
      <c r="AC7" s="100">
        <f t="shared" si="1"/>
        <v>22.258258000000001</v>
      </c>
      <c r="AD7" s="100">
        <f t="shared" si="1"/>
        <v>22.258258000000001</v>
      </c>
      <c r="AE7" s="100">
        <f t="shared" si="1"/>
        <v>22.258258000000001</v>
      </c>
      <c r="AF7" s="100">
        <f t="shared" si="1"/>
        <v>22.51784</v>
      </c>
      <c r="AG7" s="100">
        <f t="shared" si="1"/>
        <v>22.51784</v>
      </c>
      <c r="AH7" s="100">
        <f t="shared" si="1"/>
        <v>22.51784</v>
      </c>
      <c r="AI7" s="100">
        <f t="shared" si="1"/>
        <v>22.51784</v>
      </c>
      <c r="AJ7" s="100">
        <f t="shared" si="1"/>
        <v>25.174921999999999</v>
      </c>
      <c r="AK7" s="100">
        <f t="shared" si="1"/>
        <v>25.174921999999999</v>
      </c>
      <c r="AL7" s="100">
        <f t="shared" si="1"/>
        <v>25.174921999999999</v>
      </c>
      <c r="AM7" s="100">
        <f t="shared" si="1"/>
        <v>36.839922000000001</v>
      </c>
      <c r="AN7" s="100">
        <f t="shared" si="1"/>
        <v>36.871921999999998</v>
      </c>
      <c r="AO7" s="100">
        <f t="shared" si="1"/>
        <v>36.871921999999998</v>
      </c>
      <c r="AP7" s="100">
        <f t="shared" si="1"/>
        <v>36.871921999999998</v>
      </c>
      <c r="AQ7" s="100">
        <f t="shared" si="1"/>
        <v>44.471921999999999</v>
      </c>
      <c r="AR7" s="100">
        <f t="shared" si="1"/>
        <v>44.471921999999999</v>
      </c>
      <c r="AS7" s="100">
        <f t="shared" si="1"/>
        <v>44.482422</v>
      </c>
      <c r="AT7" s="100">
        <f t="shared" ref="AT7:AX7" si="2">+AT6/10^7</f>
        <v>50.482422</v>
      </c>
      <c r="AU7" s="100">
        <f t="shared" si="2"/>
        <v>50.482422</v>
      </c>
      <c r="AV7" s="100">
        <f t="shared" si="2"/>
        <v>50.482422</v>
      </c>
      <c r="AW7" s="100">
        <f t="shared" si="2"/>
        <v>50.525353500000001</v>
      </c>
      <c r="AX7" s="100">
        <f t="shared" si="2"/>
        <v>50.525353500000001</v>
      </c>
      <c r="AY7" s="100">
        <f t="shared" ref="AY7" si="3">+AY6/10^7</f>
        <v>50.525353500000001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83312-F106-4E11-A299-0D812C719795}">
  <dimension ref="A1:R6441"/>
  <sheetViews>
    <sheetView workbookViewId="0">
      <selection activeCell="E13" sqref="E13"/>
    </sheetView>
  </sheetViews>
  <sheetFormatPr defaultRowHeight="15" x14ac:dyDescent="0.25"/>
  <cols>
    <col min="1" max="7" width="13.7109375" customWidth="1"/>
    <col min="8" max="9" width="10.140625" bestFit="1" customWidth="1"/>
    <col min="12" max="12" width="13.5703125" customWidth="1"/>
    <col min="13" max="17" width="13.5703125" style="116" customWidth="1"/>
    <col min="18" max="18" width="13.5703125" customWidth="1"/>
  </cols>
  <sheetData>
    <row r="1" spans="1:18" x14ac:dyDescent="0.25">
      <c r="A1" t="str">
        <f>_xll.EQNXTH(B1,"[ADJC];[ADJH];[ADJL];[ADJO];[UCLS];[VOLUME]","2015-Jan-01","Y","All traded days","Asc")</f>
        <v>EQNXTH</v>
      </c>
      <c r="B1">
        <f>+'Annual Raw'!A1</f>
        <v>112455</v>
      </c>
      <c r="L1" t="str">
        <f>_xll.EQNXTH(B1,"[NADJC];[NADJH];[NADJLOW];[NADJOPEN];[NUCLOSE];[NVOLUME]","2015-Jan-01","Y","All traded days","Asc")</f>
        <v>EQNXTH</v>
      </c>
    </row>
    <row r="2" spans="1:18" x14ac:dyDescent="0.25">
      <c r="A2" s="169" t="s">
        <v>578</v>
      </c>
      <c r="L2" s="169" t="s">
        <v>578</v>
      </c>
    </row>
    <row r="3" spans="1:18" x14ac:dyDescent="0.25">
      <c r="A3" s="170" t="s">
        <v>515</v>
      </c>
      <c r="B3" s="171" t="s">
        <v>517</v>
      </c>
      <c r="C3" s="171" t="s">
        <v>516</v>
      </c>
      <c r="D3" s="171" t="s">
        <v>518</v>
      </c>
      <c r="E3" s="171" t="s">
        <v>519</v>
      </c>
      <c r="F3" s="171" t="s">
        <v>520</v>
      </c>
      <c r="G3" s="171" t="s">
        <v>521</v>
      </c>
      <c r="H3" s="171"/>
      <c r="I3" s="171"/>
      <c r="J3" s="171"/>
      <c r="K3" s="171"/>
      <c r="L3" s="170" t="s">
        <v>515</v>
      </c>
      <c r="M3" s="172" t="s">
        <v>516</v>
      </c>
      <c r="N3" s="172" t="s">
        <v>517</v>
      </c>
      <c r="O3" s="172" t="s">
        <v>518</v>
      </c>
      <c r="P3" s="172" t="s">
        <v>519</v>
      </c>
      <c r="Q3" s="172" t="s">
        <v>520</v>
      </c>
      <c r="R3" s="171" t="s">
        <v>521</v>
      </c>
    </row>
    <row r="4" spans="1:18" x14ac:dyDescent="0.25">
      <c r="A4" s="169">
        <v>42005</v>
      </c>
      <c r="B4" s="116">
        <v>5.3</v>
      </c>
      <c r="C4" s="116">
        <v>4.75</v>
      </c>
      <c r="D4" s="116">
        <v>4.75</v>
      </c>
      <c r="E4" s="116">
        <v>5.3</v>
      </c>
      <c r="F4" s="116">
        <v>9.5</v>
      </c>
      <c r="G4">
        <v>5201</v>
      </c>
      <c r="H4" s="116"/>
      <c r="I4" s="116"/>
      <c r="L4" s="169">
        <v>45124</v>
      </c>
      <c r="M4" s="116">
        <v>563.29999999999995</v>
      </c>
      <c r="N4" s="116">
        <v>582.70000000000005</v>
      </c>
      <c r="O4" s="116">
        <v>550.5</v>
      </c>
      <c r="P4" s="116">
        <v>554</v>
      </c>
      <c r="Q4" s="116">
        <v>563.29999999999995</v>
      </c>
      <c r="R4">
        <v>417232</v>
      </c>
    </row>
    <row r="5" spans="1:18" x14ac:dyDescent="0.25">
      <c r="A5" s="169">
        <v>42006</v>
      </c>
      <c r="B5" s="116">
        <v>4.9000000000000004</v>
      </c>
      <c r="C5" s="116">
        <v>4.9000000000000004</v>
      </c>
      <c r="D5" s="116">
        <v>4.8499999999999996</v>
      </c>
      <c r="E5" s="116">
        <v>4.8899999999999997</v>
      </c>
      <c r="F5" s="116">
        <v>9.8000000000000007</v>
      </c>
      <c r="G5">
        <v>2631</v>
      </c>
      <c r="H5" s="116"/>
      <c r="I5" s="116"/>
      <c r="L5" s="169">
        <v>45125</v>
      </c>
      <c r="M5" s="116">
        <v>544.29999999999995</v>
      </c>
      <c r="N5" s="116">
        <v>573.9</v>
      </c>
      <c r="O5" s="116">
        <v>531</v>
      </c>
      <c r="P5" s="116">
        <v>573.9</v>
      </c>
      <c r="Q5" s="116">
        <v>544.29999999999995</v>
      </c>
      <c r="R5">
        <v>284708</v>
      </c>
    </row>
    <row r="6" spans="1:18" x14ac:dyDescent="0.25">
      <c r="A6" s="169">
        <v>42009</v>
      </c>
      <c r="B6" s="116">
        <v>5.24</v>
      </c>
      <c r="C6" s="116">
        <v>5.22</v>
      </c>
      <c r="D6" s="116">
        <v>4.7750000000000004</v>
      </c>
      <c r="E6" s="116">
        <v>5</v>
      </c>
      <c r="F6" s="116">
        <v>10.44</v>
      </c>
      <c r="G6">
        <v>1316</v>
      </c>
      <c r="H6" s="116"/>
      <c r="I6" s="116"/>
      <c r="L6" s="169">
        <v>45126</v>
      </c>
      <c r="M6" s="116">
        <v>566.25</v>
      </c>
      <c r="N6" s="116">
        <v>572</v>
      </c>
      <c r="O6" s="116">
        <v>541.25</v>
      </c>
      <c r="P6" s="116">
        <v>564.70000000000005</v>
      </c>
      <c r="Q6" s="116">
        <v>566.25</v>
      </c>
      <c r="R6">
        <v>208966</v>
      </c>
    </row>
    <row r="7" spans="1:18" x14ac:dyDescent="0.25">
      <c r="A7" s="169">
        <v>42010</v>
      </c>
      <c r="B7" s="116">
        <v>5.7</v>
      </c>
      <c r="C7" s="116">
        <v>4.665</v>
      </c>
      <c r="D7" s="116">
        <v>4.5750000000000002</v>
      </c>
      <c r="E7" s="116">
        <v>5.7</v>
      </c>
      <c r="F7" s="116">
        <v>9.33</v>
      </c>
      <c r="G7">
        <v>4452</v>
      </c>
      <c r="H7" s="116"/>
      <c r="I7" s="116"/>
      <c r="L7" s="169">
        <v>45127</v>
      </c>
      <c r="M7" s="116">
        <v>564.04999999999995</v>
      </c>
      <c r="N7" s="116">
        <v>572.70000000000005</v>
      </c>
      <c r="O7" s="116">
        <v>557</v>
      </c>
      <c r="P7" s="116">
        <v>572.70000000000005</v>
      </c>
      <c r="Q7" s="116">
        <v>564.04999999999995</v>
      </c>
      <c r="R7">
        <v>108284</v>
      </c>
    </row>
    <row r="8" spans="1:18" x14ac:dyDescent="0.25">
      <c r="A8" s="169">
        <v>42011</v>
      </c>
      <c r="B8" s="116">
        <v>5.2</v>
      </c>
      <c r="C8" s="116">
        <v>4.7</v>
      </c>
      <c r="D8" s="116">
        <v>4.6449999999999996</v>
      </c>
      <c r="E8" s="116">
        <v>5</v>
      </c>
      <c r="F8" s="116">
        <v>9.4</v>
      </c>
      <c r="G8">
        <v>1018</v>
      </c>
      <c r="H8" s="116"/>
      <c r="I8" s="116"/>
      <c r="L8" s="169">
        <v>45128</v>
      </c>
      <c r="M8" s="116">
        <v>558.70000000000005</v>
      </c>
      <c r="N8" s="116">
        <v>564.5</v>
      </c>
      <c r="O8" s="116">
        <v>550.04999999999995</v>
      </c>
      <c r="P8" s="116">
        <v>564.5</v>
      </c>
      <c r="Q8" s="116">
        <v>558.70000000000005</v>
      </c>
      <c r="R8">
        <v>189224</v>
      </c>
    </row>
    <row r="9" spans="1:18" x14ac:dyDescent="0.25">
      <c r="A9" s="169">
        <v>42012</v>
      </c>
      <c r="B9" s="116">
        <v>5</v>
      </c>
      <c r="C9" s="116">
        <v>4.99</v>
      </c>
      <c r="D9" s="116">
        <v>4.625</v>
      </c>
      <c r="E9" s="116">
        <v>4.7</v>
      </c>
      <c r="F9" s="116">
        <v>9.98</v>
      </c>
      <c r="G9">
        <v>812</v>
      </c>
      <c r="H9" s="116"/>
      <c r="I9" s="116"/>
      <c r="L9" s="169">
        <v>45131</v>
      </c>
      <c r="M9" s="116">
        <v>575.1</v>
      </c>
      <c r="N9" s="116">
        <v>580</v>
      </c>
      <c r="O9" s="116">
        <v>560.04999999999995</v>
      </c>
      <c r="P9" s="116">
        <v>567</v>
      </c>
      <c r="Q9" s="116">
        <v>575.1</v>
      </c>
      <c r="R9">
        <v>6245467</v>
      </c>
    </row>
    <row r="10" spans="1:18" x14ac:dyDescent="0.25">
      <c r="A10" s="169">
        <v>42013</v>
      </c>
      <c r="B10" s="116">
        <v>4.9000000000000004</v>
      </c>
      <c r="C10" s="116">
        <v>4.6749999999999998</v>
      </c>
      <c r="D10" s="116">
        <v>4.6550000000000002</v>
      </c>
      <c r="E10" s="116">
        <v>4.6550000000000002</v>
      </c>
      <c r="F10" s="116">
        <v>9.35</v>
      </c>
      <c r="G10">
        <v>1046</v>
      </c>
      <c r="H10" s="116"/>
      <c r="I10" s="116"/>
      <c r="L10" s="169">
        <v>45132</v>
      </c>
      <c r="M10" s="116">
        <v>574.9</v>
      </c>
      <c r="N10" s="116">
        <v>584.70000000000005</v>
      </c>
      <c r="O10" s="116">
        <v>560.75</v>
      </c>
      <c r="P10" s="116">
        <v>578</v>
      </c>
      <c r="Q10" s="116">
        <v>574.9</v>
      </c>
      <c r="R10">
        <v>1710743</v>
      </c>
    </row>
    <row r="11" spans="1:18" x14ac:dyDescent="0.25">
      <c r="A11" s="169">
        <v>42016</v>
      </c>
      <c r="B11" s="116">
        <v>4.7249999999999996</v>
      </c>
      <c r="C11" s="116">
        <v>4.7249999999999996</v>
      </c>
      <c r="D11" s="116">
        <v>4.7</v>
      </c>
      <c r="E11" s="116">
        <v>4.7</v>
      </c>
      <c r="F11" s="116">
        <v>9.4499999999999993</v>
      </c>
      <c r="G11">
        <v>301</v>
      </c>
      <c r="H11" s="116"/>
      <c r="I11" s="116"/>
      <c r="L11" s="169">
        <v>45133</v>
      </c>
      <c r="M11" s="116">
        <v>574.5</v>
      </c>
      <c r="N11" s="116">
        <v>579.70000000000005</v>
      </c>
      <c r="O11" s="116">
        <v>572</v>
      </c>
      <c r="P11" s="116">
        <v>572</v>
      </c>
      <c r="Q11" s="116">
        <v>574.5</v>
      </c>
      <c r="R11">
        <v>439499</v>
      </c>
    </row>
    <row r="12" spans="1:18" x14ac:dyDescent="0.25">
      <c r="A12" s="169">
        <v>42017</v>
      </c>
      <c r="B12" s="116">
        <v>4.9450000000000003</v>
      </c>
      <c r="C12" s="116">
        <v>4.9450000000000003</v>
      </c>
      <c r="D12" s="116">
        <v>4.6100000000000003</v>
      </c>
      <c r="E12" s="116">
        <v>4.7</v>
      </c>
      <c r="F12" s="116">
        <v>9.89</v>
      </c>
      <c r="G12">
        <v>1970</v>
      </c>
      <c r="H12" s="116"/>
      <c r="I12" s="116"/>
      <c r="L12" s="169">
        <v>45134</v>
      </c>
      <c r="M12" s="116">
        <v>575.5</v>
      </c>
      <c r="N12" s="116">
        <v>580</v>
      </c>
      <c r="O12" s="116">
        <v>574</v>
      </c>
      <c r="P12" s="116">
        <v>580</v>
      </c>
      <c r="Q12" s="116">
        <v>575.5</v>
      </c>
      <c r="R12">
        <v>374132</v>
      </c>
    </row>
    <row r="13" spans="1:18" x14ac:dyDescent="0.25">
      <c r="A13" s="169">
        <v>42018</v>
      </c>
      <c r="B13" s="116">
        <v>5.21</v>
      </c>
      <c r="C13" s="116">
        <v>5.15</v>
      </c>
      <c r="D13" s="116">
        <v>4.9950000000000001</v>
      </c>
      <c r="E13" s="116">
        <v>5.21</v>
      </c>
      <c r="F13" s="116">
        <v>10.3</v>
      </c>
      <c r="G13">
        <v>5599</v>
      </c>
      <c r="H13" s="116"/>
      <c r="I13" s="116"/>
      <c r="L13" s="169">
        <v>45135</v>
      </c>
      <c r="M13" s="116">
        <v>596.9</v>
      </c>
      <c r="N13" s="116">
        <v>599</v>
      </c>
      <c r="O13" s="116">
        <v>573</v>
      </c>
      <c r="P13" s="116">
        <v>578</v>
      </c>
      <c r="Q13" s="116">
        <v>596.9</v>
      </c>
      <c r="R13">
        <v>553490</v>
      </c>
    </row>
    <row r="14" spans="1:18" x14ac:dyDescent="0.25">
      <c r="A14" s="169">
        <v>42019</v>
      </c>
      <c r="B14" s="116">
        <v>5.4450000000000003</v>
      </c>
      <c r="C14" s="116">
        <v>5.0250000000000004</v>
      </c>
      <c r="D14" s="116">
        <v>4.8499999999999996</v>
      </c>
      <c r="E14" s="116">
        <v>4.8499999999999996</v>
      </c>
      <c r="F14" s="116">
        <v>10.050000000000001</v>
      </c>
      <c r="G14">
        <v>3554</v>
      </c>
      <c r="H14" s="116"/>
      <c r="I14" s="116"/>
      <c r="L14" s="169">
        <v>45138</v>
      </c>
      <c r="M14" s="116">
        <v>629.04999999999995</v>
      </c>
      <c r="N14" s="116">
        <v>632.20000000000005</v>
      </c>
      <c r="O14" s="116">
        <v>599.5</v>
      </c>
      <c r="P14" s="116">
        <v>599.75</v>
      </c>
      <c r="Q14" s="116">
        <v>629.04999999999995</v>
      </c>
      <c r="R14">
        <v>716078</v>
      </c>
    </row>
    <row r="15" spans="1:18" x14ac:dyDescent="0.25">
      <c r="A15" s="169">
        <v>42020</v>
      </c>
      <c r="B15" s="116">
        <v>5.4450000000000003</v>
      </c>
      <c r="C15" s="116">
        <v>5.0449999999999999</v>
      </c>
      <c r="D15" s="116">
        <v>5</v>
      </c>
      <c r="E15" s="116">
        <v>5.4450000000000003</v>
      </c>
      <c r="F15" s="116">
        <v>10.09</v>
      </c>
      <c r="G15">
        <v>3307</v>
      </c>
      <c r="H15" s="116"/>
      <c r="I15" s="116"/>
      <c r="L15" s="169">
        <v>45139</v>
      </c>
      <c r="M15" s="116">
        <v>647.6</v>
      </c>
      <c r="N15" s="116">
        <v>652</v>
      </c>
      <c r="O15" s="116">
        <v>612.85</v>
      </c>
      <c r="P15" s="116">
        <v>636</v>
      </c>
      <c r="Q15" s="116">
        <v>647.6</v>
      </c>
      <c r="R15">
        <v>758470</v>
      </c>
    </row>
    <row r="16" spans="1:18" x14ac:dyDescent="0.25">
      <c r="A16" s="169">
        <v>42023</v>
      </c>
      <c r="B16" s="116">
        <v>5</v>
      </c>
      <c r="C16" s="116">
        <v>4.8550000000000004</v>
      </c>
      <c r="D16" s="116">
        <v>4.8</v>
      </c>
      <c r="E16" s="116">
        <v>5</v>
      </c>
      <c r="F16" s="116">
        <v>9.7100000000000009</v>
      </c>
      <c r="G16">
        <v>4953</v>
      </c>
      <c r="H16" s="116"/>
      <c r="I16" s="116"/>
      <c r="L16" s="169">
        <v>45140</v>
      </c>
      <c r="M16" s="116">
        <v>621.5</v>
      </c>
      <c r="N16" s="116">
        <v>650</v>
      </c>
      <c r="O16" s="116">
        <v>599.70000000000005</v>
      </c>
      <c r="P16" s="116">
        <v>648.70000000000005</v>
      </c>
      <c r="Q16" s="116">
        <v>621.5</v>
      </c>
      <c r="R16">
        <v>647800</v>
      </c>
    </row>
    <row r="17" spans="1:18" x14ac:dyDescent="0.25">
      <c r="A17" s="169">
        <v>42024</v>
      </c>
      <c r="B17" s="116">
        <v>5.375</v>
      </c>
      <c r="C17" s="116">
        <v>4.8650000000000002</v>
      </c>
      <c r="D17" s="116">
        <v>4.75</v>
      </c>
      <c r="E17" s="116">
        <v>4.75</v>
      </c>
      <c r="F17" s="116">
        <v>9.73</v>
      </c>
      <c r="G17">
        <v>5633</v>
      </c>
      <c r="H17" s="116"/>
      <c r="I17" s="116"/>
      <c r="L17" s="169">
        <v>45141</v>
      </c>
      <c r="M17" s="116">
        <v>635.45000000000005</v>
      </c>
      <c r="N17" s="116">
        <v>639.79999999999995</v>
      </c>
      <c r="O17" s="116">
        <v>609</v>
      </c>
      <c r="P17" s="116">
        <v>628</v>
      </c>
      <c r="Q17" s="116">
        <v>635.45000000000005</v>
      </c>
      <c r="R17">
        <v>385344</v>
      </c>
    </row>
    <row r="18" spans="1:18" x14ac:dyDescent="0.25">
      <c r="A18" s="169">
        <v>42025</v>
      </c>
      <c r="B18" s="116">
        <v>5.3250000000000002</v>
      </c>
      <c r="C18" s="116">
        <v>4.9000000000000004</v>
      </c>
      <c r="D18" s="116">
        <v>4.7699999999999996</v>
      </c>
      <c r="E18" s="116">
        <v>5.32</v>
      </c>
      <c r="F18" s="116">
        <v>9.8000000000000007</v>
      </c>
      <c r="G18">
        <v>685</v>
      </c>
      <c r="H18" s="116"/>
      <c r="I18" s="116"/>
      <c r="L18" s="169">
        <v>45142</v>
      </c>
      <c r="M18" s="116">
        <v>641.5</v>
      </c>
      <c r="N18" s="116">
        <v>646.15</v>
      </c>
      <c r="O18" s="116">
        <v>631.75</v>
      </c>
      <c r="P18" s="116">
        <v>643.4</v>
      </c>
      <c r="Q18" s="116">
        <v>641.5</v>
      </c>
      <c r="R18">
        <v>195597</v>
      </c>
    </row>
    <row r="19" spans="1:18" x14ac:dyDescent="0.25">
      <c r="A19" s="169">
        <v>42026</v>
      </c>
      <c r="B19" s="116">
        <v>5.0350000000000001</v>
      </c>
      <c r="C19" s="116">
        <v>4.78</v>
      </c>
      <c r="D19" s="116">
        <v>4.55</v>
      </c>
      <c r="E19" s="116">
        <v>4.5549999999999997</v>
      </c>
      <c r="F19" s="116">
        <v>9.56</v>
      </c>
      <c r="G19">
        <v>5431</v>
      </c>
      <c r="H19" s="116"/>
      <c r="I19" s="116"/>
      <c r="L19" s="169">
        <v>45145</v>
      </c>
      <c r="M19" s="116">
        <v>651.6</v>
      </c>
      <c r="N19" s="116">
        <v>683</v>
      </c>
      <c r="O19" s="116">
        <v>634.79999999999995</v>
      </c>
      <c r="P19" s="116">
        <v>644.85</v>
      </c>
      <c r="Q19" s="116">
        <v>651.6</v>
      </c>
      <c r="R19">
        <v>805742</v>
      </c>
    </row>
    <row r="20" spans="1:18" x14ac:dyDescent="0.25">
      <c r="A20" s="169">
        <v>42027</v>
      </c>
      <c r="B20" s="116">
        <v>4.99</v>
      </c>
      <c r="C20" s="116">
        <v>4.8150000000000004</v>
      </c>
      <c r="D20" s="116">
        <v>4.7300000000000004</v>
      </c>
      <c r="E20" s="116">
        <v>4.99</v>
      </c>
      <c r="F20" s="116">
        <v>9.6300000000000008</v>
      </c>
      <c r="G20">
        <v>4195</v>
      </c>
      <c r="H20" s="116"/>
      <c r="I20" s="116"/>
      <c r="L20" s="169">
        <v>45146</v>
      </c>
      <c r="M20" s="116">
        <v>667.3</v>
      </c>
      <c r="N20" s="116">
        <v>678</v>
      </c>
      <c r="O20" s="116">
        <v>627.54999999999995</v>
      </c>
      <c r="P20" s="116">
        <v>644.35</v>
      </c>
      <c r="Q20" s="116">
        <v>667.3</v>
      </c>
      <c r="R20">
        <v>710071</v>
      </c>
    </row>
    <row r="21" spans="1:18" x14ac:dyDescent="0.25">
      <c r="A21" s="169">
        <v>42031</v>
      </c>
      <c r="B21" s="116">
        <v>4.9800000000000004</v>
      </c>
      <c r="C21" s="116">
        <v>4.7549999999999999</v>
      </c>
      <c r="D21" s="116">
        <v>4.75</v>
      </c>
      <c r="E21" s="116">
        <v>4.9450000000000003</v>
      </c>
      <c r="F21" s="116">
        <v>9.51</v>
      </c>
      <c r="G21">
        <v>830</v>
      </c>
      <c r="H21" s="116"/>
      <c r="I21" s="116"/>
      <c r="L21" s="169">
        <v>45147</v>
      </c>
      <c r="M21" s="116">
        <v>659.3</v>
      </c>
      <c r="N21" s="116">
        <v>686.7</v>
      </c>
      <c r="O21" s="116">
        <v>655.20000000000005</v>
      </c>
      <c r="P21" s="116">
        <v>681.7</v>
      </c>
      <c r="Q21" s="116">
        <v>659.3</v>
      </c>
      <c r="R21">
        <v>366373</v>
      </c>
    </row>
    <row r="22" spans="1:18" x14ac:dyDescent="0.25">
      <c r="A22" s="169">
        <v>42032</v>
      </c>
      <c r="B22" s="116">
        <v>4.99</v>
      </c>
      <c r="C22" s="116">
        <v>4.82</v>
      </c>
      <c r="D22" s="116">
        <v>4.665</v>
      </c>
      <c r="E22" s="116">
        <v>4.665</v>
      </c>
      <c r="F22" s="116">
        <v>9.64</v>
      </c>
      <c r="G22">
        <v>2322</v>
      </c>
      <c r="H22" s="116"/>
      <c r="I22" s="116"/>
      <c r="L22" s="169">
        <v>45148</v>
      </c>
      <c r="M22" s="116">
        <v>619.1</v>
      </c>
      <c r="N22" s="116">
        <v>669.95</v>
      </c>
      <c r="O22" s="116">
        <v>580.29999999999995</v>
      </c>
      <c r="P22" s="116">
        <v>655</v>
      </c>
      <c r="Q22" s="116">
        <v>619.1</v>
      </c>
      <c r="R22">
        <v>765173</v>
      </c>
    </row>
    <row r="23" spans="1:18" x14ac:dyDescent="0.25">
      <c r="A23" s="169">
        <v>42033</v>
      </c>
      <c r="B23" s="116">
        <v>4.97</v>
      </c>
      <c r="C23" s="116">
        <v>4.7699999999999996</v>
      </c>
      <c r="D23" s="116">
        <v>4.7549999999999999</v>
      </c>
      <c r="E23" s="116">
        <v>4.97</v>
      </c>
      <c r="F23" s="116">
        <v>9.5399999999999991</v>
      </c>
      <c r="G23">
        <v>1653</v>
      </c>
      <c r="H23" s="116"/>
      <c r="I23" s="116"/>
      <c r="L23" s="169">
        <v>45149</v>
      </c>
      <c r="M23" s="116">
        <v>625.6</v>
      </c>
      <c r="N23" s="116">
        <v>629</v>
      </c>
      <c r="O23" s="116">
        <v>597.04999999999995</v>
      </c>
      <c r="P23" s="116">
        <v>621.4</v>
      </c>
      <c r="Q23" s="116">
        <v>625.6</v>
      </c>
      <c r="R23">
        <v>350860</v>
      </c>
    </row>
    <row r="24" spans="1:18" x14ac:dyDescent="0.25">
      <c r="A24" s="169">
        <v>42034</v>
      </c>
      <c r="B24" s="116">
        <v>4.9749999999999996</v>
      </c>
      <c r="C24" s="116">
        <v>4.6550000000000002</v>
      </c>
      <c r="D24" s="116">
        <v>4.63</v>
      </c>
      <c r="E24" s="116">
        <v>4.9749999999999996</v>
      </c>
      <c r="F24" s="116">
        <v>9.31</v>
      </c>
      <c r="G24">
        <v>1942</v>
      </c>
      <c r="H24" s="116"/>
      <c r="I24" s="116"/>
      <c r="L24" s="169">
        <v>45152</v>
      </c>
      <c r="M24" s="116">
        <v>602.5</v>
      </c>
      <c r="N24" s="116">
        <v>625</v>
      </c>
      <c r="O24" s="116">
        <v>597.5</v>
      </c>
      <c r="P24" s="116">
        <v>625</v>
      </c>
      <c r="Q24" s="116">
        <v>602.5</v>
      </c>
      <c r="R24">
        <v>278336</v>
      </c>
    </row>
    <row r="25" spans="1:18" x14ac:dyDescent="0.25">
      <c r="A25" s="169">
        <v>42037</v>
      </c>
      <c r="B25" s="116">
        <v>4.8849999999999998</v>
      </c>
      <c r="C25" s="116">
        <v>4.5449999999999999</v>
      </c>
      <c r="D25" s="116">
        <v>4.51</v>
      </c>
      <c r="E25" s="116">
        <v>4.6500000000000004</v>
      </c>
      <c r="F25" s="116">
        <v>9.09</v>
      </c>
      <c r="G25">
        <v>5105</v>
      </c>
      <c r="H25" s="116"/>
      <c r="I25" s="116"/>
      <c r="L25" s="169">
        <v>45154</v>
      </c>
      <c r="M25" s="116">
        <v>595.35</v>
      </c>
      <c r="N25" s="116">
        <v>618.79999999999995</v>
      </c>
      <c r="O25" s="116">
        <v>590.1</v>
      </c>
      <c r="P25" s="116">
        <v>618.79999999999995</v>
      </c>
      <c r="Q25" s="116">
        <v>595.35</v>
      </c>
      <c r="R25">
        <v>136791</v>
      </c>
    </row>
    <row r="26" spans="1:18" x14ac:dyDescent="0.25">
      <c r="A26" s="169">
        <v>42038</v>
      </c>
      <c r="B26" s="116">
        <v>4.95</v>
      </c>
      <c r="C26" s="116">
        <v>4.63</v>
      </c>
      <c r="D26" s="116">
        <v>4.54</v>
      </c>
      <c r="E26" s="116">
        <v>4.95</v>
      </c>
      <c r="F26" s="116">
        <v>9.26</v>
      </c>
      <c r="G26">
        <v>2910</v>
      </c>
      <c r="H26" s="116"/>
      <c r="I26" s="116"/>
      <c r="L26" s="169">
        <v>45155</v>
      </c>
      <c r="M26" s="116">
        <v>568.5</v>
      </c>
      <c r="N26" s="116">
        <v>596.15</v>
      </c>
      <c r="O26" s="116">
        <v>560</v>
      </c>
      <c r="P26" s="116">
        <v>595.35</v>
      </c>
      <c r="Q26" s="116">
        <v>568.5</v>
      </c>
      <c r="R26">
        <v>531748</v>
      </c>
    </row>
    <row r="27" spans="1:18" x14ac:dyDescent="0.25">
      <c r="A27" s="169">
        <v>42039</v>
      </c>
      <c r="B27" s="116">
        <v>4.7949999999999999</v>
      </c>
      <c r="C27" s="116">
        <v>4.7949999999999999</v>
      </c>
      <c r="D27" s="116">
        <v>4.5</v>
      </c>
      <c r="E27" s="116">
        <v>4.6500000000000004</v>
      </c>
      <c r="F27" s="116">
        <v>9.59</v>
      </c>
      <c r="G27">
        <v>540</v>
      </c>
      <c r="H27" s="116"/>
      <c r="I27" s="116"/>
      <c r="L27" s="169">
        <v>45156</v>
      </c>
      <c r="M27" s="116">
        <v>570.4</v>
      </c>
      <c r="N27" s="116">
        <v>592.35</v>
      </c>
      <c r="O27" s="116">
        <v>560.54999999999995</v>
      </c>
      <c r="P27" s="116">
        <v>571</v>
      </c>
      <c r="Q27" s="116">
        <v>570.4</v>
      </c>
      <c r="R27">
        <v>313662</v>
      </c>
    </row>
    <row r="28" spans="1:18" x14ac:dyDescent="0.25">
      <c r="A28" s="169">
        <v>42040</v>
      </c>
      <c r="B28" s="116">
        <v>4.7350000000000003</v>
      </c>
      <c r="C28" s="116">
        <v>4.72</v>
      </c>
      <c r="D28" s="116">
        <v>4.6500000000000004</v>
      </c>
      <c r="E28" s="116">
        <v>4.6749999999999998</v>
      </c>
      <c r="F28" s="116">
        <v>9.44</v>
      </c>
      <c r="G28">
        <v>550</v>
      </c>
      <c r="H28" s="116"/>
      <c r="I28" s="116"/>
      <c r="L28" s="169">
        <v>45159</v>
      </c>
      <c r="M28" s="116">
        <v>530.4</v>
      </c>
      <c r="N28" s="116">
        <v>589</v>
      </c>
      <c r="O28" s="116">
        <v>523.25</v>
      </c>
      <c r="P28" s="116">
        <v>584</v>
      </c>
      <c r="Q28" s="116">
        <v>530.4</v>
      </c>
      <c r="R28">
        <v>524212</v>
      </c>
    </row>
    <row r="29" spans="1:18" x14ac:dyDescent="0.25">
      <c r="A29" s="169">
        <v>42041</v>
      </c>
      <c r="B29" s="116">
        <v>4.9050000000000002</v>
      </c>
      <c r="C29" s="116">
        <v>4.5</v>
      </c>
      <c r="D29" s="116">
        <v>4.415</v>
      </c>
      <c r="E29" s="116">
        <v>4.9050000000000002</v>
      </c>
      <c r="F29" s="116">
        <v>9</v>
      </c>
      <c r="G29">
        <v>1111</v>
      </c>
      <c r="H29" s="116"/>
      <c r="I29" s="116"/>
      <c r="L29" s="169">
        <v>45160</v>
      </c>
      <c r="M29" s="116">
        <v>537.70000000000005</v>
      </c>
      <c r="N29" s="116">
        <v>549.5</v>
      </c>
      <c r="O29" s="116">
        <v>498.05</v>
      </c>
      <c r="P29" s="116">
        <v>529.1</v>
      </c>
      <c r="Q29" s="116">
        <v>537.70000000000005</v>
      </c>
      <c r="R29">
        <v>1031761</v>
      </c>
    </row>
    <row r="30" spans="1:18" x14ac:dyDescent="0.25">
      <c r="A30" s="169">
        <v>42044</v>
      </c>
      <c r="B30" s="116">
        <v>5.2450000000000001</v>
      </c>
      <c r="C30" s="116">
        <v>4.33</v>
      </c>
      <c r="D30" s="116">
        <v>4.2850000000000001</v>
      </c>
      <c r="E30" s="116">
        <v>5.2450000000000001</v>
      </c>
      <c r="F30" s="116">
        <v>8.66</v>
      </c>
      <c r="G30">
        <v>710</v>
      </c>
      <c r="H30" s="116"/>
      <c r="I30" s="116"/>
      <c r="L30" s="169">
        <v>45161</v>
      </c>
      <c r="M30" s="116">
        <v>561.9</v>
      </c>
      <c r="N30" s="116">
        <v>573.95000000000005</v>
      </c>
      <c r="O30" s="116">
        <v>543</v>
      </c>
      <c r="P30" s="116">
        <v>543</v>
      </c>
      <c r="Q30" s="116">
        <v>561.9</v>
      </c>
      <c r="R30">
        <v>369198</v>
      </c>
    </row>
    <row r="31" spans="1:18" x14ac:dyDescent="0.25">
      <c r="A31" s="169">
        <v>42045</v>
      </c>
      <c r="B31" s="116">
        <v>4.6849999999999996</v>
      </c>
      <c r="C31" s="116">
        <v>4.6849999999999996</v>
      </c>
      <c r="D31" s="116">
        <v>4.585</v>
      </c>
      <c r="E31" s="116">
        <v>4.585</v>
      </c>
      <c r="F31" s="116">
        <v>9.3699999999999992</v>
      </c>
      <c r="G31">
        <v>130</v>
      </c>
      <c r="H31" s="116"/>
      <c r="I31" s="116"/>
      <c r="L31" s="169">
        <v>45162</v>
      </c>
      <c r="M31" s="116">
        <v>551.9</v>
      </c>
      <c r="N31" s="116">
        <v>578</v>
      </c>
      <c r="O31" s="116">
        <v>549.5</v>
      </c>
      <c r="P31" s="116">
        <v>567.20000000000005</v>
      </c>
      <c r="Q31" s="116">
        <v>551.9</v>
      </c>
      <c r="R31">
        <v>201980</v>
      </c>
    </row>
    <row r="32" spans="1:18" x14ac:dyDescent="0.25">
      <c r="A32" s="169">
        <v>42046</v>
      </c>
      <c r="B32" s="116">
        <v>4.5999999999999996</v>
      </c>
      <c r="C32" s="116">
        <v>4.5999999999999996</v>
      </c>
      <c r="D32" s="116">
        <v>4.25</v>
      </c>
      <c r="E32" s="116">
        <v>4.5999999999999996</v>
      </c>
      <c r="F32" s="116">
        <v>9.1999999999999993</v>
      </c>
      <c r="G32">
        <v>521</v>
      </c>
      <c r="H32" s="116"/>
      <c r="I32" s="116"/>
      <c r="L32" s="169">
        <v>45163</v>
      </c>
      <c r="M32" s="116">
        <v>550.15</v>
      </c>
      <c r="N32" s="116">
        <v>558.29999999999995</v>
      </c>
      <c r="O32" s="116">
        <v>537</v>
      </c>
      <c r="P32" s="116">
        <v>552.95000000000005</v>
      </c>
      <c r="Q32" s="116">
        <v>550.15</v>
      </c>
      <c r="R32">
        <v>213461</v>
      </c>
    </row>
    <row r="33" spans="1:18" x14ac:dyDescent="0.25">
      <c r="A33" s="169">
        <v>42047</v>
      </c>
      <c r="B33" s="116">
        <v>4.7</v>
      </c>
      <c r="C33" s="116">
        <v>4.26</v>
      </c>
      <c r="D33" s="116">
        <v>4.0449999999999999</v>
      </c>
      <c r="E33" s="116">
        <v>4.5549999999999997</v>
      </c>
      <c r="F33" s="116">
        <v>8.52</v>
      </c>
      <c r="G33">
        <v>10751</v>
      </c>
      <c r="H33" s="116"/>
      <c r="I33" s="116"/>
      <c r="L33" s="169">
        <v>45166</v>
      </c>
      <c r="M33" s="116">
        <v>541.79999999999995</v>
      </c>
      <c r="N33" s="116">
        <v>557.70000000000005</v>
      </c>
      <c r="O33" s="116">
        <v>527.35</v>
      </c>
      <c r="P33" s="116">
        <v>557</v>
      </c>
      <c r="Q33" s="116">
        <v>541.79999999999995</v>
      </c>
      <c r="R33">
        <v>246182</v>
      </c>
    </row>
    <row r="34" spans="1:18" x14ac:dyDescent="0.25">
      <c r="A34" s="169">
        <v>42048</v>
      </c>
      <c r="B34" s="116">
        <v>4.5</v>
      </c>
      <c r="C34" s="116">
        <v>4.46</v>
      </c>
      <c r="D34" s="116">
        <v>4.25</v>
      </c>
      <c r="E34" s="116">
        <v>4.5</v>
      </c>
      <c r="F34" s="116">
        <v>8.92</v>
      </c>
      <c r="G34">
        <v>2760</v>
      </c>
      <c r="H34" s="116"/>
      <c r="I34" s="116"/>
      <c r="L34" s="169">
        <v>45167</v>
      </c>
      <c r="M34" s="116">
        <v>541.79999999999995</v>
      </c>
      <c r="N34" s="116">
        <v>550</v>
      </c>
      <c r="O34" s="116">
        <v>533.1</v>
      </c>
      <c r="P34" s="116">
        <v>541</v>
      </c>
      <c r="Q34" s="116">
        <v>541.79999999999995</v>
      </c>
      <c r="R34">
        <v>161456</v>
      </c>
    </row>
    <row r="35" spans="1:18" x14ac:dyDescent="0.25">
      <c r="A35" s="169">
        <v>42051</v>
      </c>
      <c r="B35" s="116">
        <v>4.67</v>
      </c>
      <c r="C35" s="116">
        <v>4.26</v>
      </c>
      <c r="D35" s="116">
        <v>4.05</v>
      </c>
      <c r="E35" s="116">
        <v>4.67</v>
      </c>
      <c r="F35" s="116">
        <v>8.52</v>
      </c>
      <c r="G35">
        <v>2540</v>
      </c>
      <c r="H35" s="116"/>
      <c r="I35" s="116"/>
      <c r="L35" s="169">
        <v>45168</v>
      </c>
      <c r="M35" s="116">
        <v>540.04999999999995</v>
      </c>
      <c r="N35" s="116">
        <v>547.75</v>
      </c>
      <c r="O35" s="116">
        <v>535</v>
      </c>
      <c r="P35" s="116">
        <v>539.04999999999995</v>
      </c>
      <c r="Q35" s="116">
        <v>540.04999999999995</v>
      </c>
      <c r="R35">
        <v>163498</v>
      </c>
    </row>
    <row r="36" spans="1:18" x14ac:dyDescent="0.25">
      <c r="A36" s="169">
        <v>42053</v>
      </c>
      <c r="B36" s="116">
        <v>4.62</v>
      </c>
      <c r="C36" s="116">
        <v>4.62</v>
      </c>
      <c r="D36" s="116">
        <v>4.25</v>
      </c>
      <c r="E36" s="116">
        <v>4.4000000000000004</v>
      </c>
      <c r="F36" s="116">
        <v>9.24</v>
      </c>
      <c r="G36">
        <v>1860</v>
      </c>
      <c r="H36" s="116"/>
      <c r="I36" s="116"/>
      <c r="L36" s="169">
        <v>45169</v>
      </c>
      <c r="M36" s="116">
        <v>536.9</v>
      </c>
      <c r="N36" s="116">
        <v>548</v>
      </c>
      <c r="O36" s="116">
        <v>535.5</v>
      </c>
      <c r="P36" s="116">
        <v>540</v>
      </c>
      <c r="Q36" s="116">
        <v>536.9</v>
      </c>
      <c r="R36">
        <v>79591</v>
      </c>
    </row>
    <row r="37" spans="1:18" x14ac:dyDescent="0.25">
      <c r="A37" s="169">
        <v>42054</v>
      </c>
      <c r="B37" s="116">
        <v>4.4450000000000003</v>
      </c>
      <c r="C37" s="116">
        <v>4.2750000000000004</v>
      </c>
      <c r="D37" s="116">
        <v>4.25</v>
      </c>
      <c r="E37" s="116">
        <v>4.4249999999999998</v>
      </c>
      <c r="F37" s="116">
        <v>8.5500000000000007</v>
      </c>
      <c r="G37">
        <v>4010</v>
      </c>
      <c r="H37" s="116"/>
      <c r="I37" s="116"/>
      <c r="L37" s="169">
        <v>45170</v>
      </c>
      <c r="M37" s="116">
        <v>548.35</v>
      </c>
      <c r="N37" s="116">
        <v>556</v>
      </c>
      <c r="O37" s="116">
        <v>536</v>
      </c>
      <c r="P37" s="116">
        <v>536.9</v>
      </c>
      <c r="Q37" s="116">
        <v>548.35</v>
      </c>
      <c r="R37">
        <v>174756</v>
      </c>
    </row>
    <row r="38" spans="1:18" x14ac:dyDescent="0.25">
      <c r="A38" s="169">
        <v>42055</v>
      </c>
      <c r="B38" s="116">
        <v>4.9950000000000001</v>
      </c>
      <c r="C38" s="116">
        <v>4.5350000000000001</v>
      </c>
      <c r="D38" s="116">
        <v>4.2350000000000003</v>
      </c>
      <c r="E38" s="116">
        <v>4.5</v>
      </c>
      <c r="F38" s="116">
        <v>9.07</v>
      </c>
      <c r="G38">
        <v>17634</v>
      </c>
      <c r="H38" s="116"/>
      <c r="I38" s="116"/>
      <c r="L38" s="169">
        <v>45173</v>
      </c>
      <c r="M38" s="116">
        <v>561.15</v>
      </c>
      <c r="N38" s="116">
        <v>570.29999999999995</v>
      </c>
      <c r="O38" s="116">
        <v>543.54999999999995</v>
      </c>
      <c r="P38" s="116">
        <v>560</v>
      </c>
      <c r="Q38" s="116">
        <v>561.15</v>
      </c>
      <c r="R38">
        <v>164871</v>
      </c>
    </row>
    <row r="39" spans="1:18" x14ac:dyDescent="0.25">
      <c r="A39" s="169">
        <v>42058</v>
      </c>
      <c r="B39" s="116">
        <v>4.625</v>
      </c>
      <c r="C39" s="116">
        <v>4.46</v>
      </c>
      <c r="D39" s="116">
        <v>4.34</v>
      </c>
      <c r="E39" s="116">
        <v>4.55</v>
      </c>
      <c r="F39" s="116">
        <v>8.92</v>
      </c>
      <c r="G39">
        <v>3325</v>
      </c>
      <c r="H39" s="116"/>
      <c r="I39" s="116"/>
      <c r="L39" s="169">
        <v>45174</v>
      </c>
      <c r="M39" s="116">
        <v>564.25</v>
      </c>
      <c r="N39" s="116">
        <v>573.6</v>
      </c>
      <c r="O39" s="116">
        <v>557.70000000000005</v>
      </c>
      <c r="P39" s="116">
        <v>563</v>
      </c>
      <c r="Q39" s="116">
        <v>564.25</v>
      </c>
      <c r="R39">
        <v>127115</v>
      </c>
    </row>
    <row r="40" spans="1:18" x14ac:dyDescent="0.25">
      <c r="A40" s="169">
        <v>42059</v>
      </c>
      <c r="B40" s="116">
        <v>5.35</v>
      </c>
      <c r="C40" s="116">
        <v>4.835</v>
      </c>
      <c r="D40" s="116">
        <v>4.51</v>
      </c>
      <c r="E40" s="116">
        <v>5.1449999999999996</v>
      </c>
      <c r="F40" s="116">
        <v>9.67</v>
      </c>
      <c r="G40">
        <v>9637</v>
      </c>
      <c r="H40" s="116"/>
      <c r="I40" s="116"/>
      <c r="L40" s="169">
        <v>45175</v>
      </c>
      <c r="M40" s="116">
        <v>565.79999999999995</v>
      </c>
      <c r="N40" s="116">
        <v>569.95000000000005</v>
      </c>
      <c r="O40" s="116">
        <v>560.54999999999995</v>
      </c>
      <c r="P40" s="116">
        <v>565</v>
      </c>
      <c r="Q40" s="116">
        <v>565.79999999999995</v>
      </c>
      <c r="R40">
        <v>141611</v>
      </c>
    </row>
    <row r="41" spans="1:18" x14ac:dyDescent="0.25">
      <c r="A41" s="169">
        <v>42060</v>
      </c>
      <c r="B41" s="116">
        <v>5.08</v>
      </c>
      <c r="C41" s="116">
        <v>4.6449999999999996</v>
      </c>
      <c r="D41" s="116">
        <v>4.58</v>
      </c>
      <c r="E41" s="116">
        <v>5.08</v>
      </c>
      <c r="F41" s="116">
        <v>9.2899999999999991</v>
      </c>
      <c r="G41">
        <v>11435</v>
      </c>
      <c r="H41" s="116"/>
      <c r="I41" s="116"/>
      <c r="L41" s="169">
        <v>45176</v>
      </c>
      <c r="M41" s="116">
        <v>559.65</v>
      </c>
      <c r="N41" s="116">
        <v>569.70000000000005</v>
      </c>
      <c r="O41" s="116">
        <v>556.54999999999995</v>
      </c>
      <c r="P41" s="116">
        <v>569</v>
      </c>
      <c r="Q41" s="116">
        <v>559.65</v>
      </c>
      <c r="R41">
        <v>128778</v>
      </c>
    </row>
    <row r="42" spans="1:18" x14ac:dyDescent="0.25">
      <c r="A42" s="169">
        <v>42061</v>
      </c>
      <c r="B42" s="116">
        <v>4.8</v>
      </c>
      <c r="C42" s="116">
        <v>4.62</v>
      </c>
      <c r="D42" s="116">
        <v>4.2750000000000004</v>
      </c>
      <c r="E42" s="116">
        <v>4.51</v>
      </c>
      <c r="F42" s="116">
        <v>9.24</v>
      </c>
      <c r="G42">
        <v>4793</v>
      </c>
      <c r="H42" s="116"/>
      <c r="I42" s="116"/>
      <c r="L42" s="169">
        <v>45177</v>
      </c>
      <c r="M42" s="116">
        <v>555.25</v>
      </c>
      <c r="N42" s="116">
        <v>564.79999999999995</v>
      </c>
      <c r="O42" s="116">
        <v>550.20000000000005</v>
      </c>
      <c r="P42" s="116">
        <v>560</v>
      </c>
      <c r="Q42" s="116">
        <v>555.25</v>
      </c>
      <c r="R42">
        <v>118983</v>
      </c>
    </row>
    <row r="43" spans="1:18" x14ac:dyDescent="0.25">
      <c r="A43" s="169">
        <v>42062</v>
      </c>
      <c r="B43" s="116">
        <v>4.875</v>
      </c>
      <c r="C43" s="116">
        <v>4.8449999999999998</v>
      </c>
      <c r="D43" s="116">
        <v>4.45</v>
      </c>
      <c r="E43" s="116">
        <v>4.875</v>
      </c>
      <c r="F43" s="116">
        <v>9.69</v>
      </c>
      <c r="G43">
        <v>3793</v>
      </c>
      <c r="H43" s="116"/>
      <c r="I43" s="116"/>
      <c r="L43" s="169">
        <v>45180</v>
      </c>
      <c r="M43" s="116">
        <v>584.25</v>
      </c>
      <c r="N43" s="116">
        <v>590</v>
      </c>
      <c r="O43" s="116">
        <v>554.29999999999995</v>
      </c>
      <c r="P43" s="116">
        <v>555.9</v>
      </c>
      <c r="Q43" s="116">
        <v>584.25</v>
      </c>
      <c r="R43">
        <v>335546</v>
      </c>
    </row>
    <row r="44" spans="1:18" x14ac:dyDescent="0.25">
      <c r="A44" s="169">
        <v>42063</v>
      </c>
      <c r="B44" s="116">
        <v>4.8499999999999996</v>
      </c>
      <c r="C44" s="116">
        <v>4.54</v>
      </c>
      <c r="D44" s="116">
        <v>4.43</v>
      </c>
      <c r="E44" s="116">
        <v>4.4400000000000004</v>
      </c>
      <c r="F44" s="116">
        <v>9.08</v>
      </c>
      <c r="G44">
        <v>7286</v>
      </c>
      <c r="H44" s="116"/>
      <c r="I44" s="116"/>
      <c r="L44" s="169">
        <v>45181</v>
      </c>
      <c r="M44" s="116">
        <v>567.20000000000005</v>
      </c>
      <c r="N44" s="116">
        <v>595.04999999999995</v>
      </c>
      <c r="O44" s="116">
        <v>556.54999999999995</v>
      </c>
      <c r="P44" s="116">
        <v>584.9</v>
      </c>
      <c r="Q44" s="116">
        <v>567.20000000000005</v>
      </c>
      <c r="R44">
        <v>235340</v>
      </c>
    </row>
    <row r="45" spans="1:18" x14ac:dyDescent="0.25">
      <c r="A45" s="169">
        <v>42065</v>
      </c>
      <c r="B45" s="116">
        <v>4.38</v>
      </c>
      <c r="C45" s="116">
        <v>4.38</v>
      </c>
      <c r="D45" s="116">
        <v>4.34</v>
      </c>
      <c r="E45" s="116">
        <v>4.34</v>
      </c>
      <c r="F45" s="116">
        <v>8.76</v>
      </c>
      <c r="G45">
        <v>850</v>
      </c>
      <c r="H45" s="116"/>
      <c r="I45" s="116"/>
      <c r="L45" s="169">
        <v>45182</v>
      </c>
      <c r="M45" s="116">
        <v>575.75</v>
      </c>
      <c r="N45" s="116">
        <v>579</v>
      </c>
      <c r="O45" s="116">
        <v>537.4</v>
      </c>
      <c r="P45" s="116">
        <v>568.1</v>
      </c>
      <c r="Q45" s="116">
        <v>575.75</v>
      </c>
      <c r="R45">
        <v>230181</v>
      </c>
    </row>
    <row r="46" spans="1:18" x14ac:dyDescent="0.25">
      <c r="A46" s="169">
        <v>42066</v>
      </c>
      <c r="B46" s="116">
        <v>4.4950000000000001</v>
      </c>
      <c r="C46" s="116">
        <v>4.4950000000000001</v>
      </c>
      <c r="D46" s="116">
        <v>4.24</v>
      </c>
      <c r="E46" s="116">
        <v>4.3499999999999996</v>
      </c>
      <c r="F46" s="116">
        <v>8.99</v>
      </c>
      <c r="G46">
        <v>1805</v>
      </c>
      <c r="H46" s="116"/>
      <c r="I46" s="116"/>
      <c r="L46" s="169">
        <v>45183</v>
      </c>
      <c r="M46" s="116">
        <v>575.4</v>
      </c>
      <c r="N46" s="116">
        <v>587</v>
      </c>
      <c r="O46" s="116">
        <v>570.1</v>
      </c>
      <c r="P46" s="116">
        <v>570.1</v>
      </c>
      <c r="Q46" s="116">
        <v>575.4</v>
      </c>
      <c r="R46">
        <v>106319</v>
      </c>
    </row>
    <row r="47" spans="1:18" x14ac:dyDescent="0.25">
      <c r="A47" s="169">
        <v>42067</v>
      </c>
      <c r="B47" s="116">
        <v>4.42</v>
      </c>
      <c r="C47" s="116">
        <v>4.2549999999999999</v>
      </c>
      <c r="D47" s="116">
        <v>4.2549999999999999</v>
      </c>
      <c r="E47" s="116">
        <v>4.2850000000000001</v>
      </c>
      <c r="F47" s="116">
        <v>8.51</v>
      </c>
      <c r="G47">
        <v>1106</v>
      </c>
      <c r="H47" s="116"/>
      <c r="I47" s="116"/>
      <c r="L47" s="169">
        <v>45184</v>
      </c>
      <c r="M47" s="116">
        <v>572.95000000000005</v>
      </c>
      <c r="N47" s="116">
        <v>583.95000000000005</v>
      </c>
      <c r="O47" s="116">
        <v>556.65</v>
      </c>
      <c r="P47" s="116">
        <v>579.35</v>
      </c>
      <c r="Q47" s="116">
        <v>572.95000000000005</v>
      </c>
      <c r="R47">
        <v>264812</v>
      </c>
    </row>
    <row r="48" spans="1:18" x14ac:dyDescent="0.25">
      <c r="A48" s="169">
        <v>42068</v>
      </c>
      <c r="B48" s="116">
        <v>4.7850000000000001</v>
      </c>
      <c r="C48" s="116">
        <v>4.2300000000000004</v>
      </c>
      <c r="D48" s="116">
        <v>4.085</v>
      </c>
      <c r="E48" s="116">
        <v>4.085</v>
      </c>
      <c r="F48" s="116">
        <v>8.4600000000000009</v>
      </c>
      <c r="G48">
        <v>5341</v>
      </c>
      <c r="H48" s="116"/>
      <c r="I48" s="116"/>
      <c r="L48" s="169">
        <v>45187</v>
      </c>
      <c r="M48" s="116">
        <v>561.70000000000005</v>
      </c>
      <c r="N48" s="116">
        <v>572.29999999999995</v>
      </c>
      <c r="O48" s="116">
        <v>559.75</v>
      </c>
      <c r="P48" s="116">
        <v>562.95000000000005</v>
      </c>
      <c r="Q48" s="116">
        <v>561.70000000000005</v>
      </c>
      <c r="R48">
        <v>77516</v>
      </c>
    </row>
    <row r="49" spans="1:18" x14ac:dyDescent="0.25">
      <c r="A49" s="169">
        <v>42072</v>
      </c>
      <c r="B49" s="116">
        <v>4.6399999999999997</v>
      </c>
      <c r="C49" s="116">
        <v>4.3049999999999997</v>
      </c>
      <c r="D49" s="116">
        <v>4.3049999999999997</v>
      </c>
      <c r="E49" s="116">
        <v>4.6399999999999997</v>
      </c>
      <c r="F49" s="116">
        <v>8.61</v>
      </c>
      <c r="G49">
        <v>3229</v>
      </c>
      <c r="H49" s="116"/>
      <c r="I49" s="116"/>
      <c r="L49" s="169">
        <v>45189</v>
      </c>
      <c r="M49" s="116">
        <v>553.15</v>
      </c>
      <c r="N49" s="116">
        <v>565.70000000000005</v>
      </c>
      <c r="O49" s="116">
        <v>547.29999999999995</v>
      </c>
      <c r="P49" s="116">
        <v>551.1</v>
      </c>
      <c r="Q49" s="116">
        <v>553.15</v>
      </c>
      <c r="R49">
        <v>80062</v>
      </c>
    </row>
    <row r="50" spans="1:18" x14ac:dyDescent="0.25">
      <c r="A50" s="169">
        <v>42073</v>
      </c>
      <c r="B50" s="116">
        <v>4.82</v>
      </c>
      <c r="C50" s="116">
        <v>4.82</v>
      </c>
      <c r="D50" s="116">
        <v>4.1349999999999998</v>
      </c>
      <c r="E50" s="116">
        <v>4.1349999999999998</v>
      </c>
      <c r="F50" s="116">
        <v>9.64</v>
      </c>
      <c r="G50">
        <v>2103</v>
      </c>
      <c r="H50" s="116"/>
      <c r="I50" s="116"/>
      <c r="L50" s="169">
        <v>45190</v>
      </c>
      <c r="M50" s="116">
        <v>548.20000000000005</v>
      </c>
      <c r="N50" s="116">
        <v>562.20000000000005</v>
      </c>
      <c r="O50" s="116">
        <v>544</v>
      </c>
      <c r="P50" s="116">
        <v>554.9</v>
      </c>
      <c r="Q50" s="116">
        <v>548.20000000000005</v>
      </c>
      <c r="R50">
        <v>74635</v>
      </c>
    </row>
    <row r="51" spans="1:18" x14ac:dyDescent="0.25">
      <c r="A51" s="169">
        <v>42074</v>
      </c>
      <c r="B51" s="116">
        <v>5.125</v>
      </c>
      <c r="C51" s="116">
        <v>4.4249999999999998</v>
      </c>
      <c r="D51" s="116">
        <v>4.07</v>
      </c>
      <c r="E51" s="116">
        <v>4.07</v>
      </c>
      <c r="F51" s="116">
        <v>8.85</v>
      </c>
      <c r="G51">
        <v>2944</v>
      </c>
      <c r="H51" s="116"/>
      <c r="I51" s="116"/>
      <c r="L51" s="169">
        <v>45191</v>
      </c>
      <c r="M51" s="116">
        <v>536.25</v>
      </c>
      <c r="N51" s="116">
        <v>550.70000000000005</v>
      </c>
      <c r="O51" s="116">
        <v>532.54999999999995</v>
      </c>
      <c r="P51" s="116">
        <v>548.20000000000005</v>
      </c>
      <c r="Q51" s="116">
        <v>536.25</v>
      </c>
      <c r="R51">
        <v>128493</v>
      </c>
    </row>
    <row r="52" spans="1:18" x14ac:dyDescent="0.25">
      <c r="A52" s="169">
        <v>42075</v>
      </c>
      <c r="B52" s="116">
        <v>4.375</v>
      </c>
      <c r="C52" s="116">
        <v>4.3600000000000003</v>
      </c>
      <c r="D52" s="116">
        <v>4.2750000000000004</v>
      </c>
      <c r="E52" s="116">
        <v>4.3499999999999996</v>
      </c>
      <c r="F52" s="116">
        <v>8.7200000000000006</v>
      </c>
      <c r="G52">
        <v>1660</v>
      </c>
      <c r="H52" s="116"/>
      <c r="I52" s="116"/>
      <c r="L52" s="169">
        <v>45194</v>
      </c>
      <c r="M52" s="116">
        <v>530.45000000000005</v>
      </c>
      <c r="N52" s="116">
        <v>542</v>
      </c>
      <c r="O52" s="116">
        <v>526.70000000000005</v>
      </c>
      <c r="P52" s="116">
        <v>540.9</v>
      </c>
      <c r="Q52" s="116">
        <v>530.45000000000005</v>
      </c>
      <c r="R52">
        <v>99577</v>
      </c>
    </row>
    <row r="53" spans="1:18" x14ac:dyDescent="0.25">
      <c r="A53" s="169">
        <v>42076</v>
      </c>
      <c r="B53" s="116">
        <v>4.8650000000000002</v>
      </c>
      <c r="C53" s="116">
        <v>4.4400000000000004</v>
      </c>
      <c r="D53" s="116">
        <v>4.1150000000000002</v>
      </c>
      <c r="E53" s="116">
        <v>4.26</v>
      </c>
      <c r="F53" s="116">
        <v>8.8800000000000008</v>
      </c>
      <c r="G53">
        <v>2396</v>
      </c>
      <c r="H53" s="116"/>
      <c r="I53" s="116"/>
      <c r="L53" s="169">
        <v>45195</v>
      </c>
      <c r="M53" s="116">
        <v>534.6</v>
      </c>
      <c r="N53" s="116">
        <v>540.5</v>
      </c>
      <c r="O53" s="116">
        <v>529.35</v>
      </c>
      <c r="P53" s="116">
        <v>532.9</v>
      </c>
      <c r="Q53" s="116">
        <v>534.6</v>
      </c>
      <c r="R53">
        <v>61708</v>
      </c>
    </row>
    <row r="54" spans="1:18" x14ac:dyDescent="0.25">
      <c r="A54" s="169">
        <v>42080</v>
      </c>
      <c r="B54" s="116">
        <v>4.8499999999999996</v>
      </c>
      <c r="C54" s="116">
        <v>4.0999999999999996</v>
      </c>
      <c r="D54" s="116">
        <v>4.03</v>
      </c>
      <c r="E54" s="116">
        <v>4.3</v>
      </c>
      <c r="F54" s="116">
        <v>8.1999999999999993</v>
      </c>
      <c r="G54">
        <v>5600</v>
      </c>
      <c r="H54" s="116"/>
      <c r="I54" s="116"/>
      <c r="L54" s="169">
        <v>45196</v>
      </c>
      <c r="M54" s="116">
        <v>535.75</v>
      </c>
      <c r="N54" s="116">
        <v>540</v>
      </c>
      <c r="O54" s="116">
        <v>530</v>
      </c>
      <c r="P54" s="116">
        <v>531.1</v>
      </c>
      <c r="Q54" s="116">
        <v>535.75</v>
      </c>
      <c r="R54">
        <v>45514</v>
      </c>
    </row>
    <row r="55" spans="1:18" x14ac:dyDescent="0.25">
      <c r="A55" s="169">
        <v>42081</v>
      </c>
      <c r="B55" s="116">
        <v>4.01</v>
      </c>
      <c r="C55" s="116">
        <v>3.9</v>
      </c>
      <c r="D55" s="116">
        <v>3.875</v>
      </c>
      <c r="E55" s="116">
        <v>4.01</v>
      </c>
      <c r="F55" s="116">
        <v>7.8</v>
      </c>
      <c r="G55">
        <v>2640</v>
      </c>
      <c r="H55" s="116"/>
      <c r="I55" s="116"/>
      <c r="L55" s="169">
        <v>45197</v>
      </c>
      <c r="M55" s="116">
        <v>536</v>
      </c>
      <c r="N55" s="116">
        <v>542</v>
      </c>
      <c r="O55" s="116">
        <v>530.04999999999995</v>
      </c>
      <c r="P55" s="116">
        <v>542</v>
      </c>
      <c r="Q55" s="116">
        <v>536</v>
      </c>
      <c r="R55">
        <v>73834</v>
      </c>
    </row>
    <row r="56" spans="1:18" x14ac:dyDescent="0.25">
      <c r="A56" s="169">
        <v>42082</v>
      </c>
      <c r="B56" s="116">
        <v>4.0250000000000004</v>
      </c>
      <c r="C56" s="116">
        <v>4</v>
      </c>
      <c r="D56" s="116">
        <v>3.8</v>
      </c>
      <c r="E56" s="116">
        <v>3.8</v>
      </c>
      <c r="F56" s="116">
        <v>8</v>
      </c>
      <c r="G56">
        <v>27000</v>
      </c>
      <c r="H56" s="116"/>
      <c r="I56" s="116"/>
      <c r="L56" s="169">
        <v>45198</v>
      </c>
      <c r="M56" s="116">
        <v>536.1</v>
      </c>
      <c r="N56" s="116">
        <v>542</v>
      </c>
      <c r="O56" s="116">
        <v>527</v>
      </c>
      <c r="P56" s="116">
        <v>527</v>
      </c>
      <c r="Q56" s="116">
        <v>536.1</v>
      </c>
      <c r="R56">
        <v>68600</v>
      </c>
    </row>
    <row r="57" spans="1:18" x14ac:dyDescent="0.25">
      <c r="A57" s="169">
        <v>42083</v>
      </c>
      <c r="B57" s="116">
        <v>3.75</v>
      </c>
      <c r="C57" s="116">
        <v>3.75</v>
      </c>
      <c r="D57" s="116">
        <v>3.75</v>
      </c>
      <c r="E57" s="116">
        <v>3.75</v>
      </c>
      <c r="F57" s="116">
        <v>7.5</v>
      </c>
      <c r="G57">
        <v>21</v>
      </c>
      <c r="H57" s="116"/>
      <c r="I57" s="116"/>
      <c r="L57" s="169">
        <v>45202</v>
      </c>
      <c r="M57" s="116">
        <v>549.9</v>
      </c>
      <c r="N57" s="116">
        <v>558</v>
      </c>
      <c r="O57" s="116">
        <v>536</v>
      </c>
      <c r="P57" s="116">
        <v>558</v>
      </c>
      <c r="Q57" s="116">
        <v>549.9</v>
      </c>
      <c r="R57">
        <v>214579</v>
      </c>
    </row>
    <row r="58" spans="1:18" x14ac:dyDescent="0.25">
      <c r="A58" s="169">
        <v>42086</v>
      </c>
      <c r="B58" s="116">
        <v>4.165</v>
      </c>
      <c r="C58" s="116">
        <v>4.05</v>
      </c>
      <c r="D58" s="116">
        <v>3.7749999999999999</v>
      </c>
      <c r="E58" s="116">
        <v>3.7749999999999999</v>
      </c>
      <c r="F58" s="116">
        <v>8.1</v>
      </c>
      <c r="G58">
        <v>1120</v>
      </c>
      <c r="H58" s="116"/>
      <c r="I58" s="116"/>
      <c r="L58" s="169">
        <v>45203</v>
      </c>
      <c r="M58" s="116">
        <v>550.5</v>
      </c>
      <c r="N58" s="116">
        <v>565</v>
      </c>
      <c r="O58" s="116">
        <v>540.29999999999995</v>
      </c>
      <c r="P58" s="116">
        <v>554</v>
      </c>
      <c r="Q58" s="116">
        <v>550.5</v>
      </c>
      <c r="R58">
        <v>2185590</v>
      </c>
    </row>
    <row r="59" spans="1:18" x14ac:dyDescent="0.25">
      <c r="A59" s="169">
        <v>42087</v>
      </c>
      <c r="B59" s="116">
        <v>4.0449999999999999</v>
      </c>
      <c r="C59" s="116">
        <v>3.875</v>
      </c>
      <c r="D59" s="116">
        <v>3.6549999999999998</v>
      </c>
      <c r="E59" s="116">
        <v>3.7749999999999999</v>
      </c>
      <c r="F59" s="116">
        <v>7.75</v>
      </c>
      <c r="G59">
        <v>3329</v>
      </c>
      <c r="H59" s="116"/>
      <c r="I59" s="116"/>
      <c r="L59" s="169">
        <v>45204</v>
      </c>
      <c r="M59" s="116">
        <v>550.25</v>
      </c>
      <c r="N59" s="116">
        <v>565.5</v>
      </c>
      <c r="O59" s="116">
        <v>546</v>
      </c>
      <c r="P59" s="116">
        <v>558</v>
      </c>
      <c r="Q59" s="116">
        <v>550.25</v>
      </c>
      <c r="R59">
        <v>154983</v>
      </c>
    </row>
    <row r="60" spans="1:18" x14ac:dyDescent="0.25">
      <c r="A60" s="169">
        <v>42088</v>
      </c>
      <c r="B60" s="116">
        <v>4.4249999999999998</v>
      </c>
      <c r="C60" s="116">
        <v>3.5649999999999999</v>
      </c>
      <c r="D60" s="116">
        <v>3.5249999999999999</v>
      </c>
      <c r="E60" s="116">
        <v>3.75</v>
      </c>
      <c r="F60" s="116">
        <v>7.13</v>
      </c>
      <c r="G60">
        <v>38402</v>
      </c>
      <c r="H60" s="116"/>
      <c r="I60" s="116"/>
      <c r="L60" s="169">
        <v>45205</v>
      </c>
      <c r="M60" s="116">
        <v>564.25</v>
      </c>
      <c r="N60" s="116">
        <v>567</v>
      </c>
      <c r="O60" s="116">
        <v>551.04999999999995</v>
      </c>
      <c r="P60" s="116">
        <v>551.04999999999995</v>
      </c>
      <c r="Q60" s="116">
        <v>564.25</v>
      </c>
      <c r="R60">
        <v>163189</v>
      </c>
    </row>
    <row r="61" spans="1:18" x14ac:dyDescent="0.25">
      <c r="A61" s="169">
        <v>42089</v>
      </c>
      <c r="B61" s="116">
        <v>3.7</v>
      </c>
      <c r="C61" s="116">
        <v>3.5</v>
      </c>
      <c r="D61" s="116">
        <v>3.35</v>
      </c>
      <c r="E61" s="116">
        <v>3.51</v>
      </c>
      <c r="F61" s="116">
        <v>7</v>
      </c>
      <c r="G61">
        <v>7700</v>
      </c>
      <c r="H61" s="116"/>
      <c r="I61" s="116"/>
      <c r="L61" s="169">
        <v>45208</v>
      </c>
      <c r="M61" s="116">
        <v>550.4</v>
      </c>
      <c r="N61" s="116">
        <v>563.70000000000005</v>
      </c>
      <c r="O61" s="116">
        <v>547.29999999999995</v>
      </c>
      <c r="P61" s="116">
        <v>555</v>
      </c>
      <c r="Q61" s="116">
        <v>550.4</v>
      </c>
      <c r="R61">
        <v>187916</v>
      </c>
    </row>
    <row r="62" spans="1:18" x14ac:dyDescent="0.25">
      <c r="A62" s="169">
        <v>42090</v>
      </c>
      <c r="B62" s="116">
        <v>3.9849999999999999</v>
      </c>
      <c r="C62" s="116">
        <v>3.9849999999999999</v>
      </c>
      <c r="D62" s="116">
        <v>3.9849999999999999</v>
      </c>
      <c r="E62" s="116">
        <v>3.9849999999999999</v>
      </c>
      <c r="F62" s="116">
        <v>7.97</v>
      </c>
      <c r="G62">
        <v>2</v>
      </c>
      <c r="H62" s="116"/>
      <c r="I62" s="116"/>
      <c r="L62" s="169">
        <v>45209</v>
      </c>
      <c r="M62" s="116">
        <v>579.54999999999995</v>
      </c>
      <c r="N62" s="116">
        <v>583.4</v>
      </c>
      <c r="O62" s="116">
        <v>543</v>
      </c>
      <c r="P62" s="116">
        <v>547</v>
      </c>
      <c r="Q62" s="116">
        <v>579.54999999999995</v>
      </c>
      <c r="R62">
        <v>292799</v>
      </c>
    </row>
    <row r="63" spans="1:18" x14ac:dyDescent="0.25">
      <c r="A63" s="169">
        <v>42093</v>
      </c>
      <c r="B63" s="116">
        <v>3.75</v>
      </c>
      <c r="C63" s="116">
        <v>3.75</v>
      </c>
      <c r="D63" s="116">
        <v>3.43</v>
      </c>
      <c r="E63" s="116">
        <v>3.56</v>
      </c>
      <c r="F63" s="116">
        <v>7.5</v>
      </c>
      <c r="G63">
        <v>3182</v>
      </c>
      <c r="H63" s="116"/>
      <c r="I63" s="116"/>
      <c r="L63" s="169">
        <v>45210</v>
      </c>
      <c r="M63" s="116">
        <v>594.15</v>
      </c>
      <c r="N63" s="116">
        <v>597.1</v>
      </c>
      <c r="O63" s="116">
        <v>576.5</v>
      </c>
      <c r="P63" s="116">
        <v>581</v>
      </c>
      <c r="Q63" s="116">
        <v>594.15</v>
      </c>
      <c r="R63">
        <v>316475</v>
      </c>
    </row>
    <row r="64" spans="1:18" x14ac:dyDescent="0.25">
      <c r="A64" s="169">
        <v>42094</v>
      </c>
      <c r="B64" s="116">
        <v>3.895</v>
      </c>
      <c r="C64" s="116">
        <v>3.1949999999999998</v>
      </c>
      <c r="D64" s="116">
        <v>3.0550000000000002</v>
      </c>
      <c r="E64" s="116">
        <v>3.355</v>
      </c>
      <c r="F64" s="116">
        <v>6.39</v>
      </c>
      <c r="G64">
        <v>21436</v>
      </c>
      <c r="H64" s="116"/>
      <c r="I64" s="116"/>
      <c r="L64" s="169">
        <v>45211</v>
      </c>
      <c r="M64" s="116">
        <v>602.79999999999995</v>
      </c>
      <c r="N64" s="116">
        <v>613</v>
      </c>
      <c r="O64" s="116">
        <v>592</v>
      </c>
      <c r="P64" s="116">
        <v>599</v>
      </c>
      <c r="Q64" s="116">
        <v>602.79999999999995</v>
      </c>
      <c r="R64">
        <v>421816</v>
      </c>
    </row>
    <row r="65" spans="1:18" x14ac:dyDescent="0.25">
      <c r="A65" s="169">
        <v>42095</v>
      </c>
      <c r="B65" s="116">
        <v>3.63</v>
      </c>
      <c r="C65" s="116">
        <v>3.63</v>
      </c>
      <c r="D65" s="116">
        <v>3.21</v>
      </c>
      <c r="E65" s="116">
        <v>3.4249999999999998</v>
      </c>
      <c r="F65" s="116">
        <v>7.26</v>
      </c>
      <c r="G65">
        <v>7061</v>
      </c>
      <c r="H65" s="116"/>
      <c r="I65" s="116"/>
      <c r="L65" s="169">
        <v>45212</v>
      </c>
      <c r="M65" s="116">
        <v>593.20000000000005</v>
      </c>
      <c r="N65" s="116">
        <v>605.35</v>
      </c>
      <c r="O65" s="116">
        <v>591</v>
      </c>
      <c r="P65" s="116">
        <v>598.9</v>
      </c>
      <c r="Q65" s="116">
        <v>593.20000000000005</v>
      </c>
      <c r="R65">
        <v>224880</v>
      </c>
    </row>
    <row r="66" spans="1:18" x14ac:dyDescent="0.25">
      <c r="A66" s="169">
        <v>42100</v>
      </c>
      <c r="B66" s="116">
        <v>3.97</v>
      </c>
      <c r="C66" s="116">
        <v>3.55</v>
      </c>
      <c r="D66" s="116">
        <v>3.36</v>
      </c>
      <c r="E66" s="116">
        <v>3.9649999999999999</v>
      </c>
      <c r="F66" s="116">
        <v>7.1</v>
      </c>
      <c r="G66">
        <v>5933</v>
      </c>
      <c r="H66" s="116"/>
      <c r="I66" s="116"/>
      <c r="L66" s="169">
        <v>45215</v>
      </c>
      <c r="M66" s="116">
        <v>577.1</v>
      </c>
      <c r="N66" s="116">
        <v>603.79999999999995</v>
      </c>
      <c r="O66" s="116">
        <v>574.25</v>
      </c>
      <c r="P66" s="116">
        <v>603.79999999999995</v>
      </c>
      <c r="Q66" s="116">
        <v>577.1</v>
      </c>
      <c r="R66">
        <v>130303</v>
      </c>
    </row>
    <row r="67" spans="1:18" x14ac:dyDescent="0.25">
      <c r="A67" s="169">
        <v>42101</v>
      </c>
      <c r="B67" s="116">
        <v>3.98</v>
      </c>
      <c r="C67" s="116">
        <v>3.5</v>
      </c>
      <c r="D67" s="116">
        <v>3.15</v>
      </c>
      <c r="E67" s="116">
        <v>3.98</v>
      </c>
      <c r="F67" s="116">
        <v>7</v>
      </c>
      <c r="G67">
        <v>7966</v>
      </c>
      <c r="H67" s="116"/>
      <c r="I67" s="116"/>
      <c r="L67" s="169">
        <v>45216</v>
      </c>
      <c r="M67" s="116">
        <v>571.4</v>
      </c>
      <c r="N67" s="116">
        <v>602</v>
      </c>
      <c r="O67" s="116">
        <v>565.70000000000005</v>
      </c>
      <c r="P67" s="116">
        <v>602</v>
      </c>
      <c r="Q67" s="116">
        <v>571.4</v>
      </c>
      <c r="R67">
        <v>121684</v>
      </c>
    </row>
    <row r="68" spans="1:18" x14ac:dyDescent="0.25">
      <c r="A68" s="169">
        <v>42102</v>
      </c>
      <c r="B68" s="116">
        <v>4</v>
      </c>
      <c r="C68" s="116">
        <v>3.72</v>
      </c>
      <c r="D68" s="116">
        <v>3.5</v>
      </c>
      <c r="E68" s="116">
        <v>3.7349999999999999</v>
      </c>
      <c r="F68" s="116">
        <v>7.44</v>
      </c>
      <c r="G68">
        <v>9701</v>
      </c>
      <c r="H68" s="116"/>
      <c r="I68" s="116"/>
      <c r="L68" s="169">
        <v>45217</v>
      </c>
      <c r="M68" s="116">
        <v>565.45000000000005</v>
      </c>
      <c r="N68" s="116">
        <v>579.79999999999995</v>
      </c>
      <c r="O68" s="116">
        <v>560</v>
      </c>
      <c r="P68" s="116">
        <v>572.04999999999995</v>
      </c>
      <c r="Q68" s="116">
        <v>565.45000000000005</v>
      </c>
      <c r="R68">
        <v>93437</v>
      </c>
    </row>
    <row r="69" spans="1:18" x14ac:dyDescent="0.25">
      <c r="A69" s="169">
        <v>42103</v>
      </c>
      <c r="B69" s="116">
        <v>3.75</v>
      </c>
      <c r="C69" s="116">
        <v>3.75</v>
      </c>
      <c r="D69" s="116">
        <v>3.63</v>
      </c>
      <c r="E69" s="116">
        <v>3.75</v>
      </c>
      <c r="F69" s="116">
        <v>7.5</v>
      </c>
      <c r="G69">
        <v>13111</v>
      </c>
      <c r="H69" s="116"/>
      <c r="I69" s="116"/>
      <c r="L69" s="169">
        <v>45218</v>
      </c>
      <c r="M69" s="116">
        <v>566.1</v>
      </c>
      <c r="N69" s="116">
        <v>572</v>
      </c>
      <c r="O69" s="116">
        <v>560.4</v>
      </c>
      <c r="P69" s="116">
        <v>568.9</v>
      </c>
      <c r="Q69" s="116">
        <v>566.1</v>
      </c>
      <c r="R69">
        <v>85627</v>
      </c>
    </row>
    <row r="70" spans="1:18" x14ac:dyDescent="0.25">
      <c r="A70" s="169">
        <v>42104</v>
      </c>
      <c r="B70" s="116">
        <v>3.99</v>
      </c>
      <c r="C70" s="116">
        <v>3.85</v>
      </c>
      <c r="D70" s="116">
        <v>3.6749999999999998</v>
      </c>
      <c r="E70" s="116">
        <v>3.6749999999999998</v>
      </c>
      <c r="F70" s="116">
        <v>7.7</v>
      </c>
      <c r="G70">
        <v>21303</v>
      </c>
      <c r="H70" s="116"/>
      <c r="I70" s="116"/>
      <c r="L70" s="169">
        <v>45219</v>
      </c>
      <c r="M70" s="116">
        <v>555.5</v>
      </c>
      <c r="N70" s="116">
        <v>575</v>
      </c>
      <c r="O70" s="116">
        <v>554</v>
      </c>
      <c r="P70" s="116">
        <v>570.9</v>
      </c>
      <c r="Q70" s="116">
        <v>555.5</v>
      </c>
      <c r="R70">
        <v>91989</v>
      </c>
    </row>
    <row r="71" spans="1:18" x14ac:dyDescent="0.25">
      <c r="A71" s="169">
        <v>42107</v>
      </c>
      <c r="B71" s="116">
        <v>3.9750000000000001</v>
      </c>
      <c r="C71" s="116">
        <v>3.625</v>
      </c>
      <c r="D71" s="116">
        <v>3.55</v>
      </c>
      <c r="E71" s="116">
        <v>3.9750000000000001</v>
      </c>
      <c r="F71" s="116">
        <v>7.25</v>
      </c>
      <c r="G71">
        <v>12752</v>
      </c>
      <c r="H71" s="116"/>
      <c r="I71" s="116"/>
      <c r="L71" s="169">
        <v>45222</v>
      </c>
      <c r="M71" s="116">
        <v>518.35</v>
      </c>
      <c r="N71" s="116">
        <v>564</v>
      </c>
      <c r="O71" s="116">
        <v>514.29999999999995</v>
      </c>
      <c r="P71" s="116">
        <v>564</v>
      </c>
      <c r="Q71" s="116">
        <v>518.35</v>
      </c>
      <c r="R71">
        <v>542161</v>
      </c>
    </row>
    <row r="72" spans="1:18" x14ac:dyDescent="0.25">
      <c r="A72" s="169">
        <v>42109</v>
      </c>
      <c r="B72" s="116">
        <v>3.7</v>
      </c>
      <c r="C72" s="116">
        <v>3.625</v>
      </c>
      <c r="D72" s="116">
        <v>3.58</v>
      </c>
      <c r="E72" s="116">
        <v>3.625</v>
      </c>
      <c r="F72" s="116">
        <v>7.25</v>
      </c>
      <c r="G72">
        <v>2232</v>
      </c>
      <c r="H72" s="116"/>
      <c r="I72" s="116"/>
      <c r="L72" s="169">
        <v>45224</v>
      </c>
      <c r="M72" s="116">
        <v>516.45000000000005</v>
      </c>
      <c r="N72" s="116">
        <v>531.70000000000005</v>
      </c>
      <c r="O72" s="116">
        <v>500</v>
      </c>
      <c r="P72" s="116">
        <v>501.05</v>
      </c>
      <c r="Q72" s="116">
        <v>516.45000000000005</v>
      </c>
      <c r="R72">
        <v>585161</v>
      </c>
    </row>
    <row r="73" spans="1:18" x14ac:dyDescent="0.25">
      <c r="A73" s="169">
        <v>42110</v>
      </c>
      <c r="B73" s="116">
        <v>3.63</v>
      </c>
      <c r="C73" s="116">
        <v>3.5950000000000002</v>
      </c>
      <c r="D73" s="116">
        <v>3.5049999999999999</v>
      </c>
      <c r="E73" s="116">
        <v>3.625</v>
      </c>
      <c r="F73" s="116">
        <v>7.19</v>
      </c>
      <c r="G73">
        <v>6800</v>
      </c>
      <c r="H73" s="116"/>
      <c r="I73" s="116"/>
      <c r="L73" s="169">
        <v>45225</v>
      </c>
      <c r="M73" s="116">
        <v>515.45000000000005</v>
      </c>
      <c r="N73" s="116">
        <v>523.70000000000005</v>
      </c>
      <c r="O73" s="116">
        <v>514</v>
      </c>
      <c r="P73" s="116">
        <v>516.45000000000005</v>
      </c>
      <c r="Q73" s="116">
        <v>515.45000000000005</v>
      </c>
      <c r="R73">
        <v>353866</v>
      </c>
    </row>
    <row r="74" spans="1:18" x14ac:dyDescent="0.25">
      <c r="A74" s="169">
        <v>42111</v>
      </c>
      <c r="B74" s="116">
        <v>3.625</v>
      </c>
      <c r="C74" s="116">
        <v>3.625</v>
      </c>
      <c r="D74" s="116">
        <v>3.5049999999999999</v>
      </c>
      <c r="E74" s="116">
        <v>3.5049999999999999</v>
      </c>
      <c r="F74" s="116">
        <v>7.25</v>
      </c>
      <c r="G74">
        <v>12001</v>
      </c>
      <c r="H74" s="116"/>
      <c r="I74" s="116"/>
      <c r="L74" s="169">
        <v>45226</v>
      </c>
      <c r="M74" s="116">
        <v>527.79999999999995</v>
      </c>
      <c r="N74" s="116">
        <v>535.75</v>
      </c>
      <c r="O74" s="116">
        <v>516</v>
      </c>
      <c r="P74" s="116">
        <v>517.9</v>
      </c>
      <c r="Q74" s="116">
        <v>527.79999999999995</v>
      </c>
      <c r="R74">
        <v>141223</v>
      </c>
    </row>
    <row r="75" spans="1:18" x14ac:dyDescent="0.25">
      <c r="A75" s="169">
        <v>42114</v>
      </c>
      <c r="B75" s="116">
        <v>3.625</v>
      </c>
      <c r="C75" s="116">
        <v>3.415</v>
      </c>
      <c r="D75" s="116">
        <v>3.415</v>
      </c>
      <c r="E75" s="116">
        <v>3.625</v>
      </c>
      <c r="F75" s="116">
        <v>6.83</v>
      </c>
      <c r="G75">
        <v>830</v>
      </c>
      <c r="H75" s="116"/>
      <c r="I75" s="116"/>
      <c r="L75" s="169">
        <v>45229</v>
      </c>
      <c r="M75" s="116">
        <v>518.70000000000005</v>
      </c>
      <c r="N75" s="116">
        <v>531.5</v>
      </c>
      <c r="O75" s="116">
        <v>516.25</v>
      </c>
      <c r="P75" s="116">
        <v>525.04999999999995</v>
      </c>
      <c r="Q75" s="116">
        <v>518.70000000000005</v>
      </c>
      <c r="R75">
        <v>101159</v>
      </c>
    </row>
    <row r="76" spans="1:18" x14ac:dyDescent="0.25">
      <c r="A76" s="169">
        <v>42115</v>
      </c>
      <c r="B76" s="116">
        <v>3.83</v>
      </c>
      <c r="C76" s="116">
        <v>3.8149999999999999</v>
      </c>
      <c r="D76" s="116">
        <v>3.31</v>
      </c>
      <c r="E76" s="116">
        <v>3.3149999999999999</v>
      </c>
      <c r="F76" s="116">
        <v>7.63</v>
      </c>
      <c r="G76">
        <v>3575</v>
      </c>
      <c r="H76" s="116"/>
      <c r="I76" s="116"/>
      <c r="L76" s="169">
        <v>45230</v>
      </c>
      <c r="M76" s="116">
        <v>515.45000000000005</v>
      </c>
      <c r="N76" s="116">
        <v>526.5</v>
      </c>
      <c r="O76" s="116">
        <v>515</v>
      </c>
      <c r="P76" s="116">
        <v>516.25</v>
      </c>
      <c r="Q76" s="116">
        <v>515.45000000000005</v>
      </c>
      <c r="R76">
        <v>105397</v>
      </c>
    </row>
    <row r="77" spans="1:18" x14ac:dyDescent="0.25">
      <c r="A77" s="169">
        <v>42116</v>
      </c>
      <c r="B77" s="116">
        <v>3.8</v>
      </c>
      <c r="C77" s="116">
        <v>3.6</v>
      </c>
      <c r="D77" s="116">
        <v>3.49</v>
      </c>
      <c r="E77" s="116">
        <v>3.49</v>
      </c>
      <c r="F77" s="116">
        <v>7.2</v>
      </c>
      <c r="G77">
        <v>4038</v>
      </c>
      <c r="H77" s="116"/>
      <c r="I77" s="116"/>
      <c r="L77" s="169">
        <v>45231</v>
      </c>
      <c r="M77" s="116">
        <v>522.15</v>
      </c>
      <c r="N77" s="116">
        <v>528</v>
      </c>
      <c r="O77" s="116">
        <v>510</v>
      </c>
      <c r="P77" s="116">
        <v>511</v>
      </c>
      <c r="Q77" s="116">
        <v>522.15</v>
      </c>
      <c r="R77">
        <v>92327</v>
      </c>
    </row>
    <row r="78" spans="1:18" x14ac:dyDescent="0.25">
      <c r="A78" s="169">
        <v>42117</v>
      </c>
      <c r="B78" s="116">
        <v>3.48</v>
      </c>
      <c r="C78" s="116">
        <v>3.48</v>
      </c>
      <c r="D78" s="116">
        <v>3.48</v>
      </c>
      <c r="E78" s="116">
        <v>3.48</v>
      </c>
      <c r="F78" s="116">
        <v>6.96</v>
      </c>
      <c r="G78">
        <v>75</v>
      </c>
      <c r="H78" s="116"/>
      <c r="I78" s="116"/>
      <c r="L78" s="169">
        <v>45232</v>
      </c>
      <c r="M78" s="116">
        <v>523.6</v>
      </c>
      <c r="N78" s="116">
        <v>533.65</v>
      </c>
      <c r="O78" s="116">
        <v>521</v>
      </c>
      <c r="P78" s="116">
        <v>527.9</v>
      </c>
      <c r="Q78" s="116">
        <v>523.6</v>
      </c>
      <c r="R78">
        <v>129204</v>
      </c>
    </row>
    <row r="79" spans="1:18" x14ac:dyDescent="0.25">
      <c r="A79" s="169">
        <v>42118</v>
      </c>
      <c r="B79" s="116">
        <v>3.7850000000000001</v>
      </c>
      <c r="C79" s="116">
        <v>3.5</v>
      </c>
      <c r="D79" s="116">
        <v>3.35</v>
      </c>
      <c r="E79" s="116">
        <v>3.5</v>
      </c>
      <c r="F79" s="116">
        <v>7</v>
      </c>
      <c r="G79">
        <v>10725</v>
      </c>
      <c r="H79" s="116"/>
      <c r="I79" s="116"/>
      <c r="L79" s="169">
        <v>45233</v>
      </c>
      <c r="M79" s="116">
        <v>529.85</v>
      </c>
      <c r="N79" s="116">
        <v>536.5</v>
      </c>
      <c r="O79" s="116">
        <v>526.79999999999995</v>
      </c>
      <c r="P79" s="116">
        <v>528.04999999999995</v>
      </c>
      <c r="Q79" s="116">
        <v>529.85</v>
      </c>
      <c r="R79">
        <v>152010</v>
      </c>
    </row>
    <row r="80" spans="1:18" x14ac:dyDescent="0.25">
      <c r="A80" s="169">
        <v>42121</v>
      </c>
      <c r="B80" s="116">
        <v>4.1950000000000003</v>
      </c>
      <c r="C80" s="116">
        <v>3.4</v>
      </c>
      <c r="D80" s="116">
        <v>3.25</v>
      </c>
      <c r="E80" s="116">
        <v>3.6</v>
      </c>
      <c r="F80" s="116">
        <v>6.8</v>
      </c>
      <c r="G80">
        <v>2210</v>
      </c>
      <c r="H80" s="116"/>
      <c r="I80" s="116"/>
      <c r="L80" s="169">
        <v>45236</v>
      </c>
      <c r="M80" s="116">
        <v>539.54999999999995</v>
      </c>
      <c r="N80" s="116">
        <v>549.5</v>
      </c>
      <c r="O80" s="116">
        <v>492</v>
      </c>
      <c r="P80" s="116">
        <v>529.85</v>
      </c>
      <c r="Q80" s="116">
        <v>539.54999999999995</v>
      </c>
      <c r="R80">
        <v>172683</v>
      </c>
    </row>
    <row r="81" spans="1:18" x14ac:dyDescent="0.25">
      <c r="A81" s="169">
        <v>42122</v>
      </c>
      <c r="B81" s="116">
        <v>3.6</v>
      </c>
      <c r="C81" s="116">
        <v>3.5</v>
      </c>
      <c r="D81" s="116">
        <v>3.5</v>
      </c>
      <c r="E81" s="116">
        <v>3.5950000000000002</v>
      </c>
      <c r="F81" s="116">
        <v>7</v>
      </c>
      <c r="G81">
        <v>17574</v>
      </c>
      <c r="H81" s="116"/>
      <c r="I81" s="116"/>
      <c r="L81" s="169">
        <v>45237</v>
      </c>
      <c r="M81" s="116">
        <v>533.65</v>
      </c>
      <c r="N81" s="116">
        <v>540.25</v>
      </c>
      <c r="O81" s="116">
        <v>530.1</v>
      </c>
      <c r="P81" s="116">
        <v>540</v>
      </c>
      <c r="Q81" s="116">
        <v>533.65</v>
      </c>
      <c r="R81">
        <v>56489</v>
      </c>
    </row>
    <row r="82" spans="1:18" x14ac:dyDescent="0.25">
      <c r="A82" s="169">
        <v>42123</v>
      </c>
      <c r="B82" s="116">
        <v>3.6749999999999998</v>
      </c>
      <c r="C82" s="116">
        <v>3.51</v>
      </c>
      <c r="D82" s="116">
        <v>3.33</v>
      </c>
      <c r="E82" s="116">
        <v>3.5</v>
      </c>
      <c r="F82" s="116">
        <v>7.02</v>
      </c>
      <c r="G82">
        <v>3416</v>
      </c>
      <c r="H82" s="116"/>
      <c r="I82" s="116"/>
      <c r="L82" s="169">
        <v>45238</v>
      </c>
      <c r="M82" s="116">
        <v>530.65</v>
      </c>
      <c r="N82" s="116">
        <v>539.9</v>
      </c>
      <c r="O82" s="116">
        <v>530.1</v>
      </c>
      <c r="P82" s="116">
        <v>536.9</v>
      </c>
      <c r="Q82" s="116">
        <v>530.65</v>
      </c>
      <c r="R82">
        <v>50360</v>
      </c>
    </row>
    <row r="83" spans="1:18" x14ac:dyDescent="0.25">
      <c r="A83" s="169">
        <v>42124</v>
      </c>
      <c r="B83" s="116">
        <v>4.125</v>
      </c>
      <c r="C83" s="116">
        <v>4.0750000000000002</v>
      </c>
      <c r="D83" s="116">
        <v>3.5</v>
      </c>
      <c r="E83" s="116">
        <v>3.75</v>
      </c>
      <c r="F83" s="116">
        <v>8.15</v>
      </c>
      <c r="G83">
        <v>7899</v>
      </c>
      <c r="H83" s="116"/>
      <c r="I83" s="116"/>
      <c r="L83" s="169">
        <v>45239</v>
      </c>
      <c r="M83" s="116">
        <v>532.9</v>
      </c>
      <c r="N83" s="116">
        <v>537</v>
      </c>
      <c r="O83" s="116">
        <v>522.25</v>
      </c>
      <c r="P83" s="116">
        <v>525.29999999999995</v>
      </c>
      <c r="Q83" s="116">
        <v>532.9</v>
      </c>
      <c r="R83">
        <v>70437</v>
      </c>
    </row>
    <row r="84" spans="1:18" x14ac:dyDescent="0.25">
      <c r="A84" s="169">
        <v>42128</v>
      </c>
      <c r="B84" s="116">
        <v>3.94</v>
      </c>
      <c r="C84" s="116">
        <v>3.7549999999999999</v>
      </c>
      <c r="D84" s="116">
        <v>3.7549999999999999</v>
      </c>
      <c r="E84" s="116">
        <v>3.94</v>
      </c>
      <c r="F84" s="116">
        <v>7.51</v>
      </c>
      <c r="G84">
        <v>650</v>
      </c>
      <c r="H84" s="116"/>
      <c r="I84" s="116"/>
      <c r="L84" s="169">
        <v>45240</v>
      </c>
      <c r="M84" s="116">
        <v>521.79999999999995</v>
      </c>
      <c r="N84" s="116">
        <v>539.9</v>
      </c>
      <c r="O84" s="116">
        <v>518.45000000000005</v>
      </c>
      <c r="P84" s="116">
        <v>533</v>
      </c>
      <c r="Q84" s="116">
        <v>521.79999999999995</v>
      </c>
      <c r="R84">
        <v>164701</v>
      </c>
    </row>
    <row r="85" spans="1:18" x14ac:dyDescent="0.25">
      <c r="A85" s="169">
        <v>42129</v>
      </c>
      <c r="B85" s="116">
        <v>3.7</v>
      </c>
      <c r="C85" s="116">
        <v>3.59</v>
      </c>
      <c r="D85" s="116">
        <v>3.56</v>
      </c>
      <c r="E85" s="116">
        <v>3.65</v>
      </c>
      <c r="F85" s="116">
        <v>7.18</v>
      </c>
      <c r="G85">
        <v>1570</v>
      </c>
      <c r="H85" s="116"/>
      <c r="I85" s="116"/>
      <c r="L85" s="169">
        <v>45242</v>
      </c>
      <c r="M85" s="116">
        <v>536.25</v>
      </c>
      <c r="N85" s="116">
        <v>539</v>
      </c>
      <c r="O85" s="116">
        <v>520.1</v>
      </c>
      <c r="P85" s="116">
        <v>520.1</v>
      </c>
      <c r="Q85" s="116">
        <v>536.25</v>
      </c>
      <c r="R85">
        <v>45720</v>
      </c>
    </row>
    <row r="86" spans="1:18" x14ac:dyDescent="0.25">
      <c r="A86" s="169">
        <v>42130</v>
      </c>
      <c r="B86" s="116">
        <v>3.49</v>
      </c>
      <c r="C86" s="116">
        <v>3.45</v>
      </c>
      <c r="D86" s="116">
        <v>3.3</v>
      </c>
      <c r="E86" s="116">
        <v>3.35</v>
      </c>
      <c r="F86" s="116">
        <v>6.9</v>
      </c>
      <c r="G86">
        <v>1400</v>
      </c>
      <c r="H86" s="116"/>
      <c r="I86" s="116"/>
      <c r="L86" s="169">
        <v>45243</v>
      </c>
      <c r="M86" s="116">
        <v>524.04999999999995</v>
      </c>
      <c r="N86" s="116">
        <v>536</v>
      </c>
      <c r="O86" s="116">
        <v>521.25</v>
      </c>
      <c r="P86" s="116">
        <v>528</v>
      </c>
      <c r="Q86" s="116">
        <v>524.04999999999995</v>
      </c>
      <c r="R86">
        <v>95701</v>
      </c>
    </row>
    <row r="87" spans="1:18" x14ac:dyDescent="0.25">
      <c r="A87" s="169">
        <v>42131</v>
      </c>
      <c r="B87" s="116">
        <v>3.5</v>
      </c>
      <c r="C87" s="116">
        <v>3.5</v>
      </c>
      <c r="D87" s="116">
        <v>3.5</v>
      </c>
      <c r="E87" s="116">
        <v>3.5</v>
      </c>
      <c r="F87" s="116">
        <v>7</v>
      </c>
      <c r="G87">
        <v>200</v>
      </c>
      <c r="H87" s="116"/>
      <c r="I87" s="116"/>
      <c r="L87" s="169">
        <v>45245</v>
      </c>
      <c r="M87" s="116">
        <v>543.85</v>
      </c>
      <c r="N87" s="116">
        <v>549.9</v>
      </c>
      <c r="O87" s="116">
        <v>517.85</v>
      </c>
      <c r="P87" s="116">
        <v>529.4</v>
      </c>
      <c r="Q87" s="116">
        <v>543.85</v>
      </c>
      <c r="R87">
        <v>174830</v>
      </c>
    </row>
    <row r="88" spans="1:18" x14ac:dyDescent="0.25">
      <c r="A88" s="169">
        <v>42132</v>
      </c>
      <c r="B88" s="116">
        <v>3.5</v>
      </c>
      <c r="C88" s="116">
        <v>3.5</v>
      </c>
      <c r="D88" s="116">
        <v>3.355</v>
      </c>
      <c r="E88" s="116">
        <v>3.355</v>
      </c>
      <c r="F88" s="116">
        <v>7</v>
      </c>
      <c r="G88">
        <v>6</v>
      </c>
      <c r="H88" s="116"/>
      <c r="I88" s="116"/>
      <c r="L88" s="169">
        <v>45246</v>
      </c>
      <c r="M88" s="116">
        <v>557.1</v>
      </c>
      <c r="N88" s="116">
        <v>564.70000000000005</v>
      </c>
      <c r="O88" s="116">
        <v>542.6</v>
      </c>
      <c r="P88" s="116">
        <v>544</v>
      </c>
      <c r="Q88" s="116">
        <v>557.1</v>
      </c>
      <c r="R88">
        <v>163878</v>
      </c>
    </row>
    <row r="89" spans="1:18" x14ac:dyDescent="0.25">
      <c r="A89" s="169">
        <v>42137</v>
      </c>
      <c r="B89" s="116">
        <v>3.3149999999999999</v>
      </c>
      <c r="C89" s="116">
        <v>3.3149999999999999</v>
      </c>
      <c r="D89" s="116">
        <v>3.3149999999999999</v>
      </c>
      <c r="E89" s="116">
        <v>3.3149999999999999</v>
      </c>
      <c r="F89" s="116">
        <v>6.63</v>
      </c>
      <c r="G89">
        <v>500</v>
      </c>
      <c r="H89" s="116"/>
      <c r="I89" s="116"/>
      <c r="L89" s="169">
        <v>45247</v>
      </c>
      <c r="M89" s="116">
        <v>567.35</v>
      </c>
      <c r="N89" s="116">
        <v>573.45000000000005</v>
      </c>
      <c r="O89" s="116">
        <v>552.85</v>
      </c>
      <c r="P89" s="116">
        <v>558.04999999999995</v>
      </c>
      <c r="Q89" s="116">
        <v>567.35</v>
      </c>
      <c r="R89">
        <v>226974</v>
      </c>
    </row>
    <row r="90" spans="1:18" x14ac:dyDescent="0.25">
      <c r="A90" s="169">
        <v>42138</v>
      </c>
      <c r="B90" s="116">
        <v>3.3149999999999999</v>
      </c>
      <c r="C90" s="116">
        <v>3.3149999999999999</v>
      </c>
      <c r="D90" s="116">
        <v>3.3149999999999999</v>
      </c>
      <c r="E90" s="116">
        <v>3.3149999999999999</v>
      </c>
      <c r="F90" s="116">
        <v>6.63</v>
      </c>
      <c r="G90">
        <v>400</v>
      </c>
      <c r="H90" s="116"/>
      <c r="I90" s="116"/>
      <c r="L90" s="169">
        <v>45250</v>
      </c>
      <c r="M90" s="116">
        <v>563.45000000000005</v>
      </c>
      <c r="N90" s="116">
        <v>578.95000000000005</v>
      </c>
      <c r="O90" s="116">
        <v>557</v>
      </c>
      <c r="P90" s="116">
        <v>577.79999999999995</v>
      </c>
      <c r="Q90" s="116">
        <v>563.45000000000005</v>
      </c>
      <c r="R90">
        <v>120202</v>
      </c>
    </row>
    <row r="91" spans="1:18" x14ac:dyDescent="0.25">
      <c r="A91" s="169">
        <v>42139</v>
      </c>
      <c r="B91" s="116">
        <v>3.5</v>
      </c>
      <c r="C91" s="116">
        <v>3.3</v>
      </c>
      <c r="D91" s="116">
        <v>3.25</v>
      </c>
      <c r="E91" s="116">
        <v>3.2650000000000001</v>
      </c>
      <c r="F91" s="116">
        <v>6.6</v>
      </c>
      <c r="G91">
        <v>8900</v>
      </c>
      <c r="H91" s="116"/>
      <c r="I91" s="116"/>
      <c r="L91" s="169">
        <v>45251</v>
      </c>
      <c r="M91" s="116">
        <v>572</v>
      </c>
      <c r="N91" s="116">
        <v>574.79999999999995</v>
      </c>
      <c r="O91" s="116">
        <v>563.5</v>
      </c>
      <c r="P91" s="116">
        <v>563.5</v>
      </c>
      <c r="Q91" s="116">
        <v>572</v>
      </c>
      <c r="R91">
        <v>133757</v>
      </c>
    </row>
    <row r="92" spans="1:18" x14ac:dyDescent="0.25">
      <c r="A92" s="169">
        <v>42142</v>
      </c>
      <c r="B92" s="116">
        <v>3.7749999999999999</v>
      </c>
      <c r="C92" s="116">
        <v>3.52</v>
      </c>
      <c r="D92" s="116">
        <v>3.4950000000000001</v>
      </c>
      <c r="E92" s="116">
        <v>3.4950000000000001</v>
      </c>
      <c r="F92" s="116">
        <v>7.04</v>
      </c>
      <c r="G92">
        <v>6288</v>
      </c>
      <c r="H92" s="116"/>
      <c r="I92" s="116"/>
      <c r="L92" s="169">
        <v>45252</v>
      </c>
      <c r="M92" s="116">
        <v>568.54999999999995</v>
      </c>
      <c r="N92" s="116">
        <v>577.79999999999995</v>
      </c>
      <c r="O92" s="116">
        <v>565</v>
      </c>
      <c r="P92" s="116">
        <v>571.04999999999995</v>
      </c>
      <c r="Q92" s="116">
        <v>568.54999999999995</v>
      </c>
      <c r="R92">
        <v>163056</v>
      </c>
    </row>
    <row r="93" spans="1:18" x14ac:dyDescent="0.25">
      <c r="A93" s="169">
        <v>42143</v>
      </c>
      <c r="B93" s="116">
        <v>3.81</v>
      </c>
      <c r="C93" s="116">
        <v>3.81</v>
      </c>
      <c r="D93" s="116">
        <v>3.4</v>
      </c>
      <c r="E93" s="116">
        <v>3.41</v>
      </c>
      <c r="F93" s="116">
        <v>7.62</v>
      </c>
      <c r="G93">
        <v>1001</v>
      </c>
      <c r="H93" s="116"/>
      <c r="I93" s="116"/>
      <c r="L93" s="169">
        <v>45253</v>
      </c>
      <c r="M93" s="116">
        <v>549.4</v>
      </c>
      <c r="N93" s="116">
        <v>573.1</v>
      </c>
      <c r="O93" s="116">
        <v>545</v>
      </c>
      <c r="P93" s="116">
        <v>570.9</v>
      </c>
      <c r="Q93" s="116">
        <v>549.4</v>
      </c>
      <c r="R93">
        <v>114346</v>
      </c>
    </row>
    <row r="94" spans="1:18" x14ac:dyDescent="0.25">
      <c r="A94" s="169">
        <v>42144</v>
      </c>
      <c r="B94" s="116">
        <v>3.8050000000000002</v>
      </c>
      <c r="C94" s="116">
        <v>3.7949999999999999</v>
      </c>
      <c r="D94" s="116">
        <v>3.44</v>
      </c>
      <c r="E94" s="116">
        <v>3.8050000000000002</v>
      </c>
      <c r="F94" s="116">
        <v>7.59</v>
      </c>
      <c r="G94">
        <v>2713</v>
      </c>
      <c r="H94" s="116"/>
      <c r="I94" s="116"/>
      <c r="L94" s="169">
        <v>45254</v>
      </c>
      <c r="M94" s="116">
        <v>539.04999999999995</v>
      </c>
      <c r="N94" s="116">
        <v>554.1</v>
      </c>
      <c r="O94" s="116">
        <v>536.04999999999995</v>
      </c>
      <c r="P94" s="116">
        <v>553.70000000000005</v>
      </c>
      <c r="Q94" s="116">
        <v>539.04999999999995</v>
      </c>
      <c r="R94">
        <v>97645</v>
      </c>
    </row>
    <row r="95" spans="1:18" x14ac:dyDescent="0.25">
      <c r="A95" s="169">
        <v>42145</v>
      </c>
      <c r="B95" s="116">
        <v>3.62</v>
      </c>
      <c r="C95" s="116">
        <v>3.62</v>
      </c>
      <c r="D95" s="116">
        <v>3.4049999999999998</v>
      </c>
      <c r="E95" s="116">
        <v>3.4049999999999998</v>
      </c>
      <c r="F95" s="116">
        <v>7.24</v>
      </c>
      <c r="G95">
        <v>3003</v>
      </c>
      <c r="H95" s="116"/>
      <c r="I95" s="116"/>
      <c r="L95" s="169">
        <v>45258</v>
      </c>
      <c r="M95" s="116">
        <v>523.70000000000005</v>
      </c>
      <c r="N95" s="116">
        <v>545.4</v>
      </c>
      <c r="O95" s="116">
        <v>520</v>
      </c>
      <c r="P95" s="116">
        <v>540.79999999999995</v>
      </c>
      <c r="Q95" s="116">
        <v>523.70000000000005</v>
      </c>
      <c r="R95">
        <v>169223</v>
      </c>
    </row>
    <row r="96" spans="1:18" x14ac:dyDescent="0.25">
      <c r="A96" s="169">
        <v>42146</v>
      </c>
      <c r="B96" s="116">
        <v>3.6</v>
      </c>
      <c r="C96" s="116">
        <v>3.6</v>
      </c>
      <c r="D96" s="116">
        <v>3.39</v>
      </c>
      <c r="E96" s="116">
        <v>3.39</v>
      </c>
      <c r="F96" s="116">
        <v>7.2</v>
      </c>
      <c r="G96">
        <v>650</v>
      </c>
      <c r="H96" s="116"/>
      <c r="I96" s="116"/>
      <c r="L96" s="169">
        <v>45259</v>
      </c>
      <c r="M96" s="116">
        <v>525.9</v>
      </c>
      <c r="N96" s="116">
        <v>536.85</v>
      </c>
      <c r="O96" s="116">
        <v>523.70000000000005</v>
      </c>
      <c r="P96" s="116">
        <v>525</v>
      </c>
      <c r="Q96" s="116">
        <v>525.9</v>
      </c>
      <c r="R96">
        <v>173957</v>
      </c>
    </row>
    <row r="97" spans="1:18" x14ac:dyDescent="0.25">
      <c r="A97" s="169">
        <v>42149</v>
      </c>
      <c r="B97" s="116">
        <v>3.73</v>
      </c>
      <c r="C97" s="116">
        <v>3.69</v>
      </c>
      <c r="D97" s="116">
        <v>3.3</v>
      </c>
      <c r="E97" s="116">
        <v>3.3</v>
      </c>
      <c r="F97" s="116">
        <v>7.38</v>
      </c>
      <c r="G97">
        <v>1901</v>
      </c>
      <c r="H97" s="116"/>
      <c r="I97" s="116"/>
      <c r="L97" s="169">
        <v>45260</v>
      </c>
      <c r="M97" s="116">
        <v>524.9</v>
      </c>
      <c r="N97" s="116">
        <v>534</v>
      </c>
      <c r="O97" s="116">
        <v>518.4</v>
      </c>
      <c r="P97" s="116">
        <v>526.20000000000005</v>
      </c>
      <c r="Q97" s="116">
        <v>524.9</v>
      </c>
      <c r="R97">
        <v>155806</v>
      </c>
    </row>
    <row r="98" spans="1:18" x14ac:dyDescent="0.25">
      <c r="A98" s="169">
        <v>42152</v>
      </c>
      <c r="B98" s="116">
        <v>3.52</v>
      </c>
      <c r="C98" s="116">
        <v>3.52</v>
      </c>
      <c r="D98" s="116">
        <v>3.27</v>
      </c>
      <c r="E98" s="116">
        <v>3.27</v>
      </c>
      <c r="F98" s="116">
        <v>7.04</v>
      </c>
      <c r="G98">
        <v>1000</v>
      </c>
      <c r="H98" s="116"/>
      <c r="I98" s="116"/>
      <c r="L98" s="169">
        <v>45261</v>
      </c>
      <c r="M98" s="116">
        <v>523.04999999999995</v>
      </c>
      <c r="N98" s="116">
        <v>537.15</v>
      </c>
      <c r="O98" s="116">
        <v>521.45000000000005</v>
      </c>
      <c r="P98" s="116">
        <v>527</v>
      </c>
      <c r="Q98" s="116">
        <v>523.04999999999995</v>
      </c>
      <c r="R98">
        <v>76232</v>
      </c>
    </row>
    <row r="99" spans="1:18" x14ac:dyDescent="0.25">
      <c r="A99" s="169">
        <v>42153</v>
      </c>
      <c r="B99" s="116">
        <v>3.5</v>
      </c>
      <c r="C99" s="116">
        <v>3.28</v>
      </c>
      <c r="D99" s="116">
        <v>3.2250000000000001</v>
      </c>
      <c r="E99" s="116">
        <v>3.5</v>
      </c>
      <c r="F99" s="116">
        <v>6.56</v>
      </c>
      <c r="G99">
        <v>1388</v>
      </c>
      <c r="H99" s="116"/>
      <c r="I99" s="116"/>
      <c r="L99" s="169">
        <v>45264</v>
      </c>
      <c r="M99" s="116">
        <v>566.29999999999995</v>
      </c>
      <c r="N99" s="116">
        <v>574</v>
      </c>
      <c r="O99" s="116">
        <v>530.45000000000005</v>
      </c>
      <c r="P99" s="116">
        <v>534.4</v>
      </c>
      <c r="Q99" s="116">
        <v>566.29999999999995</v>
      </c>
      <c r="R99">
        <v>538272</v>
      </c>
    </row>
    <row r="100" spans="1:18" x14ac:dyDescent="0.25">
      <c r="A100" s="169">
        <v>42156</v>
      </c>
      <c r="B100" s="116">
        <v>3.2749999999999999</v>
      </c>
      <c r="C100" s="116">
        <v>3.26</v>
      </c>
      <c r="D100" s="116">
        <v>3.2549999999999999</v>
      </c>
      <c r="E100" s="116">
        <v>3.2749999999999999</v>
      </c>
      <c r="F100" s="116">
        <v>6.52</v>
      </c>
      <c r="G100">
        <v>1840</v>
      </c>
      <c r="H100" s="116"/>
      <c r="I100" s="116"/>
      <c r="L100" s="169">
        <v>45265</v>
      </c>
      <c r="M100" s="116">
        <v>602.4</v>
      </c>
      <c r="N100" s="116">
        <v>610</v>
      </c>
      <c r="O100" s="116">
        <v>569</v>
      </c>
      <c r="P100" s="116">
        <v>570</v>
      </c>
      <c r="Q100" s="116">
        <v>602.4</v>
      </c>
      <c r="R100">
        <v>906955</v>
      </c>
    </row>
    <row r="101" spans="1:18" x14ac:dyDescent="0.25">
      <c r="A101" s="169">
        <v>42157</v>
      </c>
      <c r="B101" s="116">
        <v>3.5249999999999999</v>
      </c>
      <c r="C101" s="116">
        <v>3.2650000000000001</v>
      </c>
      <c r="D101" s="116">
        <v>3.2650000000000001</v>
      </c>
      <c r="E101" s="116">
        <v>3.5249999999999999</v>
      </c>
      <c r="F101" s="116">
        <v>6.53</v>
      </c>
      <c r="G101">
        <v>652</v>
      </c>
      <c r="H101" s="116"/>
      <c r="I101" s="116"/>
      <c r="L101" s="169">
        <v>45266</v>
      </c>
      <c r="M101" s="116">
        <v>589.65</v>
      </c>
      <c r="N101" s="116">
        <v>611</v>
      </c>
      <c r="O101" s="116">
        <v>583.5</v>
      </c>
      <c r="P101" s="116">
        <v>606.15</v>
      </c>
      <c r="Q101" s="116">
        <v>589.65</v>
      </c>
      <c r="R101">
        <v>416187</v>
      </c>
    </row>
    <row r="102" spans="1:18" x14ac:dyDescent="0.25">
      <c r="A102" s="169">
        <v>42158</v>
      </c>
      <c r="B102" s="116">
        <v>3.26</v>
      </c>
      <c r="C102" s="116">
        <v>3.165</v>
      </c>
      <c r="D102" s="116">
        <v>3.15</v>
      </c>
      <c r="E102" s="116">
        <v>3.26</v>
      </c>
      <c r="F102" s="116">
        <v>6.33</v>
      </c>
      <c r="G102">
        <v>4695</v>
      </c>
      <c r="H102" s="116"/>
      <c r="I102" s="116"/>
      <c r="L102" s="169">
        <v>45267</v>
      </c>
      <c r="M102" s="116">
        <v>603.4</v>
      </c>
      <c r="N102" s="116">
        <v>609.9</v>
      </c>
      <c r="O102" s="116">
        <v>585.04999999999995</v>
      </c>
      <c r="P102" s="116">
        <v>593</v>
      </c>
      <c r="Q102" s="116">
        <v>603.4</v>
      </c>
      <c r="R102">
        <v>313916</v>
      </c>
    </row>
    <row r="103" spans="1:18" x14ac:dyDescent="0.25">
      <c r="A103" s="169">
        <v>42159</v>
      </c>
      <c r="B103" s="116">
        <v>3.4649999999999999</v>
      </c>
      <c r="C103" s="116">
        <v>3.4550000000000001</v>
      </c>
      <c r="D103" s="116">
        <v>3.1549999999999998</v>
      </c>
      <c r="E103" s="116">
        <v>3.1549999999999998</v>
      </c>
      <c r="F103" s="116">
        <v>6.91</v>
      </c>
      <c r="G103">
        <v>2115</v>
      </c>
      <c r="H103" s="116"/>
      <c r="I103" s="116"/>
      <c r="L103" s="169">
        <v>45268</v>
      </c>
      <c r="M103" s="116">
        <v>612.45000000000005</v>
      </c>
      <c r="N103" s="116">
        <v>623.5</v>
      </c>
      <c r="O103" s="116">
        <v>603</v>
      </c>
      <c r="P103" s="116">
        <v>612</v>
      </c>
      <c r="Q103" s="116">
        <v>612.45000000000005</v>
      </c>
      <c r="R103">
        <v>390444</v>
      </c>
    </row>
    <row r="104" spans="1:18" x14ac:dyDescent="0.25">
      <c r="A104" s="169">
        <v>42160</v>
      </c>
      <c r="B104" s="116">
        <v>3.49</v>
      </c>
      <c r="C104" s="116">
        <v>3.0649999999999999</v>
      </c>
      <c r="D104" s="116">
        <v>3.0150000000000001</v>
      </c>
      <c r="E104" s="116">
        <v>3.0150000000000001</v>
      </c>
      <c r="F104" s="116">
        <v>6.13</v>
      </c>
      <c r="G104">
        <v>722</v>
      </c>
      <c r="H104" s="116"/>
      <c r="I104" s="116"/>
      <c r="L104" s="169">
        <v>45271</v>
      </c>
      <c r="M104" s="116">
        <v>624.9</v>
      </c>
      <c r="N104" s="116">
        <v>656</v>
      </c>
      <c r="O104" s="116">
        <v>618.04999999999995</v>
      </c>
      <c r="P104" s="116">
        <v>635.04999999999995</v>
      </c>
      <c r="Q104" s="116">
        <v>624.9</v>
      </c>
      <c r="R104">
        <v>812150</v>
      </c>
    </row>
    <row r="105" spans="1:18" x14ac:dyDescent="0.25">
      <c r="A105" s="169">
        <v>42164</v>
      </c>
      <c r="B105" s="116">
        <v>3.105</v>
      </c>
      <c r="C105" s="116">
        <v>3.0950000000000002</v>
      </c>
      <c r="D105" s="116">
        <v>3.06</v>
      </c>
      <c r="E105" s="116">
        <v>3.105</v>
      </c>
      <c r="F105" s="116">
        <v>6.19</v>
      </c>
      <c r="G105">
        <v>550</v>
      </c>
      <c r="H105" s="116"/>
      <c r="I105" s="116"/>
      <c r="L105" s="169">
        <v>45272</v>
      </c>
      <c r="M105" s="116">
        <v>609.79999999999995</v>
      </c>
      <c r="N105" s="116">
        <v>632.95000000000005</v>
      </c>
      <c r="O105" s="116">
        <v>607</v>
      </c>
      <c r="P105" s="116">
        <v>630.4</v>
      </c>
      <c r="Q105" s="116">
        <v>609.79999999999995</v>
      </c>
      <c r="R105">
        <v>206135</v>
      </c>
    </row>
    <row r="106" spans="1:18" x14ac:dyDescent="0.25">
      <c r="A106" s="169">
        <v>42165</v>
      </c>
      <c r="B106" s="116">
        <v>3.25</v>
      </c>
      <c r="C106" s="116">
        <v>3.05</v>
      </c>
      <c r="D106" s="116">
        <v>3.05</v>
      </c>
      <c r="E106" s="116">
        <v>3.09</v>
      </c>
      <c r="F106" s="116">
        <v>6.1</v>
      </c>
      <c r="G106">
        <v>3952</v>
      </c>
      <c r="H106" s="116"/>
      <c r="I106" s="116"/>
      <c r="L106" s="169">
        <v>45273</v>
      </c>
      <c r="M106" s="116">
        <v>613.6</v>
      </c>
      <c r="N106" s="116">
        <v>619</v>
      </c>
      <c r="O106" s="116">
        <v>603.29999999999995</v>
      </c>
      <c r="P106" s="116">
        <v>618</v>
      </c>
      <c r="Q106" s="116">
        <v>613.6</v>
      </c>
      <c r="R106">
        <v>182466</v>
      </c>
    </row>
    <row r="107" spans="1:18" x14ac:dyDescent="0.25">
      <c r="A107" s="169">
        <v>42166</v>
      </c>
      <c r="B107" s="116">
        <v>3.25</v>
      </c>
      <c r="C107" s="116">
        <v>3.15</v>
      </c>
      <c r="D107" s="116">
        <v>3.0550000000000002</v>
      </c>
      <c r="E107" s="116">
        <v>3.1</v>
      </c>
      <c r="F107" s="116">
        <v>6.3</v>
      </c>
      <c r="G107">
        <v>1570</v>
      </c>
      <c r="H107" s="116"/>
      <c r="I107" s="116"/>
      <c r="L107" s="169">
        <v>45274</v>
      </c>
      <c r="M107" s="116">
        <v>608.75</v>
      </c>
      <c r="N107" s="116">
        <v>627.95000000000005</v>
      </c>
      <c r="O107" s="116">
        <v>604</v>
      </c>
      <c r="P107" s="116">
        <v>617</v>
      </c>
      <c r="Q107" s="116">
        <v>608.75</v>
      </c>
      <c r="R107">
        <v>196609</v>
      </c>
    </row>
    <row r="108" spans="1:18" x14ac:dyDescent="0.25">
      <c r="A108" s="169">
        <v>42167</v>
      </c>
      <c r="B108" s="116">
        <v>3.145</v>
      </c>
      <c r="C108" s="116">
        <v>3.0350000000000001</v>
      </c>
      <c r="D108" s="116">
        <v>3.0350000000000001</v>
      </c>
      <c r="E108" s="116">
        <v>3.145</v>
      </c>
      <c r="F108" s="116">
        <v>6.07</v>
      </c>
      <c r="G108">
        <v>1435</v>
      </c>
      <c r="H108" s="116"/>
      <c r="I108" s="116"/>
      <c r="L108" s="169">
        <v>45275</v>
      </c>
      <c r="M108" s="116">
        <v>609.65</v>
      </c>
      <c r="N108" s="116">
        <v>620.9</v>
      </c>
      <c r="O108" s="116">
        <v>604.15</v>
      </c>
      <c r="P108" s="116">
        <v>607.9</v>
      </c>
      <c r="Q108" s="116">
        <v>609.65</v>
      </c>
      <c r="R108">
        <v>278276</v>
      </c>
    </row>
    <row r="109" spans="1:18" x14ac:dyDescent="0.25">
      <c r="A109" s="169">
        <v>42170</v>
      </c>
      <c r="B109" s="116">
        <v>3.42</v>
      </c>
      <c r="C109" s="116">
        <v>3.0649999999999999</v>
      </c>
      <c r="D109" s="116">
        <v>3.0550000000000002</v>
      </c>
      <c r="E109" s="116">
        <v>3.0550000000000002</v>
      </c>
      <c r="F109" s="116">
        <v>6.13</v>
      </c>
      <c r="G109">
        <v>1668</v>
      </c>
      <c r="H109" s="116"/>
      <c r="I109" s="116"/>
      <c r="L109" s="169">
        <v>45278</v>
      </c>
      <c r="M109" s="116">
        <v>623.5</v>
      </c>
      <c r="N109" s="116">
        <v>633.5</v>
      </c>
      <c r="O109" s="116">
        <v>607.54999999999995</v>
      </c>
      <c r="P109" s="116">
        <v>613.79999999999995</v>
      </c>
      <c r="Q109" s="116">
        <v>623.5</v>
      </c>
      <c r="R109">
        <v>332509</v>
      </c>
    </row>
    <row r="110" spans="1:18" x14ac:dyDescent="0.25">
      <c r="A110" s="169">
        <v>42171</v>
      </c>
      <c r="B110" s="116">
        <v>3.0550000000000002</v>
      </c>
      <c r="C110" s="116">
        <v>3.0550000000000002</v>
      </c>
      <c r="D110" s="116">
        <v>3.0550000000000002</v>
      </c>
      <c r="E110" s="116">
        <v>3.0550000000000002</v>
      </c>
      <c r="F110" s="116">
        <v>6.11</v>
      </c>
      <c r="G110">
        <v>538</v>
      </c>
      <c r="H110" s="116"/>
      <c r="I110" s="116"/>
      <c r="L110" s="169">
        <v>45279</v>
      </c>
      <c r="M110" s="116">
        <v>627.45000000000005</v>
      </c>
      <c r="N110" s="116">
        <v>640.04999999999995</v>
      </c>
      <c r="O110" s="116">
        <v>620</v>
      </c>
      <c r="P110" s="116">
        <v>633.5</v>
      </c>
      <c r="Q110" s="116">
        <v>627.45000000000005</v>
      </c>
      <c r="R110">
        <v>299761</v>
      </c>
    </row>
    <row r="111" spans="1:18" x14ac:dyDescent="0.25">
      <c r="A111" s="169">
        <v>42172</v>
      </c>
      <c r="B111" s="116">
        <v>3.1949999999999998</v>
      </c>
      <c r="C111" s="116">
        <v>3.02</v>
      </c>
      <c r="D111" s="116">
        <v>3.0150000000000001</v>
      </c>
      <c r="E111" s="116">
        <v>3.0550000000000002</v>
      </c>
      <c r="F111" s="116">
        <v>6.04</v>
      </c>
      <c r="G111">
        <v>1925</v>
      </c>
      <c r="H111" s="116"/>
      <c r="I111" s="116"/>
      <c r="L111" s="169">
        <v>45280</v>
      </c>
      <c r="M111" s="116">
        <v>593.5</v>
      </c>
      <c r="N111" s="116">
        <v>634.25</v>
      </c>
      <c r="O111" s="116">
        <v>585.04999999999995</v>
      </c>
      <c r="P111" s="116">
        <v>628.15</v>
      </c>
      <c r="Q111" s="116">
        <v>593.5</v>
      </c>
      <c r="R111">
        <v>346570</v>
      </c>
    </row>
    <row r="112" spans="1:18" x14ac:dyDescent="0.25">
      <c r="A112" s="169">
        <v>42173</v>
      </c>
      <c r="B112" s="116">
        <v>3.0249999999999999</v>
      </c>
      <c r="C112" s="116">
        <v>3</v>
      </c>
      <c r="D112" s="116">
        <v>3</v>
      </c>
      <c r="E112" s="116">
        <v>3</v>
      </c>
      <c r="F112" s="116">
        <v>6</v>
      </c>
      <c r="G112">
        <v>2038</v>
      </c>
      <c r="H112" s="116"/>
      <c r="I112" s="116"/>
      <c r="L112" s="169">
        <v>45281</v>
      </c>
      <c r="M112" s="116">
        <v>606.95000000000005</v>
      </c>
      <c r="N112" s="116">
        <v>627</v>
      </c>
      <c r="O112" s="116">
        <v>583.54999999999995</v>
      </c>
      <c r="P112" s="116">
        <v>593</v>
      </c>
      <c r="Q112" s="116">
        <v>606.95000000000005</v>
      </c>
      <c r="R112">
        <v>623060</v>
      </c>
    </row>
    <row r="113" spans="1:18" x14ac:dyDescent="0.25">
      <c r="A113" s="169">
        <v>42174</v>
      </c>
      <c r="B113" s="116">
        <v>2.94</v>
      </c>
      <c r="C113" s="116">
        <v>2.94</v>
      </c>
      <c r="D113" s="116">
        <v>2.8849999999999998</v>
      </c>
      <c r="E113" s="116">
        <v>2.8849999999999998</v>
      </c>
      <c r="F113" s="116">
        <v>5.88</v>
      </c>
      <c r="G113">
        <v>538</v>
      </c>
      <c r="H113" s="116"/>
      <c r="I113" s="116"/>
      <c r="L113" s="169">
        <v>45282</v>
      </c>
      <c r="M113" s="116">
        <v>616.25</v>
      </c>
      <c r="N113" s="116">
        <v>631.95000000000005</v>
      </c>
      <c r="O113" s="116">
        <v>607</v>
      </c>
      <c r="P113" s="116">
        <v>608</v>
      </c>
      <c r="Q113" s="116">
        <v>616.25</v>
      </c>
      <c r="R113">
        <v>287532</v>
      </c>
    </row>
    <row r="114" spans="1:18" x14ac:dyDescent="0.25">
      <c r="A114" s="169">
        <v>42177</v>
      </c>
      <c r="B114" s="116">
        <v>3.2050000000000001</v>
      </c>
      <c r="C114" s="116">
        <v>3.1749999999999998</v>
      </c>
      <c r="D114" s="116">
        <v>2.96</v>
      </c>
      <c r="E114" s="116">
        <v>3.0249999999999999</v>
      </c>
      <c r="F114" s="116">
        <v>6.35</v>
      </c>
      <c r="G114">
        <v>2650</v>
      </c>
      <c r="H114" s="116"/>
      <c r="I114" s="116"/>
      <c r="L114" s="169">
        <v>45286</v>
      </c>
      <c r="M114" s="116">
        <v>625.65</v>
      </c>
      <c r="N114" s="116">
        <v>639.95000000000005</v>
      </c>
      <c r="O114" s="116">
        <v>615</v>
      </c>
      <c r="P114" s="116">
        <v>621.70000000000005</v>
      </c>
      <c r="Q114" s="116">
        <v>625.65</v>
      </c>
      <c r="R114">
        <v>365093</v>
      </c>
    </row>
    <row r="115" spans="1:18" x14ac:dyDescent="0.25">
      <c r="A115" s="169">
        <v>42178</v>
      </c>
      <c r="B115" s="116">
        <v>3.15</v>
      </c>
      <c r="C115" s="116">
        <v>3.06</v>
      </c>
      <c r="D115" s="116">
        <v>2.9</v>
      </c>
      <c r="E115" s="116">
        <v>3.15</v>
      </c>
      <c r="F115" s="116">
        <v>6.12</v>
      </c>
      <c r="G115">
        <v>35088</v>
      </c>
      <c r="H115" s="116"/>
      <c r="I115" s="116"/>
      <c r="L115" s="169">
        <v>45287</v>
      </c>
      <c r="M115" s="116">
        <v>615.85</v>
      </c>
      <c r="N115" s="116">
        <v>638.04999999999995</v>
      </c>
      <c r="O115" s="116">
        <v>610.1</v>
      </c>
      <c r="P115" s="116">
        <v>625.20000000000005</v>
      </c>
      <c r="Q115" s="116">
        <v>615.85</v>
      </c>
      <c r="R115">
        <v>179635</v>
      </c>
    </row>
    <row r="116" spans="1:18" x14ac:dyDescent="0.25">
      <c r="A116" s="169">
        <v>42179</v>
      </c>
      <c r="B116" s="116">
        <v>3.12</v>
      </c>
      <c r="C116" s="116">
        <v>3.0249999999999999</v>
      </c>
      <c r="D116" s="116">
        <v>2.95</v>
      </c>
      <c r="E116" s="116">
        <v>3.04</v>
      </c>
      <c r="F116" s="116">
        <v>6.05</v>
      </c>
      <c r="G116">
        <v>2020</v>
      </c>
      <c r="H116" s="116"/>
      <c r="I116" s="116"/>
      <c r="L116" s="169">
        <v>45288</v>
      </c>
      <c r="M116" s="116">
        <v>601.75</v>
      </c>
      <c r="N116" s="116">
        <v>620.5</v>
      </c>
      <c r="O116" s="116">
        <v>598.79999999999995</v>
      </c>
      <c r="P116" s="116">
        <v>620</v>
      </c>
      <c r="Q116" s="116">
        <v>601.75</v>
      </c>
      <c r="R116">
        <v>222357</v>
      </c>
    </row>
    <row r="117" spans="1:18" x14ac:dyDescent="0.25">
      <c r="A117" s="169">
        <v>42180</v>
      </c>
      <c r="B117" s="116">
        <v>3.2450000000000001</v>
      </c>
      <c r="C117" s="116">
        <v>3.1150000000000002</v>
      </c>
      <c r="D117" s="116">
        <v>2.9</v>
      </c>
      <c r="E117" s="116">
        <v>3.2450000000000001</v>
      </c>
      <c r="F117" s="116">
        <v>6.23</v>
      </c>
      <c r="G117">
        <v>890</v>
      </c>
      <c r="H117" s="116"/>
      <c r="I117" s="116"/>
      <c r="L117" s="169">
        <v>45289</v>
      </c>
      <c r="M117" s="116">
        <v>599.79999999999995</v>
      </c>
      <c r="N117" s="116">
        <v>609.20000000000005</v>
      </c>
      <c r="O117" s="116">
        <v>593.65</v>
      </c>
      <c r="P117" s="116">
        <v>604.79999999999995</v>
      </c>
      <c r="Q117" s="116">
        <v>599.79999999999995</v>
      </c>
      <c r="R117">
        <v>218340</v>
      </c>
    </row>
    <row r="118" spans="1:18" x14ac:dyDescent="0.25">
      <c r="A118" s="169">
        <v>42181</v>
      </c>
      <c r="B118" s="116">
        <v>3.2450000000000001</v>
      </c>
      <c r="C118" s="116">
        <v>3</v>
      </c>
      <c r="D118" s="116">
        <v>2.88</v>
      </c>
      <c r="E118" s="116">
        <v>3.2450000000000001</v>
      </c>
      <c r="F118" s="116">
        <v>6</v>
      </c>
      <c r="G118">
        <v>1820</v>
      </c>
      <c r="H118" s="116"/>
      <c r="I118" s="116"/>
      <c r="L118" s="169">
        <v>45292</v>
      </c>
      <c r="M118" s="116">
        <v>603.79999999999995</v>
      </c>
      <c r="N118" s="116">
        <v>610.1</v>
      </c>
      <c r="O118" s="116">
        <v>596.54999999999995</v>
      </c>
      <c r="P118" s="116">
        <v>601.45000000000005</v>
      </c>
      <c r="Q118" s="116">
        <v>603.79999999999995</v>
      </c>
      <c r="R118">
        <v>150418</v>
      </c>
    </row>
    <row r="119" spans="1:18" x14ac:dyDescent="0.25">
      <c r="A119" s="169">
        <v>42184</v>
      </c>
      <c r="B119" s="116">
        <v>3.24</v>
      </c>
      <c r="C119" s="116">
        <v>3.07</v>
      </c>
      <c r="D119" s="116">
        <v>2.8650000000000002</v>
      </c>
      <c r="E119" s="116">
        <v>3.24</v>
      </c>
      <c r="F119" s="116">
        <v>6.14</v>
      </c>
      <c r="G119">
        <v>1108</v>
      </c>
      <c r="H119" s="116"/>
      <c r="I119" s="116"/>
      <c r="L119" s="169">
        <v>45293</v>
      </c>
      <c r="M119" s="116">
        <v>602.79999999999995</v>
      </c>
      <c r="N119" s="116">
        <v>617.95000000000005</v>
      </c>
      <c r="O119" s="116">
        <v>592.20000000000005</v>
      </c>
      <c r="P119" s="116">
        <v>608.75</v>
      </c>
      <c r="Q119" s="116">
        <v>602.79999999999995</v>
      </c>
      <c r="R119">
        <v>383222</v>
      </c>
    </row>
    <row r="120" spans="1:18" x14ac:dyDescent="0.25">
      <c r="A120" s="169">
        <v>42185</v>
      </c>
      <c r="B120" s="116">
        <v>3.0750000000000002</v>
      </c>
      <c r="C120" s="116">
        <v>2.94</v>
      </c>
      <c r="D120" s="116">
        <v>2.87</v>
      </c>
      <c r="E120" s="116">
        <v>3</v>
      </c>
      <c r="F120" s="116">
        <v>5.88</v>
      </c>
      <c r="G120">
        <v>3514</v>
      </c>
      <c r="H120" s="116"/>
      <c r="I120" s="116"/>
      <c r="L120" s="169">
        <v>45294</v>
      </c>
      <c r="M120" s="116">
        <v>600.79999999999995</v>
      </c>
      <c r="N120" s="116">
        <v>608.15</v>
      </c>
      <c r="O120" s="116">
        <v>595.54999999999995</v>
      </c>
      <c r="P120" s="116">
        <v>602</v>
      </c>
      <c r="Q120" s="116">
        <v>600.79999999999995</v>
      </c>
      <c r="R120">
        <v>111882</v>
      </c>
    </row>
    <row r="121" spans="1:18" x14ac:dyDescent="0.25">
      <c r="A121" s="169">
        <v>42186</v>
      </c>
      <c r="B121" s="116">
        <v>3.2</v>
      </c>
      <c r="C121" s="116">
        <v>2.95</v>
      </c>
      <c r="D121" s="116">
        <v>2.81</v>
      </c>
      <c r="E121" s="116">
        <v>3.2</v>
      </c>
      <c r="F121" s="116">
        <v>5.9</v>
      </c>
      <c r="G121">
        <v>5375</v>
      </c>
      <c r="H121" s="116"/>
      <c r="I121" s="116"/>
      <c r="L121" s="169">
        <v>45295</v>
      </c>
      <c r="M121" s="116">
        <v>588.35</v>
      </c>
      <c r="N121" s="116">
        <v>608.35</v>
      </c>
      <c r="O121" s="116">
        <v>573</v>
      </c>
      <c r="P121" s="116">
        <v>604.9</v>
      </c>
      <c r="Q121" s="116">
        <v>588.35</v>
      </c>
      <c r="R121">
        <v>156485</v>
      </c>
    </row>
    <row r="122" spans="1:18" x14ac:dyDescent="0.25">
      <c r="A122" s="169">
        <v>42187</v>
      </c>
      <c r="B122" s="116">
        <v>3</v>
      </c>
      <c r="C122" s="116">
        <v>2.9449999999999998</v>
      </c>
      <c r="D122" s="116">
        <v>2.84</v>
      </c>
      <c r="E122" s="116">
        <v>3</v>
      </c>
      <c r="F122" s="116">
        <v>5.89</v>
      </c>
      <c r="G122">
        <v>1400</v>
      </c>
      <c r="H122" s="116"/>
      <c r="I122" s="116"/>
      <c r="L122" s="169">
        <v>45296</v>
      </c>
      <c r="M122" s="116">
        <v>589.9</v>
      </c>
      <c r="N122" s="116">
        <v>604.79999999999995</v>
      </c>
      <c r="O122" s="116">
        <v>586.1</v>
      </c>
      <c r="P122" s="116">
        <v>595</v>
      </c>
      <c r="Q122" s="116">
        <v>589.9</v>
      </c>
      <c r="R122">
        <v>329399</v>
      </c>
    </row>
    <row r="123" spans="1:18" x14ac:dyDescent="0.25">
      <c r="A123" s="169">
        <v>42188</v>
      </c>
      <c r="B123" s="116">
        <v>3.15</v>
      </c>
      <c r="C123" s="116">
        <v>2.875</v>
      </c>
      <c r="D123" s="116">
        <v>2.7749999999999999</v>
      </c>
      <c r="E123" s="116">
        <v>2.7749999999999999</v>
      </c>
      <c r="F123" s="116">
        <v>5.75</v>
      </c>
      <c r="G123">
        <v>3999</v>
      </c>
      <c r="H123" s="116"/>
      <c r="I123" s="116"/>
      <c r="L123" s="169">
        <v>45299</v>
      </c>
      <c r="M123" s="116">
        <v>577.65</v>
      </c>
      <c r="N123" s="116">
        <v>597.45000000000005</v>
      </c>
      <c r="O123" s="116">
        <v>573.04999999999995</v>
      </c>
      <c r="P123" s="116">
        <v>590.5</v>
      </c>
      <c r="Q123" s="116">
        <v>577.65</v>
      </c>
      <c r="R123">
        <v>134014</v>
      </c>
    </row>
    <row r="124" spans="1:18" x14ac:dyDescent="0.25">
      <c r="A124" s="169">
        <v>42191</v>
      </c>
      <c r="B124" s="116">
        <v>3.085</v>
      </c>
      <c r="C124" s="116">
        <v>2.95</v>
      </c>
      <c r="D124" s="116">
        <v>2.78</v>
      </c>
      <c r="E124" s="116">
        <v>3.085</v>
      </c>
      <c r="F124" s="116">
        <v>5.9</v>
      </c>
      <c r="G124">
        <v>1537</v>
      </c>
      <c r="H124" s="116"/>
      <c r="I124" s="116"/>
      <c r="L124" s="169">
        <v>45300</v>
      </c>
      <c r="M124" s="116">
        <v>580.1</v>
      </c>
      <c r="N124" s="116">
        <v>594.29999999999995</v>
      </c>
      <c r="O124" s="116">
        <v>576.04999999999995</v>
      </c>
      <c r="P124" s="116">
        <v>583</v>
      </c>
      <c r="Q124" s="116">
        <v>580.1</v>
      </c>
      <c r="R124">
        <v>172554</v>
      </c>
    </row>
    <row r="125" spans="1:18" x14ac:dyDescent="0.25">
      <c r="A125" s="169">
        <v>42192</v>
      </c>
      <c r="B125" s="116">
        <v>3.0449999999999999</v>
      </c>
      <c r="C125" s="116">
        <v>2.9249999999999998</v>
      </c>
      <c r="D125" s="116">
        <v>2.83</v>
      </c>
      <c r="E125" s="116">
        <v>2.875</v>
      </c>
      <c r="F125" s="116">
        <v>5.85</v>
      </c>
      <c r="G125">
        <v>2844</v>
      </c>
      <c r="H125" s="116"/>
      <c r="I125" s="116"/>
      <c r="L125" s="169">
        <v>45301</v>
      </c>
      <c r="M125" s="116">
        <v>578.20000000000005</v>
      </c>
      <c r="N125" s="116">
        <v>585</v>
      </c>
      <c r="O125" s="116">
        <v>573.15</v>
      </c>
      <c r="P125" s="116">
        <v>580.1</v>
      </c>
      <c r="Q125" s="116">
        <v>578.20000000000005</v>
      </c>
      <c r="R125">
        <v>126125</v>
      </c>
    </row>
    <row r="126" spans="1:18" x14ac:dyDescent="0.25">
      <c r="A126" s="169">
        <v>42193</v>
      </c>
      <c r="B126" s="116">
        <v>3.085</v>
      </c>
      <c r="C126" s="116">
        <v>3.0049999999999999</v>
      </c>
      <c r="D126" s="116">
        <v>2.83</v>
      </c>
      <c r="E126" s="116">
        <v>2.95</v>
      </c>
      <c r="F126" s="116">
        <v>6.01</v>
      </c>
      <c r="G126">
        <v>697</v>
      </c>
      <c r="H126" s="116"/>
      <c r="I126" s="116"/>
      <c r="L126" s="169">
        <v>45302</v>
      </c>
      <c r="M126" s="116">
        <v>582.75</v>
      </c>
      <c r="N126" s="116">
        <v>587.9</v>
      </c>
      <c r="O126" s="116">
        <v>573.5</v>
      </c>
      <c r="P126" s="116">
        <v>582</v>
      </c>
      <c r="Q126" s="116">
        <v>582.75</v>
      </c>
      <c r="R126">
        <v>143451</v>
      </c>
    </row>
    <row r="127" spans="1:18" x14ac:dyDescent="0.25">
      <c r="A127" s="169">
        <v>42194</v>
      </c>
      <c r="B127" s="116">
        <v>3.0449999999999999</v>
      </c>
      <c r="C127" s="116">
        <v>3.02</v>
      </c>
      <c r="D127" s="116">
        <v>2.95</v>
      </c>
      <c r="E127" s="116">
        <v>3</v>
      </c>
      <c r="F127" s="116">
        <v>6.04</v>
      </c>
      <c r="G127">
        <v>1350</v>
      </c>
      <c r="H127" s="116"/>
      <c r="I127" s="116"/>
      <c r="L127" s="169">
        <v>45303</v>
      </c>
      <c r="M127" s="116">
        <v>580.9</v>
      </c>
      <c r="N127" s="116">
        <v>595</v>
      </c>
      <c r="O127" s="116">
        <v>566.20000000000005</v>
      </c>
      <c r="P127" s="116">
        <v>580</v>
      </c>
      <c r="Q127" s="116">
        <v>580.9</v>
      </c>
      <c r="R127">
        <v>249351</v>
      </c>
    </row>
    <row r="128" spans="1:18" x14ac:dyDescent="0.25">
      <c r="A128" s="169">
        <v>42195</v>
      </c>
      <c r="B128" s="116">
        <v>3</v>
      </c>
      <c r="C128" s="116">
        <v>2.875</v>
      </c>
      <c r="D128" s="116">
        <v>2.875</v>
      </c>
      <c r="E128" s="116">
        <v>2.875</v>
      </c>
      <c r="F128" s="116">
        <v>5.75</v>
      </c>
      <c r="G128">
        <v>5942</v>
      </c>
      <c r="H128" s="116"/>
      <c r="I128" s="116"/>
      <c r="L128" s="169">
        <v>45306</v>
      </c>
      <c r="M128" s="116">
        <v>575.54999999999995</v>
      </c>
      <c r="N128" s="116">
        <v>592.70000000000005</v>
      </c>
      <c r="O128" s="116">
        <v>573.20000000000005</v>
      </c>
      <c r="P128" s="116">
        <v>587.9</v>
      </c>
      <c r="Q128" s="116">
        <v>575.54999999999995</v>
      </c>
      <c r="R128">
        <v>205742</v>
      </c>
    </row>
    <row r="129" spans="1:18" x14ac:dyDescent="0.25">
      <c r="A129" s="169">
        <v>42198</v>
      </c>
      <c r="B129" s="116">
        <v>3.2450000000000001</v>
      </c>
      <c r="C129" s="116">
        <v>2.84</v>
      </c>
      <c r="D129" s="116">
        <v>2.8</v>
      </c>
      <c r="E129" s="116">
        <v>3.2450000000000001</v>
      </c>
      <c r="F129" s="116">
        <v>5.68</v>
      </c>
      <c r="G129">
        <v>4760</v>
      </c>
      <c r="H129" s="116"/>
      <c r="I129" s="116"/>
      <c r="L129" s="169">
        <v>45307</v>
      </c>
      <c r="M129" s="116">
        <v>590.45000000000005</v>
      </c>
      <c r="N129" s="116">
        <v>594.9</v>
      </c>
      <c r="O129" s="116">
        <v>578.20000000000005</v>
      </c>
      <c r="P129" s="116">
        <v>584.20000000000005</v>
      </c>
      <c r="Q129" s="116">
        <v>590.45000000000005</v>
      </c>
      <c r="R129">
        <v>327805</v>
      </c>
    </row>
    <row r="130" spans="1:18" x14ac:dyDescent="0.25">
      <c r="A130" s="169">
        <v>42199</v>
      </c>
      <c r="B130" s="116">
        <v>3.0249999999999999</v>
      </c>
      <c r="C130" s="116">
        <v>2.8250000000000002</v>
      </c>
      <c r="D130" s="116">
        <v>2.82</v>
      </c>
      <c r="E130" s="116">
        <v>2.9750000000000001</v>
      </c>
      <c r="F130" s="116">
        <v>5.65</v>
      </c>
      <c r="G130">
        <v>4095</v>
      </c>
      <c r="H130" s="116"/>
      <c r="I130" s="116"/>
      <c r="L130" s="169">
        <v>45308</v>
      </c>
      <c r="M130" s="116">
        <v>577.25</v>
      </c>
      <c r="N130" s="116">
        <v>595.95000000000005</v>
      </c>
      <c r="O130" s="116">
        <v>570</v>
      </c>
      <c r="P130" s="116">
        <v>587</v>
      </c>
      <c r="Q130" s="116">
        <v>577.25</v>
      </c>
      <c r="R130">
        <v>304269</v>
      </c>
    </row>
    <row r="131" spans="1:18" x14ac:dyDescent="0.25">
      <c r="A131" s="169">
        <v>42200</v>
      </c>
      <c r="B131" s="116">
        <v>3</v>
      </c>
      <c r="C131" s="116">
        <v>2.9350000000000001</v>
      </c>
      <c r="D131" s="116">
        <v>2.8250000000000002</v>
      </c>
      <c r="E131" s="116">
        <v>3</v>
      </c>
      <c r="F131" s="116">
        <v>5.87</v>
      </c>
      <c r="G131">
        <v>6762</v>
      </c>
      <c r="H131" s="116"/>
      <c r="I131" s="116"/>
      <c r="L131" s="169">
        <v>45309</v>
      </c>
      <c r="M131" s="116">
        <v>579.29999999999995</v>
      </c>
      <c r="N131" s="116">
        <v>587.4</v>
      </c>
      <c r="O131" s="116">
        <v>565</v>
      </c>
      <c r="P131" s="116">
        <v>583</v>
      </c>
      <c r="Q131" s="116">
        <v>579.29999999999995</v>
      </c>
      <c r="R131">
        <v>204340</v>
      </c>
    </row>
    <row r="132" spans="1:18" x14ac:dyDescent="0.25">
      <c r="A132" s="169">
        <v>42201</v>
      </c>
      <c r="B132" s="116">
        <v>2.9849999999999999</v>
      </c>
      <c r="C132" s="116">
        <v>2.89</v>
      </c>
      <c r="D132" s="116">
        <v>2.88</v>
      </c>
      <c r="E132" s="116">
        <v>2.88</v>
      </c>
      <c r="F132" s="116">
        <v>5.78</v>
      </c>
      <c r="G132">
        <v>1290</v>
      </c>
      <c r="H132" s="116"/>
      <c r="I132" s="116"/>
      <c r="L132" s="169">
        <v>45310</v>
      </c>
      <c r="M132" s="116">
        <v>580.25</v>
      </c>
      <c r="N132" s="116">
        <v>589.9</v>
      </c>
      <c r="O132" s="116">
        <v>578</v>
      </c>
      <c r="P132" s="116">
        <v>581.9</v>
      </c>
      <c r="Q132" s="116">
        <v>580.25</v>
      </c>
      <c r="R132">
        <v>120187</v>
      </c>
    </row>
    <row r="133" spans="1:18" x14ac:dyDescent="0.25">
      <c r="A133" s="169">
        <v>42202</v>
      </c>
      <c r="B133" s="116">
        <v>3</v>
      </c>
      <c r="C133" s="116">
        <v>2.9</v>
      </c>
      <c r="D133" s="116">
        <v>2.85</v>
      </c>
      <c r="E133" s="116">
        <v>3</v>
      </c>
      <c r="F133" s="116">
        <v>5.8</v>
      </c>
      <c r="G133">
        <v>3356</v>
      </c>
      <c r="H133" s="116"/>
      <c r="I133" s="116"/>
      <c r="L133" s="169">
        <v>45311</v>
      </c>
      <c r="M133" s="116">
        <v>592.29999999999995</v>
      </c>
      <c r="N133" s="116">
        <v>596</v>
      </c>
      <c r="O133" s="116">
        <v>585</v>
      </c>
      <c r="P133" s="116">
        <v>586.4</v>
      </c>
      <c r="Q133" s="116">
        <v>592.29999999999995</v>
      </c>
      <c r="R133">
        <v>151156</v>
      </c>
    </row>
    <row r="134" spans="1:18" x14ac:dyDescent="0.25">
      <c r="A134" s="169">
        <v>42205</v>
      </c>
      <c r="B134" s="116">
        <v>2.85</v>
      </c>
      <c r="C134" s="116">
        <v>2.85</v>
      </c>
      <c r="D134" s="116">
        <v>2.85</v>
      </c>
      <c r="E134" s="116">
        <v>2.85</v>
      </c>
      <c r="F134" s="116">
        <v>5.7</v>
      </c>
      <c r="G134">
        <v>530</v>
      </c>
      <c r="H134" s="116"/>
      <c r="I134" s="116"/>
      <c r="L134" s="169">
        <v>45314</v>
      </c>
      <c r="M134" s="116">
        <v>589.29999999999995</v>
      </c>
      <c r="N134" s="116">
        <v>637.95000000000005</v>
      </c>
      <c r="O134" s="116">
        <v>585.04999999999995</v>
      </c>
      <c r="P134" s="116">
        <v>637.95000000000005</v>
      </c>
      <c r="Q134" s="116">
        <v>589.29999999999995</v>
      </c>
      <c r="R134">
        <v>828085</v>
      </c>
    </row>
    <row r="135" spans="1:18" x14ac:dyDescent="0.25">
      <c r="A135" s="169">
        <v>42206</v>
      </c>
      <c r="B135" s="116">
        <v>3.25</v>
      </c>
      <c r="C135" s="116">
        <v>3.0449999999999999</v>
      </c>
      <c r="D135" s="116">
        <v>3</v>
      </c>
      <c r="E135" s="116">
        <v>3.0750000000000002</v>
      </c>
      <c r="F135" s="116">
        <v>6.09</v>
      </c>
      <c r="G135">
        <v>16402</v>
      </c>
      <c r="H135" s="116"/>
      <c r="I135" s="116"/>
      <c r="L135" s="169">
        <v>45315</v>
      </c>
      <c r="M135" s="116">
        <v>590</v>
      </c>
      <c r="N135" s="116">
        <v>604.85</v>
      </c>
      <c r="O135" s="116">
        <v>581.35</v>
      </c>
      <c r="P135" s="116">
        <v>598</v>
      </c>
      <c r="Q135" s="116">
        <v>590</v>
      </c>
      <c r="R135">
        <v>368241</v>
      </c>
    </row>
    <row r="136" spans="1:18" x14ac:dyDescent="0.25">
      <c r="A136" s="169">
        <v>42207</v>
      </c>
      <c r="B136" s="116">
        <v>3.125</v>
      </c>
      <c r="C136" s="116">
        <v>3.09</v>
      </c>
      <c r="D136" s="116">
        <v>3</v>
      </c>
      <c r="E136" s="116">
        <v>3.085</v>
      </c>
      <c r="F136" s="116">
        <v>6.18</v>
      </c>
      <c r="G136">
        <v>64489</v>
      </c>
      <c r="H136" s="116"/>
      <c r="I136" s="116"/>
      <c r="L136" s="169">
        <v>45316</v>
      </c>
      <c r="M136" s="116">
        <v>596.04999999999995</v>
      </c>
      <c r="N136" s="116">
        <v>601</v>
      </c>
      <c r="O136" s="116">
        <v>589.70000000000005</v>
      </c>
      <c r="P136" s="116">
        <v>590</v>
      </c>
      <c r="Q136" s="116">
        <v>596.04999999999995</v>
      </c>
      <c r="R136">
        <v>247264</v>
      </c>
    </row>
    <row r="137" spans="1:18" x14ac:dyDescent="0.25">
      <c r="A137" s="169">
        <v>42208</v>
      </c>
      <c r="B137" s="116">
        <v>3.17</v>
      </c>
      <c r="C137" s="116">
        <v>3</v>
      </c>
      <c r="D137" s="116">
        <v>2.98</v>
      </c>
      <c r="E137" s="116">
        <v>2.98</v>
      </c>
      <c r="F137" s="116">
        <v>6</v>
      </c>
      <c r="G137">
        <v>126</v>
      </c>
      <c r="H137" s="116"/>
      <c r="I137" s="116"/>
      <c r="L137" s="169">
        <v>45320</v>
      </c>
      <c r="M137" s="116">
        <v>576.45000000000005</v>
      </c>
      <c r="N137" s="116">
        <v>599.85</v>
      </c>
      <c r="O137" s="116">
        <v>574</v>
      </c>
      <c r="P137" s="116">
        <v>596.04999999999995</v>
      </c>
      <c r="Q137" s="116">
        <v>576.45000000000005</v>
      </c>
      <c r="R137">
        <v>339779</v>
      </c>
    </row>
    <row r="138" spans="1:18" x14ac:dyDescent="0.25">
      <c r="A138" s="169">
        <v>42209</v>
      </c>
      <c r="B138" s="116">
        <v>3.05</v>
      </c>
      <c r="C138" s="116">
        <v>3.0249999999999999</v>
      </c>
      <c r="D138" s="116">
        <v>2.9249999999999998</v>
      </c>
      <c r="E138" s="116">
        <v>2.93</v>
      </c>
      <c r="F138" s="116">
        <v>6.05</v>
      </c>
      <c r="G138">
        <v>2819</v>
      </c>
      <c r="H138" s="116"/>
      <c r="I138" s="116"/>
      <c r="L138" s="169">
        <v>45321</v>
      </c>
      <c r="M138" s="116">
        <v>566.04999999999995</v>
      </c>
      <c r="N138" s="116">
        <v>583.54999999999995</v>
      </c>
      <c r="O138" s="116">
        <v>565</v>
      </c>
      <c r="P138" s="116">
        <v>583.5</v>
      </c>
      <c r="Q138" s="116">
        <v>566.04999999999995</v>
      </c>
      <c r="R138">
        <v>233920</v>
      </c>
    </row>
    <row r="139" spans="1:18" x14ac:dyDescent="0.25">
      <c r="A139" s="169">
        <v>42212</v>
      </c>
      <c r="B139" s="116">
        <v>3.05</v>
      </c>
      <c r="C139" s="116">
        <v>3.05</v>
      </c>
      <c r="D139" s="116">
        <v>3</v>
      </c>
      <c r="E139" s="116">
        <v>3</v>
      </c>
      <c r="F139" s="116">
        <v>6.1</v>
      </c>
      <c r="G139">
        <v>64100</v>
      </c>
      <c r="H139" s="116"/>
      <c r="I139" s="116"/>
      <c r="L139" s="169">
        <v>45322</v>
      </c>
      <c r="M139" s="116">
        <v>566.6</v>
      </c>
      <c r="N139" s="116">
        <v>582.70000000000005</v>
      </c>
      <c r="O139" s="116">
        <v>558.29999999999995</v>
      </c>
      <c r="P139" s="116">
        <v>565.1</v>
      </c>
      <c r="Q139" s="116">
        <v>566.6</v>
      </c>
      <c r="R139">
        <v>319790</v>
      </c>
    </row>
    <row r="140" spans="1:18" x14ac:dyDescent="0.25">
      <c r="A140" s="169">
        <v>42213</v>
      </c>
      <c r="B140" s="116">
        <v>3.05</v>
      </c>
      <c r="C140" s="116">
        <v>2.95</v>
      </c>
      <c r="D140" s="116">
        <v>2.85</v>
      </c>
      <c r="E140" s="116">
        <v>3.05</v>
      </c>
      <c r="F140" s="116">
        <v>5.9</v>
      </c>
      <c r="G140">
        <v>11500</v>
      </c>
      <c r="H140" s="116"/>
      <c r="I140" s="116"/>
      <c r="L140" s="169">
        <v>45323</v>
      </c>
      <c r="M140" s="116">
        <v>558.45000000000005</v>
      </c>
      <c r="N140" s="116">
        <v>573.79999999999995</v>
      </c>
      <c r="O140" s="116">
        <v>554.45000000000005</v>
      </c>
      <c r="P140" s="116">
        <v>573.79999999999995</v>
      </c>
      <c r="Q140" s="116">
        <v>558.45000000000005</v>
      </c>
      <c r="R140">
        <v>151562</v>
      </c>
    </row>
    <row r="141" spans="1:18" x14ac:dyDescent="0.25">
      <c r="A141" s="169">
        <v>42214</v>
      </c>
      <c r="B141" s="116">
        <v>3.24</v>
      </c>
      <c r="C141" s="116">
        <v>2.9750000000000001</v>
      </c>
      <c r="D141" s="116">
        <v>2.9750000000000001</v>
      </c>
      <c r="E141" s="116">
        <v>3.24</v>
      </c>
      <c r="F141" s="116">
        <v>5.95</v>
      </c>
      <c r="G141">
        <v>4020</v>
      </c>
      <c r="H141" s="116"/>
      <c r="I141" s="116"/>
      <c r="L141" s="169">
        <v>45324</v>
      </c>
      <c r="M141" s="116">
        <v>543.25</v>
      </c>
      <c r="N141" s="116">
        <v>564.95000000000005</v>
      </c>
      <c r="O141" s="116">
        <v>539.79999999999995</v>
      </c>
      <c r="P141" s="116">
        <v>561.79999999999995</v>
      </c>
      <c r="Q141" s="116">
        <v>543.25</v>
      </c>
      <c r="R141">
        <v>319082</v>
      </c>
    </row>
    <row r="142" spans="1:18" x14ac:dyDescent="0.25">
      <c r="A142" s="169">
        <v>42215</v>
      </c>
      <c r="B142" s="116">
        <v>2.95</v>
      </c>
      <c r="C142" s="116">
        <v>2.88</v>
      </c>
      <c r="D142" s="116">
        <v>2.88</v>
      </c>
      <c r="E142" s="116">
        <v>2.95</v>
      </c>
      <c r="F142" s="116">
        <v>5.76</v>
      </c>
      <c r="G142">
        <v>2020</v>
      </c>
      <c r="H142" s="116"/>
      <c r="I142" s="116"/>
      <c r="L142" s="169">
        <v>45327</v>
      </c>
      <c r="M142" s="116">
        <v>550.79999999999995</v>
      </c>
      <c r="N142" s="116">
        <v>575</v>
      </c>
      <c r="O142" s="116">
        <v>543.25</v>
      </c>
      <c r="P142" s="116">
        <v>543.25</v>
      </c>
      <c r="Q142" s="116">
        <v>550.79999999999995</v>
      </c>
      <c r="R142">
        <v>272988</v>
      </c>
    </row>
    <row r="143" spans="1:18" x14ac:dyDescent="0.25">
      <c r="A143" s="169">
        <v>42216</v>
      </c>
      <c r="B143" s="116">
        <v>3.18</v>
      </c>
      <c r="C143" s="116">
        <v>2.9049999999999998</v>
      </c>
      <c r="D143" s="116">
        <v>2.83</v>
      </c>
      <c r="E143" s="116">
        <v>3.18</v>
      </c>
      <c r="F143" s="116">
        <v>5.81</v>
      </c>
      <c r="G143">
        <v>7210</v>
      </c>
      <c r="H143" s="116"/>
      <c r="I143" s="116"/>
      <c r="L143" s="169">
        <v>45328</v>
      </c>
      <c r="M143" s="116">
        <v>570.5</v>
      </c>
      <c r="N143" s="116">
        <v>574.95000000000005</v>
      </c>
      <c r="O143" s="116">
        <v>546.29999999999995</v>
      </c>
      <c r="P143" s="116">
        <v>554.6</v>
      </c>
      <c r="Q143" s="116">
        <v>570.5</v>
      </c>
      <c r="R143">
        <v>259337</v>
      </c>
    </row>
    <row r="144" spans="1:18" x14ac:dyDescent="0.25">
      <c r="A144" s="169">
        <v>42219</v>
      </c>
      <c r="B144" s="116">
        <v>3.4849999999999999</v>
      </c>
      <c r="C144" s="116">
        <v>3.4849999999999999</v>
      </c>
      <c r="D144" s="116">
        <v>3.0750000000000002</v>
      </c>
      <c r="E144" s="116">
        <v>3.0750000000000002</v>
      </c>
      <c r="F144" s="116">
        <v>6.97</v>
      </c>
      <c r="G144">
        <v>212807</v>
      </c>
      <c r="H144" s="116"/>
      <c r="I144" s="116"/>
      <c r="L144" s="169">
        <v>45329</v>
      </c>
      <c r="M144" s="116">
        <v>571.25</v>
      </c>
      <c r="N144" s="116">
        <v>585.35</v>
      </c>
      <c r="O144" s="116">
        <v>570.1</v>
      </c>
      <c r="P144" s="116">
        <v>574.4</v>
      </c>
      <c r="Q144" s="116">
        <v>571.25</v>
      </c>
      <c r="R144">
        <v>232661</v>
      </c>
    </row>
    <row r="145" spans="1:18" x14ac:dyDescent="0.25">
      <c r="A145" s="169">
        <v>42220</v>
      </c>
      <c r="B145" s="116">
        <v>4.18</v>
      </c>
      <c r="C145" s="116">
        <v>4.18</v>
      </c>
      <c r="D145" s="116">
        <v>3.45</v>
      </c>
      <c r="E145" s="116">
        <v>3.5550000000000002</v>
      </c>
      <c r="F145" s="116">
        <v>8.36</v>
      </c>
      <c r="G145">
        <v>133365</v>
      </c>
      <c r="H145" s="116"/>
      <c r="I145" s="116"/>
      <c r="L145" s="169">
        <v>45330</v>
      </c>
      <c r="M145" s="116">
        <v>569.15</v>
      </c>
      <c r="N145" s="116">
        <v>582.85</v>
      </c>
      <c r="O145" s="116">
        <v>565</v>
      </c>
      <c r="P145" s="116">
        <v>572.9</v>
      </c>
      <c r="Q145" s="116">
        <v>569.15</v>
      </c>
      <c r="R145">
        <v>132123</v>
      </c>
    </row>
    <row r="146" spans="1:18" x14ac:dyDescent="0.25">
      <c r="A146" s="169">
        <v>42221</v>
      </c>
      <c r="B146" s="116">
        <v>4.5949999999999998</v>
      </c>
      <c r="C146" s="116">
        <v>4.4400000000000004</v>
      </c>
      <c r="D146" s="116">
        <v>4.2549999999999999</v>
      </c>
      <c r="E146" s="116">
        <v>4.5949999999999998</v>
      </c>
      <c r="F146" s="116">
        <v>8.8800000000000008</v>
      </c>
      <c r="G146">
        <v>184383</v>
      </c>
      <c r="H146" s="116"/>
      <c r="I146" s="116"/>
      <c r="L146" s="169">
        <v>45331</v>
      </c>
      <c r="M146" s="116">
        <v>558.9</v>
      </c>
      <c r="N146" s="116">
        <v>571.4</v>
      </c>
      <c r="O146" s="116">
        <v>546</v>
      </c>
      <c r="P146" s="116">
        <v>569</v>
      </c>
      <c r="Q146" s="116">
        <v>558.9</v>
      </c>
      <c r="R146">
        <v>159238</v>
      </c>
    </row>
    <row r="147" spans="1:18" x14ac:dyDescent="0.25">
      <c r="A147" s="169">
        <v>42222</v>
      </c>
      <c r="B147" s="116">
        <v>4.88</v>
      </c>
      <c r="C147" s="116">
        <v>4.3449999999999998</v>
      </c>
      <c r="D147" s="116">
        <v>4.1050000000000004</v>
      </c>
      <c r="E147" s="116">
        <v>4.88</v>
      </c>
      <c r="F147" s="116">
        <v>8.69</v>
      </c>
      <c r="G147">
        <v>25375</v>
      </c>
      <c r="H147" s="116"/>
      <c r="I147" s="116"/>
      <c r="L147" s="169">
        <v>45334</v>
      </c>
      <c r="M147" s="116">
        <v>547.04999999999995</v>
      </c>
      <c r="N147" s="116">
        <v>562.9</v>
      </c>
      <c r="O147" s="116">
        <v>530.04999999999995</v>
      </c>
      <c r="P147" s="116">
        <v>562.79999999999995</v>
      </c>
      <c r="Q147" s="116">
        <v>547.04999999999995</v>
      </c>
      <c r="R147">
        <v>247504</v>
      </c>
    </row>
    <row r="148" spans="1:18" x14ac:dyDescent="0.25">
      <c r="A148" s="169">
        <v>42223</v>
      </c>
      <c r="B148" s="116">
        <v>4.7450000000000001</v>
      </c>
      <c r="C148" s="116">
        <v>4.54</v>
      </c>
      <c r="D148" s="116">
        <v>4.3</v>
      </c>
      <c r="E148" s="116">
        <v>4.3</v>
      </c>
      <c r="F148" s="116">
        <v>9.08</v>
      </c>
      <c r="G148">
        <v>15261</v>
      </c>
      <c r="H148" s="116"/>
      <c r="I148" s="116"/>
      <c r="L148" s="169">
        <v>45335</v>
      </c>
      <c r="M148" s="116">
        <v>531.95000000000005</v>
      </c>
      <c r="N148" s="116">
        <v>549.6</v>
      </c>
      <c r="O148" s="116">
        <v>529.5</v>
      </c>
      <c r="P148" s="116">
        <v>547.1</v>
      </c>
      <c r="Q148" s="116">
        <v>531.95000000000005</v>
      </c>
      <c r="R148">
        <v>171700</v>
      </c>
    </row>
    <row r="149" spans="1:18" x14ac:dyDescent="0.25">
      <c r="A149" s="169">
        <v>42226</v>
      </c>
      <c r="B149" s="116">
        <v>4.99</v>
      </c>
      <c r="C149" s="116">
        <v>4.67</v>
      </c>
      <c r="D149" s="116">
        <v>4.09</v>
      </c>
      <c r="E149" s="116">
        <v>4.5449999999999999</v>
      </c>
      <c r="F149" s="116">
        <v>9.34</v>
      </c>
      <c r="G149">
        <v>61695</v>
      </c>
      <c r="H149" s="116"/>
      <c r="I149" s="116"/>
      <c r="L149" s="169">
        <v>45336</v>
      </c>
      <c r="M149" s="116">
        <v>532.25</v>
      </c>
      <c r="N149" s="116">
        <v>540.04999999999995</v>
      </c>
      <c r="O149" s="116">
        <v>525.9</v>
      </c>
      <c r="P149" s="116">
        <v>529.85</v>
      </c>
      <c r="Q149" s="116">
        <v>532.25</v>
      </c>
      <c r="R149">
        <v>196187</v>
      </c>
    </row>
    <row r="150" spans="1:18" x14ac:dyDescent="0.25">
      <c r="A150" s="169">
        <v>42227</v>
      </c>
      <c r="B150" s="116">
        <v>5</v>
      </c>
      <c r="C150" s="116">
        <v>4.4349999999999996</v>
      </c>
      <c r="D150" s="116">
        <v>4.2050000000000001</v>
      </c>
      <c r="E150" s="116">
        <v>5</v>
      </c>
      <c r="F150" s="116">
        <v>8.8699999999999992</v>
      </c>
      <c r="G150">
        <v>24655</v>
      </c>
      <c r="H150" s="116"/>
      <c r="I150" s="116"/>
      <c r="L150" s="169">
        <v>45337</v>
      </c>
      <c r="M150" s="116">
        <v>558.04999999999995</v>
      </c>
      <c r="N150" s="116">
        <v>572.15</v>
      </c>
      <c r="O150" s="116">
        <v>530.04999999999995</v>
      </c>
      <c r="P150" s="116">
        <v>535.9</v>
      </c>
      <c r="Q150" s="116">
        <v>558.04999999999995</v>
      </c>
      <c r="R150">
        <v>338914</v>
      </c>
    </row>
    <row r="151" spans="1:18" x14ac:dyDescent="0.25">
      <c r="A151" s="169">
        <v>42228</v>
      </c>
      <c r="B151" s="116">
        <v>4.45</v>
      </c>
      <c r="C151" s="116">
        <v>4.25</v>
      </c>
      <c r="D151" s="116">
        <v>4.0250000000000004</v>
      </c>
      <c r="E151" s="116">
        <v>4.05</v>
      </c>
      <c r="F151" s="116">
        <v>8.5</v>
      </c>
      <c r="G151">
        <v>4914</v>
      </c>
      <c r="H151" s="116"/>
      <c r="I151" s="116"/>
      <c r="L151" s="169">
        <v>45338</v>
      </c>
      <c r="M151" s="116">
        <v>560.04999999999995</v>
      </c>
      <c r="N151" s="116">
        <v>570.9</v>
      </c>
      <c r="O151" s="116">
        <v>556.5</v>
      </c>
      <c r="P151" s="116">
        <v>562.5</v>
      </c>
      <c r="Q151" s="116">
        <v>560.04999999999995</v>
      </c>
      <c r="R151">
        <v>273710</v>
      </c>
    </row>
    <row r="152" spans="1:18" x14ac:dyDescent="0.25">
      <c r="A152" s="169">
        <v>42229</v>
      </c>
      <c r="B152" s="116">
        <v>4.0750000000000002</v>
      </c>
      <c r="C152" s="116">
        <v>3.9049999999999998</v>
      </c>
      <c r="D152" s="116">
        <v>3.9</v>
      </c>
      <c r="E152" s="116">
        <v>4.01</v>
      </c>
      <c r="F152" s="116">
        <v>7.81</v>
      </c>
      <c r="G152">
        <v>14919</v>
      </c>
      <c r="H152" s="116"/>
      <c r="I152" s="116"/>
      <c r="L152" s="169">
        <v>45341</v>
      </c>
      <c r="M152" s="116">
        <v>575.79999999999995</v>
      </c>
      <c r="N152" s="116">
        <v>579.65</v>
      </c>
      <c r="O152" s="116">
        <v>557.25</v>
      </c>
      <c r="P152" s="116">
        <v>560.95000000000005</v>
      </c>
      <c r="Q152" s="116">
        <v>575.79999999999995</v>
      </c>
      <c r="R152">
        <v>329592</v>
      </c>
    </row>
    <row r="153" spans="1:18" x14ac:dyDescent="0.25">
      <c r="A153" s="169">
        <v>42230</v>
      </c>
      <c r="B153" s="116">
        <v>4.0999999999999996</v>
      </c>
      <c r="C153" s="116">
        <v>3.7850000000000001</v>
      </c>
      <c r="D153" s="116">
        <v>3.6549999999999998</v>
      </c>
      <c r="E153" s="116">
        <v>4.0999999999999996</v>
      </c>
      <c r="F153" s="116">
        <v>7.57</v>
      </c>
      <c r="G153">
        <v>5792</v>
      </c>
      <c r="H153" s="116"/>
      <c r="I153" s="116"/>
      <c r="L153" s="169">
        <v>45342</v>
      </c>
      <c r="M153" s="116">
        <v>575.20000000000005</v>
      </c>
      <c r="N153" s="116">
        <v>582.95000000000005</v>
      </c>
      <c r="O153" s="116">
        <v>573</v>
      </c>
      <c r="P153" s="116">
        <v>580</v>
      </c>
      <c r="Q153" s="116">
        <v>575.20000000000005</v>
      </c>
      <c r="R153">
        <v>242125</v>
      </c>
    </row>
    <row r="154" spans="1:18" x14ac:dyDescent="0.25">
      <c r="A154" s="169">
        <v>42233</v>
      </c>
      <c r="B154" s="116">
        <v>3.9950000000000001</v>
      </c>
      <c r="C154" s="116">
        <v>3.81</v>
      </c>
      <c r="D154" s="116">
        <v>3.55</v>
      </c>
      <c r="E154" s="116">
        <v>3.9950000000000001</v>
      </c>
      <c r="F154" s="116">
        <v>7.62</v>
      </c>
      <c r="G154">
        <v>640</v>
      </c>
      <c r="H154" s="116"/>
      <c r="I154" s="116"/>
      <c r="L154" s="169">
        <v>45343</v>
      </c>
      <c r="M154" s="116">
        <v>573.70000000000005</v>
      </c>
      <c r="N154" s="116">
        <v>601.15</v>
      </c>
      <c r="O154" s="116">
        <v>570.04999999999995</v>
      </c>
      <c r="P154" s="116">
        <v>575.20000000000005</v>
      </c>
      <c r="Q154" s="116">
        <v>573.70000000000005</v>
      </c>
      <c r="R154">
        <v>727693</v>
      </c>
    </row>
    <row r="155" spans="1:18" x14ac:dyDescent="0.25">
      <c r="A155" s="169">
        <v>42234</v>
      </c>
      <c r="B155" s="116">
        <v>3.895</v>
      </c>
      <c r="C155" s="116">
        <v>3.4849999999999999</v>
      </c>
      <c r="D155" s="116">
        <v>3.43</v>
      </c>
      <c r="E155" s="116">
        <v>3.895</v>
      </c>
      <c r="F155" s="116">
        <v>6.97</v>
      </c>
      <c r="G155">
        <v>6700</v>
      </c>
      <c r="H155" s="116"/>
      <c r="I155" s="116"/>
      <c r="L155" s="169">
        <v>45344</v>
      </c>
      <c r="M155" s="116">
        <v>570.70000000000005</v>
      </c>
      <c r="N155" s="116">
        <v>590</v>
      </c>
      <c r="O155" s="116">
        <v>562.04999999999995</v>
      </c>
      <c r="P155" s="116">
        <v>574.9</v>
      </c>
      <c r="Q155" s="116">
        <v>570.70000000000005</v>
      </c>
      <c r="R155">
        <v>362984</v>
      </c>
    </row>
    <row r="156" spans="1:18" x14ac:dyDescent="0.25">
      <c r="A156" s="169">
        <v>42235</v>
      </c>
      <c r="B156" s="116">
        <v>3.605</v>
      </c>
      <c r="C156" s="116">
        <v>3.39</v>
      </c>
      <c r="D156" s="116">
        <v>3.3149999999999999</v>
      </c>
      <c r="E156" s="116">
        <v>3.4950000000000001</v>
      </c>
      <c r="F156" s="116">
        <v>6.78</v>
      </c>
      <c r="G156">
        <v>12162</v>
      </c>
      <c r="H156" s="116"/>
      <c r="I156" s="116"/>
      <c r="L156" s="169">
        <v>45345</v>
      </c>
      <c r="M156" s="116">
        <v>591.75</v>
      </c>
      <c r="N156" s="116">
        <v>595</v>
      </c>
      <c r="O156" s="116">
        <v>573.6</v>
      </c>
      <c r="P156" s="116">
        <v>573.6</v>
      </c>
      <c r="Q156" s="116">
        <v>591.75</v>
      </c>
      <c r="R156">
        <v>636134</v>
      </c>
    </row>
    <row r="157" spans="1:18" x14ac:dyDescent="0.25">
      <c r="A157" s="169">
        <v>42236</v>
      </c>
      <c r="B157" s="116">
        <v>3.4249999999999998</v>
      </c>
      <c r="C157" s="116">
        <v>3.3</v>
      </c>
      <c r="D157" s="116">
        <v>3.2749999999999999</v>
      </c>
      <c r="E157" s="116">
        <v>3.4249999999999998</v>
      </c>
      <c r="F157" s="116">
        <v>6.6</v>
      </c>
      <c r="G157">
        <v>5800</v>
      </c>
      <c r="H157" s="116"/>
      <c r="I157" s="116"/>
      <c r="L157" s="169">
        <v>45348</v>
      </c>
      <c r="M157" s="116">
        <v>595.95000000000005</v>
      </c>
      <c r="N157" s="116">
        <v>606.5</v>
      </c>
      <c r="O157" s="116">
        <v>591.95000000000005</v>
      </c>
      <c r="P157" s="116">
        <v>603.79999999999995</v>
      </c>
      <c r="Q157" s="116">
        <v>595.95000000000005</v>
      </c>
      <c r="R157">
        <v>377039</v>
      </c>
    </row>
    <row r="158" spans="1:18" x14ac:dyDescent="0.25">
      <c r="A158" s="169">
        <v>42237</v>
      </c>
      <c r="B158" s="116">
        <v>3.4649999999999999</v>
      </c>
      <c r="C158" s="116">
        <v>3.32</v>
      </c>
      <c r="D158" s="116">
        <v>3.2749999999999999</v>
      </c>
      <c r="E158" s="116">
        <v>3.4649999999999999</v>
      </c>
      <c r="F158" s="116">
        <v>6.64</v>
      </c>
      <c r="G158">
        <v>6495</v>
      </c>
      <c r="H158" s="116"/>
      <c r="I158" s="116"/>
      <c r="L158" s="169">
        <v>45349</v>
      </c>
      <c r="M158" s="116">
        <v>583.25</v>
      </c>
      <c r="N158" s="116">
        <v>598</v>
      </c>
      <c r="O158" s="116">
        <v>577.15</v>
      </c>
      <c r="P158" s="116">
        <v>598</v>
      </c>
      <c r="Q158" s="116">
        <v>583.25</v>
      </c>
      <c r="R158">
        <v>175433</v>
      </c>
    </row>
    <row r="159" spans="1:18" x14ac:dyDescent="0.25">
      <c r="A159" s="169">
        <v>42240</v>
      </c>
      <c r="B159" s="116">
        <v>3.34</v>
      </c>
      <c r="C159" s="116">
        <v>3.1749999999999998</v>
      </c>
      <c r="D159" s="116">
        <v>3.1549999999999998</v>
      </c>
      <c r="E159" s="116">
        <v>3.25</v>
      </c>
      <c r="F159" s="116">
        <v>6.35</v>
      </c>
      <c r="G159">
        <v>31537</v>
      </c>
      <c r="H159" s="116"/>
      <c r="I159" s="116"/>
      <c r="L159" s="169">
        <v>45350</v>
      </c>
      <c r="M159" s="116">
        <v>564</v>
      </c>
      <c r="N159" s="116">
        <v>590</v>
      </c>
      <c r="O159" s="116">
        <v>557.54999999999995</v>
      </c>
      <c r="P159" s="116">
        <v>584.04999999999995</v>
      </c>
      <c r="Q159" s="116">
        <v>564</v>
      </c>
      <c r="R159">
        <v>235776</v>
      </c>
    </row>
    <row r="160" spans="1:18" x14ac:dyDescent="0.25">
      <c r="A160" s="169">
        <v>42241</v>
      </c>
      <c r="B160" s="116">
        <v>3.1749999999999998</v>
      </c>
      <c r="C160" s="116">
        <v>3.0249999999999999</v>
      </c>
      <c r="D160" s="116">
        <v>3.02</v>
      </c>
      <c r="E160" s="116">
        <v>3.1749999999999998</v>
      </c>
      <c r="F160" s="116">
        <v>6.05</v>
      </c>
      <c r="G160">
        <v>10540</v>
      </c>
      <c r="H160" s="116"/>
      <c r="I160" s="116"/>
      <c r="L160" s="169">
        <v>45351</v>
      </c>
      <c r="M160" s="116">
        <v>595.70000000000005</v>
      </c>
      <c r="N160" s="116">
        <v>598</v>
      </c>
      <c r="O160" s="116">
        <v>560.35</v>
      </c>
      <c r="P160" s="116">
        <v>566</v>
      </c>
      <c r="Q160" s="116">
        <v>595.70000000000005</v>
      </c>
      <c r="R160">
        <v>406027</v>
      </c>
    </row>
    <row r="161" spans="1:18" x14ac:dyDescent="0.25">
      <c r="A161" s="169">
        <v>42242</v>
      </c>
      <c r="B161" s="116">
        <v>3.17</v>
      </c>
      <c r="C161" s="116">
        <v>3.17</v>
      </c>
      <c r="D161" s="116">
        <v>3</v>
      </c>
      <c r="E161" s="116">
        <v>3.0049999999999999</v>
      </c>
      <c r="F161" s="116">
        <v>6.34</v>
      </c>
      <c r="G161">
        <v>7460</v>
      </c>
      <c r="H161" s="116"/>
      <c r="I161" s="116"/>
      <c r="L161" s="169">
        <v>45352</v>
      </c>
      <c r="M161" s="116">
        <v>587</v>
      </c>
      <c r="N161" s="116">
        <v>600</v>
      </c>
      <c r="O161" s="116">
        <v>578.75</v>
      </c>
      <c r="P161" s="116">
        <v>590</v>
      </c>
      <c r="Q161" s="116">
        <v>587</v>
      </c>
      <c r="R161">
        <v>286886</v>
      </c>
    </row>
    <row r="162" spans="1:18" x14ac:dyDescent="0.25">
      <c r="A162" s="169">
        <v>42243</v>
      </c>
      <c r="B162" s="116">
        <v>3.25</v>
      </c>
      <c r="C162" s="116">
        <v>3.2450000000000001</v>
      </c>
      <c r="D162" s="116">
        <v>3.0150000000000001</v>
      </c>
      <c r="E162" s="116">
        <v>3.05</v>
      </c>
      <c r="F162" s="116">
        <v>6.49</v>
      </c>
      <c r="G162">
        <v>8471</v>
      </c>
      <c r="H162" s="116"/>
      <c r="I162" s="116"/>
      <c r="L162" s="169">
        <v>45353</v>
      </c>
      <c r="M162" s="116">
        <v>588.79999999999995</v>
      </c>
      <c r="N162" s="116">
        <v>595</v>
      </c>
      <c r="O162" s="116">
        <v>577</v>
      </c>
      <c r="P162" s="116">
        <v>591.4</v>
      </c>
      <c r="Q162" s="116">
        <v>588.79999999999995</v>
      </c>
      <c r="R162">
        <v>20762</v>
      </c>
    </row>
    <row r="163" spans="1:18" x14ac:dyDescent="0.25">
      <c r="A163" s="169">
        <v>42244</v>
      </c>
      <c r="B163" s="116">
        <v>3.39</v>
      </c>
      <c r="C163" s="116">
        <v>3.38</v>
      </c>
      <c r="D163" s="116">
        <v>3.1549999999999998</v>
      </c>
      <c r="E163" s="116">
        <v>3.39</v>
      </c>
      <c r="F163" s="116">
        <v>6.76</v>
      </c>
      <c r="G163">
        <v>3050</v>
      </c>
      <c r="H163" s="116"/>
      <c r="I163" s="116"/>
      <c r="L163" s="169">
        <v>45355</v>
      </c>
      <c r="M163" s="116">
        <v>607.4</v>
      </c>
      <c r="N163" s="116">
        <v>610</v>
      </c>
      <c r="O163" s="116">
        <v>589.04999999999995</v>
      </c>
      <c r="P163" s="116">
        <v>589.9</v>
      </c>
      <c r="Q163" s="116">
        <v>607.4</v>
      </c>
      <c r="R163">
        <v>545539</v>
      </c>
    </row>
    <row r="164" spans="1:18" x14ac:dyDescent="0.25">
      <c r="A164" s="169">
        <v>42247</v>
      </c>
      <c r="B164" s="116">
        <v>3.375</v>
      </c>
      <c r="C164" s="116">
        <v>3.2149999999999999</v>
      </c>
      <c r="D164" s="116">
        <v>3.2149999999999999</v>
      </c>
      <c r="E164" s="116">
        <v>3.375</v>
      </c>
      <c r="F164" s="116">
        <v>6.43</v>
      </c>
      <c r="G164">
        <v>4504</v>
      </c>
      <c r="H164" s="116"/>
      <c r="I164" s="116"/>
      <c r="L164" s="169">
        <v>45356</v>
      </c>
      <c r="M164" s="116">
        <v>605.1</v>
      </c>
      <c r="N164" s="116">
        <v>610</v>
      </c>
      <c r="O164" s="116">
        <v>599.45000000000005</v>
      </c>
      <c r="P164" s="116">
        <v>608.04999999999995</v>
      </c>
      <c r="Q164" s="116">
        <v>605.1</v>
      </c>
      <c r="R164">
        <v>256506</v>
      </c>
    </row>
    <row r="165" spans="1:18" x14ac:dyDescent="0.25">
      <c r="A165" s="169">
        <v>42248</v>
      </c>
      <c r="B165" s="116">
        <v>3.3650000000000002</v>
      </c>
      <c r="C165" s="116">
        <v>3.2</v>
      </c>
      <c r="D165" s="116">
        <v>3.2</v>
      </c>
      <c r="E165" s="116">
        <v>3.3650000000000002</v>
      </c>
      <c r="F165" s="116">
        <v>6.4</v>
      </c>
      <c r="G165">
        <v>150</v>
      </c>
      <c r="H165" s="116"/>
      <c r="I165" s="116"/>
      <c r="L165" s="169">
        <v>45357</v>
      </c>
      <c r="M165" s="116">
        <v>582.95000000000005</v>
      </c>
      <c r="N165" s="116">
        <v>605.45000000000005</v>
      </c>
      <c r="O165" s="116">
        <v>575.54999999999995</v>
      </c>
      <c r="P165" s="116">
        <v>605.04999999999995</v>
      </c>
      <c r="Q165" s="116">
        <v>582.95000000000005</v>
      </c>
      <c r="R165">
        <v>225595</v>
      </c>
    </row>
    <row r="166" spans="1:18" x14ac:dyDescent="0.25">
      <c r="A166" s="169">
        <v>42249</v>
      </c>
      <c r="B166" s="116">
        <v>3.3</v>
      </c>
      <c r="C166" s="116">
        <v>3.3</v>
      </c>
      <c r="D166" s="116">
        <v>3.07</v>
      </c>
      <c r="E166" s="116">
        <v>3.07</v>
      </c>
      <c r="F166" s="116">
        <v>6.6</v>
      </c>
      <c r="G166">
        <v>1119</v>
      </c>
      <c r="H166" s="116"/>
      <c r="I166" s="116"/>
      <c r="L166" s="169">
        <v>45358</v>
      </c>
      <c r="M166" s="116">
        <v>593</v>
      </c>
      <c r="N166" s="116">
        <v>602.5</v>
      </c>
      <c r="O166" s="116">
        <v>569.79999999999995</v>
      </c>
      <c r="P166" s="116">
        <v>588.25</v>
      </c>
      <c r="Q166" s="116">
        <v>593</v>
      </c>
      <c r="R166">
        <v>312199</v>
      </c>
    </row>
    <row r="167" spans="1:18" x14ac:dyDescent="0.25">
      <c r="A167" s="169">
        <v>42250</v>
      </c>
      <c r="B167" s="116">
        <v>3.2250000000000001</v>
      </c>
      <c r="C167" s="116">
        <v>3.1749999999999998</v>
      </c>
      <c r="D167" s="116">
        <v>3.15</v>
      </c>
      <c r="E167" s="116">
        <v>3.2</v>
      </c>
      <c r="F167" s="116">
        <v>6.35</v>
      </c>
      <c r="G167">
        <v>1960</v>
      </c>
      <c r="H167" s="116"/>
      <c r="I167" s="116"/>
      <c r="L167" s="169">
        <v>45362</v>
      </c>
      <c r="M167" s="116">
        <v>572.54999999999995</v>
      </c>
      <c r="N167" s="116">
        <v>595</v>
      </c>
      <c r="O167" s="116">
        <v>564.04999999999995</v>
      </c>
      <c r="P167" s="116">
        <v>593.75</v>
      </c>
      <c r="Q167" s="116">
        <v>572.54999999999995</v>
      </c>
      <c r="R167">
        <v>483311</v>
      </c>
    </row>
    <row r="168" spans="1:18" x14ac:dyDescent="0.25">
      <c r="A168" s="169">
        <v>42251</v>
      </c>
      <c r="B168" s="116">
        <v>3.4649999999999999</v>
      </c>
      <c r="C168" s="116">
        <v>3.0649999999999999</v>
      </c>
      <c r="D168" s="116">
        <v>2.9649999999999999</v>
      </c>
      <c r="E168" s="116">
        <v>2.9649999999999999</v>
      </c>
      <c r="F168" s="116">
        <v>6.13</v>
      </c>
      <c r="G168">
        <v>494</v>
      </c>
      <c r="H168" s="116"/>
      <c r="I168" s="116"/>
      <c r="L168" s="169">
        <v>45363</v>
      </c>
      <c r="M168" s="116">
        <v>560.65</v>
      </c>
      <c r="N168" s="116">
        <v>588.79999999999995</v>
      </c>
      <c r="O168" s="116">
        <v>556.79999999999995</v>
      </c>
      <c r="P168" s="116">
        <v>577</v>
      </c>
      <c r="Q168" s="116">
        <v>560.65</v>
      </c>
      <c r="R168">
        <v>406575</v>
      </c>
    </row>
    <row r="169" spans="1:18" x14ac:dyDescent="0.25">
      <c r="A169" s="169">
        <v>42254</v>
      </c>
      <c r="B169" s="116">
        <v>3.2949999999999999</v>
      </c>
      <c r="C169" s="116">
        <v>3.2949999999999999</v>
      </c>
      <c r="D169" s="116">
        <v>2.9750000000000001</v>
      </c>
      <c r="E169" s="116">
        <v>3</v>
      </c>
      <c r="F169" s="116">
        <v>6.59</v>
      </c>
      <c r="G169">
        <v>1104</v>
      </c>
      <c r="H169" s="116"/>
      <c r="I169" s="116"/>
      <c r="L169" s="169">
        <v>45364</v>
      </c>
      <c r="M169" s="116">
        <v>540.35</v>
      </c>
      <c r="N169" s="116">
        <v>564.95000000000005</v>
      </c>
      <c r="O169" s="116">
        <v>531</v>
      </c>
      <c r="P169" s="116">
        <v>561</v>
      </c>
      <c r="Q169" s="116">
        <v>540.35</v>
      </c>
      <c r="R169">
        <v>569554</v>
      </c>
    </row>
    <row r="170" spans="1:18" x14ac:dyDescent="0.25">
      <c r="A170" s="169">
        <v>42255</v>
      </c>
      <c r="B170" s="116">
        <v>3.4849999999999999</v>
      </c>
      <c r="C170" s="116">
        <v>2.98</v>
      </c>
      <c r="D170" s="116">
        <v>2.9750000000000001</v>
      </c>
      <c r="E170" s="116">
        <v>3.4849999999999999</v>
      </c>
      <c r="F170" s="116">
        <v>5.96</v>
      </c>
      <c r="G170">
        <v>2069</v>
      </c>
      <c r="H170" s="116"/>
      <c r="I170" s="116"/>
      <c r="L170" s="169">
        <v>45365</v>
      </c>
      <c r="M170" s="116">
        <v>562</v>
      </c>
      <c r="N170" s="116">
        <v>578</v>
      </c>
      <c r="O170" s="116">
        <v>535</v>
      </c>
      <c r="P170" s="116">
        <v>535</v>
      </c>
      <c r="Q170" s="116">
        <v>562</v>
      </c>
      <c r="R170">
        <v>760048</v>
      </c>
    </row>
    <row r="171" spans="1:18" x14ac:dyDescent="0.25">
      <c r="A171" s="169">
        <v>42256</v>
      </c>
      <c r="B171" s="116">
        <v>3.2749999999999999</v>
      </c>
      <c r="C171" s="116">
        <v>3.2749999999999999</v>
      </c>
      <c r="D171" s="116">
        <v>2.875</v>
      </c>
      <c r="E171" s="116">
        <v>2.875</v>
      </c>
      <c r="F171" s="116">
        <v>6.55</v>
      </c>
      <c r="G171">
        <v>800</v>
      </c>
      <c r="H171" s="116"/>
      <c r="I171" s="116"/>
      <c r="L171" s="169">
        <v>45366</v>
      </c>
      <c r="M171" s="116">
        <v>563.85</v>
      </c>
      <c r="N171" s="116">
        <v>578</v>
      </c>
      <c r="O171" s="116">
        <v>548.1</v>
      </c>
      <c r="P171" s="116">
        <v>560</v>
      </c>
      <c r="Q171" s="116">
        <v>563.85</v>
      </c>
      <c r="R171">
        <v>2826899</v>
      </c>
    </row>
    <row r="172" spans="1:18" x14ac:dyDescent="0.25">
      <c r="A172" s="169">
        <v>42257</v>
      </c>
      <c r="B172" s="116">
        <v>3.2250000000000001</v>
      </c>
      <c r="C172" s="116">
        <v>3.2250000000000001</v>
      </c>
      <c r="D172" s="116">
        <v>3.0249999999999999</v>
      </c>
      <c r="E172" s="116">
        <v>3.0249999999999999</v>
      </c>
      <c r="F172" s="116">
        <v>6.45</v>
      </c>
      <c r="G172">
        <v>667</v>
      </c>
      <c r="H172" s="116"/>
      <c r="I172" s="116"/>
      <c r="L172" s="169">
        <v>45369</v>
      </c>
      <c r="M172" s="116">
        <v>587.9</v>
      </c>
      <c r="N172" s="116">
        <v>590</v>
      </c>
      <c r="O172" s="116">
        <v>559.04999999999995</v>
      </c>
      <c r="P172" s="116">
        <v>575</v>
      </c>
      <c r="Q172" s="116">
        <v>587.9</v>
      </c>
      <c r="R172">
        <v>384280</v>
      </c>
    </row>
    <row r="173" spans="1:18" x14ac:dyDescent="0.25">
      <c r="A173" s="169">
        <v>42258</v>
      </c>
      <c r="B173" s="116">
        <v>3.25</v>
      </c>
      <c r="C173" s="116">
        <v>3.16</v>
      </c>
      <c r="D173" s="116">
        <v>3.15</v>
      </c>
      <c r="E173" s="116">
        <v>3.25</v>
      </c>
      <c r="F173" s="116">
        <v>6.32</v>
      </c>
      <c r="G173">
        <v>1301</v>
      </c>
      <c r="H173" s="116"/>
      <c r="I173" s="116"/>
      <c r="L173" s="169">
        <v>45370</v>
      </c>
      <c r="M173" s="116">
        <v>578.79999999999995</v>
      </c>
      <c r="N173" s="116">
        <v>599</v>
      </c>
      <c r="O173" s="116">
        <v>573.70000000000005</v>
      </c>
      <c r="P173" s="116">
        <v>593</v>
      </c>
      <c r="Q173" s="116">
        <v>578.79999999999995</v>
      </c>
      <c r="R173">
        <v>502945</v>
      </c>
    </row>
    <row r="174" spans="1:18" x14ac:dyDescent="0.25">
      <c r="A174" s="169">
        <v>42261</v>
      </c>
      <c r="B174" s="116">
        <v>3.25</v>
      </c>
      <c r="C174" s="116">
        <v>3.1</v>
      </c>
      <c r="D174" s="116">
        <v>3.1</v>
      </c>
      <c r="E174" s="116">
        <v>3.2250000000000001</v>
      </c>
      <c r="F174" s="116">
        <v>6.2</v>
      </c>
      <c r="G174">
        <v>1500</v>
      </c>
      <c r="H174" s="116"/>
      <c r="I174" s="116"/>
      <c r="L174" s="169">
        <v>45371</v>
      </c>
      <c r="M174" s="116">
        <v>577.04999999999995</v>
      </c>
      <c r="N174" s="116">
        <v>589.79999999999995</v>
      </c>
      <c r="O174" s="116">
        <v>570.1</v>
      </c>
      <c r="P174" s="116">
        <v>578.79999999999995</v>
      </c>
      <c r="Q174" s="116">
        <v>577.04999999999995</v>
      </c>
      <c r="R174">
        <v>104051</v>
      </c>
    </row>
    <row r="175" spans="1:18" x14ac:dyDescent="0.25">
      <c r="A175" s="169">
        <v>42262</v>
      </c>
      <c r="B175" s="116">
        <v>3.32</v>
      </c>
      <c r="C175" s="116">
        <v>3.32</v>
      </c>
      <c r="D175" s="116">
        <v>3.03</v>
      </c>
      <c r="E175" s="116">
        <v>3.03</v>
      </c>
      <c r="F175" s="116">
        <v>6.64</v>
      </c>
      <c r="G175">
        <v>1494</v>
      </c>
      <c r="H175" s="116"/>
      <c r="I175" s="116"/>
      <c r="L175" s="169">
        <v>45372</v>
      </c>
      <c r="M175" s="116">
        <v>589.04999999999995</v>
      </c>
      <c r="N175" s="116">
        <v>595</v>
      </c>
      <c r="O175" s="116">
        <v>579.9</v>
      </c>
      <c r="P175" s="116">
        <v>579.9</v>
      </c>
      <c r="Q175" s="116">
        <v>589.04999999999995</v>
      </c>
      <c r="R175">
        <v>293940</v>
      </c>
    </row>
    <row r="176" spans="1:18" x14ac:dyDescent="0.25">
      <c r="A176" s="169">
        <v>42263</v>
      </c>
      <c r="B176" s="116">
        <v>3.24</v>
      </c>
      <c r="C176" s="116">
        <v>3.125</v>
      </c>
      <c r="D176" s="116">
        <v>3.085</v>
      </c>
      <c r="E176" s="116">
        <v>3.085</v>
      </c>
      <c r="F176" s="116">
        <v>6.25</v>
      </c>
      <c r="G176">
        <v>1400</v>
      </c>
      <c r="H176" s="116"/>
      <c r="I176" s="116"/>
      <c r="L176" s="169">
        <v>45373</v>
      </c>
      <c r="M176" s="116">
        <v>579.15</v>
      </c>
      <c r="N176" s="116">
        <v>596.95000000000005</v>
      </c>
      <c r="O176" s="116">
        <v>575.1</v>
      </c>
      <c r="P176" s="116">
        <v>590</v>
      </c>
      <c r="Q176" s="116">
        <v>579.15</v>
      </c>
      <c r="R176">
        <v>99948</v>
      </c>
    </row>
    <row r="177" spans="1:18" x14ac:dyDescent="0.25">
      <c r="A177" s="169">
        <v>42265</v>
      </c>
      <c r="B177" s="116">
        <v>3.15</v>
      </c>
      <c r="C177" s="116">
        <v>3.15</v>
      </c>
      <c r="D177" s="116">
        <v>3.125</v>
      </c>
      <c r="E177" s="116">
        <v>3.125</v>
      </c>
      <c r="F177" s="116">
        <v>6.3</v>
      </c>
      <c r="G177">
        <v>2169</v>
      </c>
      <c r="H177" s="116"/>
      <c r="I177" s="116"/>
      <c r="L177" s="169">
        <v>45377</v>
      </c>
      <c r="M177" s="116">
        <v>566</v>
      </c>
      <c r="N177" s="116">
        <v>583.9</v>
      </c>
      <c r="O177" s="116">
        <v>564.5</v>
      </c>
      <c r="P177" s="116">
        <v>578.79999999999995</v>
      </c>
      <c r="Q177" s="116">
        <v>566</v>
      </c>
      <c r="R177">
        <v>188883</v>
      </c>
    </row>
    <row r="178" spans="1:18" x14ac:dyDescent="0.25">
      <c r="A178" s="169">
        <v>42268</v>
      </c>
      <c r="B178" s="116">
        <v>3.25</v>
      </c>
      <c r="C178" s="116">
        <v>3.25</v>
      </c>
      <c r="D178" s="116">
        <v>3.25</v>
      </c>
      <c r="E178" s="116">
        <v>3.25</v>
      </c>
      <c r="F178" s="116">
        <v>6.5</v>
      </c>
      <c r="G178">
        <v>771</v>
      </c>
      <c r="H178" s="116"/>
      <c r="I178" s="116"/>
      <c r="L178" s="169">
        <v>45378</v>
      </c>
      <c r="M178" s="116">
        <v>609.79999999999995</v>
      </c>
      <c r="N178" s="116">
        <v>625</v>
      </c>
      <c r="O178" s="116">
        <v>568.04999999999995</v>
      </c>
      <c r="P178" s="116">
        <v>572</v>
      </c>
      <c r="Q178" s="116">
        <v>609.79999999999995</v>
      </c>
      <c r="R178">
        <v>620894</v>
      </c>
    </row>
    <row r="179" spans="1:18" x14ac:dyDescent="0.25">
      <c r="A179" s="169">
        <v>42269</v>
      </c>
      <c r="B179" s="116">
        <v>3.35</v>
      </c>
      <c r="C179" s="116">
        <v>3.35</v>
      </c>
      <c r="D179" s="116">
        <v>3.2</v>
      </c>
      <c r="E179" s="116">
        <v>3.2</v>
      </c>
      <c r="F179" s="116">
        <v>6.7</v>
      </c>
      <c r="G179">
        <v>2000</v>
      </c>
      <c r="H179" s="116"/>
      <c r="I179" s="116"/>
      <c r="L179" s="169">
        <v>45379</v>
      </c>
      <c r="M179" s="116">
        <v>602</v>
      </c>
      <c r="N179" s="116">
        <v>634.25</v>
      </c>
      <c r="O179" s="116">
        <v>596</v>
      </c>
      <c r="P179" s="116">
        <v>612.15</v>
      </c>
      <c r="Q179" s="116">
        <v>602</v>
      </c>
      <c r="R179">
        <v>572010</v>
      </c>
    </row>
    <row r="180" spans="1:18" x14ac:dyDescent="0.25">
      <c r="A180" s="169">
        <v>42270</v>
      </c>
      <c r="B180" s="116">
        <v>3.35</v>
      </c>
      <c r="C180" s="116">
        <v>3.35</v>
      </c>
      <c r="D180" s="116">
        <v>3.25</v>
      </c>
      <c r="E180" s="116">
        <v>3.25</v>
      </c>
      <c r="F180" s="116">
        <v>6.7</v>
      </c>
      <c r="G180">
        <v>1630</v>
      </c>
      <c r="H180" s="116"/>
      <c r="I180" s="116"/>
      <c r="L180" s="169">
        <v>45383</v>
      </c>
      <c r="M180" s="116">
        <v>600.79999999999995</v>
      </c>
      <c r="N180" s="116">
        <v>612.15</v>
      </c>
      <c r="O180" s="116">
        <v>597.35</v>
      </c>
      <c r="P180" s="116">
        <v>604.29999999999995</v>
      </c>
      <c r="Q180" s="116">
        <v>600.79999999999995</v>
      </c>
      <c r="R180">
        <v>137741</v>
      </c>
    </row>
    <row r="181" spans="1:18" x14ac:dyDescent="0.25">
      <c r="A181" s="169">
        <v>42271</v>
      </c>
      <c r="B181" s="116">
        <v>3.5</v>
      </c>
      <c r="C181" s="116">
        <v>3.2850000000000001</v>
      </c>
      <c r="D181" s="116">
        <v>3.2</v>
      </c>
      <c r="E181" s="116">
        <v>3.35</v>
      </c>
      <c r="F181" s="116">
        <v>6.57</v>
      </c>
      <c r="G181">
        <v>2637</v>
      </c>
      <c r="H181" s="116"/>
      <c r="I181" s="116"/>
      <c r="L181" s="169">
        <v>45384</v>
      </c>
      <c r="M181" s="116">
        <v>611.35</v>
      </c>
      <c r="N181" s="116">
        <v>614</v>
      </c>
      <c r="O181" s="116">
        <v>600</v>
      </c>
      <c r="P181" s="116">
        <v>600.79999999999995</v>
      </c>
      <c r="Q181" s="116">
        <v>611.35</v>
      </c>
      <c r="R181">
        <v>218450</v>
      </c>
    </row>
    <row r="182" spans="1:18" x14ac:dyDescent="0.25">
      <c r="A182" s="169">
        <v>42275</v>
      </c>
      <c r="B182" s="116">
        <v>3.61</v>
      </c>
      <c r="C182" s="116">
        <v>3.61</v>
      </c>
      <c r="D182" s="116">
        <v>3.0550000000000002</v>
      </c>
      <c r="E182" s="116">
        <v>3.0550000000000002</v>
      </c>
      <c r="F182" s="116">
        <v>7.22</v>
      </c>
      <c r="G182">
        <v>206553</v>
      </c>
      <c r="H182" s="116"/>
      <c r="I182" s="116"/>
      <c r="L182" s="169">
        <v>45385</v>
      </c>
      <c r="M182" s="116">
        <v>609</v>
      </c>
      <c r="N182" s="116">
        <v>622</v>
      </c>
      <c r="O182" s="116">
        <v>605.1</v>
      </c>
      <c r="P182" s="116">
        <v>609.85</v>
      </c>
      <c r="Q182" s="116">
        <v>609</v>
      </c>
      <c r="R182">
        <v>156654</v>
      </c>
    </row>
    <row r="183" spans="1:18" x14ac:dyDescent="0.25">
      <c r="A183" s="169">
        <v>42276</v>
      </c>
      <c r="B183" s="116">
        <v>3.9449999999999998</v>
      </c>
      <c r="C183" s="116">
        <v>3.67</v>
      </c>
      <c r="D183" s="116">
        <v>3.31</v>
      </c>
      <c r="E183" s="116">
        <v>3.31</v>
      </c>
      <c r="F183" s="116">
        <v>7.34</v>
      </c>
      <c r="G183">
        <v>4086</v>
      </c>
      <c r="H183" s="116"/>
      <c r="I183" s="116"/>
      <c r="L183" s="169">
        <v>45386</v>
      </c>
      <c r="M183" s="116">
        <v>629.1</v>
      </c>
      <c r="N183" s="116">
        <v>648</v>
      </c>
      <c r="O183" s="116">
        <v>615</v>
      </c>
      <c r="P183" s="116">
        <v>615</v>
      </c>
      <c r="Q183" s="116">
        <v>629.1</v>
      </c>
      <c r="R183">
        <v>474377</v>
      </c>
    </row>
    <row r="184" spans="1:18" x14ac:dyDescent="0.25">
      <c r="A184" s="169">
        <v>42277</v>
      </c>
      <c r="B184" s="116">
        <v>3.95</v>
      </c>
      <c r="C184" s="116">
        <v>3.7949999999999999</v>
      </c>
      <c r="D184" s="116">
        <v>3.625</v>
      </c>
      <c r="E184" s="116">
        <v>3.95</v>
      </c>
      <c r="F184" s="116">
        <v>7.59</v>
      </c>
      <c r="G184">
        <v>10926</v>
      </c>
      <c r="H184" s="116"/>
      <c r="I184" s="116"/>
      <c r="L184" s="169">
        <v>45387</v>
      </c>
      <c r="M184" s="116">
        <v>643.04999999999995</v>
      </c>
      <c r="N184" s="116">
        <v>649.5</v>
      </c>
      <c r="O184" s="116">
        <v>630.1</v>
      </c>
      <c r="P184" s="116">
        <v>632</v>
      </c>
      <c r="Q184" s="116">
        <v>643.04999999999995</v>
      </c>
      <c r="R184">
        <v>527508</v>
      </c>
    </row>
    <row r="185" spans="1:18" x14ac:dyDescent="0.25">
      <c r="A185" s="169">
        <v>42278</v>
      </c>
      <c r="B185" s="116">
        <v>3.99</v>
      </c>
      <c r="C185" s="116">
        <v>3.75</v>
      </c>
      <c r="D185" s="116">
        <v>3.5750000000000002</v>
      </c>
      <c r="E185" s="116">
        <v>3.99</v>
      </c>
      <c r="F185" s="116">
        <v>7.5</v>
      </c>
      <c r="G185">
        <v>104</v>
      </c>
      <c r="H185" s="116"/>
      <c r="I185" s="116"/>
      <c r="L185" s="169">
        <v>45390</v>
      </c>
      <c r="M185" s="116">
        <v>653.75</v>
      </c>
      <c r="N185" s="116">
        <v>660</v>
      </c>
      <c r="O185" s="116">
        <v>640.95000000000005</v>
      </c>
      <c r="P185" s="116">
        <v>649.9</v>
      </c>
      <c r="Q185" s="116">
        <v>653.75</v>
      </c>
      <c r="R185">
        <v>747197</v>
      </c>
    </row>
    <row r="186" spans="1:18" x14ac:dyDescent="0.25">
      <c r="A186" s="169">
        <v>42282</v>
      </c>
      <c r="B186" s="116">
        <v>4</v>
      </c>
      <c r="C186" s="116">
        <v>3.79</v>
      </c>
      <c r="D186" s="116">
        <v>3.3849999999999998</v>
      </c>
      <c r="E186" s="116">
        <v>3.99</v>
      </c>
      <c r="F186" s="116">
        <v>7.58</v>
      </c>
      <c r="G186">
        <v>17239</v>
      </c>
      <c r="H186" s="116"/>
      <c r="I186" s="116"/>
      <c r="L186" s="169">
        <v>45391</v>
      </c>
      <c r="M186" s="116">
        <v>656.8</v>
      </c>
      <c r="N186" s="116">
        <v>658</v>
      </c>
      <c r="O186" s="116">
        <v>650.04999999999995</v>
      </c>
      <c r="P186" s="116">
        <v>658</v>
      </c>
      <c r="Q186" s="116">
        <v>656.8</v>
      </c>
      <c r="R186">
        <v>272670</v>
      </c>
    </row>
    <row r="187" spans="1:18" x14ac:dyDescent="0.25">
      <c r="A187" s="169">
        <v>42283</v>
      </c>
      <c r="B187" s="116">
        <v>3.9</v>
      </c>
      <c r="C187" s="116">
        <v>3.7749999999999999</v>
      </c>
      <c r="D187" s="116">
        <v>3.3250000000000002</v>
      </c>
      <c r="E187" s="116">
        <v>3.3250000000000002</v>
      </c>
      <c r="F187" s="116">
        <v>7.55</v>
      </c>
      <c r="G187">
        <v>845</v>
      </c>
      <c r="H187" s="116"/>
      <c r="I187" s="116"/>
      <c r="L187" s="169">
        <v>45392</v>
      </c>
      <c r="M187" s="116">
        <v>694.55</v>
      </c>
      <c r="N187" s="116">
        <v>708</v>
      </c>
      <c r="O187" s="116">
        <v>655.1</v>
      </c>
      <c r="P187" s="116">
        <v>660</v>
      </c>
      <c r="Q187" s="116">
        <v>694.55</v>
      </c>
      <c r="R187">
        <v>1668519</v>
      </c>
    </row>
    <row r="188" spans="1:18" x14ac:dyDescent="0.25">
      <c r="A188" s="169">
        <v>42284</v>
      </c>
      <c r="B188" s="116">
        <v>4</v>
      </c>
      <c r="C188" s="116">
        <v>3.75</v>
      </c>
      <c r="D188" s="116">
        <v>3.75</v>
      </c>
      <c r="E188" s="116">
        <v>3.9</v>
      </c>
      <c r="F188" s="116">
        <v>7.5</v>
      </c>
      <c r="G188">
        <v>6108</v>
      </c>
      <c r="H188" s="116"/>
      <c r="I188" s="116"/>
      <c r="L188" s="169">
        <v>45394</v>
      </c>
      <c r="M188" s="116">
        <v>696.75</v>
      </c>
      <c r="N188" s="116">
        <v>710</v>
      </c>
      <c r="O188" s="116">
        <v>693</v>
      </c>
      <c r="P188" s="116">
        <v>700</v>
      </c>
      <c r="Q188" s="116">
        <v>696.75</v>
      </c>
      <c r="R188">
        <v>932224</v>
      </c>
    </row>
    <row r="189" spans="1:18" x14ac:dyDescent="0.25">
      <c r="A189" s="169">
        <v>42285</v>
      </c>
      <c r="B189" s="116">
        <v>3.65</v>
      </c>
      <c r="C189" s="116">
        <v>3.6</v>
      </c>
      <c r="D189" s="116">
        <v>3.6</v>
      </c>
      <c r="E189" s="116">
        <v>3.65</v>
      </c>
      <c r="F189" s="116">
        <v>7.2</v>
      </c>
      <c r="G189">
        <v>500</v>
      </c>
      <c r="H189" s="116"/>
      <c r="I189" s="116"/>
      <c r="L189" s="169">
        <v>45397</v>
      </c>
      <c r="M189" s="116">
        <v>694.8</v>
      </c>
      <c r="N189" s="116">
        <v>709.95</v>
      </c>
      <c r="O189" s="116">
        <v>661</v>
      </c>
      <c r="P189" s="116">
        <v>684</v>
      </c>
      <c r="Q189" s="116">
        <v>694.8</v>
      </c>
      <c r="R189">
        <v>591556</v>
      </c>
    </row>
    <row r="190" spans="1:18" x14ac:dyDescent="0.25">
      <c r="A190" s="169">
        <v>42286</v>
      </c>
      <c r="B190" s="116">
        <v>3.75</v>
      </c>
      <c r="C190" s="116">
        <v>3.75</v>
      </c>
      <c r="D190" s="116">
        <v>3.6349999999999998</v>
      </c>
      <c r="E190" s="116">
        <v>3.65</v>
      </c>
      <c r="F190" s="116">
        <v>7.5</v>
      </c>
      <c r="G190">
        <v>35800</v>
      </c>
      <c r="H190" s="116"/>
      <c r="I190" s="116"/>
      <c r="L190" s="169">
        <v>45398</v>
      </c>
      <c r="M190" s="116">
        <v>697.2</v>
      </c>
      <c r="N190" s="116">
        <v>705</v>
      </c>
      <c r="O190" s="116">
        <v>684.4</v>
      </c>
      <c r="P190" s="116">
        <v>687.15</v>
      </c>
      <c r="Q190" s="116">
        <v>697.2</v>
      </c>
      <c r="R190">
        <v>259828</v>
      </c>
    </row>
    <row r="191" spans="1:18" x14ac:dyDescent="0.25">
      <c r="A191" s="169">
        <v>42289</v>
      </c>
      <c r="B191" s="116">
        <v>4.125</v>
      </c>
      <c r="C191" s="116">
        <v>3.7050000000000001</v>
      </c>
      <c r="D191" s="116">
        <v>3.55</v>
      </c>
      <c r="E191" s="116">
        <v>3.55</v>
      </c>
      <c r="F191" s="116">
        <v>7.41</v>
      </c>
      <c r="G191">
        <v>3049</v>
      </c>
      <c r="H191" s="116"/>
      <c r="I191" s="116"/>
      <c r="L191" s="169">
        <v>45400</v>
      </c>
      <c r="M191" s="116">
        <v>719.3</v>
      </c>
      <c r="N191" s="116">
        <v>724.95</v>
      </c>
      <c r="O191" s="116">
        <v>699.75</v>
      </c>
      <c r="P191" s="116">
        <v>699.75</v>
      </c>
      <c r="Q191" s="116">
        <v>719.3</v>
      </c>
      <c r="R191">
        <v>848277</v>
      </c>
    </row>
    <row r="192" spans="1:18" x14ac:dyDescent="0.25">
      <c r="A192" s="169">
        <v>42290</v>
      </c>
      <c r="B192" s="116">
        <v>4</v>
      </c>
      <c r="C192" s="116">
        <v>3.65</v>
      </c>
      <c r="D192" s="116">
        <v>3.5</v>
      </c>
      <c r="E192" s="116">
        <v>3.5</v>
      </c>
      <c r="F192" s="116">
        <v>7.3</v>
      </c>
      <c r="G192">
        <v>8687</v>
      </c>
      <c r="H192" s="116"/>
      <c r="I192" s="116"/>
      <c r="L192" s="169">
        <v>45401</v>
      </c>
      <c r="M192" s="116">
        <v>722.55</v>
      </c>
      <c r="N192" s="116">
        <v>724.95</v>
      </c>
      <c r="O192" s="116">
        <v>700</v>
      </c>
      <c r="P192" s="116">
        <v>700</v>
      </c>
      <c r="Q192" s="116">
        <v>722.55</v>
      </c>
      <c r="R192">
        <v>500599</v>
      </c>
    </row>
    <row r="193" spans="1:18" x14ac:dyDescent="0.25">
      <c r="A193" s="169">
        <v>42291</v>
      </c>
      <c r="B193" s="116">
        <v>3.63</v>
      </c>
      <c r="C193" s="116">
        <v>3.5</v>
      </c>
      <c r="D193" s="116">
        <v>3.38</v>
      </c>
      <c r="E193" s="116">
        <v>3.5</v>
      </c>
      <c r="F193" s="116">
        <v>7</v>
      </c>
      <c r="G193">
        <v>10014</v>
      </c>
      <c r="H193" s="116"/>
      <c r="I193" s="116"/>
      <c r="L193" s="169">
        <v>45404</v>
      </c>
      <c r="M193" s="116">
        <v>731.35</v>
      </c>
      <c r="N193" s="116">
        <v>734.9</v>
      </c>
      <c r="O193" s="116">
        <v>721.25</v>
      </c>
      <c r="P193" s="116">
        <v>728</v>
      </c>
      <c r="Q193" s="116">
        <v>731.35</v>
      </c>
      <c r="R193">
        <v>377014</v>
      </c>
    </row>
    <row r="194" spans="1:18" x14ac:dyDescent="0.25">
      <c r="A194" s="169">
        <v>42292</v>
      </c>
      <c r="B194" s="116">
        <v>3.6</v>
      </c>
      <c r="C194" s="116">
        <v>3.5</v>
      </c>
      <c r="D194" s="116">
        <v>3.3050000000000002</v>
      </c>
      <c r="E194" s="116">
        <v>3.3050000000000002</v>
      </c>
      <c r="F194" s="116">
        <v>7</v>
      </c>
      <c r="G194">
        <v>1948</v>
      </c>
      <c r="H194" s="116"/>
      <c r="I194" s="116"/>
      <c r="L194" s="169">
        <v>45405</v>
      </c>
      <c r="M194" s="116">
        <v>718.6</v>
      </c>
      <c r="N194" s="116">
        <v>739</v>
      </c>
      <c r="O194" s="116">
        <v>712.55</v>
      </c>
      <c r="P194" s="116">
        <v>732.65</v>
      </c>
      <c r="Q194" s="116">
        <v>718.6</v>
      </c>
      <c r="R194">
        <v>382737</v>
      </c>
    </row>
    <row r="195" spans="1:18" x14ac:dyDescent="0.25">
      <c r="A195" s="169">
        <v>42293</v>
      </c>
      <c r="B195" s="116">
        <v>3.8450000000000002</v>
      </c>
      <c r="C195" s="116">
        <v>3.55</v>
      </c>
      <c r="D195" s="116">
        <v>3.26</v>
      </c>
      <c r="E195" s="116">
        <v>3.26</v>
      </c>
      <c r="F195" s="116">
        <v>7.1</v>
      </c>
      <c r="G195">
        <v>1004</v>
      </c>
      <c r="H195" s="116"/>
      <c r="I195" s="116"/>
      <c r="L195" s="169">
        <v>45406</v>
      </c>
      <c r="M195" s="116">
        <v>731.15</v>
      </c>
      <c r="N195" s="116">
        <v>739</v>
      </c>
      <c r="O195" s="116">
        <v>714.55</v>
      </c>
      <c r="P195" s="116">
        <v>720.05</v>
      </c>
      <c r="Q195" s="116">
        <v>731.15</v>
      </c>
      <c r="R195">
        <v>370191</v>
      </c>
    </row>
    <row r="196" spans="1:18" x14ac:dyDescent="0.25">
      <c r="A196" s="169">
        <v>42296</v>
      </c>
      <c r="B196" s="116">
        <v>3.895</v>
      </c>
      <c r="C196" s="116">
        <v>3.6</v>
      </c>
      <c r="D196" s="116">
        <v>3.55</v>
      </c>
      <c r="E196" s="116">
        <v>3.895</v>
      </c>
      <c r="F196" s="116">
        <v>7.2</v>
      </c>
      <c r="G196">
        <v>725</v>
      </c>
      <c r="H196" s="116"/>
      <c r="I196" s="116"/>
      <c r="L196" s="169">
        <v>45407</v>
      </c>
      <c r="M196" s="116">
        <v>730.5</v>
      </c>
      <c r="N196" s="116">
        <v>749</v>
      </c>
      <c r="O196" s="116">
        <v>726.8</v>
      </c>
      <c r="P196" s="116">
        <v>732.35</v>
      </c>
      <c r="Q196" s="116">
        <v>730.5</v>
      </c>
      <c r="R196">
        <v>479626</v>
      </c>
    </row>
    <row r="197" spans="1:18" x14ac:dyDescent="0.25">
      <c r="A197" s="169">
        <v>42297</v>
      </c>
      <c r="B197" s="116">
        <v>3.72</v>
      </c>
      <c r="C197" s="116">
        <v>3.53</v>
      </c>
      <c r="D197" s="116">
        <v>3.52</v>
      </c>
      <c r="E197" s="116">
        <v>3.6</v>
      </c>
      <c r="F197" s="116">
        <v>7.06</v>
      </c>
      <c r="G197">
        <v>7236</v>
      </c>
      <c r="H197" s="116"/>
      <c r="I197" s="116"/>
      <c r="L197" s="169">
        <v>45408</v>
      </c>
      <c r="M197" s="116">
        <v>727.25</v>
      </c>
      <c r="N197" s="116">
        <v>741.15</v>
      </c>
      <c r="O197" s="116">
        <v>725</v>
      </c>
      <c r="P197" s="116">
        <v>731.65</v>
      </c>
      <c r="Q197" s="116">
        <v>727.25</v>
      </c>
      <c r="R197">
        <v>222522</v>
      </c>
    </row>
    <row r="198" spans="1:18" x14ac:dyDescent="0.25">
      <c r="A198" s="169">
        <v>42298</v>
      </c>
      <c r="B198" s="116">
        <v>3.5249999999999999</v>
      </c>
      <c r="C198" s="116">
        <v>3.5049999999999999</v>
      </c>
      <c r="D198" s="116">
        <v>3.4550000000000001</v>
      </c>
      <c r="E198" s="116">
        <v>3.4550000000000001</v>
      </c>
      <c r="F198" s="116">
        <v>7.01</v>
      </c>
      <c r="G198">
        <v>1000</v>
      </c>
      <c r="H198" s="116"/>
      <c r="I198" s="116"/>
      <c r="L198" s="169">
        <v>45411</v>
      </c>
      <c r="M198" s="116">
        <v>718.1</v>
      </c>
      <c r="N198" s="116">
        <v>735.45</v>
      </c>
      <c r="O198" s="116">
        <v>713.5</v>
      </c>
      <c r="P198" s="116">
        <v>730.55</v>
      </c>
      <c r="Q198" s="116">
        <v>718.1</v>
      </c>
      <c r="R198">
        <v>271910</v>
      </c>
    </row>
    <row r="199" spans="1:18" x14ac:dyDescent="0.25">
      <c r="A199" s="169">
        <v>42300</v>
      </c>
      <c r="B199" s="116">
        <v>3.7949999999999999</v>
      </c>
      <c r="C199" s="116">
        <v>3.43</v>
      </c>
      <c r="D199" s="116">
        <v>3.43</v>
      </c>
      <c r="E199" s="116">
        <v>3.7949999999999999</v>
      </c>
      <c r="F199" s="116">
        <v>6.86</v>
      </c>
      <c r="G199">
        <v>8306</v>
      </c>
      <c r="H199" s="116"/>
      <c r="I199" s="116"/>
      <c r="L199" s="169">
        <v>45412</v>
      </c>
      <c r="M199" s="116">
        <v>742.2</v>
      </c>
      <c r="N199" s="116">
        <v>749</v>
      </c>
      <c r="O199" s="116">
        <v>721.6</v>
      </c>
      <c r="P199" s="116">
        <v>725.05</v>
      </c>
      <c r="Q199" s="116">
        <v>742.2</v>
      </c>
      <c r="R199">
        <v>642198</v>
      </c>
    </row>
    <row r="200" spans="1:18" x14ac:dyDescent="0.25">
      <c r="A200" s="169">
        <v>42303</v>
      </c>
      <c r="B200" s="116">
        <v>3.645</v>
      </c>
      <c r="C200" s="116">
        <v>3.4</v>
      </c>
      <c r="D200" s="116">
        <v>3.355</v>
      </c>
      <c r="E200" s="116">
        <v>3.355</v>
      </c>
      <c r="F200" s="116">
        <v>6.8</v>
      </c>
      <c r="G200">
        <v>1361</v>
      </c>
      <c r="H200" s="116"/>
      <c r="I200" s="116"/>
      <c r="L200" s="169">
        <v>45414</v>
      </c>
      <c r="M200" s="116">
        <v>739.2</v>
      </c>
      <c r="N200" s="116">
        <v>750</v>
      </c>
      <c r="O200" s="116">
        <v>723.55</v>
      </c>
      <c r="P200" s="116">
        <v>745</v>
      </c>
      <c r="Q200" s="116">
        <v>739.2</v>
      </c>
      <c r="R200">
        <v>843233</v>
      </c>
    </row>
    <row r="201" spans="1:18" x14ac:dyDescent="0.25">
      <c r="A201" s="169">
        <v>42304</v>
      </c>
      <c r="B201" s="116">
        <v>3.6549999999999998</v>
      </c>
      <c r="C201" s="116">
        <v>3.39</v>
      </c>
      <c r="D201" s="116">
        <v>3.39</v>
      </c>
      <c r="E201" s="116">
        <v>3.6549999999999998</v>
      </c>
      <c r="F201" s="116">
        <v>6.78</v>
      </c>
      <c r="G201">
        <v>2</v>
      </c>
      <c r="H201" s="116"/>
      <c r="I201" s="116"/>
      <c r="L201" s="169">
        <v>45415</v>
      </c>
      <c r="M201" s="116">
        <v>711.9</v>
      </c>
      <c r="N201" s="116">
        <v>749</v>
      </c>
      <c r="O201" s="116">
        <v>703.05</v>
      </c>
      <c r="P201" s="116">
        <v>748</v>
      </c>
      <c r="Q201" s="116">
        <v>711.9</v>
      </c>
      <c r="R201">
        <v>480054</v>
      </c>
    </row>
    <row r="202" spans="1:18" x14ac:dyDescent="0.25">
      <c r="A202" s="169">
        <v>42305</v>
      </c>
      <c r="B202" s="116">
        <v>3.38</v>
      </c>
      <c r="C202" s="116">
        <v>3.375</v>
      </c>
      <c r="D202" s="116">
        <v>3.375</v>
      </c>
      <c r="E202" s="116">
        <v>3.38</v>
      </c>
      <c r="F202" s="116">
        <v>6.75</v>
      </c>
      <c r="G202">
        <v>604</v>
      </c>
      <c r="H202" s="116"/>
      <c r="I202" s="116"/>
      <c r="L202" s="169">
        <v>45418</v>
      </c>
      <c r="M202" s="116">
        <v>693.9</v>
      </c>
      <c r="N202" s="116">
        <v>718.8</v>
      </c>
      <c r="O202" s="116">
        <v>669.3</v>
      </c>
      <c r="P202" s="116">
        <v>718.8</v>
      </c>
      <c r="Q202" s="116">
        <v>693.9</v>
      </c>
      <c r="R202">
        <v>615300</v>
      </c>
    </row>
    <row r="203" spans="1:18" x14ac:dyDescent="0.25">
      <c r="A203" s="169">
        <v>42306</v>
      </c>
      <c r="B203" s="116">
        <v>3.6</v>
      </c>
      <c r="C203" s="116">
        <v>3.45</v>
      </c>
      <c r="D203" s="116">
        <v>3.26</v>
      </c>
      <c r="E203" s="116">
        <v>3.26</v>
      </c>
      <c r="F203" s="116">
        <v>6.9</v>
      </c>
      <c r="G203">
        <v>10010</v>
      </c>
      <c r="H203" s="116"/>
      <c r="I203" s="116"/>
      <c r="L203" s="169">
        <v>45419</v>
      </c>
      <c r="M203" s="116">
        <v>680.95</v>
      </c>
      <c r="N203" s="116">
        <v>706.95</v>
      </c>
      <c r="O203" s="116">
        <v>674.75</v>
      </c>
      <c r="P203" s="116">
        <v>694.65</v>
      </c>
      <c r="Q203" s="116">
        <v>680.95</v>
      </c>
      <c r="R203">
        <v>290964</v>
      </c>
    </row>
    <row r="204" spans="1:18" x14ac:dyDescent="0.25">
      <c r="A204" s="169">
        <v>42307</v>
      </c>
      <c r="B204" s="116">
        <v>3.5</v>
      </c>
      <c r="C204" s="116">
        <v>3.4550000000000001</v>
      </c>
      <c r="D204" s="116">
        <v>3.41</v>
      </c>
      <c r="E204" s="116">
        <v>3.45</v>
      </c>
      <c r="F204" s="116">
        <v>6.91</v>
      </c>
      <c r="G204">
        <v>3350</v>
      </c>
      <c r="H204" s="116"/>
      <c r="I204" s="116"/>
      <c r="L204" s="169">
        <v>45420</v>
      </c>
      <c r="M204" s="116">
        <v>677.65</v>
      </c>
      <c r="N204" s="116">
        <v>697.9</v>
      </c>
      <c r="O204" s="116">
        <v>676.5</v>
      </c>
      <c r="P204" s="116">
        <v>685</v>
      </c>
      <c r="Q204" s="116">
        <v>677.65</v>
      </c>
      <c r="R204">
        <v>217370</v>
      </c>
    </row>
    <row r="205" spans="1:18" x14ac:dyDescent="0.25">
      <c r="A205" s="169">
        <v>42310</v>
      </c>
      <c r="B205" s="116">
        <v>3.5</v>
      </c>
      <c r="C205" s="116">
        <v>3.5</v>
      </c>
      <c r="D205" s="116">
        <v>3.37</v>
      </c>
      <c r="E205" s="116">
        <v>3.37</v>
      </c>
      <c r="F205" s="116">
        <v>7</v>
      </c>
      <c r="G205">
        <v>4701</v>
      </c>
      <c r="H205" s="116"/>
      <c r="I205" s="116"/>
      <c r="L205" s="169">
        <v>45421</v>
      </c>
      <c r="M205" s="116">
        <v>663.75</v>
      </c>
      <c r="N205" s="116">
        <v>684.15</v>
      </c>
      <c r="O205" s="116">
        <v>658</v>
      </c>
      <c r="P205" s="116">
        <v>679.95</v>
      </c>
      <c r="Q205" s="116">
        <v>663.75</v>
      </c>
      <c r="R205">
        <v>276538</v>
      </c>
    </row>
    <row r="206" spans="1:18" x14ac:dyDescent="0.25">
      <c r="A206" s="169">
        <v>42311</v>
      </c>
      <c r="B206" s="116">
        <v>3.4449999999999998</v>
      </c>
      <c r="C206" s="116">
        <v>3.39</v>
      </c>
      <c r="D206" s="116">
        <v>3.36</v>
      </c>
      <c r="E206" s="116">
        <v>3.3650000000000002</v>
      </c>
      <c r="F206" s="116">
        <v>6.78</v>
      </c>
      <c r="G206">
        <v>3161</v>
      </c>
      <c r="H206" s="116"/>
      <c r="I206" s="116"/>
      <c r="L206" s="169">
        <v>45422</v>
      </c>
      <c r="M206" s="116">
        <v>682.3</v>
      </c>
      <c r="N206" s="116">
        <v>688.95</v>
      </c>
      <c r="O206" s="116">
        <v>654.9</v>
      </c>
      <c r="P206" s="116">
        <v>668.8</v>
      </c>
      <c r="Q206" s="116">
        <v>682.3</v>
      </c>
      <c r="R206">
        <v>248561</v>
      </c>
    </row>
    <row r="207" spans="1:18" x14ac:dyDescent="0.25">
      <c r="A207" s="169">
        <v>42312</v>
      </c>
      <c r="B207" s="116">
        <v>3.65</v>
      </c>
      <c r="C207" s="116">
        <v>3.3149999999999999</v>
      </c>
      <c r="D207" s="116">
        <v>3.3149999999999999</v>
      </c>
      <c r="E207" s="116">
        <v>3.35</v>
      </c>
      <c r="F207" s="116">
        <v>6.63</v>
      </c>
      <c r="G207">
        <v>1106</v>
      </c>
      <c r="H207" s="116"/>
      <c r="I207" s="116"/>
      <c r="L207" s="169">
        <v>45425</v>
      </c>
      <c r="M207" s="116">
        <v>700.55</v>
      </c>
      <c r="N207" s="116">
        <v>708.7</v>
      </c>
      <c r="O207" s="116">
        <v>664</v>
      </c>
      <c r="P207" s="116">
        <v>681</v>
      </c>
      <c r="Q207" s="116">
        <v>700.55</v>
      </c>
      <c r="R207">
        <v>379933</v>
      </c>
    </row>
    <row r="208" spans="1:18" x14ac:dyDescent="0.25">
      <c r="A208" s="169">
        <v>42313</v>
      </c>
      <c r="B208" s="116">
        <v>3.35</v>
      </c>
      <c r="C208" s="116">
        <v>3.2850000000000001</v>
      </c>
      <c r="D208" s="116">
        <v>3.2749999999999999</v>
      </c>
      <c r="E208" s="116">
        <v>3.2749999999999999</v>
      </c>
      <c r="F208" s="116">
        <v>6.57</v>
      </c>
      <c r="G208">
        <v>1800</v>
      </c>
      <c r="H208" s="116"/>
      <c r="I208" s="116"/>
      <c r="L208" s="169">
        <v>45426</v>
      </c>
      <c r="M208" s="116">
        <v>698.2</v>
      </c>
      <c r="N208" s="116">
        <v>709</v>
      </c>
      <c r="O208" s="116">
        <v>691.05</v>
      </c>
      <c r="P208" s="116">
        <v>697.6</v>
      </c>
      <c r="Q208" s="116">
        <v>698.2</v>
      </c>
      <c r="R208">
        <v>264445</v>
      </c>
    </row>
    <row r="209" spans="1:18" x14ac:dyDescent="0.25">
      <c r="A209" s="169">
        <v>42314</v>
      </c>
      <c r="B209" s="116">
        <v>3.73</v>
      </c>
      <c r="C209" s="116">
        <v>3.3</v>
      </c>
      <c r="D209" s="116">
        <v>3.29</v>
      </c>
      <c r="E209" s="116">
        <v>3.585</v>
      </c>
      <c r="F209" s="116">
        <v>6.6</v>
      </c>
      <c r="G209">
        <v>6816</v>
      </c>
      <c r="H209" s="116"/>
      <c r="I209" s="116"/>
      <c r="L209" s="169">
        <v>45427</v>
      </c>
      <c r="M209" s="116">
        <v>692.4</v>
      </c>
      <c r="N209" s="116">
        <v>706.7</v>
      </c>
      <c r="O209" s="116">
        <v>690.15</v>
      </c>
      <c r="P209" s="116">
        <v>698.8</v>
      </c>
      <c r="Q209" s="116">
        <v>692.4</v>
      </c>
      <c r="R209">
        <v>132961</v>
      </c>
    </row>
    <row r="210" spans="1:18" x14ac:dyDescent="0.25">
      <c r="A210" s="169">
        <v>42317</v>
      </c>
      <c r="B210" s="116">
        <v>3.2749999999999999</v>
      </c>
      <c r="C210" s="116">
        <v>3.27</v>
      </c>
      <c r="D210" s="116">
        <v>3.08</v>
      </c>
      <c r="E210" s="116">
        <v>3.25</v>
      </c>
      <c r="F210" s="116">
        <v>6.54</v>
      </c>
      <c r="G210">
        <v>5060</v>
      </c>
      <c r="H210" s="116"/>
      <c r="I210" s="116"/>
      <c r="L210" s="169">
        <v>45428</v>
      </c>
      <c r="M210" s="116">
        <v>683</v>
      </c>
      <c r="N210" s="116">
        <v>696.9</v>
      </c>
      <c r="O210" s="116">
        <v>681</v>
      </c>
      <c r="P210" s="116">
        <v>693.55</v>
      </c>
      <c r="Q210" s="116">
        <v>683</v>
      </c>
      <c r="R210">
        <v>138410</v>
      </c>
    </row>
    <row r="211" spans="1:18" x14ac:dyDescent="0.25">
      <c r="A211" s="169">
        <v>42318</v>
      </c>
      <c r="B211" s="116">
        <v>3.53</v>
      </c>
      <c r="C211" s="116">
        <v>3.48</v>
      </c>
      <c r="D211" s="116">
        <v>3.11</v>
      </c>
      <c r="E211" s="116">
        <v>3.11</v>
      </c>
      <c r="F211" s="116">
        <v>6.96</v>
      </c>
      <c r="G211">
        <v>1003</v>
      </c>
      <c r="H211" s="116"/>
      <c r="I211" s="116"/>
      <c r="L211" s="169">
        <v>45429</v>
      </c>
      <c r="M211" s="116">
        <v>711.3</v>
      </c>
      <c r="N211" s="116">
        <v>724</v>
      </c>
      <c r="O211" s="116">
        <v>690.05</v>
      </c>
      <c r="P211" s="116">
        <v>695</v>
      </c>
      <c r="Q211" s="116">
        <v>711.3</v>
      </c>
      <c r="R211">
        <v>488358</v>
      </c>
    </row>
    <row r="212" spans="1:18" x14ac:dyDescent="0.25">
      <c r="A212" s="169">
        <v>42319</v>
      </c>
      <c r="B212" s="116">
        <v>3.5</v>
      </c>
      <c r="C212" s="116">
        <v>3.5</v>
      </c>
      <c r="D212" s="116">
        <v>3.5</v>
      </c>
      <c r="E212" s="116">
        <v>3.5</v>
      </c>
      <c r="F212" s="116">
        <v>7</v>
      </c>
      <c r="G212">
        <v>300</v>
      </c>
      <c r="H212" s="116"/>
      <c r="I212" s="116"/>
      <c r="L212" s="169">
        <v>45430</v>
      </c>
      <c r="M212" s="116">
        <v>705.15</v>
      </c>
      <c r="N212" s="116">
        <v>717</v>
      </c>
      <c r="O212" s="116">
        <v>701.1</v>
      </c>
      <c r="P212" s="116">
        <v>714.5</v>
      </c>
      <c r="Q212" s="116">
        <v>705.15</v>
      </c>
      <c r="R212">
        <v>52741</v>
      </c>
    </row>
    <row r="213" spans="1:18" x14ac:dyDescent="0.25">
      <c r="A213" s="169">
        <v>42321</v>
      </c>
      <c r="B213" s="116">
        <v>3.35</v>
      </c>
      <c r="C213" s="116">
        <v>3.12</v>
      </c>
      <c r="D213" s="116">
        <v>3.0249999999999999</v>
      </c>
      <c r="E213" s="116">
        <v>3.0550000000000002</v>
      </c>
      <c r="F213" s="116">
        <v>6.24</v>
      </c>
      <c r="G213">
        <v>76129</v>
      </c>
      <c r="H213" s="116"/>
      <c r="I213" s="116"/>
      <c r="L213" s="169">
        <v>45433</v>
      </c>
      <c r="M213" s="116">
        <v>715.25</v>
      </c>
      <c r="N213" s="116">
        <v>729</v>
      </c>
      <c r="O213" s="116">
        <v>700.1</v>
      </c>
      <c r="P213" s="116">
        <v>705.15</v>
      </c>
      <c r="Q213" s="116">
        <v>715.25</v>
      </c>
      <c r="R213">
        <v>398826</v>
      </c>
    </row>
    <row r="214" spans="1:18" x14ac:dyDescent="0.25">
      <c r="A214" s="169">
        <v>42324</v>
      </c>
      <c r="B214" s="116">
        <v>3.29</v>
      </c>
      <c r="C214" s="116">
        <v>3.125</v>
      </c>
      <c r="D214" s="116">
        <v>3.05</v>
      </c>
      <c r="E214" s="116">
        <v>3.15</v>
      </c>
      <c r="F214" s="116">
        <v>6.25</v>
      </c>
      <c r="G214">
        <v>118422</v>
      </c>
      <c r="H214" s="116"/>
      <c r="I214" s="116"/>
      <c r="L214" s="169">
        <v>45434</v>
      </c>
      <c r="M214" s="116">
        <v>705.75</v>
      </c>
      <c r="N214" s="116">
        <v>722.1</v>
      </c>
      <c r="O214" s="116">
        <v>703.6</v>
      </c>
      <c r="P214" s="116">
        <v>719.9</v>
      </c>
      <c r="Q214" s="116">
        <v>705.75</v>
      </c>
      <c r="R214">
        <v>244925</v>
      </c>
    </row>
    <row r="215" spans="1:18" x14ac:dyDescent="0.25">
      <c r="A215" s="169">
        <v>42325</v>
      </c>
      <c r="B215" s="116">
        <v>3.3450000000000002</v>
      </c>
      <c r="C215" s="116">
        <v>3.125</v>
      </c>
      <c r="D215" s="116">
        <v>3.0550000000000002</v>
      </c>
      <c r="E215" s="116">
        <v>3.3450000000000002</v>
      </c>
      <c r="F215" s="116">
        <v>6.25</v>
      </c>
      <c r="G215">
        <v>2971</v>
      </c>
      <c r="H215" s="116"/>
      <c r="I215" s="116"/>
      <c r="L215" s="169">
        <v>45435</v>
      </c>
      <c r="M215" s="116">
        <v>705.25</v>
      </c>
      <c r="N215" s="116">
        <v>713.4</v>
      </c>
      <c r="O215" s="116">
        <v>699</v>
      </c>
      <c r="P215" s="116">
        <v>709.2</v>
      </c>
      <c r="Q215" s="116">
        <v>705.25</v>
      </c>
      <c r="R215">
        <v>176582</v>
      </c>
    </row>
    <row r="216" spans="1:18" x14ac:dyDescent="0.25">
      <c r="A216" s="169">
        <v>42326</v>
      </c>
      <c r="B216" s="116">
        <v>3.35</v>
      </c>
      <c r="C216" s="116">
        <v>3.05</v>
      </c>
      <c r="D216" s="116">
        <v>3.0150000000000001</v>
      </c>
      <c r="E216" s="116">
        <v>3.35</v>
      </c>
      <c r="F216" s="116">
        <v>6.1</v>
      </c>
      <c r="G216">
        <v>3414</v>
      </c>
      <c r="H216" s="116"/>
      <c r="I216" s="116"/>
      <c r="L216" s="169">
        <v>45436</v>
      </c>
      <c r="M216" s="116">
        <v>702.55</v>
      </c>
      <c r="N216" s="116">
        <v>711.1</v>
      </c>
      <c r="O216" s="116">
        <v>701</v>
      </c>
      <c r="P216" s="116">
        <v>706</v>
      </c>
      <c r="Q216" s="116">
        <v>702.55</v>
      </c>
      <c r="R216">
        <v>108624</v>
      </c>
    </row>
    <row r="217" spans="1:18" x14ac:dyDescent="0.25">
      <c r="A217" s="169">
        <v>42327</v>
      </c>
      <c r="B217" s="116">
        <v>3.125</v>
      </c>
      <c r="C217" s="116">
        <v>3.125</v>
      </c>
      <c r="D217" s="116">
        <v>3.0249999999999999</v>
      </c>
      <c r="E217" s="116">
        <v>3.03</v>
      </c>
      <c r="F217" s="116">
        <v>6.25</v>
      </c>
      <c r="G217">
        <v>13200</v>
      </c>
      <c r="H217" s="116"/>
      <c r="I217" s="116"/>
      <c r="L217" s="169">
        <v>45439</v>
      </c>
      <c r="M217" s="116">
        <v>695.7</v>
      </c>
      <c r="N217" s="116">
        <v>706.35</v>
      </c>
      <c r="O217" s="116">
        <v>694</v>
      </c>
      <c r="P217" s="116">
        <v>703.15</v>
      </c>
      <c r="Q217" s="116">
        <v>695.7</v>
      </c>
      <c r="R217">
        <v>167060</v>
      </c>
    </row>
    <row r="218" spans="1:18" x14ac:dyDescent="0.25">
      <c r="A218" s="169">
        <v>42328</v>
      </c>
      <c r="B218" s="116">
        <v>3.4950000000000001</v>
      </c>
      <c r="C218" s="116">
        <v>3.1</v>
      </c>
      <c r="D218" s="116">
        <v>3</v>
      </c>
      <c r="E218" s="116">
        <v>3.4950000000000001</v>
      </c>
      <c r="F218" s="116">
        <v>6.2</v>
      </c>
      <c r="G218">
        <v>36832</v>
      </c>
      <c r="H218" s="116"/>
      <c r="I218" s="116"/>
      <c r="L218" s="169">
        <v>45440</v>
      </c>
      <c r="M218" s="116">
        <v>690.9</v>
      </c>
      <c r="N218" s="116">
        <v>698.4</v>
      </c>
      <c r="O218" s="116">
        <v>683</v>
      </c>
      <c r="P218" s="116">
        <v>695.7</v>
      </c>
      <c r="Q218" s="116">
        <v>690.9</v>
      </c>
      <c r="R218">
        <v>243128</v>
      </c>
    </row>
    <row r="219" spans="1:18" x14ac:dyDescent="0.25">
      <c r="A219" s="169">
        <v>42331</v>
      </c>
      <c r="B219" s="116">
        <v>3.7</v>
      </c>
      <c r="C219" s="116">
        <v>3.5950000000000002</v>
      </c>
      <c r="D219" s="116">
        <v>3.105</v>
      </c>
      <c r="E219" s="116">
        <v>3.49</v>
      </c>
      <c r="F219" s="116">
        <v>7.19</v>
      </c>
      <c r="G219">
        <v>192281</v>
      </c>
      <c r="H219" s="116"/>
      <c r="I219" s="116"/>
      <c r="L219" s="169">
        <v>45441</v>
      </c>
      <c r="M219" s="116">
        <v>691.55</v>
      </c>
      <c r="N219" s="116">
        <v>695</v>
      </c>
      <c r="O219" s="116">
        <v>683.9</v>
      </c>
      <c r="P219" s="116">
        <v>692</v>
      </c>
      <c r="Q219" s="116">
        <v>691.55</v>
      </c>
      <c r="R219">
        <v>139980</v>
      </c>
    </row>
    <row r="220" spans="1:18" x14ac:dyDescent="0.25">
      <c r="A220" s="169">
        <v>42332</v>
      </c>
      <c r="B220" s="116">
        <v>3.99</v>
      </c>
      <c r="C220" s="116">
        <v>3.92</v>
      </c>
      <c r="D220" s="116">
        <v>3.65</v>
      </c>
      <c r="E220" s="116">
        <v>3.74</v>
      </c>
      <c r="F220" s="116">
        <v>7.84</v>
      </c>
      <c r="G220">
        <v>32146</v>
      </c>
      <c r="H220" s="116"/>
      <c r="I220" s="116"/>
      <c r="L220" s="169">
        <v>45442</v>
      </c>
      <c r="M220" s="116">
        <v>685.25</v>
      </c>
      <c r="N220" s="116">
        <v>691.85</v>
      </c>
      <c r="O220" s="116">
        <v>683.55</v>
      </c>
      <c r="P220" s="116">
        <v>691.55</v>
      </c>
      <c r="Q220" s="116">
        <v>685.25</v>
      </c>
      <c r="R220">
        <v>287633</v>
      </c>
    </row>
    <row r="221" spans="1:18" x14ac:dyDescent="0.25">
      <c r="A221" s="169">
        <v>42334</v>
      </c>
      <c r="B221" s="116">
        <v>4.6950000000000003</v>
      </c>
      <c r="C221" s="116">
        <v>3.88</v>
      </c>
      <c r="D221" s="116">
        <v>3.68</v>
      </c>
      <c r="E221" s="116">
        <v>4.6950000000000003</v>
      </c>
      <c r="F221" s="116">
        <v>7.76</v>
      </c>
      <c r="G221">
        <v>49066</v>
      </c>
      <c r="H221" s="116"/>
      <c r="I221" s="116"/>
      <c r="L221" s="169">
        <v>45443</v>
      </c>
      <c r="M221" s="116">
        <v>680.3</v>
      </c>
      <c r="N221" s="116">
        <v>687.15</v>
      </c>
      <c r="O221" s="116">
        <v>671</v>
      </c>
      <c r="P221" s="116">
        <v>684</v>
      </c>
      <c r="Q221" s="116">
        <v>680.3</v>
      </c>
      <c r="R221">
        <v>146503</v>
      </c>
    </row>
    <row r="222" spans="1:18" x14ac:dyDescent="0.25">
      <c r="A222" s="169">
        <v>42335</v>
      </c>
      <c r="B222" s="116">
        <v>4</v>
      </c>
      <c r="C222" s="116">
        <v>3.7549999999999999</v>
      </c>
      <c r="D222" s="116">
        <v>3.7549999999999999</v>
      </c>
      <c r="E222" s="116">
        <v>4</v>
      </c>
      <c r="F222" s="116">
        <v>7.51</v>
      </c>
      <c r="G222">
        <v>6699</v>
      </c>
      <c r="H222" s="116"/>
      <c r="I222" s="116"/>
      <c r="L222" s="169">
        <v>45446</v>
      </c>
      <c r="M222" s="116">
        <v>692.4</v>
      </c>
      <c r="N222" s="116">
        <v>728</v>
      </c>
      <c r="O222" s="116">
        <v>683.15</v>
      </c>
      <c r="P222" s="116">
        <v>725</v>
      </c>
      <c r="Q222" s="116">
        <v>692.4</v>
      </c>
      <c r="R222">
        <v>350160</v>
      </c>
    </row>
    <row r="223" spans="1:18" x14ac:dyDescent="0.25">
      <c r="A223" s="169">
        <v>42338</v>
      </c>
      <c r="B223" s="116">
        <v>3.95</v>
      </c>
      <c r="C223" s="116">
        <v>3.835</v>
      </c>
      <c r="D223" s="116">
        <v>3.8</v>
      </c>
      <c r="E223" s="116">
        <v>3.95</v>
      </c>
      <c r="F223" s="116">
        <v>7.67</v>
      </c>
      <c r="G223">
        <v>15807</v>
      </c>
      <c r="H223" s="116"/>
      <c r="I223" s="116"/>
      <c r="L223" s="169">
        <v>45447</v>
      </c>
      <c r="M223" s="116">
        <v>630.35</v>
      </c>
      <c r="N223" s="116">
        <v>693.55</v>
      </c>
      <c r="O223" s="116">
        <v>592</v>
      </c>
      <c r="P223" s="116">
        <v>693.55</v>
      </c>
      <c r="Q223" s="116">
        <v>630.35</v>
      </c>
      <c r="R223">
        <v>644929</v>
      </c>
    </row>
    <row r="224" spans="1:18" x14ac:dyDescent="0.25">
      <c r="A224" s="169">
        <v>42339</v>
      </c>
      <c r="B224" s="116">
        <v>4</v>
      </c>
      <c r="C224" s="116">
        <v>3.9049999999999998</v>
      </c>
      <c r="D224" s="116">
        <v>3.75</v>
      </c>
      <c r="E224" s="116">
        <v>3.875</v>
      </c>
      <c r="F224" s="116">
        <v>7.81</v>
      </c>
      <c r="G224">
        <v>57740</v>
      </c>
      <c r="H224" s="116"/>
      <c r="I224" s="116"/>
      <c r="L224" s="169">
        <v>45448</v>
      </c>
      <c r="M224" s="116">
        <v>648.9</v>
      </c>
      <c r="N224" s="116">
        <v>657.1</v>
      </c>
      <c r="O224" s="116">
        <v>602.6</v>
      </c>
      <c r="P224" s="116">
        <v>657.1</v>
      </c>
      <c r="Q224" s="116">
        <v>648.9</v>
      </c>
      <c r="R224">
        <v>215850</v>
      </c>
    </row>
    <row r="225" spans="1:18" x14ac:dyDescent="0.25">
      <c r="A225" s="169">
        <v>42340</v>
      </c>
      <c r="B225" s="116">
        <v>4.0999999999999996</v>
      </c>
      <c r="C225" s="116">
        <v>3.7050000000000001</v>
      </c>
      <c r="D225" s="116">
        <v>3.7</v>
      </c>
      <c r="E225" s="116">
        <v>3.9049999999999998</v>
      </c>
      <c r="F225" s="116">
        <v>7.41</v>
      </c>
      <c r="G225">
        <v>18628</v>
      </c>
      <c r="H225" s="116"/>
      <c r="I225" s="116"/>
      <c r="L225" s="169">
        <v>45449</v>
      </c>
      <c r="M225" s="116">
        <v>700.6</v>
      </c>
      <c r="N225" s="116">
        <v>723.85</v>
      </c>
      <c r="O225" s="116">
        <v>655.65</v>
      </c>
      <c r="P225" s="116">
        <v>664.9</v>
      </c>
      <c r="Q225" s="116">
        <v>700.6</v>
      </c>
      <c r="R225">
        <v>428334</v>
      </c>
    </row>
    <row r="226" spans="1:18" x14ac:dyDescent="0.25">
      <c r="A226" s="169">
        <v>42341</v>
      </c>
      <c r="B226" s="116">
        <v>3.9649999999999999</v>
      </c>
      <c r="C226" s="116">
        <v>3.3450000000000002</v>
      </c>
      <c r="D226" s="116">
        <v>3.2749999999999999</v>
      </c>
      <c r="E226" s="116">
        <v>3.9649999999999999</v>
      </c>
      <c r="F226" s="116">
        <v>6.69</v>
      </c>
      <c r="G226">
        <v>40770</v>
      </c>
      <c r="H226" s="116"/>
      <c r="I226" s="116"/>
      <c r="L226" s="169">
        <v>45450</v>
      </c>
      <c r="M226" s="116">
        <v>706.4</v>
      </c>
      <c r="N226" s="116">
        <v>710</v>
      </c>
      <c r="O226" s="116">
        <v>692.3</v>
      </c>
      <c r="P226" s="116">
        <v>692.4</v>
      </c>
      <c r="Q226" s="116">
        <v>706.4</v>
      </c>
      <c r="R226">
        <v>191292</v>
      </c>
    </row>
    <row r="227" spans="1:18" x14ac:dyDescent="0.25">
      <c r="A227" s="169">
        <v>42342</v>
      </c>
      <c r="B227" s="116">
        <v>3.59</v>
      </c>
      <c r="C227" s="116">
        <v>3.33</v>
      </c>
      <c r="D227" s="116">
        <v>3.2149999999999999</v>
      </c>
      <c r="E227" s="116">
        <v>3.4950000000000001</v>
      </c>
      <c r="F227" s="116">
        <v>6.66</v>
      </c>
      <c r="G227">
        <v>18410</v>
      </c>
      <c r="H227" s="116"/>
      <c r="I227" s="116"/>
      <c r="L227" s="169">
        <v>45453</v>
      </c>
      <c r="M227" s="116">
        <v>718.65</v>
      </c>
      <c r="N227" s="116">
        <v>749</v>
      </c>
      <c r="O227" s="116">
        <v>709.8</v>
      </c>
      <c r="P227" s="116">
        <v>713.85</v>
      </c>
      <c r="Q227" s="116">
        <v>718.65</v>
      </c>
      <c r="R227">
        <v>607588</v>
      </c>
    </row>
    <row r="228" spans="1:18" x14ac:dyDescent="0.25">
      <c r="A228" s="169">
        <v>42345</v>
      </c>
      <c r="B228" s="116">
        <v>3.4950000000000001</v>
      </c>
      <c r="C228" s="116">
        <v>3.4950000000000001</v>
      </c>
      <c r="D228" s="116">
        <v>3.375</v>
      </c>
      <c r="E228" s="116">
        <v>3.375</v>
      </c>
      <c r="F228" s="116">
        <v>6.99</v>
      </c>
      <c r="G228">
        <v>600</v>
      </c>
      <c r="H228" s="116"/>
      <c r="I228" s="116"/>
      <c r="L228" s="169">
        <v>45454</v>
      </c>
      <c r="M228" s="116">
        <v>723.9</v>
      </c>
      <c r="N228" s="116">
        <v>735</v>
      </c>
      <c r="O228" s="116">
        <v>710.4</v>
      </c>
      <c r="P228" s="116">
        <v>722.4</v>
      </c>
      <c r="Q228" s="116">
        <v>723.9</v>
      </c>
      <c r="R228">
        <v>233599</v>
      </c>
    </row>
    <row r="229" spans="1:18" x14ac:dyDescent="0.25">
      <c r="A229" s="169">
        <v>42346</v>
      </c>
      <c r="B229" s="116">
        <v>3.48</v>
      </c>
      <c r="C229" s="116">
        <v>3.27</v>
      </c>
      <c r="D229" s="116">
        <v>3.27</v>
      </c>
      <c r="E229" s="116">
        <v>3.48</v>
      </c>
      <c r="F229" s="116">
        <v>6.54</v>
      </c>
      <c r="G229">
        <v>3301</v>
      </c>
      <c r="H229" s="116"/>
      <c r="I229" s="116"/>
      <c r="L229" s="169">
        <v>45455</v>
      </c>
      <c r="M229" s="116">
        <v>724.5</v>
      </c>
      <c r="N229" s="116">
        <v>736.5</v>
      </c>
      <c r="O229" s="116">
        <v>721.95</v>
      </c>
      <c r="P229" s="116">
        <v>723</v>
      </c>
      <c r="Q229" s="116">
        <v>724.5</v>
      </c>
      <c r="R229">
        <v>171239</v>
      </c>
    </row>
    <row r="230" spans="1:18" x14ac:dyDescent="0.25">
      <c r="A230" s="169">
        <v>42347</v>
      </c>
      <c r="B230" s="116">
        <v>3.47</v>
      </c>
      <c r="C230" s="116">
        <v>3.4550000000000001</v>
      </c>
      <c r="D230" s="116">
        <v>3.2</v>
      </c>
      <c r="E230" s="116">
        <v>3.27</v>
      </c>
      <c r="F230" s="116">
        <v>6.91</v>
      </c>
      <c r="G230">
        <v>3300</v>
      </c>
      <c r="H230" s="116"/>
      <c r="I230" s="116"/>
      <c r="L230" s="169">
        <v>45456</v>
      </c>
      <c r="M230" s="116">
        <v>720.6</v>
      </c>
      <c r="N230" s="116">
        <v>732.95</v>
      </c>
      <c r="O230" s="116">
        <v>716.6</v>
      </c>
      <c r="P230" s="116">
        <v>722</v>
      </c>
      <c r="Q230" s="116">
        <v>720.6</v>
      </c>
      <c r="R230">
        <v>104288</v>
      </c>
    </row>
    <row r="231" spans="1:18" x14ac:dyDescent="0.25">
      <c r="A231" s="169">
        <v>42348</v>
      </c>
      <c r="B231" s="116">
        <v>3.4350000000000001</v>
      </c>
      <c r="C231" s="116">
        <v>3.4049999999999998</v>
      </c>
      <c r="D231" s="116">
        <v>3.2</v>
      </c>
      <c r="E231" s="116">
        <v>3.2050000000000001</v>
      </c>
      <c r="F231" s="116">
        <v>6.81</v>
      </c>
      <c r="G231">
        <v>6350</v>
      </c>
      <c r="H231" s="116"/>
      <c r="I231" s="116"/>
      <c r="L231" s="169">
        <v>45457</v>
      </c>
      <c r="M231" s="116">
        <v>723.4</v>
      </c>
      <c r="N231" s="116">
        <v>730</v>
      </c>
      <c r="O231" s="116">
        <v>718</v>
      </c>
      <c r="P231" s="116">
        <v>723.05</v>
      </c>
      <c r="Q231" s="116">
        <v>723.4</v>
      </c>
      <c r="R231">
        <v>169837</v>
      </c>
    </row>
    <row r="232" spans="1:18" x14ac:dyDescent="0.25">
      <c r="A232" s="169">
        <v>42349</v>
      </c>
      <c r="B232" s="116">
        <v>3.62</v>
      </c>
      <c r="C232" s="116">
        <v>3.2850000000000001</v>
      </c>
      <c r="D232" s="116">
        <v>3.2850000000000001</v>
      </c>
      <c r="E232" s="116">
        <v>3.45</v>
      </c>
      <c r="F232" s="116">
        <v>6.57</v>
      </c>
      <c r="G232">
        <v>2835</v>
      </c>
      <c r="H232" s="116"/>
      <c r="I232" s="116"/>
      <c r="L232" s="169">
        <v>45461</v>
      </c>
      <c r="M232" s="116">
        <v>747.7</v>
      </c>
      <c r="N232" s="116">
        <v>774.9</v>
      </c>
      <c r="O232" s="116">
        <v>728</v>
      </c>
      <c r="P232" s="116">
        <v>733</v>
      </c>
      <c r="Q232" s="116">
        <v>747.7</v>
      </c>
      <c r="R232">
        <v>1379684</v>
      </c>
    </row>
    <row r="233" spans="1:18" x14ac:dyDescent="0.25">
      <c r="A233" s="169">
        <v>42352</v>
      </c>
      <c r="B233" s="116">
        <v>3.5</v>
      </c>
      <c r="C233" s="116">
        <v>3.47</v>
      </c>
      <c r="D233" s="116">
        <v>3.2749999999999999</v>
      </c>
      <c r="E233" s="116">
        <v>3.5</v>
      </c>
      <c r="F233" s="116">
        <v>6.94</v>
      </c>
      <c r="G233">
        <v>1556</v>
      </c>
      <c r="H233" s="116"/>
      <c r="I233" s="116"/>
      <c r="L233" s="169">
        <v>45462</v>
      </c>
      <c r="M233" s="116">
        <v>716.95</v>
      </c>
      <c r="N233" s="116">
        <v>754.3</v>
      </c>
      <c r="O233" s="116">
        <v>696.55</v>
      </c>
      <c r="P233" s="116">
        <v>750.15</v>
      </c>
      <c r="Q233" s="116">
        <v>716.95</v>
      </c>
      <c r="R233">
        <v>527335</v>
      </c>
    </row>
    <row r="234" spans="1:18" x14ac:dyDescent="0.25">
      <c r="A234" s="169">
        <v>42353</v>
      </c>
      <c r="B234" s="116">
        <v>3.46</v>
      </c>
      <c r="C234" s="116">
        <v>3.46</v>
      </c>
      <c r="D234" s="116">
        <v>3.46</v>
      </c>
      <c r="E234" s="116">
        <v>3.46</v>
      </c>
      <c r="F234" s="116">
        <v>6.92</v>
      </c>
      <c r="G234">
        <v>1000</v>
      </c>
      <c r="H234" s="116"/>
      <c r="I234" s="116"/>
      <c r="L234" s="169">
        <v>45463</v>
      </c>
      <c r="M234" s="116">
        <v>735.2</v>
      </c>
      <c r="N234" s="116">
        <v>740</v>
      </c>
      <c r="O234" s="116">
        <v>719.1</v>
      </c>
      <c r="P234" s="116">
        <v>723.9</v>
      </c>
      <c r="Q234" s="116">
        <v>735.2</v>
      </c>
      <c r="R234">
        <v>278833</v>
      </c>
    </row>
    <row r="235" spans="1:18" x14ac:dyDescent="0.25">
      <c r="A235" s="169">
        <v>42354</v>
      </c>
      <c r="B235" s="116">
        <v>3.4950000000000001</v>
      </c>
      <c r="C235" s="116">
        <v>3.27</v>
      </c>
      <c r="D235" s="116">
        <v>3.2</v>
      </c>
      <c r="E235" s="116">
        <v>3.335</v>
      </c>
      <c r="F235" s="116">
        <v>6.54</v>
      </c>
      <c r="G235">
        <v>5931</v>
      </c>
      <c r="H235" s="116"/>
      <c r="I235" s="116"/>
      <c r="L235" s="169">
        <v>45464</v>
      </c>
      <c r="M235" s="116">
        <v>734.65</v>
      </c>
      <c r="N235" s="116">
        <v>747.9</v>
      </c>
      <c r="O235" s="116">
        <v>729.9</v>
      </c>
      <c r="P235" s="116">
        <v>739.8</v>
      </c>
      <c r="Q235" s="116">
        <v>734.65</v>
      </c>
      <c r="R235">
        <v>257874</v>
      </c>
    </row>
    <row r="236" spans="1:18" x14ac:dyDescent="0.25">
      <c r="A236" s="169">
        <v>42355</v>
      </c>
      <c r="B236" s="116">
        <v>3.4950000000000001</v>
      </c>
      <c r="C236" s="116">
        <v>3.4950000000000001</v>
      </c>
      <c r="D236" s="116">
        <v>3.31</v>
      </c>
      <c r="E236" s="116">
        <v>3.4950000000000001</v>
      </c>
      <c r="F236" s="116">
        <v>6.99</v>
      </c>
      <c r="G236">
        <v>3535</v>
      </c>
      <c r="H236" s="116"/>
      <c r="I236" s="116"/>
      <c r="L236" s="169">
        <v>45467</v>
      </c>
      <c r="M236" s="116">
        <v>728.6</v>
      </c>
      <c r="N236" s="116">
        <v>744.8</v>
      </c>
      <c r="O236" s="116">
        <v>725.1</v>
      </c>
      <c r="P236" s="116">
        <v>735</v>
      </c>
      <c r="Q236" s="116">
        <v>728.6</v>
      </c>
      <c r="R236">
        <v>627781</v>
      </c>
    </row>
    <row r="237" spans="1:18" x14ac:dyDescent="0.25">
      <c r="A237" s="169">
        <v>42356</v>
      </c>
      <c r="B237" s="116">
        <v>3.57</v>
      </c>
      <c r="C237" s="116">
        <v>3.4449999999999998</v>
      </c>
      <c r="D237" s="116">
        <v>3.3250000000000002</v>
      </c>
      <c r="E237" s="116">
        <v>3.5</v>
      </c>
      <c r="F237" s="116">
        <v>6.89</v>
      </c>
      <c r="G237">
        <v>1500</v>
      </c>
      <c r="H237" s="116"/>
      <c r="I237" s="116"/>
      <c r="L237" s="169">
        <v>45468</v>
      </c>
      <c r="M237" s="116">
        <v>726.15</v>
      </c>
      <c r="N237" s="116">
        <v>747.5</v>
      </c>
      <c r="O237" s="116">
        <v>724</v>
      </c>
      <c r="P237" s="116">
        <v>729</v>
      </c>
      <c r="Q237" s="116">
        <v>726.15</v>
      </c>
      <c r="R237">
        <v>764356</v>
      </c>
    </row>
    <row r="238" spans="1:18" x14ac:dyDescent="0.25">
      <c r="A238" s="169">
        <v>42359</v>
      </c>
      <c r="B238" s="116">
        <v>3.54</v>
      </c>
      <c r="C238" s="116">
        <v>3.3849999999999998</v>
      </c>
      <c r="D238" s="116">
        <v>3.29</v>
      </c>
      <c r="E238" s="116">
        <v>3.4449999999999998</v>
      </c>
      <c r="F238" s="116">
        <v>6.77</v>
      </c>
      <c r="G238">
        <v>3947</v>
      </c>
      <c r="H238" s="116"/>
      <c r="I238" s="116"/>
      <c r="L238" s="169">
        <v>45469</v>
      </c>
      <c r="M238" s="116">
        <v>728.15</v>
      </c>
      <c r="N238" s="116">
        <v>740.55</v>
      </c>
      <c r="O238" s="116">
        <v>726</v>
      </c>
      <c r="P238" s="116">
        <v>729.8</v>
      </c>
      <c r="Q238" s="116">
        <v>728.15</v>
      </c>
      <c r="R238">
        <v>512214</v>
      </c>
    </row>
    <row r="239" spans="1:18" x14ac:dyDescent="0.25">
      <c r="A239" s="169">
        <v>42360</v>
      </c>
      <c r="B239" s="116">
        <v>3.45</v>
      </c>
      <c r="C239" s="116">
        <v>3.45</v>
      </c>
      <c r="D239" s="116">
        <v>3.3250000000000002</v>
      </c>
      <c r="E239" s="116">
        <v>3.3250000000000002</v>
      </c>
      <c r="F239" s="116">
        <v>6.9</v>
      </c>
      <c r="G239">
        <v>7959</v>
      </c>
      <c r="H239" s="116"/>
      <c r="I239" s="116"/>
      <c r="L239" s="169">
        <v>45470</v>
      </c>
      <c r="M239" s="116">
        <v>728.35</v>
      </c>
      <c r="N239" s="116">
        <v>744.9</v>
      </c>
      <c r="O239" s="116">
        <v>726</v>
      </c>
      <c r="P239" s="116">
        <v>735.5</v>
      </c>
      <c r="Q239" s="116">
        <v>728.35</v>
      </c>
      <c r="R239">
        <v>976109</v>
      </c>
    </row>
    <row r="240" spans="1:18" x14ac:dyDescent="0.25">
      <c r="A240" s="169">
        <v>42361</v>
      </c>
      <c r="B240" s="116">
        <v>3.7</v>
      </c>
      <c r="C240" s="116">
        <v>3.6</v>
      </c>
      <c r="D240" s="116">
        <v>3.5</v>
      </c>
      <c r="E240" s="116">
        <v>3.6</v>
      </c>
      <c r="F240" s="116">
        <v>7.2</v>
      </c>
      <c r="G240">
        <v>13796</v>
      </c>
      <c r="H240" s="116"/>
      <c r="I240" s="116"/>
      <c r="L240" s="169">
        <v>45471</v>
      </c>
      <c r="M240" s="116">
        <v>732.2</v>
      </c>
      <c r="N240" s="116">
        <v>742.95</v>
      </c>
      <c r="O240" s="116">
        <v>728.3</v>
      </c>
      <c r="P240" s="116">
        <v>736.85</v>
      </c>
      <c r="Q240" s="116">
        <v>732.2</v>
      </c>
      <c r="R240">
        <v>354056</v>
      </c>
    </row>
    <row r="241" spans="1:18" x14ac:dyDescent="0.25">
      <c r="A241" s="169">
        <v>42362</v>
      </c>
      <c r="B241" s="116">
        <v>3.9750000000000001</v>
      </c>
      <c r="C241" s="116">
        <v>3.81</v>
      </c>
      <c r="D241" s="116">
        <v>3.5</v>
      </c>
      <c r="E241" s="116">
        <v>3.5</v>
      </c>
      <c r="F241" s="116">
        <v>7.62</v>
      </c>
      <c r="G241">
        <v>10816</v>
      </c>
      <c r="H241" s="116"/>
      <c r="I241" s="116"/>
      <c r="L241" s="169">
        <v>45474</v>
      </c>
      <c r="M241" s="116">
        <v>732.85</v>
      </c>
      <c r="N241" s="116">
        <v>760</v>
      </c>
      <c r="O241" s="116">
        <v>728.05</v>
      </c>
      <c r="P241" s="116">
        <v>739</v>
      </c>
      <c r="Q241" s="116">
        <v>732.85</v>
      </c>
      <c r="R241">
        <v>1506547</v>
      </c>
    </row>
    <row r="242" spans="1:18" x14ac:dyDescent="0.25">
      <c r="A242" s="169">
        <v>42366</v>
      </c>
      <c r="B242" s="116">
        <v>3.8</v>
      </c>
      <c r="C242" s="116">
        <v>3.8</v>
      </c>
      <c r="D242" s="116">
        <v>3.8</v>
      </c>
      <c r="E242" s="116">
        <v>3.8</v>
      </c>
      <c r="F242" s="116">
        <v>7.6</v>
      </c>
      <c r="G242">
        <v>7500</v>
      </c>
      <c r="H242" s="116"/>
      <c r="I242" s="116"/>
      <c r="L242" s="169">
        <v>45475</v>
      </c>
      <c r="M242" s="116">
        <v>730.05</v>
      </c>
      <c r="N242" s="116">
        <v>748.75</v>
      </c>
      <c r="O242" s="116">
        <v>726.4</v>
      </c>
      <c r="P242" s="116">
        <v>739.6</v>
      </c>
      <c r="Q242" s="116">
        <v>730.05</v>
      </c>
      <c r="R242">
        <v>393789</v>
      </c>
    </row>
    <row r="243" spans="1:18" x14ac:dyDescent="0.25">
      <c r="A243" s="169">
        <v>42367</v>
      </c>
      <c r="B243" s="116">
        <v>3.95</v>
      </c>
      <c r="C243" s="116">
        <v>3.91</v>
      </c>
      <c r="D243" s="116">
        <v>3.7050000000000001</v>
      </c>
      <c r="E243" s="116">
        <v>3.9249999999999998</v>
      </c>
      <c r="F243" s="116">
        <v>7.82</v>
      </c>
      <c r="G243">
        <v>9527</v>
      </c>
      <c r="H243" s="116"/>
      <c r="I243" s="116"/>
      <c r="L243" s="169">
        <v>45476</v>
      </c>
      <c r="M243" s="116">
        <v>738.6</v>
      </c>
      <c r="N243" s="116">
        <v>747.9</v>
      </c>
      <c r="O243" s="116">
        <v>729.45</v>
      </c>
      <c r="P243" s="116">
        <v>740</v>
      </c>
      <c r="Q243" s="116">
        <v>738.6</v>
      </c>
      <c r="R243">
        <v>1115312</v>
      </c>
    </row>
    <row r="244" spans="1:18" x14ac:dyDescent="0.25">
      <c r="A244" s="169">
        <v>42368</v>
      </c>
      <c r="B244" s="116">
        <v>3.9750000000000001</v>
      </c>
      <c r="C244" s="116">
        <v>3.8050000000000002</v>
      </c>
      <c r="D244" s="116">
        <v>3.8</v>
      </c>
      <c r="E244" s="116">
        <v>3.9</v>
      </c>
      <c r="F244" s="116">
        <v>7.61</v>
      </c>
      <c r="G244">
        <v>3800</v>
      </c>
      <c r="H244" s="116"/>
      <c r="I244" s="116"/>
      <c r="L244" s="169">
        <v>45477</v>
      </c>
      <c r="M244" s="116">
        <v>775.1</v>
      </c>
      <c r="N244" s="116">
        <v>786</v>
      </c>
      <c r="O244" s="116">
        <v>745</v>
      </c>
      <c r="P244" s="116">
        <v>745</v>
      </c>
      <c r="Q244" s="116">
        <v>775.1</v>
      </c>
      <c r="R244">
        <v>4230308</v>
      </c>
    </row>
    <row r="245" spans="1:18" x14ac:dyDescent="0.25">
      <c r="A245" s="169">
        <v>42369</v>
      </c>
      <c r="B245" s="116">
        <v>4</v>
      </c>
      <c r="C245" s="116">
        <v>3.75</v>
      </c>
      <c r="D245" s="116">
        <v>3.75</v>
      </c>
      <c r="E245" s="116">
        <v>4</v>
      </c>
      <c r="F245" s="116">
        <v>7.5</v>
      </c>
      <c r="G245">
        <v>1595</v>
      </c>
      <c r="H245" s="116"/>
      <c r="I245" s="116"/>
      <c r="L245" s="169">
        <v>45478</v>
      </c>
      <c r="M245" s="116">
        <v>763.35</v>
      </c>
      <c r="N245" s="116">
        <v>779.2</v>
      </c>
      <c r="O245" s="116">
        <v>757</v>
      </c>
      <c r="P245" s="116">
        <v>779</v>
      </c>
      <c r="Q245" s="116">
        <v>763.35</v>
      </c>
      <c r="R245">
        <v>1066239</v>
      </c>
    </row>
    <row r="246" spans="1:18" x14ac:dyDescent="0.25">
      <c r="A246" s="169">
        <v>42370</v>
      </c>
      <c r="B246" s="116">
        <v>3.9449999999999998</v>
      </c>
      <c r="C246" s="116">
        <v>3.7749999999999999</v>
      </c>
      <c r="D246" s="116">
        <v>3.7749999999999999</v>
      </c>
      <c r="E246" s="116">
        <v>3.9449999999999998</v>
      </c>
      <c r="F246" s="116">
        <v>7.55</v>
      </c>
      <c r="G246">
        <v>10770</v>
      </c>
      <c r="H246" s="116"/>
      <c r="I246" s="116"/>
      <c r="L246" s="169">
        <v>45481</v>
      </c>
      <c r="M246" s="116">
        <v>754.2</v>
      </c>
      <c r="N246" s="116">
        <v>770</v>
      </c>
      <c r="O246" s="116">
        <v>745.1</v>
      </c>
      <c r="P246" s="116">
        <v>760</v>
      </c>
      <c r="Q246" s="116">
        <v>754.2</v>
      </c>
      <c r="R246">
        <v>575114</v>
      </c>
    </row>
    <row r="247" spans="1:18" x14ac:dyDescent="0.25">
      <c r="A247" s="169">
        <v>42373</v>
      </c>
      <c r="B247" s="116">
        <v>3.97</v>
      </c>
      <c r="C247" s="116">
        <v>3.7850000000000001</v>
      </c>
      <c r="D247" s="116">
        <v>3.7850000000000001</v>
      </c>
      <c r="E247" s="116">
        <v>3.97</v>
      </c>
      <c r="F247" s="116">
        <v>7.57</v>
      </c>
      <c r="G247">
        <v>11125</v>
      </c>
      <c r="H247" s="116"/>
      <c r="I247" s="116"/>
      <c r="L247" s="169">
        <v>45482</v>
      </c>
      <c r="M247" s="116">
        <v>759.2</v>
      </c>
      <c r="N247" s="116">
        <v>777.95</v>
      </c>
      <c r="O247" s="116">
        <v>746.1</v>
      </c>
      <c r="P247" s="116">
        <v>746.1</v>
      </c>
      <c r="Q247" s="116">
        <v>759.2</v>
      </c>
      <c r="R247">
        <v>660860</v>
      </c>
    </row>
    <row r="248" spans="1:18" x14ac:dyDescent="0.25">
      <c r="A248" s="169">
        <v>42374</v>
      </c>
      <c r="B248" s="116">
        <v>4.54</v>
      </c>
      <c r="C248" s="116">
        <v>4.54</v>
      </c>
      <c r="D248" s="116">
        <v>3.63</v>
      </c>
      <c r="E248" s="116">
        <v>3.63</v>
      </c>
      <c r="F248" s="116">
        <v>9.08</v>
      </c>
      <c r="G248">
        <v>89826</v>
      </c>
      <c r="H248" s="116"/>
      <c r="I248" s="116"/>
      <c r="L248" s="169">
        <v>45483</v>
      </c>
      <c r="M248" s="116">
        <v>754.45</v>
      </c>
      <c r="N248" s="116">
        <v>774.9</v>
      </c>
      <c r="O248" s="116">
        <v>741</v>
      </c>
      <c r="P248" s="116">
        <v>774</v>
      </c>
      <c r="Q248" s="116">
        <v>754.45</v>
      </c>
      <c r="R248">
        <v>735985</v>
      </c>
    </row>
    <row r="249" spans="1:18" x14ac:dyDescent="0.25">
      <c r="A249" s="169">
        <v>42375</v>
      </c>
      <c r="B249" s="116">
        <v>5.4450000000000003</v>
      </c>
      <c r="C249" s="116">
        <v>5.0199999999999996</v>
      </c>
      <c r="D249" s="116">
        <v>4.8</v>
      </c>
      <c r="E249" s="116">
        <v>5.04</v>
      </c>
      <c r="F249" s="116">
        <v>10.039999999999999</v>
      </c>
      <c r="G249">
        <v>237075</v>
      </c>
      <c r="H249" s="116"/>
      <c r="I249" s="116"/>
      <c r="L249" s="169">
        <v>45484</v>
      </c>
      <c r="M249" s="116">
        <v>745.25</v>
      </c>
      <c r="N249" s="116">
        <v>760.5</v>
      </c>
      <c r="O249" s="116">
        <v>743.05</v>
      </c>
      <c r="P249" s="116">
        <v>759.8</v>
      </c>
      <c r="Q249" s="116">
        <v>745.25</v>
      </c>
      <c r="R249">
        <v>301836</v>
      </c>
    </row>
    <row r="250" spans="1:18" x14ac:dyDescent="0.25">
      <c r="A250" s="169">
        <v>42376</v>
      </c>
      <c r="B250" s="116">
        <v>5</v>
      </c>
      <c r="C250" s="116">
        <v>4.5199999999999996</v>
      </c>
      <c r="D250" s="116">
        <v>4.4000000000000004</v>
      </c>
      <c r="E250" s="116">
        <v>5</v>
      </c>
      <c r="F250" s="116">
        <v>9.0399999999999991</v>
      </c>
      <c r="G250">
        <v>50288</v>
      </c>
      <c r="H250" s="116"/>
      <c r="I250" s="116"/>
      <c r="L250" s="169">
        <v>45485</v>
      </c>
      <c r="M250" s="116">
        <v>747.4</v>
      </c>
      <c r="N250" s="116">
        <v>763.75</v>
      </c>
      <c r="O250" s="116">
        <v>721.15</v>
      </c>
      <c r="P250" s="116">
        <v>745.25</v>
      </c>
      <c r="Q250" s="116">
        <v>747.4</v>
      </c>
      <c r="R250">
        <v>2691618</v>
      </c>
    </row>
    <row r="251" spans="1:18" x14ac:dyDescent="0.25">
      <c r="A251" s="169">
        <v>42377</v>
      </c>
      <c r="B251" s="116">
        <v>4.7</v>
      </c>
      <c r="C251" s="116">
        <v>4.625</v>
      </c>
      <c r="D251" s="116">
        <v>4.4000000000000004</v>
      </c>
      <c r="E251" s="116">
        <v>4.5</v>
      </c>
      <c r="F251" s="116">
        <v>9.25</v>
      </c>
      <c r="G251">
        <v>7187</v>
      </c>
      <c r="H251" s="116"/>
      <c r="I251" s="116"/>
      <c r="L251" s="169">
        <v>45488</v>
      </c>
      <c r="M251" s="116">
        <v>739.75</v>
      </c>
      <c r="N251" s="116">
        <v>763</v>
      </c>
      <c r="O251" s="116">
        <v>738.1</v>
      </c>
      <c r="P251" s="116">
        <v>763</v>
      </c>
      <c r="Q251" s="116">
        <v>739.75</v>
      </c>
      <c r="R251">
        <v>420447</v>
      </c>
    </row>
    <row r="252" spans="1:18" x14ac:dyDescent="0.25">
      <c r="A252" s="169">
        <v>42380</v>
      </c>
      <c r="B252" s="116">
        <v>5.5</v>
      </c>
      <c r="C252" s="116">
        <v>4.7050000000000001</v>
      </c>
      <c r="D252" s="116">
        <v>4.5250000000000004</v>
      </c>
      <c r="E252" s="116">
        <v>5.5</v>
      </c>
      <c r="F252" s="116">
        <v>9.41</v>
      </c>
      <c r="G252">
        <v>28144</v>
      </c>
      <c r="H252" s="116"/>
      <c r="I252" s="116"/>
      <c r="L252" s="169">
        <v>45489</v>
      </c>
      <c r="M252" s="116">
        <v>733.95</v>
      </c>
      <c r="N252" s="116">
        <v>746</v>
      </c>
      <c r="O252" s="116">
        <v>730.2</v>
      </c>
      <c r="P252" s="116">
        <v>744</v>
      </c>
      <c r="Q252" s="116">
        <v>733.95</v>
      </c>
      <c r="R252">
        <v>383488</v>
      </c>
    </row>
    <row r="253" spans="1:18" x14ac:dyDescent="0.25">
      <c r="A253" s="169">
        <v>42381</v>
      </c>
      <c r="B253" s="116">
        <v>5.125</v>
      </c>
      <c r="C253" s="116">
        <v>4.9800000000000004</v>
      </c>
      <c r="D253" s="116">
        <v>4.7050000000000001</v>
      </c>
      <c r="E253" s="116">
        <v>4.7050000000000001</v>
      </c>
      <c r="F253" s="116">
        <v>9.9600000000000009</v>
      </c>
      <c r="G253">
        <v>34015</v>
      </c>
      <c r="H253" s="116"/>
      <c r="I253" s="116"/>
      <c r="L253" s="169">
        <v>45491</v>
      </c>
      <c r="M253" s="116">
        <v>739.2</v>
      </c>
      <c r="N253" s="116">
        <v>749</v>
      </c>
      <c r="O253" s="116">
        <v>731.15</v>
      </c>
      <c r="P253" s="116">
        <v>734.5</v>
      </c>
      <c r="Q253" s="116">
        <v>739.2</v>
      </c>
      <c r="R253">
        <v>485778</v>
      </c>
    </row>
    <row r="254" spans="1:18" x14ac:dyDescent="0.25">
      <c r="A254" s="169">
        <v>42382</v>
      </c>
      <c r="B254" s="116">
        <v>5.3</v>
      </c>
      <c r="C254" s="116">
        <v>5.0549999999999997</v>
      </c>
      <c r="D254" s="116">
        <v>4.625</v>
      </c>
      <c r="E254" s="116">
        <v>5.2</v>
      </c>
      <c r="F254" s="116">
        <v>10.11</v>
      </c>
      <c r="G254">
        <v>38132</v>
      </c>
      <c r="H254" s="116"/>
      <c r="I254" s="116"/>
      <c r="L254" s="169">
        <v>45492</v>
      </c>
      <c r="M254" s="116">
        <v>709.5</v>
      </c>
      <c r="N254" s="116">
        <v>745.5</v>
      </c>
      <c r="O254" s="116">
        <v>707</v>
      </c>
      <c r="P254" s="116">
        <v>743.1</v>
      </c>
      <c r="Q254" s="116">
        <v>709.5</v>
      </c>
      <c r="R254">
        <v>656816</v>
      </c>
    </row>
    <row r="255" spans="1:18" x14ac:dyDescent="0.25">
      <c r="A255" s="169">
        <v>42383</v>
      </c>
      <c r="B255" s="116">
        <v>5.3</v>
      </c>
      <c r="C255" s="116">
        <v>5.07</v>
      </c>
      <c r="D255" s="116">
        <v>4.7</v>
      </c>
      <c r="E255" s="116">
        <v>4.7050000000000001</v>
      </c>
      <c r="F255" s="116">
        <v>10.14</v>
      </c>
      <c r="G255">
        <v>22492</v>
      </c>
      <c r="H255" s="116"/>
      <c r="I255" s="116"/>
      <c r="L255" s="169">
        <v>45495</v>
      </c>
      <c r="M255" s="116">
        <v>695.5</v>
      </c>
      <c r="N255" s="116">
        <v>710.15</v>
      </c>
      <c r="O255" s="116">
        <v>692</v>
      </c>
      <c r="P255" s="116">
        <v>709</v>
      </c>
      <c r="Q255" s="116">
        <v>695.5</v>
      </c>
      <c r="R255">
        <v>818754</v>
      </c>
    </row>
    <row r="256" spans="1:18" x14ac:dyDescent="0.25">
      <c r="A256" s="169">
        <v>42384</v>
      </c>
      <c r="B256" s="116">
        <v>5.2750000000000004</v>
      </c>
      <c r="C256" s="116">
        <v>4.62</v>
      </c>
      <c r="D256" s="116">
        <v>4.55</v>
      </c>
      <c r="E256" s="116">
        <v>4.6749999999999998</v>
      </c>
      <c r="F256" s="116">
        <v>9.24</v>
      </c>
      <c r="G256">
        <v>78757</v>
      </c>
      <c r="H256" s="116"/>
      <c r="I256" s="116"/>
      <c r="L256" s="169">
        <v>45496</v>
      </c>
      <c r="M256" s="116">
        <v>711.5</v>
      </c>
      <c r="N256" s="116">
        <v>719</v>
      </c>
      <c r="O256" s="116">
        <v>674.8</v>
      </c>
      <c r="P256" s="116">
        <v>701.4</v>
      </c>
      <c r="Q256" s="116">
        <v>711.5</v>
      </c>
      <c r="R256">
        <v>786703</v>
      </c>
    </row>
    <row r="257" spans="1:18" x14ac:dyDescent="0.25">
      <c r="A257" s="169">
        <v>42387</v>
      </c>
      <c r="B257" s="116">
        <v>4.7649999999999997</v>
      </c>
      <c r="C257" s="116">
        <v>4.5999999999999996</v>
      </c>
      <c r="D257" s="116">
        <v>4.5</v>
      </c>
      <c r="E257" s="116">
        <v>4.5049999999999999</v>
      </c>
      <c r="F257" s="116">
        <v>9.1999999999999993</v>
      </c>
      <c r="G257">
        <v>25397</v>
      </c>
      <c r="H257" s="116"/>
      <c r="I257" s="116"/>
      <c r="L257" s="169">
        <v>45497</v>
      </c>
      <c r="M257" s="116">
        <v>710.35</v>
      </c>
      <c r="N257" s="116">
        <v>723.45</v>
      </c>
      <c r="O257" s="116">
        <v>705</v>
      </c>
      <c r="P257" s="116">
        <v>710.1</v>
      </c>
      <c r="Q257" s="116">
        <v>710.35</v>
      </c>
      <c r="R257">
        <v>160645</v>
      </c>
    </row>
    <row r="258" spans="1:18" x14ac:dyDescent="0.25">
      <c r="A258" s="169">
        <v>42388</v>
      </c>
      <c r="B258" s="116">
        <v>4.9000000000000004</v>
      </c>
      <c r="C258" s="116">
        <v>4.7949999999999999</v>
      </c>
      <c r="D258" s="116">
        <v>4.41</v>
      </c>
      <c r="E258" s="116">
        <v>4.41</v>
      </c>
      <c r="F258" s="116">
        <v>9.59</v>
      </c>
      <c r="G258">
        <v>8245</v>
      </c>
      <c r="H258" s="116"/>
      <c r="I258" s="116"/>
      <c r="L258" s="169">
        <v>45498</v>
      </c>
      <c r="M258" s="116">
        <v>724.7</v>
      </c>
      <c r="N258" s="116">
        <v>730</v>
      </c>
      <c r="O258" s="116">
        <v>701.5</v>
      </c>
      <c r="P258" s="116">
        <v>701.5</v>
      </c>
      <c r="Q258" s="116">
        <v>724.7</v>
      </c>
      <c r="R258">
        <v>211338</v>
      </c>
    </row>
    <row r="259" spans="1:18" x14ac:dyDescent="0.25">
      <c r="A259" s="169">
        <v>42389</v>
      </c>
      <c r="B259" s="116">
        <v>4.75</v>
      </c>
      <c r="C259" s="116">
        <v>4.29</v>
      </c>
      <c r="D259" s="116">
        <v>4.29</v>
      </c>
      <c r="E259" s="116">
        <v>4.75</v>
      </c>
      <c r="F259" s="116">
        <v>8.58</v>
      </c>
      <c r="G259">
        <v>4924</v>
      </c>
      <c r="H259" s="116"/>
      <c r="I259" s="116"/>
      <c r="L259" s="169">
        <v>45499</v>
      </c>
      <c r="M259" s="116">
        <v>748.95</v>
      </c>
      <c r="N259" s="116">
        <v>753.6</v>
      </c>
      <c r="O259" s="116">
        <v>724.7</v>
      </c>
      <c r="P259" s="116">
        <v>729.5</v>
      </c>
      <c r="Q259" s="116">
        <v>748.95</v>
      </c>
      <c r="R259">
        <v>357726</v>
      </c>
    </row>
    <row r="260" spans="1:18" x14ac:dyDescent="0.25">
      <c r="A260" s="169">
        <v>42390</v>
      </c>
      <c r="B260" s="116">
        <v>4.59</v>
      </c>
      <c r="C260" s="116">
        <v>4.59</v>
      </c>
      <c r="D260" s="116">
        <v>4.1100000000000003</v>
      </c>
      <c r="E260" s="116">
        <v>4.3</v>
      </c>
      <c r="F260" s="116">
        <v>9.18</v>
      </c>
      <c r="G260">
        <v>29858</v>
      </c>
      <c r="H260" s="116"/>
      <c r="I260" s="116"/>
      <c r="L260" s="169">
        <v>45502</v>
      </c>
      <c r="M260" s="116">
        <v>735</v>
      </c>
      <c r="N260" s="116">
        <v>753.7</v>
      </c>
      <c r="O260" s="116">
        <v>732.1</v>
      </c>
      <c r="P260" s="116">
        <v>753</v>
      </c>
      <c r="Q260" s="116">
        <v>735</v>
      </c>
      <c r="R260">
        <v>448112</v>
      </c>
    </row>
    <row r="261" spans="1:18" x14ac:dyDescent="0.25">
      <c r="A261" s="169">
        <v>42391</v>
      </c>
      <c r="B261" s="116">
        <v>4.6950000000000003</v>
      </c>
      <c r="C261" s="116">
        <v>4.28</v>
      </c>
      <c r="D261" s="116">
        <v>4.1550000000000002</v>
      </c>
      <c r="E261" s="116">
        <v>4.4800000000000004</v>
      </c>
      <c r="F261" s="116">
        <v>8.56</v>
      </c>
      <c r="G261">
        <v>4115</v>
      </c>
      <c r="H261" s="116"/>
      <c r="I261" s="116"/>
      <c r="L261" s="169">
        <v>45503</v>
      </c>
      <c r="M261" s="116">
        <v>739.7</v>
      </c>
      <c r="N261" s="116">
        <v>754.35</v>
      </c>
      <c r="O261" s="116">
        <v>727.4</v>
      </c>
      <c r="P261" s="116">
        <v>735</v>
      </c>
      <c r="Q261" s="116">
        <v>739.7</v>
      </c>
      <c r="R261">
        <v>1226565</v>
      </c>
    </row>
    <row r="262" spans="1:18" x14ac:dyDescent="0.25">
      <c r="A262" s="169">
        <v>42394</v>
      </c>
      <c r="B262" s="116">
        <v>4.6500000000000004</v>
      </c>
      <c r="C262" s="116">
        <v>4.375</v>
      </c>
      <c r="D262" s="116">
        <v>4.32</v>
      </c>
      <c r="E262" s="116">
        <v>4.32</v>
      </c>
      <c r="F262" s="116">
        <v>8.75</v>
      </c>
      <c r="G262">
        <v>1074</v>
      </c>
      <c r="H262" s="116"/>
      <c r="I262" s="116"/>
      <c r="L262" s="169">
        <v>45504</v>
      </c>
      <c r="M262" s="116">
        <v>731.45</v>
      </c>
      <c r="N262" s="116">
        <v>756</v>
      </c>
      <c r="O262" s="116">
        <v>726</v>
      </c>
      <c r="P262" s="116">
        <v>750</v>
      </c>
      <c r="Q262" s="116">
        <v>731.45</v>
      </c>
      <c r="R262">
        <v>445683</v>
      </c>
    </row>
    <row r="263" spans="1:18" x14ac:dyDescent="0.25">
      <c r="A263" s="169">
        <v>42396</v>
      </c>
      <c r="B263" s="116">
        <v>4.7949999999999999</v>
      </c>
      <c r="C263" s="116">
        <v>4.57</v>
      </c>
      <c r="D263" s="116">
        <v>4.1500000000000004</v>
      </c>
      <c r="E263" s="116">
        <v>4.26</v>
      </c>
      <c r="F263" s="116">
        <v>9.14</v>
      </c>
      <c r="G263">
        <v>12099</v>
      </c>
      <c r="H263" s="116"/>
      <c r="I263" s="116"/>
      <c r="L263" s="169">
        <v>45505</v>
      </c>
      <c r="M263" s="116">
        <v>777.95</v>
      </c>
      <c r="N263" s="116">
        <v>799</v>
      </c>
      <c r="O263" s="116">
        <v>736.05</v>
      </c>
      <c r="P263" s="116">
        <v>736.05</v>
      </c>
      <c r="Q263" s="116">
        <v>777.95</v>
      </c>
      <c r="R263">
        <v>3821092</v>
      </c>
    </row>
    <row r="264" spans="1:18" x14ac:dyDescent="0.25">
      <c r="A264" s="169">
        <v>42397</v>
      </c>
      <c r="B264" s="116">
        <v>4.75</v>
      </c>
      <c r="C264" s="116">
        <v>4.28</v>
      </c>
      <c r="D264" s="116">
        <v>4.2</v>
      </c>
      <c r="E264" s="116">
        <v>4.2</v>
      </c>
      <c r="F264" s="116">
        <v>8.56</v>
      </c>
      <c r="G264">
        <v>2480</v>
      </c>
      <c r="H264" s="116"/>
      <c r="I264" s="116"/>
      <c r="L264" s="169">
        <v>45506</v>
      </c>
      <c r="M264" s="116">
        <v>781.55</v>
      </c>
      <c r="N264" s="116">
        <v>797</v>
      </c>
      <c r="O264" s="116">
        <v>762</v>
      </c>
      <c r="P264" s="116">
        <v>770</v>
      </c>
      <c r="Q264" s="116">
        <v>781.55</v>
      </c>
      <c r="R264">
        <v>1297150</v>
      </c>
    </row>
    <row r="265" spans="1:18" x14ac:dyDescent="0.25">
      <c r="A265" s="169">
        <v>42398</v>
      </c>
      <c r="B265" s="116">
        <v>4.4800000000000004</v>
      </c>
      <c r="C265" s="116">
        <v>4.4800000000000004</v>
      </c>
      <c r="D265" s="116">
        <v>4.3</v>
      </c>
      <c r="E265" s="116">
        <v>4.3</v>
      </c>
      <c r="F265" s="116">
        <v>8.9600000000000009</v>
      </c>
      <c r="G265">
        <v>950</v>
      </c>
      <c r="H265" s="116"/>
      <c r="I265" s="116"/>
      <c r="L265" s="169">
        <v>45509</v>
      </c>
      <c r="M265" s="116">
        <v>726.1</v>
      </c>
      <c r="N265" s="116">
        <v>768.85</v>
      </c>
      <c r="O265" s="116">
        <v>722.05</v>
      </c>
      <c r="P265" s="116">
        <v>768.85</v>
      </c>
      <c r="Q265" s="116">
        <v>726.1</v>
      </c>
      <c r="R265">
        <v>1080459</v>
      </c>
    </row>
    <row r="266" spans="1:18" x14ac:dyDescent="0.25">
      <c r="A266" s="169">
        <v>42401</v>
      </c>
      <c r="B266" s="116">
        <v>4.75</v>
      </c>
      <c r="C266" s="116">
        <v>4.75</v>
      </c>
      <c r="D266" s="116">
        <v>4.4050000000000002</v>
      </c>
      <c r="E266" s="116">
        <v>4.4050000000000002</v>
      </c>
      <c r="F266" s="116">
        <v>9.5</v>
      </c>
      <c r="G266">
        <v>8664</v>
      </c>
      <c r="H266" s="116"/>
      <c r="I266" s="116"/>
      <c r="L266" s="169">
        <v>45510</v>
      </c>
      <c r="M266" s="116">
        <v>716.25</v>
      </c>
      <c r="N266" s="116">
        <v>749</v>
      </c>
      <c r="O266" s="116">
        <v>705</v>
      </c>
      <c r="P266" s="116">
        <v>733.2</v>
      </c>
      <c r="Q266" s="116">
        <v>716.25</v>
      </c>
      <c r="R266">
        <v>768947</v>
      </c>
    </row>
    <row r="267" spans="1:18" x14ac:dyDescent="0.25">
      <c r="A267" s="169">
        <v>42402</v>
      </c>
      <c r="B267" s="116">
        <v>5.35</v>
      </c>
      <c r="C267" s="116">
        <v>5.2649999999999997</v>
      </c>
      <c r="D267" s="116">
        <v>4.5999999999999996</v>
      </c>
      <c r="E267" s="116">
        <v>4.5999999999999996</v>
      </c>
      <c r="F267" s="116">
        <v>10.53</v>
      </c>
      <c r="G267">
        <v>33330</v>
      </c>
      <c r="H267" s="116"/>
      <c r="I267" s="116"/>
      <c r="L267" s="169">
        <v>45511</v>
      </c>
      <c r="M267" s="116">
        <v>739.45</v>
      </c>
      <c r="N267" s="116">
        <v>744.1</v>
      </c>
      <c r="O267" s="116">
        <v>720.3</v>
      </c>
      <c r="P267" s="116">
        <v>723.05</v>
      </c>
      <c r="Q267" s="116">
        <v>739.45</v>
      </c>
      <c r="R267">
        <v>363577</v>
      </c>
    </row>
    <row r="268" spans="1:18" x14ac:dyDescent="0.25">
      <c r="A268" s="169">
        <v>42403</v>
      </c>
      <c r="B268" s="116">
        <v>5.0750000000000002</v>
      </c>
      <c r="C268" s="116">
        <v>4.6950000000000003</v>
      </c>
      <c r="D268" s="116">
        <v>4.6749999999999998</v>
      </c>
      <c r="E268" s="116">
        <v>5.0750000000000002</v>
      </c>
      <c r="F268" s="116">
        <v>9.39</v>
      </c>
      <c r="G268">
        <v>8482</v>
      </c>
      <c r="H268" s="116"/>
      <c r="I268" s="116"/>
      <c r="L268" s="169">
        <v>45512</v>
      </c>
      <c r="M268" s="116">
        <v>738.4</v>
      </c>
      <c r="N268" s="116">
        <v>746.35</v>
      </c>
      <c r="O268" s="116">
        <v>726.85</v>
      </c>
      <c r="P268" s="116">
        <v>739.45</v>
      </c>
      <c r="Q268" s="116">
        <v>738.4</v>
      </c>
      <c r="R268">
        <v>298834</v>
      </c>
    </row>
    <row r="269" spans="1:18" x14ac:dyDescent="0.25">
      <c r="A269" s="169">
        <v>42404</v>
      </c>
      <c r="B269" s="116">
        <v>4.75</v>
      </c>
      <c r="C269" s="116">
        <v>4.5</v>
      </c>
      <c r="D269" s="116">
        <v>4.5</v>
      </c>
      <c r="E269" s="116">
        <v>4.75</v>
      </c>
      <c r="F269" s="116">
        <v>9</v>
      </c>
      <c r="G269">
        <v>2260</v>
      </c>
      <c r="H269" s="116"/>
      <c r="I269" s="116"/>
      <c r="L269" s="169">
        <v>45513</v>
      </c>
      <c r="M269" s="116">
        <v>761.9</v>
      </c>
      <c r="N269" s="116">
        <v>775</v>
      </c>
      <c r="O269" s="116">
        <v>739.5</v>
      </c>
      <c r="P269" s="116">
        <v>743.8</v>
      </c>
      <c r="Q269" s="116">
        <v>761.9</v>
      </c>
      <c r="R269">
        <v>519113</v>
      </c>
    </row>
    <row r="270" spans="1:18" x14ac:dyDescent="0.25">
      <c r="A270" s="169">
        <v>42405</v>
      </c>
      <c r="B270" s="116">
        <v>4.6500000000000004</v>
      </c>
      <c r="C270" s="116">
        <v>4.6500000000000004</v>
      </c>
      <c r="D270" s="116">
        <v>4.4249999999999998</v>
      </c>
      <c r="E270" s="116">
        <v>4.5</v>
      </c>
      <c r="F270" s="116">
        <v>9.3000000000000007</v>
      </c>
      <c r="G270">
        <v>6471</v>
      </c>
      <c r="H270" s="116"/>
      <c r="I270" s="116"/>
      <c r="L270" s="169">
        <v>45516</v>
      </c>
      <c r="M270" s="116">
        <v>759.45</v>
      </c>
      <c r="N270" s="116">
        <v>773.7</v>
      </c>
      <c r="O270" s="116">
        <v>747.75</v>
      </c>
      <c r="P270" s="116">
        <v>758</v>
      </c>
      <c r="Q270" s="116">
        <v>759.45</v>
      </c>
      <c r="R270">
        <v>284282</v>
      </c>
    </row>
    <row r="271" spans="1:18" x14ac:dyDescent="0.25">
      <c r="A271" s="169">
        <v>42408</v>
      </c>
      <c r="B271" s="116">
        <v>5.25</v>
      </c>
      <c r="C271" s="116">
        <v>5.2</v>
      </c>
      <c r="D271" s="116">
        <v>4.9850000000000003</v>
      </c>
      <c r="E271" s="116">
        <v>4.9850000000000003</v>
      </c>
      <c r="F271" s="116">
        <v>10.4</v>
      </c>
      <c r="G271">
        <v>49439</v>
      </c>
      <c r="H271" s="116"/>
      <c r="I271" s="116"/>
      <c r="L271" s="169">
        <v>45517</v>
      </c>
      <c r="M271" s="116">
        <v>746.8</v>
      </c>
      <c r="N271" s="116">
        <v>774</v>
      </c>
      <c r="O271" s="116">
        <v>741</v>
      </c>
      <c r="P271" s="116">
        <v>769</v>
      </c>
      <c r="Q271" s="116">
        <v>746.8</v>
      </c>
      <c r="R271">
        <v>162328</v>
      </c>
    </row>
    <row r="272" spans="1:18" x14ac:dyDescent="0.25">
      <c r="A272" s="169">
        <v>42409</v>
      </c>
      <c r="B272" s="116">
        <v>5.25</v>
      </c>
      <c r="C272" s="116">
        <v>5.25</v>
      </c>
      <c r="D272" s="116">
        <v>4.7850000000000001</v>
      </c>
      <c r="E272" s="116">
        <v>5.2249999999999996</v>
      </c>
      <c r="F272" s="116">
        <v>10.5</v>
      </c>
      <c r="G272">
        <v>8780</v>
      </c>
      <c r="H272" s="116"/>
      <c r="I272" s="116"/>
      <c r="L272" s="169">
        <v>45518</v>
      </c>
      <c r="M272" s="116">
        <v>734.15</v>
      </c>
      <c r="N272" s="116">
        <v>753.5</v>
      </c>
      <c r="O272" s="116">
        <v>726.2</v>
      </c>
      <c r="P272" s="116">
        <v>750.7</v>
      </c>
      <c r="Q272" s="116">
        <v>734.15</v>
      </c>
      <c r="R272">
        <v>279668</v>
      </c>
    </row>
    <row r="273" spans="1:18" x14ac:dyDescent="0.25">
      <c r="A273" s="169">
        <v>42410</v>
      </c>
      <c r="B273" s="116">
        <v>5.05</v>
      </c>
      <c r="C273" s="116">
        <v>4.8150000000000004</v>
      </c>
      <c r="D273" s="116">
        <v>4.8049999999999997</v>
      </c>
      <c r="E273" s="116">
        <v>5.05</v>
      </c>
      <c r="F273" s="116">
        <v>9.6300000000000008</v>
      </c>
      <c r="G273">
        <v>6030</v>
      </c>
      <c r="H273" s="116"/>
      <c r="I273" s="116"/>
      <c r="L273" s="169">
        <v>45520</v>
      </c>
      <c r="M273" s="116">
        <v>740</v>
      </c>
      <c r="N273" s="116">
        <v>744.9</v>
      </c>
      <c r="O273" s="116">
        <v>728.5</v>
      </c>
      <c r="P273" s="116">
        <v>744.7</v>
      </c>
      <c r="Q273" s="116">
        <v>740</v>
      </c>
      <c r="R273">
        <v>913932</v>
      </c>
    </row>
    <row r="274" spans="1:18" x14ac:dyDescent="0.25">
      <c r="A274" s="169">
        <v>42411</v>
      </c>
      <c r="B274" s="116">
        <v>5.1749999999999998</v>
      </c>
      <c r="C274" s="116">
        <v>5.0049999999999999</v>
      </c>
      <c r="D274" s="116">
        <v>4.5750000000000002</v>
      </c>
      <c r="E274" s="116">
        <v>5.15</v>
      </c>
      <c r="F274" s="116">
        <v>10.01</v>
      </c>
      <c r="G274">
        <v>7087</v>
      </c>
      <c r="H274" s="116"/>
      <c r="I274" s="116"/>
      <c r="L274" s="169">
        <v>45523</v>
      </c>
      <c r="M274" s="116">
        <v>751.1</v>
      </c>
      <c r="N274" s="116">
        <v>754</v>
      </c>
      <c r="O274" s="116">
        <v>732.7</v>
      </c>
      <c r="P274" s="116">
        <v>752.15</v>
      </c>
      <c r="Q274" s="116">
        <v>751.1</v>
      </c>
      <c r="R274">
        <v>277229</v>
      </c>
    </row>
    <row r="275" spans="1:18" x14ac:dyDescent="0.25">
      <c r="A275" s="169">
        <v>42412</v>
      </c>
      <c r="B275" s="116">
        <v>5.0999999999999996</v>
      </c>
      <c r="C275" s="116">
        <v>5.0250000000000004</v>
      </c>
      <c r="D275" s="116">
        <v>4.625</v>
      </c>
      <c r="E275" s="116">
        <v>4.875</v>
      </c>
      <c r="F275" s="116">
        <v>10.050000000000001</v>
      </c>
      <c r="G275">
        <v>45719</v>
      </c>
      <c r="H275" s="116"/>
      <c r="I275" s="116"/>
      <c r="L275" s="169">
        <v>45524</v>
      </c>
      <c r="M275" s="116">
        <v>747.6</v>
      </c>
      <c r="N275" s="116">
        <v>760.9</v>
      </c>
      <c r="O275" s="116">
        <v>742.55</v>
      </c>
      <c r="P275" s="116">
        <v>752</v>
      </c>
      <c r="Q275" s="116">
        <v>747.6</v>
      </c>
      <c r="R275">
        <v>209393</v>
      </c>
    </row>
    <row r="276" spans="1:18" x14ac:dyDescent="0.25">
      <c r="A276" s="169">
        <v>42415</v>
      </c>
      <c r="B276" s="116">
        <v>5.75</v>
      </c>
      <c r="C276" s="116">
        <v>5.5750000000000002</v>
      </c>
      <c r="D276" s="116">
        <v>4.7</v>
      </c>
      <c r="E276" s="116">
        <v>4.7</v>
      </c>
      <c r="F276" s="116">
        <v>11.15</v>
      </c>
      <c r="G276">
        <v>83497</v>
      </c>
      <c r="H276" s="116"/>
      <c r="I276" s="116"/>
      <c r="L276" s="169">
        <v>45525</v>
      </c>
      <c r="M276" s="116">
        <v>755.4</v>
      </c>
      <c r="N276" s="116">
        <v>759.95</v>
      </c>
      <c r="O276" s="116">
        <v>741.3</v>
      </c>
      <c r="P276" s="116">
        <v>747.4</v>
      </c>
      <c r="Q276" s="116">
        <v>755.4</v>
      </c>
      <c r="R276">
        <v>320502</v>
      </c>
    </row>
    <row r="277" spans="1:18" x14ac:dyDescent="0.25">
      <c r="A277" s="169">
        <v>42416</v>
      </c>
      <c r="B277" s="116">
        <v>5.8049999999999997</v>
      </c>
      <c r="C277" s="116">
        <v>5.48</v>
      </c>
      <c r="D277" s="116">
        <v>5.4</v>
      </c>
      <c r="E277" s="116">
        <v>5.75</v>
      </c>
      <c r="F277" s="116">
        <v>10.96</v>
      </c>
      <c r="G277">
        <v>32687</v>
      </c>
      <c r="H277" s="116"/>
      <c r="I277" s="116"/>
      <c r="L277" s="169">
        <v>45526</v>
      </c>
      <c r="M277" s="116">
        <v>776.55</v>
      </c>
      <c r="N277" s="116">
        <v>791</v>
      </c>
      <c r="O277" s="116">
        <v>761.6</v>
      </c>
      <c r="P277" s="116">
        <v>762</v>
      </c>
      <c r="Q277" s="116">
        <v>776.55</v>
      </c>
      <c r="R277">
        <v>655482</v>
      </c>
    </row>
    <row r="278" spans="1:18" x14ac:dyDescent="0.25">
      <c r="A278" s="169">
        <v>42417</v>
      </c>
      <c r="B278" s="116">
        <v>5.7850000000000001</v>
      </c>
      <c r="C278" s="116">
        <v>5.7450000000000001</v>
      </c>
      <c r="D278" s="116">
        <v>5.2549999999999999</v>
      </c>
      <c r="E278" s="116">
        <v>5.5750000000000002</v>
      </c>
      <c r="F278" s="116">
        <v>11.49</v>
      </c>
      <c r="G278">
        <v>44544</v>
      </c>
      <c r="H278" s="116"/>
      <c r="I278" s="116"/>
      <c r="L278" s="169">
        <v>45527</v>
      </c>
      <c r="M278" s="116">
        <v>768.4</v>
      </c>
      <c r="N278" s="116">
        <v>785.05</v>
      </c>
      <c r="O278" s="116">
        <v>755.55</v>
      </c>
      <c r="P278" s="116">
        <v>778.4</v>
      </c>
      <c r="Q278" s="116">
        <v>768.4</v>
      </c>
      <c r="R278">
        <v>246241</v>
      </c>
    </row>
    <row r="279" spans="1:18" x14ac:dyDescent="0.25">
      <c r="A279" s="169">
        <v>42418</v>
      </c>
      <c r="B279" s="116">
        <v>6.4</v>
      </c>
      <c r="C279" s="116">
        <v>6.2050000000000001</v>
      </c>
      <c r="D279" s="116">
        <v>5.75</v>
      </c>
      <c r="E279" s="116">
        <v>5.88</v>
      </c>
      <c r="F279" s="116">
        <v>12.41</v>
      </c>
      <c r="G279">
        <v>91009</v>
      </c>
      <c r="H279" s="116"/>
      <c r="I279" s="116"/>
      <c r="L279" s="169">
        <v>45530</v>
      </c>
      <c r="M279" s="116">
        <v>778.65</v>
      </c>
      <c r="N279" s="116">
        <v>786.95</v>
      </c>
      <c r="O279" s="116">
        <v>765.05</v>
      </c>
      <c r="P279" s="116">
        <v>767</v>
      </c>
      <c r="Q279" s="116">
        <v>778.65</v>
      </c>
      <c r="R279">
        <v>361768</v>
      </c>
    </row>
    <row r="280" spans="1:18" x14ac:dyDescent="0.25">
      <c r="A280" s="169">
        <v>42419</v>
      </c>
      <c r="B280" s="116">
        <v>6.7949999999999999</v>
      </c>
      <c r="C280" s="116">
        <v>6.56</v>
      </c>
      <c r="D280" s="116">
        <v>6.25</v>
      </c>
      <c r="E280" s="116">
        <v>6.4050000000000002</v>
      </c>
      <c r="F280" s="116">
        <v>13.12</v>
      </c>
      <c r="G280">
        <v>49276</v>
      </c>
      <c r="H280" s="116"/>
      <c r="I280" s="116"/>
      <c r="L280" s="169">
        <v>45531</v>
      </c>
      <c r="M280" s="116">
        <v>776.8</v>
      </c>
      <c r="N280" s="116">
        <v>810.95</v>
      </c>
      <c r="O280" s="116">
        <v>770.25</v>
      </c>
      <c r="P280" s="116">
        <v>785.75</v>
      </c>
      <c r="Q280" s="116">
        <v>776.8</v>
      </c>
      <c r="R280">
        <v>591230</v>
      </c>
    </row>
    <row r="281" spans="1:18" x14ac:dyDescent="0.25">
      <c r="A281" s="169">
        <v>42422</v>
      </c>
      <c r="B281" s="116">
        <v>7.125</v>
      </c>
      <c r="C281" s="116">
        <v>6.9450000000000003</v>
      </c>
      <c r="D281" s="116">
        <v>6.7</v>
      </c>
      <c r="E281" s="116">
        <v>6.75</v>
      </c>
      <c r="F281" s="116">
        <v>13.89</v>
      </c>
      <c r="G281">
        <v>24759</v>
      </c>
      <c r="H281" s="116"/>
      <c r="I281" s="116"/>
      <c r="L281" s="169">
        <v>45532</v>
      </c>
      <c r="M281" s="116">
        <v>780.55</v>
      </c>
      <c r="N281" s="116">
        <v>797</v>
      </c>
      <c r="O281" s="116">
        <v>775</v>
      </c>
      <c r="P281" s="116">
        <v>790</v>
      </c>
      <c r="Q281" s="116">
        <v>780.55</v>
      </c>
      <c r="R281">
        <v>450995</v>
      </c>
    </row>
    <row r="282" spans="1:18" x14ac:dyDescent="0.25">
      <c r="A282" s="169">
        <v>42423</v>
      </c>
      <c r="B282" s="116">
        <v>7.2450000000000001</v>
      </c>
      <c r="C282" s="116">
        <v>6.9550000000000001</v>
      </c>
      <c r="D282" s="116">
        <v>6.7</v>
      </c>
      <c r="E282" s="116">
        <v>7.2450000000000001</v>
      </c>
      <c r="F282" s="116">
        <v>13.91</v>
      </c>
      <c r="G282">
        <v>27752</v>
      </c>
      <c r="H282" s="116"/>
      <c r="I282" s="116"/>
      <c r="L282" s="169">
        <v>45533</v>
      </c>
      <c r="M282" s="116">
        <v>769.25</v>
      </c>
      <c r="N282" s="116">
        <v>784.95</v>
      </c>
      <c r="O282" s="116">
        <v>752.05</v>
      </c>
      <c r="P282" s="116">
        <v>784.4</v>
      </c>
      <c r="Q282" s="116">
        <v>769.25</v>
      </c>
      <c r="R282">
        <v>437435</v>
      </c>
    </row>
    <row r="283" spans="1:18" x14ac:dyDescent="0.25">
      <c r="A283" s="169">
        <v>42424</v>
      </c>
      <c r="B283" s="116">
        <v>7.4950000000000001</v>
      </c>
      <c r="C283" s="116">
        <v>6.72</v>
      </c>
      <c r="D283" s="116">
        <v>6.51</v>
      </c>
      <c r="E283" s="116">
        <v>7.125</v>
      </c>
      <c r="F283" s="116">
        <v>13.44</v>
      </c>
      <c r="G283">
        <v>115303</v>
      </c>
      <c r="H283" s="116"/>
      <c r="I283" s="116"/>
      <c r="L283" s="169">
        <v>45534</v>
      </c>
      <c r="M283" s="116">
        <v>774.45</v>
      </c>
      <c r="N283" s="116">
        <v>779.25</v>
      </c>
      <c r="O283" s="116">
        <v>767.15</v>
      </c>
      <c r="P283" s="116">
        <v>773.5</v>
      </c>
      <c r="Q283" s="116">
        <v>774.45</v>
      </c>
      <c r="R283">
        <v>141832</v>
      </c>
    </row>
    <row r="284" spans="1:18" x14ac:dyDescent="0.25">
      <c r="A284" s="169">
        <v>42425</v>
      </c>
      <c r="B284" s="116">
        <v>7.21</v>
      </c>
      <c r="C284" s="116">
        <v>6.2750000000000004</v>
      </c>
      <c r="D284" s="116">
        <v>6.2249999999999996</v>
      </c>
      <c r="E284" s="116">
        <v>6.72</v>
      </c>
      <c r="F284" s="116">
        <v>12.55</v>
      </c>
      <c r="G284">
        <v>30121</v>
      </c>
      <c r="H284" s="116"/>
      <c r="I284" s="116"/>
      <c r="L284" s="169">
        <v>45537</v>
      </c>
      <c r="M284" s="116">
        <v>766.35</v>
      </c>
      <c r="N284" s="116">
        <v>774</v>
      </c>
      <c r="O284" s="116">
        <v>741.3</v>
      </c>
      <c r="P284" s="116">
        <v>770.05</v>
      </c>
      <c r="Q284" s="116">
        <v>766.35</v>
      </c>
      <c r="R284">
        <v>1035792</v>
      </c>
    </row>
    <row r="285" spans="1:18" x14ac:dyDescent="0.25">
      <c r="A285" s="169">
        <v>42426</v>
      </c>
      <c r="B285" s="116">
        <v>7.3</v>
      </c>
      <c r="C285" s="116">
        <v>7.1349999999999998</v>
      </c>
      <c r="D285" s="116">
        <v>6.37</v>
      </c>
      <c r="E285" s="116">
        <v>6.37</v>
      </c>
      <c r="F285" s="116">
        <v>14.27</v>
      </c>
      <c r="G285">
        <v>57034</v>
      </c>
      <c r="H285" s="116"/>
      <c r="I285" s="116"/>
      <c r="L285" s="169">
        <v>45538</v>
      </c>
      <c r="M285" s="116">
        <v>772.2</v>
      </c>
      <c r="N285" s="116">
        <v>776</v>
      </c>
      <c r="O285" s="116">
        <v>758.1</v>
      </c>
      <c r="P285" s="116">
        <v>761</v>
      </c>
      <c r="Q285" s="116">
        <v>772.2</v>
      </c>
      <c r="R285">
        <v>326352</v>
      </c>
    </row>
    <row r="286" spans="1:18" x14ac:dyDescent="0.25">
      <c r="A286" s="169">
        <v>42429</v>
      </c>
      <c r="B286" s="116">
        <v>8.4450000000000003</v>
      </c>
      <c r="C286" s="116">
        <v>8.0649999999999995</v>
      </c>
      <c r="D286" s="116">
        <v>7</v>
      </c>
      <c r="E286" s="116">
        <v>7.1550000000000002</v>
      </c>
      <c r="F286" s="116">
        <v>16.13</v>
      </c>
      <c r="G286">
        <v>184621</v>
      </c>
      <c r="H286" s="116"/>
      <c r="I286" s="116"/>
      <c r="L286" s="169">
        <v>45539</v>
      </c>
      <c r="M286" s="116">
        <v>779.35</v>
      </c>
      <c r="N286" s="116">
        <v>783.25</v>
      </c>
      <c r="O286" s="116">
        <v>757.35</v>
      </c>
      <c r="P286" s="116">
        <v>764.45</v>
      </c>
      <c r="Q286" s="116">
        <v>779.35</v>
      </c>
      <c r="R286">
        <v>400368</v>
      </c>
    </row>
    <row r="287" spans="1:18" x14ac:dyDescent="0.25">
      <c r="A287" s="169">
        <v>42430</v>
      </c>
      <c r="B287" s="116">
        <v>9.35</v>
      </c>
      <c r="C287" s="116">
        <v>8.4749999999999996</v>
      </c>
      <c r="D287" s="116">
        <v>8.1</v>
      </c>
      <c r="E287" s="116">
        <v>8.1</v>
      </c>
      <c r="F287" s="116">
        <v>16.95</v>
      </c>
      <c r="G287">
        <v>100891</v>
      </c>
      <c r="H287" s="116"/>
      <c r="I287" s="116"/>
      <c r="L287" s="169">
        <v>45540</v>
      </c>
      <c r="M287" s="116">
        <v>779.25</v>
      </c>
      <c r="N287" s="116">
        <v>786.65</v>
      </c>
      <c r="O287" s="116">
        <v>774.2</v>
      </c>
      <c r="P287" s="116">
        <v>774.2</v>
      </c>
      <c r="Q287" s="116">
        <v>779.25</v>
      </c>
      <c r="R287">
        <v>175843</v>
      </c>
    </row>
    <row r="288" spans="1:18" x14ac:dyDescent="0.25">
      <c r="A288" s="169">
        <v>42431</v>
      </c>
      <c r="B288" s="116">
        <v>9</v>
      </c>
      <c r="C288" s="116">
        <v>8.8000000000000007</v>
      </c>
      <c r="D288" s="116">
        <v>8.0500000000000007</v>
      </c>
      <c r="E288" s="116">
        <v>8.625</v>
      </c>
      <c r="F288" s="116">
        <v>17.600000000000001</v>
      </c>
      <c r="G288">
        <v>171296</v>
      </c>
      <c r="H288" s="116"/>
      <c r="I288" s="116"/>
      <c r="L288" s="169">
        <v>45541</v>
      </c>
      <c r="M288" s="116">
        <v>769.8</v>
      </c>
      <c r="N288" s="116">
        <v>781.3</v>
      </c>
      <c r="O288" s="116">
        <v>765</v>
      </c>
      <c r="P288" s="116">
        <v>776</v>
      </c>
      <c r="Q288" s="116">
        <v>769.8</v>
      </c>
      <c r="R288">
        <v>180990</v>
      </c>
    </row>
    <row r="289" spans="1:18" x14ac:dyDescent="0.25">
      <c r="A289" s="169">
        <v>42432</v>
      </c>
      <c r="B289" s="116">
        <v>9</v>
      </c>
      <c r="C289" s="116">
        <v>8.9</v>
      </c>
      <c r="D289" s="116">
        <v>8.1</v>
      </c>
      <c r="E289" s="116">
        <v>8.5250000000000004</v>
      </c>
      <c r="F289" s="116">
        <v>17.8</v>
      </c>
      <c r="G289">
        <v>278251</v>
      </c>
      <c r="H289" s="116"/>
      <c r="I289" s="116"/>
      <c r="L289" s="169">
        <v>45544</v>
      </c>
      <c r="M289" s="116">
        <v>759.85</v>
      </c>
      <c r="N289" s="116">
        <v>769</v>
      </c>
      <c r="O289" s="116">
        <v>750.05</v>
      </c>
      <c r="P289" s="116">
        <v>769</v>
      </c>
      <c r="Q289" s="116">
        <v>759.85</v>
      </c>
      <c r="R289">
        <v>360124</v>
      </c>
    </row>
    <row r="290" spans="1:18" x14ac:dyDescent="0.25">
      <c r="A290" s="169">
        <v>42433</v>
      </c>
      <c r="B290" s="116">
        <v>9.2750000000000004</v>
      </c>
      <c r="C290" s="116">
        <v>9.1</v>
      </c>
      <c r="D290" s="116">
        <v>8.625</v>
      </c>
      <c r="E290" s="116">
        <v>8.9</v>
      </c>
      <c r="F290" s="116">
        <v>18.2</v>
      </c>
      <c r="G290">
        <v>608337</v>
      </c>
      <c r="H290" s="116"/>
      <c r="I290" s="116"/>
      <c r="L290" s="169">
        <v>45545</v>
      </c>
      <c r="M290" s="116">
        <v>750.75</v>
      </c>
      <c r="N290" s="116">
        <v>769.75</v>
      </c>
      <c r="O290" s="116">
        <v>747</v>
      </c>
      <c r="P290" s="116">
        <v>769.25</v>
      </c>
      <c r="Q290" s="116">
        <v>750.75</v>
      </c>
      <c r="R290">
        <v>220288</v>
      </c>
    </row>
    <row r="291" spans="1:18" x14ac:dyDescent="0.25">
      <c r="A291" s="169">
        <v>42437</v>
      </c>
      <c r="B291" s="116">
        <v>10</v>
      </c>
      <c r="C291" s="116">
        <v>10</v>
      </c>
      <c r="D291" s="116">
        <v>9.4499999999999993</v>
      </c>
      <c r="E291" s="116">
        <v>9.4499999999999993</v>
      </c>
      <c r="F291" s="116">
        <v>20</v>
      </c>
      <c r="G291">
        <v>496126</v>
      </c>
      <c r="H291" s="116"/>
      <c r="I291" s="116"/>
      <c r="L291" s="169">
        <v>45546</v>
      </c>
      <c r="M291" s="116">
        <v>740</v>
      </c>
      <c r="N291" s="116">
        <v>765.85</v>
      </c>
      <c r="O291" s="116">
        <v>732.75</v>
      </c>
      <c r="P291" s="116">
        <v>750.75</v>
      </c>
      <c r="Q291" s="116">
        <v>740</v>
      </c>
      <c r="R291">
        <v>290776</v>
      </c>
    </row>
    <row r="292" spans="1:18" x14ac:dyDescent="0.25">
      <c r="A292" s="169">
        <v>42438</v>
      </c>
      <c r="B292" s="116">
        <v>10.8</v>
      </c>
      <c r="C292" s="116">
        <v>9.1999999999999993</v>
      </c>
      <c r="D292" s="116">
        <v>9.0500000000000007</v>
      </c>
      <c r="E292" s="116">
        <v>10.8</v>
      </c>
      <c r="F292" s="116">
        <v>18.399999999999999</v>
      </c>
      <c r="G292">
        <v>593634</v>
      </c>
      <c r="H292" s="116"/>
      <c r="I292" s="116"/>
      <c r="L292" s="169">
        <v>45547</v>
      </c>
      <c r="M292" s="116">
        <v>754.3</v>
      </c>
      <c r="N292" s="116">
        <v>757.65</v>
      </c>
      <c r="O292" s="116">
        <v>742</v>
      </c>
      <c r="P292" s="116">
        <v>751</v>
      </c>
      <c r="Q292" s="116">
        <v>754.3</v>
      </c>
      <c r="R292">
        <v>160847</v>
      </c>
    </row>
    <row r="293" spans="1:18" x14ac:dyDescent="0.25">
      <c r="A293" s="169">
        <v>42439</v>
      </c>
      <c r="B293" s="116">
        <v>10.1</v>
      </c>
      <c r="C293" s="116">
        <v>10.1</v>
      </c>
      <c r="D293" s="116">
        <v>9.0250000000000004</v>
      </c>
      <c r="E293" s="116">
        <v>9.0250000000000004</v>
      </c>
      <c r="F293" s="116">
        <v>20.2</v>
      </c>
      <c r="G293">
        <v>1429524</v>
      </c>
      <c r="H293" s="116"/>
      <c r="I293" s="116"/>
      <c r="L293" s="169">
        <v>45548</v>
      </c>
      <c r="M293" s="116">
        <v>774.1</v>
      </c>
      <c r="N293" s="116">
        <v>784.95</v>
      </c>
      <c r="O293" s="116">
        <v>748.1</v>
      </c>
      <c r="P293" s="116">
        <v>758.55</v>
      </c>
      <c r="Q293" s="116">
        <v>774.1</v>
      </c>
      <c r="R293">
        <v>366367</v>
      </c>
    </row>
    <row r="294" spans="1:18" x14ac:dyDescent="0.25">
      <c r="A294" s="169">
        <v>42440</v>
      </c>
      <c r="B294" s="116">
        <v>10.7</v>
      </c>
      <c r="C294" s="116">
        <v>10</v>
      </c>
      <c r="D294" s="116">
        <v>9.8000000000000007</v>
      </c>
      <c r="E294" s="116">
        <v>10.55</v>
      </c>
      <c r="F294" s="116">
        <v>20</v>
      </c>
      <c r="G294">
        <v>107823</v>
      </c>
      <c r="H294" s="116"/>
      <c r="I294" s="116"/>
      <c r="L294" s="169">
        <v>45551</v>
      </c>
      <c r="M294" s="116">
        <v>790</v>
      </c>
      <c r="N294" s="116">
        <v>798</v>
      </c>
      <c r="O294" s="116">
        <v>778</v>
      </c>
      <c r="P294" s="116">
        <v>779.8</v>
      </c>
      <c r="Q294" s="116">
        <v>790</v>
      </c>
      <c r="R294">
        <v>450796</v>
      </c>
    </row>
    <row r="295" spans="1:18" x14ac:dyDescent="0.25">
      <c r="A295" s="169">
        <v>42443</v>
      </c>
      <c r="B295" s="116">
        <v>10</v>
      </c>
      <c r="C295" s="116">
        <v>9.2750000000000004</v>
      </c>
      <c r="D295" s="116">
        <v>9.1999999999999993</v>
      </c>
      <c r="E295" s="116">
        <v>10</v>
      </c>
      <c r="F295" s="116">
        <v>18.55</v>
      </c>
      <c r="G295">
        <v>196149</v>
      </c>
      <c r="H295" s="116"/>
      <c r="I295" s="116"/>
      <c r="L295" s="169">
        <v>45552</v>
      </c>
      <c r="M295" s="116">
        <v>820.85</v>
      </c>
      <c r="N295" s="116">
        <v>824.9</v>
      </c>
      <c r="O295" s="116">
        <v>790</v>
      </c>
      <c r="P295" s="116">
        <v>796</v>
      </c>
      <c r="Q295" s="116">
        <v>820.85</v>
      </c>
      <c r="R295">
        <v>1314386</v>
      </c>
    </row>
    <row r="296" spans="1:18" x14ac:dyDescent="0.25">
      <c r="A296" s="169">
        <v>42444</v>
      </c>
      <c r="B296" s="116">
        <v>9.1</v>
      </c>
      <c r="C296" s="116">
        <v>8.8000000000000007</v>
      </c>
      <c r="D296" s="116">
        <v>8.65</v>
      </c>
      <c r="E296" s="116">
        <v>9.0500000000000007</v>
      </c>
      <c r="F296" s="116">
        <v>17.600000000000001</v>
      </c>
      <c r="G296">
        <v>28709</v>
      </c>
      <c r="H296" s="116"/>
      <c r="I296" s="116"/>
      <c r="L296" s="169">
        <v>45553</v>
      </c>
      <c r="M296" s="116">
        <v>816.4</v>
      </c>
      <c r="N296" s="116">
        <v>834</v>
      </c>
      <c r="O296" s="116">
        <v>814.4</v>
      </c>
      <c r="P296" s="116">
        <v>826</v>
      </c>
      <c r="Q296" s="116">
        <v>816.4</v>
      </c>
      <c r="R296">
        <v>930883</v>
      </c>
    </row>
    <row r="297" spans="1:18" x14ac:dyDescent="0.25">
      <c r="A297" s="169">
        <v>42445</v>
      </c>
      <c r="B297" s="116">
        <v>8.6999999999999993</v>
      </c>
      <c r="C297" s="116">
        <v>8</v>
      </c>
      <c r="D297" s="116">
        <v>7.9249999999999998</v>
      </c>
      <c r="E297" s="116">
        <v>8.6999999999999993</v>
      </c>
      <c r="F297" s="116">
        <v>16</v>
      </c>
      <c r="G297">
        <v>94350</v>
      </c>
      <c r="H297" s="116"/>
      <c r="I297" s="116"/>
      <c r="L297" s="169">
        <v>45554</v>
      </c>
      <c r="M297" s="116">
        <v>802.95</v>
      </c>
      <c r="N297" s="116">
        <v>826.5</v>
      </c>
      <c r="O297" s="116">
        <v>791.1</v>
      </c>
      <c r="P297" s="116">
        <v>826.5</v>
      </c>
      <c r="Q297" s="116">
        <v>802.95</v>
      </c>
      <c r="R297">
        <v>404572</v>
      </c>
    </row>
    <row r="298" spans="1:18" x14ac:dyDescent="0.25">
      <c r="A298" s="169">
        <v>42446</v>
      </c>
      <c r="B298" s="116">
        <v>8.5500000000000007</v>
      </c>
      <c r="C298" s="116">
        <v>8.25</v>
      </c>
      <c r="D298" s="116">
        <v>7.5750000000000002</v>
      </c>
      <c r="E298" s="116">
        <v>7.5750000000000002</v>
      </c>
      <c r="F298" s="116">
        <v>16.5</v>
      </c>
      <c r="G298">
        <v>68911</v>
      </c>
      <c r="H298" s="116"/>
      <c r="I298" s="116"/>
      <c r="L298" s="169">
        <v>45555</v>
      </c>
      <c r="M298" s="116">
        <v>843.05</v>
      </c>
      <c r="N298" s="116">
        <v>850</v>
      </c>
      <c r="O298" s="116">
        <v>805</v>
      </c>
      <c r="P298" s="116">
        <v>813.7</v>
      </c>
      <c r="Q298" s="116">
        <v>843.05</v>
      </c>
      <c r="R298">
        <v>1624115</v>
      </c>
    </row>
    <row r="299" spans="1:18" x14ac:dyDescent="0.25">
      <c r="A299" s="169">
        <v>42447</v>
      </c>
      <c r="B299" s="116">
        <v>8.5</v>
      </c>
      <c r="C299" s="116">
        <v>8.4250000000000007</v>
      </c>
      <c r="D299" s="116">
        <v>8.0749999999999993</v>
      </c>
      <c r="E299" s="116">
        <v>8.25</v>
      </c>
      <c r="F299" s="116">
        <v>16.850000000000001</v>
      </c>
      <c r="G299">
        <v>8995</v>
      </c>
      <c r="H299" s="116"/>
      <c r="I299" s="116"/>
      <c r="L299" s="169">
        <v>45558</v>
      </c>
      <c r="M299" s="116">
        <v>871.2</v>
      </c>
      <c r="N299" s="116">
        <v>874.8</v>
      </c>
      <c r="O299" s="116">
        <v>839.05</v>
      </c>
      <c r="P299" s="116">
        <v>853</v>
      </c>
      <c r="Q299" s="116">
        <v>871.2</v>
      </c>
      <c r="R299">
        <v>685827</v>
      </c>
    </row>
    <row r="300" spans="1:18" x14ac:dyDescent="0.25">
      <c r="A300" s="169">
        <v>42450</v>
      </c>
      <c r="B300" s="116">
        <v>8.6999999999999993</v>
      </c>
      <c r="C300" s="116">
        <v>8.375</v>
      </c>
      <c r="D300" s="116">
        <v>8</v>
      </c>
      <c r="E300" s="116">
        <v>8.6999999999999993</v>
      </c>
      <c r="F300" s="116">
        <v>16.75</v>
      </c>
      <c r="G300">
        <v>11640</v>
      </c>
      <c r="H300" s="116"/>
      <c r="I300" s="116"/>
      <c r="L300" s="169">
        <v>45559</v>
      </c>
      <c r="M300" s="116">
        <v>877.25</v>
      </c>
      <c r="N300" s="116">
        <v>889.95</v>
      </c>
      <c r="O300" s="116">
        <v>863.95</v>
      </c>
      <c r="P300" s="116">
        <v>876</v>
      </c>
      <c r="Q300" s="116">
        <v>877.25</v>
      </c>
      <c r="R300">
        <v>733419</v>
      </c>
    </row>
    <row r="301" spans="1:18" x14ac:dyDescent="0.25">
      <c r="A301" s="169">
        <v>42451</v>
      </c>
      <c r="B301" s="116">
        <v>8.5749999999999993</v>
      </c>
      <c r="C301" s="116">
        <v>8.4250000000000007</v>
      </c>
      <c r="D301" s="116">
        <v>8.0749999999999993</v>
      </c>
      <c r="E301" s="116">
        <v>8.125</v>
      </c>
      <c r="F301" s="116">
        <v>16.850000000000001</v>
      </c>
      <c r="G301">
        <v>6131</v>
      </c>
      <c r="H301" s="116"/>
      <c r="I301" s="116"/>
      <c r="L301" s="169">
        <v>45560</v>
      </c>
      <c r="M301" s="116">
        <v>873.65</v>
      </c>
      <c r="N301" s="116">
        <v>901.9</v>
      </c>
      <c r="O301" s="116">
        <v>864</v>
      </c>
      <c r="P301" s="116">
        <v>890</v>
      </c>
      <c r="Q301" s="116">
        <v>873.65</v>
      </c>
      <c r="R301">
        <v>1179982</v>
      </c>
    </row>
    <row r="302" spans="1:18" x14ac:dyDescent="0.25">
      <c r="A302" s="169">
        <v>42452</v>
      </c>
      <c r="B302" s="116">
        <v>9</v>
      </c>
      <c r="C302" s="116">
        <v>8.6999999999999993</v>
      </c>
      <c r="D302" s="116">
        <v>8.5</v>
      </c>
      <c r="E302" s="116">
        <v>8.5</v>
      </c>
      <c r="F302" s="116">
        <v>17.399999999999999</v>
      </c>
      <c r="G302">
        <v>32694</v>
      </c>
      <c r="H302" s="116"/>
      <c r="I302" s="116"/>
      <c r="L302" s="169">
        <v>45561</v>
      </c>
      <c r="M302" s="116">
        <v>919.25</v>
      </c>
      <c r="N302" s="116">
        <v>925.95</v>
      </c>
      <c r="O302" s="116">
        <v>875.15</v>
      </c>
      <c r="P302" s="116">
        <v>881.25</v>
      </c>
      <c r="Q302" s="116">
        <v>919.25</v>
      </c>
      <c r="R302">
        <v>1427117</v>
      </c>
    </row>
    <row r="303" spans="1:18" x14ac:dyDescent="0.25">
      <c r="A303" s="169">
        <v>42457</v>
      </c>
      <c r="B303" s="116">
        <v>9</v>
      </c>
      <c r="C303" s="116">
        <v>8.7750000000000004</v>
      </c>
      <c r="D303" s="116">
        <v>8.5</v>
      </c>
      <c r="E303" s="116">
        <v>8.75</v>
      </c>
      <c r="F303" s="116">
        <v>17.55</v>
      </c>
      <c r="G303">
        <v>29191</v>
      </c>
      <c r="H303" s="116"/>
      <c r="I303" s="116"/>
      <c r="L303" s="169">
        <v>45562</v>
      </c>
      <c r="M303" s="116">
        <v>942.85</v>
      </c>
      <c r="N303" s="116">
        <v>947.8</v>
      </c>
      <c r="O303" s="116">
        <v>915.7</v>
      </c>
      <c r="P303" s="116">
        <v>929</v>
      </c>
      <c r="Q303" s="116">
        <v>942.85</v>
      </c>
      <c r="R303">
        <v>732067</v>
      </c>
    </row>
    <row r="304" spans="1:18" x14ac:dyDescent="0.25">
      <c r="A304" s="169">
        <v>42458</v>
      </c>
      <c r="B304" s="116">
        <v>9</v>
      </c>
      <c r="C304" s="116">
        <v>8.9250000000000007</v>
      </c>
      <c r="D304" s="116">
        <v>8.15</v>
      </c>
      <c r="E304" s="116">
        <v>8.15</v>
      </c>
      <c r="F304" s="116">
        <v>17.850000000000001</v>
      </c>
      <c r="G304">
        <v>23159</v>
      </c>
      <c r="H304" s="116"/>
      <c r="I304" s="116"/>
      <c r="L304" s="169">
        <v>45565</v>
      </c>
      <c r="M304" s="116">
        <v>948.35</v>
      </c>
      <c r="N304" s="116">
        <v>960</v>
      </c>
      <c r="O304" s="116">
        <v>918.85</v>
      </c>
      <c r="P304" s="116">
        <v>949</v>
      </c>
      <c r="Q304" s="116">
        <v>948.35</v>
      </c>
      <c r="R304">
        <v>584746</v>
      </c>
    </row>
    <row r="305" spans="1:18" x14ac:dyDescent="0.25">
      <c r="A305" s="169">
        <v>42459</v>
      </c>
      <c r="B305" s="116">
        <v>9.8000000000000007</v>
      </c>
      <c r="C305" s="116">
        <v>9.6</v>
      </c>
      <c r="D305" s="116">
        <v>8.4499999999999993</v>
      </c>
      <c r="E305" s="116">
        <v>8.8000000000000007</v>
      </c>
      <c r="F305" s="116">
        <v>19.2</v>
      </c>
      <c r="G305">
        <v>53129</v>
      </c>
      <c r="H305" s="116"/>
      <c r="I305" s="116"/>
      <c r="L305" s="169">
        <v>45566</v>
      </c>
      <c r="M305" s="116">
        <v>980.75</v>
      </c>
      <c r="N305" s="116">
        <v>985</v>
      </c>
      <c r="O305" s="116">
        <v>940.2</v>
      </c>
      <c r="P305" s="116">
        <v>947.9</v>
      </c>
      <c r="Q305" s="116">
        <v>980.75</v>
      </c>
      <c r="R305">
        <v>660388</v>
      </c>
    </row>
    <row r="306" spans="1:18" x14ac:dyDescent="0.25">
      <c r="A306" s="169">
        <v>42460</v>
      </c>
      <c r="B306" s="116">
        <v>10.375</v>
      </c>
      <c r="C306" s="116">
        <v>10.1</v>
      </c>
      <c r="D306" s="116">
        <v>9.5</v>
      </c>
      <c r="E306" s="116">
        <v>9.6</v>
      </c>
      <c r="F306" s="116">
        <v>20.2</v>
      </c>
      <c r="G306">
        <v>61016</v>
      </c>
      <c r="H306" s="116"/>
      <c r="I306" s="116"/>
      <c r="L306" s="169">
        <v>45568</v>
      </c>
      <c r="M306" s="116">
        <v>985.6</v>
      </c>
      <c r="N306" s="116">
        <v>992</v>
      </c>
      <c r="O306" s="116">
        <v>959.2</v>
      </c>
      <c r="P306" s="116">
        <v>970.05</v>
      </c>
      <c r="Q306" s="116">
        <v>985.6</v>
      </c>
      <c r="R306">
        <v>733318</v>
      </c>
    </row>
    <row r="307" spans="1:18" x14ac:dyDescent="0.25">
      <c r="A307" s="169">
        <v>42461</v>
      </c>
      <c r="B307" s="116">
        <v>10.125</v>
      </c>
      <c r="C307" s="116">
        <v>9.9499999999999993</v>
      </c>
      <c r="D307" s="116">
        <v>9.6</v>
      </c>
      <c r="E307" s="116">
        <v>9.8249999999999993</v>
      </c>
      <c r="F307" s="116">
        <v>19.899999999999999</v>
      </c>
      <c r="G307">
        <v>18318</v>
      </c>
      <c r="H307" s="116"/>
      <c r="I307" s="116"/>
      <c r="L307" s="169">
        <v>45569</v>
      </c>
      <c r="M307" s="116">
        <v>972.65</v>
      </c>
      <c r="N307" s="116">
        <v>998.5</v>
      </c>
      <c r="O307" s="116">
        <v>965.65</v>
      </c>
      <c r="P307" s="116">
        <v>993.35</v>
      </c>
      <c r="Q307" s="116">
        <v>972.65</v>
      </c>
      <c r="R307">
        <v>580653</v>
      </c>
    </row>
    <row r="308" spans="1:18" x14ac:dyDescent="0.25">
      <c r="A308" s="169">
        <v>42464</v>
      </c>
      <c r="B308" s="116">
        <v>11.925000000000001</v>
      </c>
      <c r="C308" s="116">
        <v>11.925000000000001</v>
      </c>
      <c r="D308" s="116">
        <v>10</v>
      </c>
      <c r="E308" s="116">
        <v>10</v>
      </c>
      <c r="F308" s="116">
        <v>23.85</v>
      </c>
      <c r="G308">
        <v>146722</v>
      </c>
      <c r="H308" s="116"/>
      <c r="I308" s="116"/>
      <c r="L308" s="169">
        <v>45572</v>
      </c>
      <c r="M308" s="116">
        <v>908.55</v>
      </c>
      <c r="N308" s="116">
        <v>987</v>
      </c>
      <c r="O308" s="116">
        <v>891.3</v>
      </c>
      <c r="P308" s="116">
        <v>987</v>
      </c>
      <c r="Q308" s="116">
        <v>908.55</v>
      </c>
      <c r="R308">
        <v>883385</v>
      </c>
    </row>
    <row r="309" spans="1:18" x14ac:dyDescent="0.25">
      <c r="A309" s="169">
        <v>42465</v>
      </c>
      <c r="B309" s="116">
        <v>13.1</v>
      </c>
      <c r="C309" s="116">
        <v>12.25</v>
      </c>
      <c r="D309" s="116">
        <v>11.5</v>
      </c>
      <c r="E309" s="116">
        <v>12.025</v>
      </c>
      <c r="F309" s="116">
        <v>24.5</v>
      </c>
      <c r="G309">
        <v>108099</v>
      </c>
      <c r="H309" s="116"/>
      <c r="I309" s="116"/>
      <c r="L309" s="169">
        <v>45573</v>
      </c>
      <c r="M309" s="116">
        <v>928.3</v>
      </c>
      <c r="N309" s="116">
        <v>934.95</v>
      </c>
      <c r="O309" s="116">
        <v>891.05</v>
      </c>
      <c r="P309" s="116">
        <v>895</v>
      </c>
      <c r="Q309" s="116">
        <v>928.3</v>
      </c>
      <c r="R309">
        <v>392680</v>
      </c>
    </row>
    <row r="310" spans="1:18" x14ac:dyDescent="0.25">
      <c r="A310" s="169">
        <v>42466</v>
      </c>
      <c r="B310" s="116">
        <v>13.074999999999999</v>
      </c>
      <c r="C310" s="116">
        <v>12.425000000000001</v>
      </c>
      <c r="D310" s="116">
        <v>12.125</v>
      </c>
      <c r="E310" s="116">
        <v>12.375</v>
      </c>
      <c r="F310" s="116">
        <v>24.85</v>
      </c>
      <c r="G310">
        <v>42884</v>
      </c>
      <c r="H310" s="116"/>
      <c r="I310" s="116"/>
      <c r="L310" s="169">
        <v>45574</v>
      </c>
      <c r="M310" s="116">
        <v>983.3</v>
      </c>
      <c r="N310" s="116">
        <v>1005.6</v>
      </c>
      <c r="O310" s="116">
        <v>936.8</v>
      </c>
      <c r="P310" s="116">
        <v>946</v>
      </c>
      <c r="Q310" s="116">
        <v>983.3</v>
      </c>
      <c r="R310">
        <v>1191970</v>
      </c>
    </row>
    <row r="311" spans="1:18" x14ac:dyDescent="0.25">
      <c r="A311" s="169">
        <v>42467</v>
      </c>
      <c r="B311" s="116">
        <v>12.95</v>
      </c>
      <c r="C311" s="116">
        <v>12.5</v>
      </c>
      <c r="D311" s="116">
        <v>12.125</v>
      </c>
      <c r="E311" s="116">
        <v>12.5</v>
      </c>
      <c r="F311" s="116">
        <v>25</v>
      </c>
      <c r="G311">
        <v>46709</v>
      </c>
      <c r="H311" s="116"/>
      <c r="I311" s="116"/>
      <c r="L311" s="169">
        <v>45575</v>
      </c>
      <c r="M311" s="116">
        <v>994.2</v>
      </c>
      <c r="N311" s="116">
        <v>999.75</v>
      </c>
      <c r="O311" s="116">
        <v>975.7</v>
      </c>
      <c r="P311" s="116">
        <v>986.05</v>
      </c>
      <c r="Q311" s="116">
        <v>994.2</v>
      </c>
      <c r="R311">
        <v>476519</v>
      </c>
    </row>
    <row r="312" spans="1:18" x14ac:dyDescent="0.25">
      <c r="A312" s="169">
        <v>42468</v>
      </c>
      <c r="B312" s="116">
        <v>15</v>
      </c>
      <c r="C312" s="116">
        <v>15</v>
      </c>
      <c r="D312" s="116">
        <v>12.2</v>
      </c>
      <c r="E312" s="116">
        <v>12.975</v>
      </c>
      <c r="F312" s="116">
        <v>30</v>
      </c>
      <c r="G312">
        <v>404939</v>
      </c>
      <c r="H312" s="116"/>
      <c r="I312" s="116"/>
      <c r="L312" s="169">
        <v>45576</v>
      </c>
      <c r="M312" s="116">
        <v>983.55</v>
      </c>
      <c r="N312" s="116">
        <v>1003.5</v>
      </c>
      <c r="O312" s="116">
        <v>980.8</v>
      </c>
      <c r="P312" s="116">
        <v>991.55</v>
      </c>
      <c r="Q312" s="116">
        <v>983.55</v>
      </c>
      <c r="R312">
        <v>271649</v>
      </c>
    </row>
    <row r="313" spans="1:18" x14ac:dyDescent="0.25">
      <c r="A313" s="169">
        <v>42471</v>
      </c>
      <c r="B313" s="116">
        <v>16.5</v>
      </c>
      <c r="C313" s="116">
        <v>16.225000000000001</v>
      </c>
      <c r="D313" s="116">
        <v>15.15</v>
      </c>
      <c r="E313" s="116">
        <v>15.9</v>
      </c>
      <c r="F313" s="116">
        <v>32.450000000000003</v>
      </c>
      <c r="G313">
        <v>354612</v>
      </c>
      <c r="H313" s="116"/>
      <c r="I313" s="116"/>
      <c r="L313" s="169">
        <v>45579</v>
      </c>
      <c r="M313" s="116">
        <v>999.3</v>
      </c>
      <c r="N313" s="116">
        <v>1003</v>
      </c>
      <c r="O313" s="116">
        <v>960.85</v>
      </c>
      <c r="P313" s="116">
        <v>983.55</v>
      </c>
      <c r="Q313" s="116">
        <v>999.3</v>
      </c>
      <c r="R313">
        <v>406486</v>
      </c>
    </row>
    <row r="314" spans="1:18" x14ac:dyDescent="0.25">
      <c r="A314" s="169">
        <v>42472</v>
      </c>
      <c r="B314" s="116">
        <v>17.475000000000001</v>
      </c>
      <c r="C314" s="116">
        <v>16.425000000000001</v>
      </c>
      <c r="D314" s="116">
        <v>15.375</v>
      </c>
      <c r="E314" s="116">
        <v>16.7</v>
      </c>
      <c r="F314" s="116">
        <v>32.85</v>
      </c>
      <c r="G314">
        <v>283039</v>
      </c>
      <c r="H314" s="116"/>
      <c r="I314" s="116"/>
      <c r="L314" s="169">
        <v>45580</v>
      </c>
      <c r="M314" s="116">
        <v>997.45</v>
      </c>
      <c r="N314" s="116">
        <v>1040</v>
      </c>
      <c r="O314" s="116">
        <v>990</v>
      </c>
      <c r="P314" s="116">
        <v>1007.2</v>
      </c>
      <c r="Q314" s="116">
        <v>997.45</v>
      </c>
      <c r="R314">
        <v>1413443</v>
      </c>
    </row>
    <row r="315" spans="1:18" x14ac:dyDescent="0.25">
      <c r="A315" s="169">
        <v>42473</v>
      </c>
      <c r="B315" s="116">
        <v>17.05</v>
      </c>
      <c r="C315" s="116">
        <v>16.05</v>
      </c>
      <c r="D315" s="116">
        <v>15.4</v>
      </c>
      <c r="E315" s="116">
        <v>16.25</v>
      </c>
      <c r="F315" s="116">
        <v>32.1</v>
      </c>
      <c r="G315">
        <v>74363</v>
      </c>
      <c r="H315" s="116"/>
      <c r="I315" s="116"/>
      <c r="L315" s="169">
        <v>45581</v>
      </c>
      <c r="M315" s="116">
        <v>1006.05</v>
      </c>
      <c r="N315" s="116">
        <v>1032</v>
      </c>
      <c r="O315" s="116">
        <v>990.85</v>
      </c>
      <c r="P315" s="116">
        <v>999.7</v>
      </c>
      <c r="Q315" s="116">
        <v>1006.05</v>
      </c>
      <c r="R315">
        <v>708744</v>
      </c>
    </row>
    <row r="316" spans="1:18" x14ac:dyDescent="0.25">
      <c r="A316" s="169">
        <v>42478</v>
      </c>
      <c r="B316" s="116">
        <v>16.75</v>
      </c>
      <c r="C316" s="116">
        <v>14.85</v>
      </c>
      <c r="D316" s="116">
        <v>14.75</v>
      </c>
      <c r="E316" s="116">
        <v>15.5</v>
      </c>
      <c r="F316" s="116">
        <v>29.7</v>
      </c>
      <c r="G316">
        <v>81309</v>
      </c>
      <c r="H316" s="116"/>
      <c r="I316" s="116"/>
      <c r="L316" s="169">
        <v>45582</v>
      </c>
      <c r="M316" s="116">
        <v>1001.35</v>
      </c>
      <c r="N316" s="116">
        <v>1018.45</v>
      </c>
      <c r="O316" s="116">
        <v>993.5</v>
      </c>
      <c r="P316" s="116">
        <v>1008</v>
      </c>
      <c r="Q316" s="116">
        <v>1001.35</v>
      </c>
      <c r="R316">
        <v>342327</v>
      </c>
    </row>
    <row r="317" spans="1:18" x14ac:dyDescent="0.25">
      <c r="A317" s="169">
        <v>42480</v>
      </c>
      <c r="B317" s="116">
        <v>15</v>
      </c>
      <c r="C317" s="116">
        <v>13.65</v>
      </c>
      <c r="D317" s="116">
        <v>13.5</v>
      </c>
      <c r="E317" s="116">
        <v>15</v>
      </c>
      <c r="F317" s="116">
        <v>27.3</v>
      </c>
      <c r="G317">
        <v>45175</v>
      </c>
      <c r="H317" s="116"/>
      <c r="I317" s="116"/>
      <c r="L317" s="169">
        <v>45583</v>
      </c>
      <c r="M317" s="116">
        <v>997.7</v>
      </c>
      <c r="N317" s="116">
        <v>1009</v>
      </c>
      <c r="O317" s="116">
        <v>967.25</v>
      </c>
      <c r="P317" s="116">
        <v>993.55</v>
      </c>
      <c r="Q317" s="116">
        <v>997.7</v>
      </c>
      <c r="R317">
        <v>401928</v>
      </c>
    </row>
    <row r="318" spans="1:18" x14ac:dyDescent="0.25">
      <c r="A318" s="169">
        <v>42481</v>
      </c>
      <c r="B318" s="116">
        <v>14.4</v>
      </c>
      <c r="C318" s="116">
        <v>13.3</v>
      </c>
      <c r="D318" s="116">
        <v>13</v>
      </c>
      <c r="E318" s="116">
        <v>13.675000000000001</v>
      </c>
      <c r="F318" s="116">
        <v>26.6</v>
      </c>
      <c r="G318">
        <v>24477</v>
      </c>
      <c r="H318" s="116"/>
      <c r="I318" s="116"/>
      <c r="L318" s="169">
        <v>45586</v>
      </c>
      <c r="M318" s="116">
        <v>1000.85</v>
      </c>
      <c r="N318" s="116">
        <v>1026</v>
      </c>
      <c r="O318" s="116">
        <v>993</v>
      </c>
      <c r="P318" s="116">
        <v>1004</v>
      </c>
      <c r="Q318" s="116">
        <v>1000.85</v>
      </c>
      <c r="R318">
        <v>639332</v>
      </c>
    </row>
    <row r="319" spans="1:18" x14ac:dyDescent="0.25">
      <c r="A319" s="169">
        <v>42482</v>
      </c>
      <c r="B319" s="116">
        <v>14</v>
      </c>
      <c r="C319" s="116">
        <v>13.65</v>
      </c>
      <c r="D319" s="116">
        <v>13.074999999999999</v>
      </c>
      <c r="E319" s="116">
        <v>14</v>
      </c>
      <c r="F319" s="116">
        <v>27.3</v>
      </c>
      <c r="G319">
        <v>20012</v>
      </c>
      <c r="H319" s="116"/>
      <c r="I319" s="116"/>
      <c r="L319" s="169">
        <v>45587</v>
      </c>
      <c r="M319" s="116">
        <v>977.55</v>
      </c>
      <c r="N319" s="116">
        <v>1012.1</v>
      </c>
      <c r="O319" s="116">
        <v>971</v>
      </c>
      <c r="P319" s="116">
        <v>1003.75</v>
      </c>
      <c r="Q319" s="116">
        <v>977.55</v>
      </c>
      <c r="R319">
        <v>431694</v>
      </c>
    </row>
    <row r="320" spans="1:18" x14ac:dyDescent="0.25">
      <c r="A320" s="169">
        <v>42485</v>
      </c>
      <c r="B320" s="116">
        <v>14.7</v>
      </c>
      <c r="C320" s="116">
        <v>14.425000000000001</v>
      </c>
      <c r="D320" s="116">
        <v>13.45</v>
      </c>
      <c r="E320" s="116">
        <v>13.5</v>
      </c>
      <c r="F320" s="116">
        <v>28.85</v>
      </c>
      <c r="G320">
        <v>13220</v>
      </c>
      <c r="H320" s="116"/>
      <c r="I320" s="116"/>
      <c r="L320" s="169">
        <v>45588</v>
      </c>
      <c r="M320" s="116">
        <v>974.85</v>
      </c>
      <c r="N320" s="116">
        <v>998</v>
      </c>
      <c r="O320" s="116">
        <v>951.55</v>
      </c>
      <c r="P320" s="116">
        <v>976</v>
      </c>
      <c r="Q320" s="116">
        <v>974.85</v>
      </c>
      <c r="R320">
        <v>519294</v>
      </c>
    </row>
    <row r="321" spans="1:18" x14ac:dyDescent="0.25">
      <c r="A321" s="169">
        <v>42486</v>
      </c>
      <c r="B321" s="116">
        <v>14.45</v>
      </c>
      <c r="C321" s="116">
        <v>14.175000000000001</v>
      </c>
      <c r="D321" s="116">
        <v>13.55</v>
      </c>
      <c r="E321" s="116">
        <v>14.25</v>
      </c>
      <c r="F321" s="116">
        <v>28.35</v>
      </c>
      <c r="G321">
        <v>13132</v>
      </c>
      <c r="H321" s="116"/>
      <c r="I321" s="116"/>
      <c r="L321" s="169">
        <v>45589</v>
      </c>
      <c r="M321" s="116">
        <v>997.1</v>
      </c>
      <c r="N321" s="116">
        <v>1003.9</v>
      </c>
      <c r="O321" s="116">
        <v>950</v>
      </c>
      <c r="P321" s="116">
        <v>960</v>
      </c>
      <c r="Q321" s="116">
        <v>997.1</v>
      </c>
      <c r="R321">
        <v>449663</v>
      </c>
    </row>
    <row r="322" spans="1:18" x14ac:dyDescent="0.25">
      <c r="A322" s="169">
        <v>42487</v>
      </c>
      <c r="B322" s="116">
        <v>14.1</v>
      </c>
      <c r="C322" s="116">
        <v>13.875</v>
      </c>
      <c r="D322" s="116">
        <v>13.65</v>
      </c>
      <c r="E322" s="116">
        <v>14</v>
      </c>
      <c r="F322" s="116">
        <v>27.75</v>
      </c>
      <c r="G322">
        <v>21974</v>
      </c>
      <c r="H322" s="116"/>
      <c r="I322" s="116"/>
      <c r="L322" s="169">
        <v>45590</v>
      </c>
      <c r="M322" s="116">
        <v>963.05</v>
      </c>
      <c r="N322" s="116">
        <v>1008.7</v>
      </c>
      <c r="O322" s="116">
        <v>955.1</v>
      </c>
      <c r="P322" s="116">
        <v>999.7</v>
      </c>
      <c r="Q322" s="116">
        <v>963.05</v>
      </c>
      <c r="R322">
        <v>440521</v>
      </c>
    </row>
    <row r="323" spans="1:18" x14ac:dyDescent="0.25">
      <c r="A323" s="169">
        <v>42488</v>
      </c>
      <c r="B323" s="116">
        <v>14</v>
      </c>
      <c r="C323" s="116">
        <v>13.875</v>
      </c>
      <c r="D323" s="116">
        <v>13.4</v>
      </c>
      <c r="E323" s="116">
        <v>13.55</v>
      </c>
      <c r="F323" s="116">
        <v>27.75</v>
      </c>
      <c r="G323">
        <v>8748</v>
      </c>
      <c r="H323" s="116"/>
      <c r="I323" s="116"/>
      <c r="L323" s="169">
        <v>45593</v>
      </c>
      <c r="M323" s="116">
        <v>938.9</v>
      </c>
      <c r="N323" s="116">
        <v>961.3</v>
      </c>
      <c r="O323" s="116">
        <v>933</v>
      </c>
      <c r="P323" s="116">
        <v>959.7</v>
      </c>
      <c r="Q323" s="116">
        <v>938.9</v>
      </c>
      <c r="R323">
        <v>305118</v>
      </c>
    </row>
    <row r="324" spans="1:18" x14ac:dyDescent="0.25">
      <c r="A324" s="169">
        <v>42489</v>
      </c>
      <c r="B324" s="116">
        <v>13.95</v>
      </c>
      <c r="C324" s="116">
        <v>13.65</v>
      </c>
      <c r="D324" s="116">
        <v>12.75</v>
      </c>
      <c r="E324" s="116">
        <v>13.15</v>
      </c>
      <c r="F324" s="116">
        <v>27.3</v>
      </c>
      <c r="G324">
        <v>15188</v>
      </c>
      <c r="H324" s="116"/>
      <c r="I324" s="116"/>
      <c r="L324" s="169">
        <v>45594</v>
      </c>
      <c r="M324" s="116">
        <v>950.85</v>
      </c>
      <c r="N324" s="116">
        <v>968.9</v>
      </c>
      <c r="O324" s="116">
        <v>936</v>
      </c>
      <c r="P324" s="116">
        <v>938.9</v>
      </c>
      <c r="Q324" s="116">
        <v>950.85</v>
      </c>
      <c r="R324">
        <v>204623</v>
      </c>
    </row>
    <row r="325" spans="1:18" x14ac:dyDescent="0.25">
      <c r="A325" s="169">
        <v>42492</v>
      </c>
      <c r="B325" s="116">
        <v>14.725</v>
      </c>
      <c r="C325" s="116">
        <v>13.45</v>
      </c>
      <c r="D325" s="116">
        <v>13.125</v>
      </c>
      <c r="E325" s="116">
        <v>14.35</v>
      </c>
      <c r="F325" s="116">
        <v>26.9</v>
      </c>
      <c r="G325">
        <v>16160</v>
      </c>
      <c r="H325" s="116"/>
      <c r="I325" s="116"/>
      <c r="L325" s="169">
        <v>45595</v>
      </c>
      <c r="M325" s="116">
        <v>955.75</v>
      </c>
      <c r="N325" s="116">
        <v>985.2</v>
      </c>
      <c r="O325" s="116">
        <v>950.1</v>
      </c>
      <c r="P325" s="116">
        <v>950.1</v>
      </c>
      <c r="Q325" s="116">
        <v>955.75</v>
      </c>
      <c r="R325">
        <v>203237</v>
      </c>
    </row>
    <row r="326" spans="1:18" x14ac:dyDescent="0.25">
      <c r="A326" s="169">
        <v>42493</v>
      </c>
      <c r="B326" s="116">
        <v>13.95</v>
      </c>
      <c r="C326" s="116">
        <v>13.4</v>
      </c>
      <c r="D326" s="116">
        <v>13.025</v>
      </c>
      <c r="E326" s="116">
        <v>13.95</v>
      </c>
      <c r="F326" s="116">
        <v>26.8</v>
      </c>
      <c r="G326">
        <v>9889</v>
      </c>
      <c r="H326" s="116"/>
      <c r="I326" s="116"/>
      <c r="L326" s="169">
        <v>45596</v>
      </c>
      <c r="M326" s="116">
        <v>972.85</v>
      </c>
      <c r="N326" s="116">
        <v>977</v>
      </c>
      <c r="O326" s="116">
        <v>949.65</v>
      </c>
      <c r="P326" s="116">
        <v>958.8</v>
      </c>
      <c r="Q326" s="116">
        <v>972.85</v>
      </c>
      <c r="R326">
        <v>154059</v>
      </c>
    </row>
    <row r="327" spans="1:18" x14ac:dyDescent="0.25">
      <c r="A327" s="169">
        <v>42494</v>
      </c>
      <c r="B327" s="116">
        <v>13.7</v>
      </c>
      <c r="C327" s="116">
        <v>13.1</v>
      </c>
      <c r="D327" s="116">
        <v>12.1</v>
      </c>
      <c r="E327" s="116">
        <v>13</v>
      </c>
      <c r="F327" s="116">
        <v>26.2</v>
      </c>
      <c r="G327">
        <v>8563</v>
      </c>
      <c r="H327" s="116"/>
      <c r="I327" s="116"/>
      <c r="L327" s="169">
        <v>45597</v>
      </c>
      <c r="M327" s="116">
        <v>978.1</v>
      </c>
      <c r="N327" s="116">
        <v>986</v>
      </c>
      <c r="O327" s="116">
        <v>965.1</v>
      </c>
      <c r="P327" s="116">
        <v>972.85</v>
      </c>
      <c r="Q327" s="116">
        <v>978.1</v>
      </c>
      <c r="R327">
        <v>81331</v>
      </c>
    </row>
    <row r="328" spans="1:18" x14ac:dyDescent="0.25">
      <c r="A328" s="169">
        <v>42495</v>
      </c>
      <c r="B328" s="116">
        <v>13.225</v>
      </c>
      <c r="C328" s="116">
        <v>12.6</v>
      </c>
      <c r="D328" s="116">
        <v>12.3</v>
      </c>
      <c r="E328" s="116">
        <v>13</v>
      </c>
      <c r="F328" s="116">
        <v>25.2</v>
      </c>
      <c r="G328">
        <v>12005</v>
      </c>
      <c r="H328" s="116"/>
      <c r="I328" s="116"/>
      <c r="L328" s="169">
        <v>45600</v>
      </c>
      <c r="M328" s="116">
        <v>970.15</v>
      </c>
      <c r="N328" s="116">
        <v>979.7</v>
      </c>
      <c r="O328" s="116">
        <v>955</v>
      </c>
      <c r="P328" s="116">
        <v>978.15</v>
      </c>
      <c r="Q328" s="116">
        <v>970.15</v>
      </c>
      <c r="R328">
        <v>205641</v>
      </c>
    </row>
    <row r="329" spans="1:18" x14ac:dyDescent="0.25">
      <c r="A329" s="169">
        <v>42496</v>
      </c>
      <c r="B329" s="116">
        <v>13.45</v>
      </c>
      <c r="C329" s="116">
        <v>13</v>
      </c>
      <c r="D329" s="116">
        <v>12.025</v>
      </c>
      <c r="E329" s="116">
        <v>12.025</v>
      </c>
      <c r="F329" s="116">
        <v>26</v>
      </c>
      <c r="G329">
        <v>9815</v>
      </c>
      <c r="H329" s="116"/>
      <c r="I329" s="116"/>
      <c r="L329" s="169">
        <v>45601</v>
      </c>
      <c r="M329" s="116">
        <v>975.5</v>
      </c>
      <c r="N329" s="116">
        <v>987.6</v>
      </c>
      <c r="O329" s="116">
        <v>966.95</v>
      </c>
      <c r="P329" s="116">
        <v>970.25</v>
      </c>
      <c r="Q329" s="116">
        <v>975.5</v>
      </c>
      <c r="R329">
        <v>156433</v>
      </c>
    </row>
    <row r="330" spans="1:18" x14ac:dyDescent="0.25">
      <c r="A330" s="169">
        <v>42499</v>
      </c>
      <c r="B330" s="116">
        <v>13.675000000000001</v>
      </c>
      <c r="C330" s="116">
        <v>13.625</v>
      </c>
      <c r="D330" s="116">
        <v>13.25</v>
      </c>
      <c r="E330" s="116">
        <v>13.25</v>
      </c>
      <c r="F330" s="116">
        <v>27.25</v>
      </c>
      <c r="G330">
        <v>4679</v>
      </c>
      <c r="H330" s="116"/>
      <c r="I330" s="116"/>
      <c r="L330" s="169">
        <v>45602</v>
      </c>
      <c r="M330" s="116">
        <v>1016.05</v>
      </c>
      <c r="N330" s="116">
        <v>1020</v>
      </c>
      <c r="O330" s="116">
        <v>971.15</v>
      </c>
      <c r="P330" s="116">
        <v>971.15</v>
      </c>
      <c r="Q330" s="116">
        <v>1016.05</v>
      </c>
      <c r="R330">
        <v>429220</v>
      </c>
    </row>
    <row r="331" spans="1:18" x14ac:dyDescent="0.25">
      <c r="A331" s="169">
        <v>42500</v>
      </c>
      <c r="B331" s="116">
        <v>13.75</v>
      </c>
      <c r="C331" s="116">
        <v>13.074999999999999</v>
      </c>
      <c r="D331" s="116">
        <v>12.824999999999999</v>
      </c>
      <c r="E331" s="116">
        <v>13.75</v>
      </c>
      <c r="F331" s="116">
        <v>26.15</v>
      </c>
      <c r="G331">
        <v>6013</v>
      </c>
      <c r="H331" s="116"/>
      <c r="I331" s="116"/>
      <c r="L331" s="169">
        <v>45603</v>
      </c>
      <c r="M331" s="116">
        <v>995.75</v>
      </c>
      <c r="N331" s="116">
        <v>1030</v>
      </c>
      <c r="O331" s="116">
        <v>990</v>
      </c>
      <c r="P331" s="116">
        <v>1014.5</v>
      </c>
      <c r="Q331" s="116">
        <v>995.75</v>
      </c>
      <c r="R331">
        <v>178607</v>
      </c>
    </row>
    <row r="332" spans="1:18" x14ac:dyDescent="0.25">
      <c r="A332" s="169">
        <v>42501</v>
      </c>
      <c r="B332" s="116">
        <v>13.3</v>
      </c>
      <c r="C332" s="116">
        <v>13.25</v>
      </c>
      <c r="D332" s="116">
        <v>12.4</v>
      </c>
      <c r="E332" s="116">
        <v>12.5</v>
      </c>
      <c r="F332" s="116">
        <v>26.5</v>
      </c>
      <c r="G332">
        <v>9415</v>
      </c>
      <c r="H332" s="116"/>
      <c r="I332" s="116"/>
      <c r="L332" s="169">
        <v>45604</v>
      </c>
      <c r="M332" s="116">
        <v>1006.05</v>
      </c>
      <c r="N332" s="116">
        <v>1021.7</v>
      </c>
      <c r="O332" s="116">
        <v>981.05</v>
      </c>
      <c r="P332" s="116">
        <v>993.75</v>
      </c>
      <c r="Q332" s="116">
        <v>1006.05</v>
      </c>
      <c r="R332">
        <v>418618</v>
      </c>
    </row>
    <row r="333" spans="1:18" x14ac:dyDescent="0.25">
      <c r="A333" s="169">
        <v>42502</v>
      </c>
      <c r="B333" s="116">
        <v>13.25</v>
      </c>
      <c r="C333" s="116">
        <v>12.95</v>
      </c>
      <c r="D333" s="116">
        <v>12.8</v>
      </c>
      <c r="E333" s="116">
        <v>13.25</v>
      </c>
      <c r="F333" s="116">
        <v>25.9</v>
      </c>
      <c r="G333">
        <v>2231</v>
      </c>
      <c r="H333" s="116"/>
      <c r="I333" s="116"/>
      <c r="L333" s="169">
        <v>45607</v>
      </c>
      <c r="M333" s="116">
        <v>992</v>
      </c>
      <c r="N333" s="116">
        <v>1036.25</v>
      </c>
      <c r="O333" s="116">
        <v>990</v>
      </c>
      <c r="P333" s="116">
        <v>1011.05</v>
      </c>
      <c r="Q333" s="116">
        <v>992</v>
      </c>
      <c r="R333">
        <v>412654</v>
      </c>
    </row>
    <row r="334" spans="1:18" x14ac:dyDescent="0.25">
      <c r="A334" s="169">
        <v>42503</v>
      </c>
      <c r="B334" s="116">
        <v>13.25</v>
      </c>
      <c r="C334" s="116">
        <v>12.725</v>
      </c>
      <c r="D334" s="116">
        <v>12</v>
      </c>
      <c r="E334" s="116">
        <v>12.475</v>
      </c>
      <c r="F334" s="116">
        <v>25.45</v>
      </c>
      <c r="G334">
        <v>26834</v>
      </c>
      <c r="H334" s="116"/>
      <c r="I334" s="116"/>
      <c r="L334" s="169">
        <v>45608</v>
      </c>
      <c r="M334" s="116">
        <v>992.35</v>
      </c>
      <c r="N334" s="116">
        <v>1014</v>
      </c>
      <c r="O334" s="116">
        <v>987</v>
      </c>
      <c r="P334" s="116">
        <v>994.5</v>
      </c>
      <c r="Q334" s="116">
        <v>992.35</v>
      </c>
      <c r="R334">
        <v>205502</v>
      </c>
    </row>
    <row r="335" spans="1:18" x14ac:dyDescent="0.25">
      <c r="A335" s="169">
        <v>42506</v>
      </c>
      <c r="B335" s="116">
        <v>13</v>
      </c>
      <c r="C335" s="116">
        <v>12.8</v>
      </c>
      <c r="D335" s="116">
        <v>12.25</v>
      </c>
      <c r="E335" s="116">
        <v>12.25</v>
      </c>
      <c r="F335" s="116">
        <v>25.6</v>
      </c>
      <c r="G335">
        <v>4941</v>
      </c>
      <c r="H335" s="116"/>
      <c r="I335" s="116"/>
      <c r="L335" s="169">
        <v>45609</v>
      </c>
      <c r="M335" s="116">
        <v>942.05</v>
      </c>
      <c r="N335" s="116">
        <v>997.55</v>
      </c>
      <c r="O335" s="116">
        <v>932.35</v>
      </c>
      <c r="P335" s="116">
        <v>982.05</v>
      </c>
      <c r="Q335" s="116">
        <v>942.05</v>
      </c>
      <c r="R335">
        <v>301208</v>
      </c>
    </row>
    <row r="336" spans="1:18" x14ac:dyDescent="0.25">
      <c r="A336" s="169">
        <v>42507</v>
      </c>
      <c r="B336" s="116">
        <v>13.225</v>
      </c>
      <c r="C336" s="116">
        <v>12.75</v>
      </c>
      <c r="D336" s="116">
        <v>12.625</v>
      </c>
      <c r="E336" s="116">
        <v>12.95</v>
      </c>
      <c r="F336" s="116">
        <v>25.5</v>
      </c>
      <c r="G336">
        <v>4984</v>
      </c>
      <c r="H336" s="116"/>
      <c r="I336" s="116"/>
      <c r="L336" s="169">
        <v>45610</v>
      </c>
      <c r="M336" s="116">
        <v>924.25</v>
      </c>
      <c r="N336" s="116">
        <v>961.95</v>
      </c>
      <c r="O336" s="116">
        <v>920</v>
      </c>
      <c r="P336" s="116">
        <v>942</v>
      </c>
      <c r="Q336" s="116">
        <v>924.25</v>
      </c>
      <c r="R336">
        <v>317144</v>
      </c>
    </row>
    <row r="337" spans="1:18" x14ac:dyDescent="0.25">
      <c r="A337" s="169">
        <v>42508</v>
      </c>
      <c r="B337" s="116">
        <v>13.125</v>
      </c>
      <c r="C337" s="116">
        <v>12.5</v>
      </c>
      <c r="D337" s="116">
        <v>12.5</v>
      </c>
      <c r="E337" s="116">
        <v>13.125</v>
      </c>
      <c r="F337" s="116">
        <v>25</v>
      </c>
      <c r="G337">
        <v>8990</v>
      </c>
      <c r="H337" s="116"/>
      <c r="I337" s="116"/>
      <c r="L337" s="169">
        <v>45614</v>
      </c>
      <c r="M337" s="116">
        <v>924.2</v>
      </c>
      <c r="N337" s="116">
        <v>938</v>
      </c>
      <c r="O337" s="116">
        <v>915</v>
      </c>
      <c r="P337" s="116">
        <v>924.25</v>
      </c>
      <c r="Q337" s="116">
        <v>924.2</v>
      </c>
      <c r="R337">
        <v>209992</v>
      </c>
    </row>
    <row r="338" spans="1:18" x14ac:dyDescent="0.25">
      <c r="A338" s="169">
        <v>42509</v>
      </c>
      <c r="B338" s="116">
        <v>12.625</v>
      </c>
      <c r="C338" s="116">
        <v>12.475</v>
      </c>
      <c r="D338" s="116">
        <v>12.3</v>
      </c>
      <c r="E338" s="116">
        <v>12.3</v>
      </c>
      <c r="F338" s="116">
        <v>24.95</v>
      </c>
      <c r="G338">
        <v>15162</v>
      </c>
      <c r="H338" s="116"/>
      <c r="I338" s="116"/>
      <c r="L338" s="169">
        <v>45615</v>
      </c>
      <c r="M338" s="116">
        <v>948.7</v>
      </c>
      <c r="N338" s="116">
        <v>955.3</v>
      </c>
      <c r="O338" s="116">
        <v>920.05</v>
      </c>
      <c r="P338" s="116">
        <v>922</v>
      </c>
      <c r="Q338" s="116">
        <v>948.7</v>
      </c>
      <c r="R338">
        <v>230497</v>
      </c>
    </row>
    <row r="339" spans="1:18" x14ac:dyDescent="0.25">
      <c r="A339" s="169">
        <v>42510</v>
      </c>
      <c r="B339" s="116">
        <v>13</v>
      </c>
      <c r="C339" s="116">
        <v>12.725</v>
      </c>
      <c r="D339" s="116">
        <v>12.35</v>
      </c>
      <c r="E339" s="116">
        <v>12.35</v>
      </c>
      <c r="F339" s="116">
        <v>25.45</v>
      </c>
      <c r="G339">
        <v>7377</v>
      </c>
      <c r="H339" s="116"/>
      <c r="I339" s="116"/>
      <c r="L339" s="169">
        <v>45617</v>
      </c>
      <c r="M339" s="116">
        <v>914.95</v>
      </c>
      <c r="N339" s="116">
        <v>948</v>
      </c>
      <c r="O339" s="116">
        <v>910.5</v>
      </c>
      <c r="P339" s="116">
        <v>948</v>
      </c>
      <c r="Q339" s="116">
        <v>914.95</v>
      </c>
      <c r="R339">
        <v>185314</v>
      </c>
    </row>
    <row r="340" spans="1:18" x14ac:dyDescent="0.25">
      <c r="A340" s="169">
        <v>42513</v>
      </c>
      <c r="B340" s="116">
        <v>12.975</v>
      </c>
      <c r="C340" s="116">
        <v>12.475</v>
      </c>
      <c r="D340" s="116">
        <v>12.25</v>
      </c>
      <c r="E340" s="116">
        <v>12.25</v>
      </c>
      <c r="F340" s="116">
        <v>24.95</v>
      </c>
      <c r="G340">
        <v>8231</v>
      </c>
      <c r="H340" s="116"/>
      <c r="I340" s="116"/>
      <c r="L340" s="169">
        <v>45618</v>
      </c>
      <c r="M340" s="116">
        <v>913.2</v>
      </c>
      <c r="N340" s="116">
        <v>932.5</v>
      </c>
      <c r="O340" s="116">
        <v>907.95</v>
      </c>
      <c r="P340" s="116">
        <v>912.5</v>
      </c>
      <c r="Q340" s="116">
        <v>913.2</v>
      </c>
      <c r="R340">
        <v>227515</v>
      </c>
    </row>
    <row r="341" spans="1:18" x14ac:dyDescent="0.25">
      <c r="A341" s="169">
        <v>42514</v>
      </c>
      <c r="B341" s="116">
        <v>12.275</v>
      </c>
      <c r="C341" s="116">
        <v>12.225</v>
      </c>
      <c r="D341" s="116">
        <v>12</v>
      </c>
      <c r="E341" s="116">
        <v>12.275</v>
      </c>
      <c r="F341" s="116">
        <v>24.45</v>
      </c>
      <c r="G341">
        <v>16081</v>
      </c>
      <c r="H341" s="116"/>
      <c r="I341" s="116"/>
      <c r="L341" s="169">
        <v>45621</v>
      </c>
      <c r="M341" s="116">
        <v>965.5</v>
      </c>
      <c r="N341" s="116">
        <v>1010</v>
      </c>
      <c r="O341" s="116">
        <v>951.55</v>
      </c>
      <c r="P341" s="116">
        <v>982.5</v>
      </c>
      <c r="Q341" s="116">
        <v>965.5</v>
      </c>
      <c r="R341">
        <v>675255</v>
      </c>
    </row>
    <row r="342" spans="1:18" x14ac:dyDescent="0.25">
      <c r="A342" s="169">
        <v>42515</v>
      </c>
      <c r="B342" s="116">
        <v>12.975</v>
      </c>
      <c r="C342" s="116">
        <v>12.7</v>
      </c>
      <c r="D342" s="116">
        <v>11.5</v>
      </c>
      <c r="E342" s="116">
        <v>11.75</v>
      </c>
      <c r="F342" s="116">
        <v>25.4</v>
      </c>
      <c r="G342">
        <v>37849</v>
      </c>
      <c r="H342" s="116"/>
      <c r="I342" s="116"/>
      <c r="L342" s="169">
        <v>45622</v>
      </c>
      <c r="M342" s="116">
        <v>958.15</v>
      </c>
      <c r="N342" s="116">
        <v>993.45</v>
      </c>
      <c r="O342" s="116">
        <v>952.75</v>
      </c>
      <c r="P342" s="116">
        <v>968.7</v>
      </c>
      <c r="Q342" s="116">
        <v>958.15</v>
      </c>
      <c r="R342">
        <v>328506</v>
      </c>
    </row>
    <row r="343" spans="1:18" x14ac:dyDescent="0.25">
      <c r="A343" s="169">
        <v>42516</v>
      </c>
      <c r="B343" s="116">
        <v>12.6</v>
      </c>
      <c r="C343" s="116">
        <v>12.25</v>
      </c>
      <c r="D343" s="116">
        <v>11.65</v>
      </c>
      <c r="E343" s="116">
        <v>11.65</v>
      </c>
      <c r="F343" s="116">
        <v>24.5</v>
      </c>
      <c r="G343">
        <v>7016</v>
      </c>
      <c r="H343" s="116"/>
      <c r="I343" s="116"/>
      <c r="L343" s="169">
        <v>45623</v>
      </c>
      <c r="M343" s="116">
        <v>961.25</v>
      </c>
      <c r="N343" s="116">
        <v>973.35</v>
      </c>
      <c r="O343" s="116">
        <v>945</v>
      </c>
      <c r="P343" s="116">
        <v>958.95</v>
      </c>
      <c r="Q343" s="116">
        <v>961.25</v>
      </c>
      <c r="R343">
        <v>283675</v>
      </c>
    </row>
    <row r="344" spans="1:18" x14ac:dyDescent="0.25">
      <c r="A344" s="169">
        <v>42517</v>
      </c>
      <c r="B344" s="116">
        <v>12.85</v>
      </c>
      <c r="C344" s="116">
        <v>12.375</v>
      </c>
      <c r="D344" s="116">
        <v>11.3</v>
      </c>
      <c r="E344" s="116">
        <v>11.3</v>
      </c>
      <c r="F344" s="116">
        <v>24.75</v>
      </c>
      <c r="G344">
        <v>2660</v>
      </c>
      <c r="H344" s="116"/>
      <c r="I344" s="116"/>
      <c r="L344" s="169">
        <v>45624</v>
      </c>
      <c r="M344" s="116">
        <v>968.7</v>
      </c>
      <c r="N344" s="116">
        <v>970</v>
      </c>
      <c r="O344" s="116">
        <v>958.45</v>
      </c>
      <c r="P344" s="116">
        <v>961.9</v>
      </c>
      <c r="Q344" s="116">
        <v>968.7</v>
      </c>
      <c r="R344">
        <v>179935</v>
      </c>
    </row>
    <row r="345" spans="1:18" x14ac:dyDescent="0.25">
      <c r="A345" s="169">
        <v>42520</v>
      </c>
      <c r="B345" s="116">
        <v>14.25</v>
      </c>
      <c r="C345" s="116">
        <v>13.8</v>
      </c>
      <c r="D345" s="116">
        <v>12.5</v>
      </c>
      <c r="E345" s="116">
        <v>12.824999999999999</v>
      </c>
      <c r="F345" s="116">
        <v>27.6</v>
      </c>
      <c r="G345">
        <v>44383</v>
      </c>
      <c r="H345" s="116"/>
      <c r="I345" s="116"/>
      <c r="L345" s="169">
        <v>45625</v>
      </c>
      <c r="M345" s="116">
        <v>1039.5</v>
      </c>
      <c r="N345" s="116">
        <v>1063</v>
      </c>
      <c r="O345" s="116">
        <v>972</v>
      </c>
      <c r="P345" s="116">
        <v>977</v>
      </c>
      <c r="Q345" s="116">
        <v>1039.5</v>
      </c>
      <c r="R345">
        <v>2256934</v>
      </c>
    </row>
    <row r="346" spans="1:18" x14ac:dyDescent="0.25">
      <c r="A346" s="169">
        <v>42521</v>
      </c>
      <c r="B346" s="116">
        <v>13.775</v>
      </c>
      <c r="C346" s="116">
        <v>13.375</v>
      </c>
      <c r="D346" s="116">
        <v>13.25</v>
      </c>
      <c r="E346" s="116">
        <v>13.75</v>
      </c>
      <c r="F346" s="116">
        <v>26.75</v>
      </c>
      <c r="G346">
        <v>9856</v>
      </c>
      <c r="H346" s="116"/>
      <c r="I346" s="116"/>
      <c r="L346" s="169">
        <v>45628</v>
      </c>
      <c r="M346" s="116">
        <v>1050.25</v>
      </c>
      <c r="N346" s="116">
        <v>1094.8499999999999</v>
      </c>
      <c r="O346" s="116">
        <v>1041.75</v>
      </c>
      <c r="P346" s="116">
        <v>1055</v>
      </c>
      <c r="Q346" s="116">
        <v>1050.25</v>
      </c>
      <c r="R346">
        <v>860927</v>
      </c>
    </row>
    <row r="347" spans="1:18" x14ac:dyDescent="0.25">
      <c r="A347" s="169">
        <v>42522</v>
      </c>
      <c r="B347" s="116">
        <v>13.75</v>
      </c>
      <c r="C347" s="116">
        <v>13.3</v>
      </c>
      <c r="D347" s="116">
        <v>12.85</v>
      </c>
      <c r="E347" s="116">
        <v>12.85</v>
      </c>
      <c r="F347" s="116">
        <v>26.6</v>
      </c>
      <c r="G347">
        <v>2213</v>
      </c>
      <c r="H347" s="116"/>
      <c r="I347" s="116"/>
      <c r="L347" s="169">
        <v>45629</v>
      </c>
      <c r="M347" s="116">
        <v>1057.3</v>
      </c>
      <c r="N347" s="116">
        <v>1077</v>
      </c>
      <c r="O347" s="116">
        <v>1047.55</v>
      </c>
      <c r="P347" s="116">
        <v>1057.5</v>
      </c>
      <c r="Q347" s="116">
        <v>1057.3</v>
      </c>
      <c r="R347">
        <v>433505</v>
      </c>
    </row>
    <row r="348" spans="1:18" x14ac:dyDescent="0.25">
      <c r="A348" s="169">
        <v>42523</v>
      </c>
      <c r="B348" s="116">
        <v>13.725</v>
      </c>
      <c r="C348" s="116">
        <v>13.625</v>
      </c>
      <c r="D348" s="116">
        <v>13</v>
      </c>
      <c r="E348" s="116">
        <v>13.725</v>
      </c>
      <c r="F348" s="116">
        <v>27.25</v>
      </c>
      <c r="G348">
        <v>172</v>
      </c>
      <c r="H348" s="116"/>
      <c r="I348" s="116"/>
      <c r="L348" s="169">
        <v>45630</v>
      </c>
      <c r="M348" s="116">
        <v>1069.3499999999999</v>
      </c>
      <c r="N348" s="116">
        <v>1076.45</v>
      </c>
      <c r="O348" s="116">
        <v>1052</v>
      </c>
      <c r="P348" s="116">
        <v>1059.1500000000001</v>
      </c>
      <c r="Q348" s="116">
        <v>1069.3499999999999</v>
      </c>
      <c r="R348">
        <v>553366</v>
      </c>
    </row>
    <row r="349" spans="1:18" x14ac:dyDescent="0.25">
      <c r="A349" s="169">
        <v>42524</v>
      </c>
      <c r="B349" s="116">
        <v>14</v>
      </c>
      <c r="C349" s="116">
        <v>13.45</v>
      </c>
      <c r="D349" s="116">
        <v>13</v>
      </c>
      <c r="E349" s="116">
        <v>13.75</v>
      </c>
      <c r="F349" s="116">
        <v>26.9</v>
      </c>
      <c r="G349">
        <v>18856</v>
      </c>
      <c r="H349" s="116"/>
      <c r="I349" s="116"/>
      <c r="L349" s="169">
        <v>45631</v>
      </c>
      <c r="M349" s="116">
        <v>1060.2</v>
      </c>
      <c r="N349" s="116">
        <v>1074.9000000000001</v>
      </c>
      <c r="O349" s="116">
        <v>1054.95</v>
      </c>
      <c r="P349" s="116">
        <v>1072.95</v>
      </c>
      <c r="Q349" s="116">
        <v>1060.2</v>
      </c>
      <c r="R349">
        <v>307120</v>
      </c>
    </row>
    <row r="350" spans="1:18" x14ac:dyDescent="0.25">
      <c r="A350" s="169">
        <v>42527</v>
      </c>
      <c r="B350" s="116">
        <v>13.5</v>
      </c>
      <c r="C350" s="116">
        <v>13.45</v>
      </c>
      <c r="D350" s="116">
        <v>12.55</v>
      </c>
      <c r="E350" s="116">
        <v>13</v>
      </c>
      <c r="F350" s="116">
        <v>26.9</v>
      </c>
      <c r="G350">
        <v>13100</v>
      </c>
      <c r="H350" s="116"/>
      <c r="I350" s="116"/>
      <c r="L350" s="169">
        <v>45632</v>
      </c>
      <c r="M350" s="116">
        <v>1050.8</v>
      </c>
      <c r="N350" s="116">
        <v>1064.5</v>
      </c>
      <c r="O350" s="116">
        <v>1041.5</v>
      </c>
      <c r="P350" s="116">
        <v>1060.0999999999999</v>
      </c>
      <c r="Q350" s="116">
        <v>1050.8</v>
      </c>
      <c r="R350">
        <v>220141</v>
      </c>
    </row>
    <row r="351" spans="1:18" x14ac:dyDescent="0.25">
      <c r="A351" s="169">
        <v>42528</v>
      </c>
      <c r="B351" s="116">
        <v>13.475</v>
      </c>
      <c r="C351" s="116">
        <v>13.425000000000001</v>
      </c>
      <c r="D351" s="116">
        <v>13.1</v>
      </c>
      <c r="E351" s="116">
        <v>13.475</v>
      </c>
      <c r="F351" s="116">
        <v>26.85</v>
      </c>
      <c r="G351">
        <v>14300</v>
      </c>
      <c r="H351" s="116"/>
      <c r="I351" s="116"/>
      <c r="L351" s="169">
        <v>45635</v>
      </c>
      <c r="M351" s="116">
        <v>1098</v>
      </c>
      <c r="N351" s="116">
        <v>1100</v>
      </c>
      <c r="O351" s="116">
        <v>1051.95</v>
      </c>
      <c r="P351" s="116">
        <v>1051.95</v>
      </c>
      <c r="Q351" s="116">
        <v>1098</v>
      </c>
      <c r="R351">
        <v>1823721</v>
      </c>
    </row>
    <row r="352" spans="1:18" x14ac:dyDescent="0.25">
      <c r="A352" s="169">
        <v>42529</v>
      </c>
      <c r="B352" s="116">
        <v>14.5</v>
      </c>
      <c r="C352" s="116">
        <v>14</v>
      </c>
      <c r="D352" s="116">
        <v>13.5</v>
      </c>
      <c r="E352" s="116">
        <v>13.5</v>
      </c>
      <c r="F352" s="116">
        <v>28</v>
      </c>
      <c r="G352">
        <v>51307</v>
      </c>
      <c r="H352" s="116"/>
      <c r="I352" s="116"/>
      <c r="L352" s="169">
        <v>45636</v>
      </c>
      <c r="M352" s="116">
        <v>1125.3</v>
      </c>
      <c r="N352" s="116">
        <v>1130</v>
      </c>
      <c r="O352" s="116">
        <v>1096.05</v>
      </c>
      <c r="P352" s="116">
        <v>1115</v>
      </c>
      <c r="Q352" s="116">
        <v>1125.3</v>
      </c>
      <c r="R352">
        <v>970387</v>
      </c>
    </row>
    <row r="353" spans="1:18" x14ac:dyDescent="0.25">
      <c r="A353" s="169">
        <v>42530</v>
      </c>
      <c r="B353" s="116">
        <v>15.85</v>
      </c>
      <c r="C353" s="116">
        <v>14.5</v>
      </c>
      <c r="D353" s="116">
        <v>13.875</v>
      </c>
      <c r="E353" s="116">
        <v>14.4</v>
      </c>
      <c r="F353" s="116">
        <v>29</v>
      </c>
      <c r="G353">
        <v>553415</v>
      </c>
      <c r="H353" s="116"/>
      <c r="I353" s="116"/>
      <c r="L353" s="169">
        <v>45637</v>
      </c>
      <c r="M353" s="116">
        <v>1117.75</v>
      </c>
      <c r="N353" s="116">
        <v>1139.45</v>
      </c>
      <c r="O353" s="116">
        <v>1102.5999999999999</v>
      </c>
      <c r="P353" s="116">
        <v>1135</v>
      </c>
      <c r="Q353" s="116">
        <v>1117.75</v>
      </c>
      <c r="R353">
        <v>634555</v>
      </c>
    </row>
    <row r="354" spans="1:18" x14ac:dyDescent="0.25">
      <c r="A354" s="169">
        <v>42531</v>
      </c>
      <c r="B354" s="116">
        <v>14.95</v>
      </c>
      <c r="C354" s="116">
        <v>14.65</v>
      </c>
      <c r="D354" s="116">
        <v>14.3</v>
      </c>
      <c r="E354" s="116">
        <v>14.95</v>
      </c>
      <c r="F354" s="116">
        <v>29.3</v>
      </c>
      <c r="G354">
        <v>11715</v>
      </c>
      <c r="H354" s="116"/>
      <c r="I354" s="116"/>
      <c r="L354" s="169">
        <v>45638</v>
      </c>
      <c r="M354" s="116">
        <v>1098.2</v>
      </c>
      <c r="N354" s="116">
        <v>1122.45</v>
      </c>
      <c r="O354" s="116">
        <v>1084.4000000000001</v>
      </c>
      <c r="P354" s="116">
        <v>1122.45</v>
      </c>
      <c r="Q354" s="116">
        <v>1098.2</v>
      </c>
      <c r="R354">
        <v>561074</v>
      </c>
    </row>
    <row r="355" spans="1:18" x14ac:dyDescent="0.25">
      <c r="A355" s="169">
        <v>42534</v>
      </c>
      <c r="B355" s="116">
        <v>15.15</v>
      </c>
      <c r="C355" s="116">
        <v>14.1</v>
      </c>
      <c r="D355" s="116">
        <v>14</v>
      </c>
      <c r="E355" s="116">
        <v>15.15</v>
      </c>
      <c r="F355" s="116">
        <v>28.2</v>
      </c>
      <c r="G355">
        <v>115194</v>
      </c>
      <c r="H355" s="116"/>
      <c r="I355" s="116"/>
      <c r="L355" s="169">
        <v>45639</v>
      </c>
      <c r="M355" s="116">
        <v>1115.6500000000001</v>
      </c>
      <c r="N355" s="116">
        <v>1121</v>
      </c>
      <c r="O355" s="116">
        <v>1092</v>
      </c>
      <c r="P355" s="116">
        <v>1103.3499999999999</v>
      </c>
      <c r="Q355" s="116">
        <v>1115.6500000000001</v>
      </c>
      <c r="R355">
        <v>500424</v>
      </c>
    </row>
    <row r="356" spans="1:18" x14ac:dyDescent="0.25">
      <c r="A356" s="169">
        <v>42535</v>
      </c>
      <c r="B356" s="116">
        <v>14.925000000000001</v>
      </c>
      <c r="C356" s="116">
        <v>14.35</v>
      </c>
      <c r="D356" s="116">
        <v>14</v>
      </c>
      <c r="E356" s="116">
        <v>14.925000000000001</v>
      </c>
      <c r="F356" s="116">
        <v>28.7</v>
      </c>
      <c r="G356">
        <v>69446</v>
      </c>
      <c r="H356" s="116"/>
      <c r="I356" s="116"/>
      <c r="L356" s="169">
        <v>45642</v>
      </c>
      <c r="M356" s="116">
        <v>1148.75</v>
      </c>
      <c r="N356" s="116">
        <v>1158</v>
      </c>
      <c r="O356" s="116">
        <v>1112.05</v>
      </c>
      <c r="P356" s="116">
        <v>1115.6500000000001</v>
      </c>
      <c r="Q356" s="116">
        <v>1148.75</v>
      </c>
      <c r="R356">
        <v>1034277</v>
      </c>
    </row>
    <row r="357" spans="1:18" x14ac:dyDescent="0.25">
      <c r="A357" s="169">
        <v>42536</v>
      </c>
      <c r="B357" s="116">
        <v>15</v>
      </c>
      <c r="C357" s="116">
        <v>14.475</v>
      </c>
      <c r="D357" s="116">
        <v>13.25</v>
      </c>
      <c r="E357" s="116">
        <v>13.25</v>
      </c>
      <c r="F357" s="116">
        <v>28.95</v>
      </c>
      <c r="G357">
        <v>113801</v>
      </c>
      <c r="H357" s="116"/>
      <c r="I357" s="116"/>
      <c r="L357" s="169">
        <v>45643</v>
      </c>
      <c r="M357" s="116">
        <v>1153.75</v>
      </c>
      <c r="N357" s="116">
        <v>1158</v>
      </c>
      <c r="O357" s="116">
        <v>1141</v>
      </c>
      <c r="P357" s="116">
        <v>1151.3</v>
      </c>
      <c r="Q357" s="116">
        <v>1153.75</v>
      </c>
      <c r="R357">
        <v>374344</v>
      </c>
    </row>
    <row r="358" spans="1:18" x14ac:dyDescent="0.25">
      <c r="A358" s="169">
        <v>42537</v>
      </c>
      <c r="B358" s="116">
        <v>14.4</v>
      </c>
      <c r="C358" s="116">
        <v>13.45</v>
      </c>
      <c r="D358" s="116">
        <v>13.4</v>
      </c>
      <c r="E358" s="116">
        <v>13.8</v>
      </c>
      <c r="F358" s="116">
        <v>26.9</v>
      </c>
      <c r="G358">
        <v>437448</v>
      </c>
      <c r="H358" s="116"/>
      <c r="I358" s="116"/>
      <c r="L358" s="169">
        <v>45644</v>
      </c>
      <c r="M358" s="116">
        <v>1178.3499999999999</v>
      </c>
      <c r="N358" s="116">
        <v>1186</v>
      </c>
      <c r="O358" s="116">
        <v>1145.4000000000001</v>
      </c>
      <c r="P358" s="116">
        <v>1159.8</v>
      </c>
      <c r="Q358" s="116">
        <v>1178.3499999999999</v>
      </c>
      <c r="R358">
        <v>1192306</v>
      </c>
    </row>
    <row r="359" spans="1:18" x14ac:dyDescent="0.25">
      <c r="A359" s="169">
        <v>42538</v>
      </c>
      <c r="B359" s="116">
        <v>14.324999999999999</v>
      </c>
      <c r="C359" s="116">
        <v>13.7</v>
      </c>
      <c r="D359" s="116">
        <v>13.2</v>
      </c>
      <c r="E359" s="116">
        <v>14.25</v>
      </c>
      <c r="F359" s="116">
        <v>27.4</v>
      </c>
      <c r="G359">
        <v>6871</v>
      </c>
      <c r="H359" s="116"/>
      <c r="I359" s="116"/>
      <c r="L359" s="169">
        <v>45645</v>
      </c>
      <c r="M359" s="116">
        <v>1141.4000000000001</v>
      </c>
      <c r="N359" s="116">
        <v>1183.0999999999999</v>
      </c>
      <c r="O359" s="116">
        <v>1133</v>
      </c>
      <c r="P359" s="116">
        <v>1160</v>
      </c>
      <c r="Q359" s="116">
        <v>1141.4000000000001</v>
      </c>
      <c r="R359">
        <v>923876</v>
      </c>
    </row>
    <row r="360" spans="1:18" x14ac:dyDescent="0.25">
      <c r="A360" s="169">
        <v>42541</v>
      </c>
      <c r="B360" s="116">
        <v>13.9</v>
      </c>
      <c r="C360" s="116">
        <v>13.725</v>
      </c>
      <c r="D360" s="116">
        <v>12.775</v>
      </c>
      <c r="E360" s="116">
        <v>13.5</v>
      </c>
      <c r="F360" s="116">
        <v>27.45</v>
      </c>
      <c r="G360">
        <v>3526</v>
      </c>
      <c r="H360" s="116"/>
      <c r="I360" s="116"/>
      <c r="L360" s="169">
        <v>45646</v>
      </c>
      <c r="M360" s="116">
        <v>1135</v>
      </c>
      <c r="N360" s="116">
        <v>1182</v>
      </c>
      <c r="O360" s="116">
        <v>1120.0999999999999</v>
      </c>
      <c r="P360" s="116">
        <v>1149</v>
      </c>
      <c r="Q360" s="116">
        <v>1135</v>
      </c>
      <c r="R360">
        <v>869529</v>
      </c>
    </row>
    <row r="361" spans="1:18" x14ac:dyDescent="0.25">
      <c r="A361" s="169">
        <v>42542</v>
      </c>
      <c r="B361" s="116">
        <v>13.65</v>
      </c>
      <c r="C361" s="116">
        <v>13.65</v>
      </c>
      <c r="D361" s="116">
        <v>13.125</v>
      </c>
      <c r="E361" s="116">
        <v>13.625</v>
      </c>
      <c r="F361" s="116">
        <v>27.3</v>
      </c>
      <c r="G361">
        <v>800</v>
      </c>
      <c r="H361" s="116"/>
      <c r="I361" s="116"/>
      <c r="L361" s="169">
        <v>45649</v>
      </c>
      <c r="M361" s="116">
        <v>1162.7</v>
      </c>
      <c r="N361" s="116">
        <v>1169.7</v>
      </c>
      <c r="O361" s="116">
        <v>1128.05</v>
      </c>
      <c r="P361" s="116">
        <v>1128.05</v>
      </c>
      <c r="Q361" s="116">
        <v>1162.7</v>
      </c>
      <c r="R361">
        <v>1141695</v>
      </c>
    </row>
    <row r="362" spans="1:18" x14ac:dyDescent="0.25">
      <c r="A362" s="169">
        <v>42543</v>
      </c>
      <c r="B362" s="116">
        <v>13.875</v>
      </c>
      <c r="C362" s="116">
        <v>13.775</v>
      </c>
      <c r="D362" s="116">
        <v>13.5</v>
      </c>
      <c r="E362" s="116">
        <v>13.65</v>
      </c>
      <c r="F362" s="116">
        <v>27.55</v>
      </c>
      <c r="G362">
        <v>8841</v>
      </c>
      <c r="H362" s="116"/>
      <c r="I362" s="116"/>
      <c r="L362" s="169">
        <v>45650</v>
      </c>
      <c r="M362" s="116">
        <v>1189.1500000000001</v>
      </c>
      <c r="N362" s="116">
        <v>1194</v>
      </c>
      <c r="O362" s="116">
        <v>1156.0999999999999</v>
      </c>
      <c r="P362" s="116">
        <v>1169.9000000000001</v>
      </c>
      <c r="Q362" s="116">
        <v>1189.1500000000001</v>
      </c>
      <c r="R362">
        <v>1198269</v>
      </c>
    </row>
    <row r="363" spans="1:18" x14ac:dyDescent="0.25">
      <c r="A363" s="169">
        <v>42544</v>
      </c>
      <c r="B363" s="116">
        <v>14</v>
      </c>
      <c r="C363" s="116">
        <v>13.25</v>
      </c>
      <c r="D363" s="116">
        <v>12.824999999999999</v>
      </c>
      <c r="E363" s="116">
        <v>12.824999999999999</v>
      </c>
      <c r="F363" s="116">
        <v>26.5</v>
      </c>
      <c r="G363">
        <v>6826</v>
      </c>
      <c r="H363" s="116"/>
      <c r="I363" s="116"/>
      <c r="L363" s="169">
        <v>45652</v>
      </c>
      <c r="M363" s="116">
        <v>1167.3</v>
      </c>
      <c r="N363" s="116">
        <v>1198.3</v>
      </c>
      <c r="O363" s="116">
        <v>1158.6500000000001</v>
      </c>
      <c r="P363" s="116">
        <v>1198.3</v>
      </c>
      <c r="Q363" s="116">
        <v>1167.3</v>
      </c>
      <c r="R363">
        <v>363405</v>
      </c>
    </row>
    <row r="364" spans="1:18" x14ac:dyDescent="0.25">
      <c r="A364" s="169">
        <v>42545</v>
      </c>
      <c r="B364" s="116">
        <v>13.45</v>
      </c>
      <c r="C364" s="116">
        <v>13.25</v>
      </c>
      <c r="D364" s="116">
        <v>12.5</v>
      </c>
      <c r="E364" s="116">
        <v>13.45</v>
      </c>
      <c r="F364" s="116">
        <v>26.5</v>
      </c>
      <c r="G364">
        <v>10661</v>
      </c>
      <c r="H364" s="116"/>
      <c r="I364" s="116"/>
      <c r="L364" s="169">
        <v>45653</v>
      </c>
      <c r="M364" s="116">
        <v>1181.8</v>
      </c>
      <c r="N364" s="116">
        <v>1185.5999999999999</v>
      </c>
      <c r="O364" s="116">
        <v>1161.8</v>
      </c>
      <c r="P364" s="116">
        <v>1167.5</v>
      </c>
      <c r="Q364" s="116">
        <v>1181.8</v>
      </c>
      <c r="R364">
        <v>288300</v>
      </c>
    </row>
    <row r="365" spans="1:18" x14ac:dyDescent="0.25">
      <c r="A365" s="169">
        <v>42548</v>
      </c>
      <c r="B365" s="116">
        <v>14.5</v>
      </c>
      <c r="C365" s="116">
        <v>14.475</v>
      </c>
      <c r="D365" s="116">
        <v>12.75</v>
      </c>
      <c r="E365" s="116">
        <v>12.775</v>
      </c>
      <c r="F365" s="116">
        <v>28.95</v>
      </c>
      <c r="G365">
        <v>28015</v>
      </c>
      <c r="H365" s="116"/>
      <c r="I365" s="116"/>
      <c r="L365" s="169">
        <v>45656</v>
      </c>
      <c r="M365" s="116">
        <v>1215.1500000000001</v>
      </c>
      <c r="N365" s="116">
        <v>1226</v>
      </c>
      <c r="O365" s="116">
        <v>1172.0999999999999</v>
      </c>
      <c r="P365" s="116">
        <v>1189.9000000000001</v>
      </c>
      <c r="Q365" s="116">
        <v>1215.1500000000001</v>
      </c>
      <c r="R365">
        <v>1183598</v>
      </c>
    </row>
    <row r="366" spans="1:18" x14ac:dyDescent="0.25">
      <c r="A366" s="169">
        <v>42549</v>
      </c>
      <c r="B366" s="116">
        <v>17.100000000000001</v>
      </c>
      <c r="C366" s="116">
        <v>15.95</v>
      </c>
      <c r="D366" s="116">
        <v>13.95</v>
      </c>
      <c r="E366" s="116">
        <v>14.475</v>
      </c>
      <c r="F366" s="116">
        <v>31.9</v>
      </c>
      <c r="G366">
        <v>109568</v>
      </c>
      <c r="H366" s="116"/>
      <c r="I366" s="116"/>
      <c r="L366" s="169">
        <v>45657</v>
      </c>
      <c r="M366" s="116">
        <v>1231.8499999999999</v>
      </c>
      <c r="N366" s="116">
        <v>1233</v>
      </c>
      <c r="O366" s="116">
        <v>1195</v>
      </c>
      <c r="P366" s="116">
        <v>1216</v>
      </c>
      <c r="Q366" s="116">
        <v>1231.8499999999999</v>
      </c>
      <c r="R366">
        <v>513975</v>
      </c>
    </row>
    <row r="367" spans="1:18" x14ac:dyDescent="0.25">
      <c r="A367" s="169">
        <v>42550</v>
      </c>
      <c r="B367" s="116">
        <v>16.75</v>
      </c>
      <c r="C367" s="116">
        <v>15.9</v>
      </c>
      <c r="D367" s="116">
        <v>15.55</v>
      </c>
      <c r="E367" s="116">
        <v>16.5</v>
      </c>
      <c r="F367" s="116">
        <v>31.8</v>
      </c>
      <c r="G367">
        <v>80514</v>
      </c>
      <c r="H367" s="116"/>
      <c r="I367" s="116"/>
      <c r="L367" s="169">
        <v>45658</v>
      </c>
      <c r="M367" s="116">
        <v>1263</v>
      </c>
      <c r="N367" s="116">
        <v>1269</v>
      </c>
      <c r="O367" s="116">
        <v>1231.1500000000001</v>
      </c>
      <c r="P367" s="116">
        <v>1238.3</v>
      </c>
      <c r="Q367" s="116">
        <v>1263</v>
      </c>
      <c r="R367">
        <v>932052</v>
      </c>
    </row>
    <row r="368" spans="1:18" x14ac:dyDescent="0.25">
      <c r="A368" s="169">
        <v>42551</v>
      </c>
      <c r="B368" s="116">
        <v>15.95</v>
      </c>
      <c r="C368" s="116">
        <v>15.324999999999999</v>
      </c>
      <c r="D368" s="116">
        <v>15.125</v>
      </c>
      <c r="E368" s="116">
        <v>15.85</v>
      </c>
      <c r="F368" s="116">
        <v>30.65</v>
      </c>
      <c r="G368">
        <v>9729</v>
      </c>
      <c r="H368" s="116"/>
      <c r="I368" s="116"/>
      <c r="L368" s="169">
        <v>45659</v>
      </c>
      <c r="M368" s="116">
        <v>1340.75</v>
      </c>
      <c r="N368" s="116">
        <v>1350</v>
      </c>
      <c r="O368" s="116">
        <v>1263.5</v>
      </c>
      <c r="P368" s="116">
        <v>1271.05</v>
      </c>
      <c r="Q368" s="116">
        <v>1340.75</v>
      </c>
      <c r="R368">
        <v>1992520</v>
      </c>
    </row>
    <row r="369" spans="1:18" x14ac:dyDescent="0.25">
      <c r="A369" s="169">
        <v>42552</v>
      </c>
      <c r="B369" s="116">
        <v>16</v>
      </c>
      <c r="C369" s="116">
        <v>14.525</v>
      </c>
      <c r="D369" s="116">
        <v>14.35</v>
      </c>
      <c r="E369" s="116">
        <v>15.95</v>
      </c>
      <c r="F369" s="116">
        <v>29.05</v>
      </c>
      <c r="G369">
        <v>21347</v>
      </c>
      <c r="H369" s="116"/>
      <c r="I369" s="116"/>
      <c r="L369" s="169">
        <v>45660</v>
      </c>
      <c r="M369" s="116">
        <v>1441.25</v>
      </c>
      <c r="N369" s="116">
        <v>1460</v>
      </c>
      <c r="O369" s="116">
        <v>1325.65</v>
      </c>
      <c r="P369" s="116">
        <v>1360</v>
      </c>
      <c r="Q369" s="116">
        <v>1441.25</v>
      </c>
      <c r="R369">
        <v>3152260</v>
      </c>
    </row>
    <row r="370" spans="1:18" x14ac:dyDescent="0.25">
      <c r="A370" s="169">
        <v>42555</v>
      </c>
      <c r="B370" s="116">
        <v>15</v>
      </c>
      <c r="C370" s="116">
        <v>14.475</v>
      </c>
      <c r="D370" s="116">
        <v>14.25</v>
      </c>
      <c r="E370" s="116">
        <v>14.5</v>
      </c>
      <c r="F370" s="116">
        <v>28.95</v>
      </c>
      <c r="G370">
        <v>6858</v>
      </c>
      <c r="H370" s="116"/>
      <c r="I370" s="116"/>
      <c r="L370" s="169">
        <v>45663</v>
      </c>
      <c r="M370" s="116">
        <v>1384.35</v>
      </c>
      <c r="N370" s="116">
        <v>1447.15</v>
      </c>
      <c r="O370" s="116">
        <v>1325</v>
      </c>
      <c r="P370" s="116">
        <v>1439</v>
      </c>
      <c r="Q370" s="116">
        <v>1384.35</v>
      </c>
      <c r="R370">
        <v>1705094</v>
      </c>
    </row>
    <row r="371" spans="1:18" x14ac:dyDescent="0.25">
      <c r="A371" s="169">
        <v>42556</v>
      </c>
      <c r="B371" s="116">
        <v>14.675000000000001</v>
      </c>
      <c r="C371" s="116">
        <v>14.05</v>
      </c>
      <c r="D371" s="116">
        <v>14.05</v>
      </c>
      <c r="E371" s="116">
        <v>14.45</v>
      </c>
      <c r="F371" s="116">
        <v>28.1</v>
      </c>
      <c r="G371">
        <v>10650</v>
      </c>
      <c r="H371" s="116"/>
      <c r="I371" s="116"/>
      <c r="L371" s="169">
        <v>45664</v>
      </c>
      <c r="M371" s="116">
        <v>1420.9</v>
      </c>
      <c r="N371" s="116">
        <v>1431</v>
      </c>
      <c r="O371" s="116">
        <v>1391</v>
      </c>
      <c r="P371" s="116">
        <v>1405</v>
      </c>
      <c r="Q371" s="116">
        <v>1420.9</v>
      </c>
      <c r="R371">
        <v>700577</v>
      </c>
    </row>
    <row r="372" spans="1:18" x14ac:dyDescent="0.25">
      <c r="A372" s="169">
        <v>42558</v>
      </c>
      <c r="B372" s="116">
        <v>15.5</v>
      </c>
      <c r="C372" s="116">
        <v>13.574999999999999</v>
      </c>
      <c r="D372" s="116">
        <v>13.375</v>
      </c>
      <c r="E372" s="116">
        <v>15.5</v>
      </c>
      <c r="F372" s="116">
        <v>27.15</v>
      </c>
      <c r="G372">
        <v>46786</v>
      </c>
      <c r="H372" s="116"/>
      <c r="I372" s="116"/>
      <c r="L372" s="169">
        <v>45665</v>
      </c>
      <c r="M372" s="116">
        <v>1427.3</v>
      </c>
      <c r="N372" s="116">
        <v>1430</v>
      </c>
      <c r="O372" s="116">
        <v>1403</v>
      </c>
      <c r="P372" s="116">
        <v>1426</v>
      </c>
      <c r="Q372" s="116">
        <v>1427.3</v>
      </c>
      <c r="R372">
        <v>517496</v>
      </c>
    </row>
    <row r="373" spans="1:18" x14ac:dyDescent="0.25">
      <c r="A373" s="169">
        <v>42559</v>
      </c>
      <c r="B373" s="116">
        <v>14.225</v>
      </c>
      <c r="C373" s="116">
        <v>14.074999999999999</v>
      </c>
      <c r="D373" s="116">
        <v>13.775</v>
      </c>
      <c r="E373" s="116">
        <v>13.775</v>
      </c>
      <c r="F373" s="116">
        <v>28.15</v>
      </c>
      <c r="G373">
        <v>59695</v>
      </c>
      <c r="H373" s="116"/>
      <c r="I373" s="116"/>
      <c r="L373" s="169">
        <v>45666</v>
      </c>
      <c r="M373" s="116">
        <v>1435.75</v>
      </c>
      <c r="N373" s="116">
        <v>1449</v>
      </c>
      <c r="O373" s="116">
        <v>1411</v>
      </c>
      <c r="P373" s="116">
        <v>1426</v>
      </c>
      <c r="Q373" s="116">
        <v>1435.75</v>
      </c>
      <c r="R373">
        <v>789529</v>
      </c>
    </row>
    <row r="374" spans="1:18" x14ac:dyDescent="0.25">
      <c r="A374" s="169">
        <v>42562</v>
      </c>
      <c r="B374" s="116">
        <v>14.5</v>
      </c>
      <c r="C374" s="116">
        <v>14.175000000000001</v>
      </c>
      <c r="D374" s="116">
        <v>13.55</v>
      </c>
      <c r="E374" s="116">
        <v>13.55</v>
      </c>
      <c r="F374" s="116">
        <v>28.35</v>
      </c>
      <c r="G374">
        <v>18940</v>
      </c>
      <c r="H374" s="116"/>
      <c r="I374" s="116"/>
      <c r="L374" s="169">
        <v>45667</v>
      </c>
      <c r="M374" s="116">
        <v>1449.65</v>
      </c>
      <c r="N374" s="116">
        <v>1478</v>
      </c>
      <c r="O374" s="116">
        <v>1418</v>
      </c>
      <c r="P374" s="116">
        <v>1435</v>
      </c>
      <c r="Q374" s="116">
        <v>1449.65</v>
      </c>
      <c r="R374">
        <v>1224904</v>
      </c>
    </row>
    <row r="375" spans="1:18" x14ac:dyDescent="0.25">
      <c r="A375" s="169">
        <v>42563</v>
      </c>
      <c r="B375" s="116">
        <v>15.7</v>
      </c>
      <c r="C375" s="116">
        <v>14.85</v>
      </c>
      <c r="D375" s="116">
        <v>14.175000000000001</v>
      </c>
      <c r="E375" s="116">
        <v>14.5</v>
      </c>
      <c r="F375" s="116">
        <v>29.7</v>
      </c>
      <c r="G375">
        <v>592260</v>
      </c>
      <c r="H375" s="116"/>
      <c r="I375" s="116"/>
      <c r="L375" s="169">
        <v>45670</v>
      </c>
      <c r="M375" s="116">
        <v>1371.4</v>
      </c>
      <c r="N375" s="116">
        <v>1446.9</v>
      </c>
      <c r="O375" s="116">
        <v>1355</v>
      </c>
      <c r="P375" s="116">
        <v>1441.9</v>
      </c>
      <c r="Q375" s="116">
        <v>1371.4</v>
      </c>
      <c r="R375">
        <v>817318</v>
      </c>
    </row>
    <row r="376" spans="1:18" x14ac:dyDescent="0.25">
      <c r="A376" s="169">
        <v>42564</v>
      </c>
      <c r="B376" s="116">
        <v>15.5</v>
      </c>
      <c r="C376" s="116">
        <v>14.925000000000001</v>
      </c>
      <c r="D376" s="116">
        <v>14.725</v>
      </c>
      <c r="E376" s="116">
        <v>15</v>
      </c>
      <c r="F376" s="116">
        <v>29.85</v>
      </c>
      <c r="G376">
        <v>55609</v>
      </c>
      <c r="H376" s="116"/>
      <c r="I376" s="116"/>
      <c r="L376" s="169">
        <v>45671</v>
      </c>
      <c r="M376" s="116">
        <v>1418.6</v>
      </c>
      <c r="N376" s="116">
        <v>1424</v>
      </c>
      <c r="O376" s="116">
        <v>1370.05</v>
      </c>
      <c r="P376" s="116">
        <v>1375</v>
      </c>
      <c r="Q376" s="116">
        <v>1418.6</v>
      </c>
      <c r="R376">
        <v>431694</v>
      </c>
    </row>
    <row r="377" spans="1:18" x14ac:dyDescent="0.25">
      <c r="A377" s="169">
        <v>42565</v>
      </c>
      <c r="B377" s="116">
        <v>15.45</v>
      </c>
      <c r="C377" s="116">
        <v>14.45</v>
      </c>
      <c r="D377" s="116">
        <v>14.25</v>
      </c>
      <c r="E377" s="116">
        <v>15.25</v>
      </c>
      <c r="F377" s="116">
        <v>28.9</v>
      </c>
      <c r="G377">
        <v>57092</v>
      </c>
      <c r="H377" s="116"/>
      <c r="I377" s="116"/>
      <c r="L377" s="169">
        <v>45672</v>
      </c>
      <c r="M377" s="116">
        <v>1432.75</v>
      </c>
      <c r="N377" s="116">
        <v>1449</v>
      </c>
      <c r="O377" s="116">
        <v>1418.6</v>
      </c>
      <c r="P377" s="116">
        <v>1425</v>
      </c>
      <c r="Q377" s="116">
        <v>1432.75</v>
      </c>
      <c r="R377">
        <v>508793</v>
      </c>
    </row>
    <row r="378" spans="1:18" x14ac:dyDescent="0.25">
      <c r="A378" s="169">
        <v>42566</v>
      </c>
      <c r="B378" s="116">
        <v>15.25</v>
      </c>
      <c r="C378" s="116">
        <v>15</v>
      </c>
      <c r="D378" s="116">
        <v>14</v>
      </c>
      <c r="E378" s="116">
        <v>14.5</v>
      </c>
      <c r="F378" s="116">
        <v>30</v>
      </c>
      <c r="G378">
        <v>116318</v>
      </c>
      <c r="H378" s="116"/>
      <c r="I378" s="116"/>
      <c r="L378" s="169">
        <v>45673</v>
      </c>
      <c r="M378" s="116">
        <v>1434.5</v>
      </c>
      <c r="N378" s="116">
        <v>1463</v>
      </c>
      <c r="O378" s="116">
        <v>1420</v>
      </c>
      <c r="P378" s="116">
        <v>1450</v>
      </c>
      <c r="Q378" s="116">
        <v>1434.5</v>
      </c>
      <c r="R378">
        <v>661457</v>
      </c>
    </row>
    <row r="379" spans="1:18" x14ac:dyDescent="0.25">
      <c r="A379" s="169">
        <v>42569</v>
      </c>
      <c r="B379" s="116">
        <v>16.149999999999999</v>
      </c>
      <c r="C379" s="116">
        <v>14.574999999999999</v>
      </c>
      <c r="D379" s="116">
        <v>14.15</v>
      </c>
      <c r="E379" s="116">
        <v>15.25</v>
      </c>
      <c r="F379" s="116">
        <v>29.15</v>
      </c>
      <c r="G379">
        <v>28623</v>
      </c>
      <c r="H379" s="116"/>
      <c r="I379" s="116"/>
      <c r="L379" s="169">
        <v>45674</v>
      </c>
      <c r="M379" s="116">
        <v>1423.55</v>
      </c>
      <c r="N379" s="116">
        <v>1444.85</v>
      </c>
      <c r="O379" s="116">
        <v>1408.55</v>
      </c>
      <c r="P379" s="116">
        <v>1435.95</v>
      </c>
      <c r="Q379" s="116">
        <v>1423.55</v>
      </c>
      <c r="R379">
        <v>229944</v>
      </c>
    </row>
    <row r="380" spans="1:18" x14ac:dyDescent="0.25">
      <c r="A380" s="169">
        <v>42570</v>
      </c>
      <c r="B380" s="116">
        <v>14.75</v>
      </c>
      <c r="C380" s="116">
        <v>14.5</v>
      </c>
      <c r="D380" s="116">
        <v>14.5</v>
      </c>
      <c r="E380" s="116">
        <v>14.75</v>
      </c>
      <c r="F380" s="116">
        <v>29</v>
      </c>
      <c r="G380">
        <v>5932</v>
      </c>
      <c r="H380" s="116"/>
      <c r="I380" s="116"/>
      <c r="L380" s="169">
        <v>45677</v>
      </c>
      <c r="M380" s="116">
        <v>1396.1</v>
      </c>
      <c r="N380" s="116">
        <v>1428</v>
      </c>
      <c r="O380" s="116">
        <v>1390</v>
      </c>
      <c r="P380" s="116">
        <v>1425</v>
      </c>
      <c r="Q380" s="116">
        <v>1396.1</v>
      </c>
      <c r="R380">
        <v>251402</v>
      </c>
    </row>
    <row r="381" spans="1:18" x14ac:dyDescent="0.25">
      <c r="A381" s="169">
        <v>42571</v>
      </c>
      <c r="B381" s="116">
        <v>14.95</v>
      </c>
      <c r="C381" s="116">
        <v>14.85</v>
      </c>
      <c r="D381" s="116">
        <v>14.45</v>
      </c>
      <c r="E381" s="116">
        <v>14.95</v>
      </c>
      <c r="F381" s="116">
        <v>29.7</v>
      </c>
      <c r="G381">
        <v>3170</v>
      </c>
      <c r="H381" s="116"/>
      <c r="I381" s="116"/>
      <c r="L381" s="169">
        <v>45678</v>
      </c>
      <c r="M381" s="116">
        <v>1414.15</v>
      </c>
      <c r="N381" s="116">
        <v>1425</v>
      </c>
      <c r="O381" s="116">
        <v>1389.5</v>
      </c>
      <c r="P381" s="116">
        <v>1402</v>
      </c>
      <c r="Q381" s="116">
        <v>1414.15</v>
      </c>
      <c r="R381">
        <v>433503</v>
      </c>
    </row>
    <row r="382" spans="1:18" x14ac:dyDescent="0.25">
      <c r="A382" s="169">
        <v>42572</v>
      </c>
      <c r="B382" s="116">
        <v>14.5</v>
      </c>
      <c r="C382" s="116">
        <v>14.375</v>
      </c>
      <c r="D382" s="116">
        <v>14</v>
      </c>
      <c r="E382" s="116">
        <v>14.5</v>
      </c>
      <c r="F382" s="116">
        <v>28.75</v>
      </c>
      <c r="G382">
        <v>7903</v>
      </c>
      <c r="H382" s="116"/>
      <c r="I382" s="116"/>
      <c r="L382" s="169">
        <v>45679</v>
      </c>
      <c r="M382" s="116">
        <v>1378.4</v>
      </c>
      <c r="N382" s="116">
        <v>1412</v>
      </c>
      <c r="O382" s="116">
        <v>1312.8</v>
      </c>
      <c r="P382" s="116">
        <v>1411.15</v>
      </c>
      <c r="Q382" s="116">
        <v>1378.4</v>
      </c>
      <c r="R382">
        <v>890147</v>
      </c>
    </row>
    <row r="383" spans="1:18" x14ac:dyDescent="0.25">
      <c r="A383" s="169">
        <v>42573</v>
      </c>
      <c r="B383" s="116">
        <v>14.75</v>
      </c>
      <c r="C383" s="116">
        <v>14.125</v>
      </c>
      <c r="D383" s="116">
        <v>13.75</v>
      </c>
      <c r="E383" s="116">
        <v>13.75</v>
      </c>
      <c r="F383" s="116">
        <v>28.25</v>
      </c>
      <c r="G383">
        <v>522611</v>
      </c>
      <c r="H383" s="116"/>
      <c r="I383" s="116"/>
      <c r="L383" s="169">
        <v>45680</v>
      </c>
      <c r="M383" s="116">
        <v>1391.2</v>
      </c>
      <c r="N383" s="116">
        <v>1410</v>
      </c>
      <c r="O383" s="116">
        <v>1359.45</v>
      </c>
      <c r="P383" s="116">
        <v>1378</v>
      </c>
      <c r="Q383" s="116">
        <v>1391.2</v>
      </c>
      <c r="R383">
        <v>343200</v>
      </c>
    </row>
    <row r="384" spans="1:18" x14ac:dyDescent="0.25">
      <c r="A384" s="169">
        <v>42576</v>
      </c>
      <c r="B384" s="116">
        <v>15</v>
      </c>
      <c r="C384" s="116">
        <v>14.2</v>
      </c>
      <c r="D384" s="116">
        <v>14</v>
      </c>
      <c r="E384" s="116">
        <v>14.5</v>
      </c>
      <c r="F384" s="116">
        <v>28.4</v>
      </c>
      <c r="G384">
        <v>35804</v>
      </c>
      <c r="H384" s="116"/>
      <c r="I384" s="116"/>
      <c r="L384" s="169">
        <v>45681</v>
      </c>
      <c r="M384" s="116">
        <v>1375.2</v>
      </c>
      <c r="N384" s="116">
        <v>1421.95</v>
      </c>
      <c r="O384" s="116">
        <v>1368.05</v>
      </c>
      <c r="P384" s="116">
        <v>1398.45</v>
      </c>
      <c r="Q384" s="116">
        <v>1375.2</v>
      </c>
      <c r="R384">
        <v>251307</v>
      </c>
    </row>
    <row r="385" spans="1:18" x14ac:dyDescent="0.25">
      <c r="A385" s="169">
        <v>42577</v>
      </c>
      <c r="B385" s="116">
        <v>15.95</v>
      </c>
      <c r="C385" s="116">
        <v>14.9</v>
      </c>
      <c r="D385" s="116">
        <v>14.3</v>
      </c>
      <c r="E385" s="116">
        <v>15.9</v>
      </c>
      <c r="F385" s="116">
        <v>14.9</v>
      </c>
      <c r="G385">
        <v>103928</v>
      </c>
      <c r="H385" s="116"/>
      <c r="I385" s="116"/>
      <c r="L385" s="169">
        <v>45684</v>
      </c>
      <c r="M385" s="116">
        <v>1294.55</v>
      </c>
      <c r="N385" s="116">
        <v>1372</v>
      </c>
      <c r="O385" s="116">
        <v>1274</v>
      </c>
      <c r="P385" s="116">
        <v>1367</v>
      </c>
      <c r="Q385" s="116">
        <v>1294.55</v>
      </c>
      <c r="R385">
        <v>645317</v>
      </c>
    </row>
    <row r="386" spans="1:18" x14ac:dyDescent="0.25">
      <c r="A386" s="169">
        <v>42578</v>
      </c>
      <c r="B386" s="116">
        <v>15.2</v>
      </c>
      <c r="C386" s="116">
        <v>14.6</v>
      </c>
      <c r="D386" s="116">
        <v>14.3</v>
      </c>
      <c r="E386" s="116">
        <v>14.3</v>
      </c>
      <c r="F386" s="116">
        <v>14.6</v>
      </c>
      <c r="G386">
        <v>30657</v>
      </c>
      <c r="H386" s="116"/>
      <c r="I386" s="116"/>
      <c r="L386" s="169">
        <v>45685</v>
      </c>
      <c r="M386" s="116">
        <v>1231.7</v>
      </c>
      <c r="N386" s="116">
        <v>1307.8499999999999</v>
      </c>
      <c r="O386" s="116">
        <v>1142.4000000000001</v>
      </c>
      <c r="P386" s="116">
        <v>1290</v>
      </c>
      <c r="Q386" s="116">
        <v>1231.7</v>
      </c>
      <c r="R386">
        <v>1601579</v>
      </c>
    </row>
    <row r="387" spans="1:18" x14ac:dyDescent="0.25">
      <c r="A387" s="169">
        <v>42579</v>
      </c>
      <c r="B387" s="116">
        <v>14.95</v>
      </c>
      <c r="C387" s="116">
        <v>14.4</v>
      </c>
      <c r="D387" s="116">
        <v>14</v>
      </c>
      <c r="E387" s="116">
        <v>14.95</v>
      </c>
      <c r="F387" s="116">
        <v>14.4</v>
      </c>
      <c r="G387">
        <v>11687</v>
      </c>
      <c r="H387" s="116"/>
      <c r="I387" s="116"/>
      <c r="L387" s="169">
        <v>45686</v>
      </c>
      <c r="M387" s="116">
        <v>1257.95</v>
      </c>
      <c r="N387" s="116">
        <v>1280</v>
      </c>
      <c r="O387" s="116">
        <v>1204.45</v>
      </c>
      <c r="P387" s="116">
        <v>1210.05</v>
      </c>
      <c r="Q387" s="116">
        <v>1257.95</v>
      </c>
      <c r="R387">
        <v>743894</v>
      </c>
    </row>
    <row r="388" spans="1:18" x14ac:dyDescent="0.25">
      <c r="A388" s="169">
        <v>42580</v>
      </c>
      <c r="B388" s="116">
        <v>15</v>
      </c>
      <c r="C388" s="116">
        <v>14.2</v>
      </c>
      <c r="D388" s="116">
        <v>13.2</v>
      </c>
      <c r="E388" s="116">
        <v>14.05</v>
      </c>
      <c r="F388" s="116">
        <v>14.2</v>
      </c>
      <c r="G388">
        <v>47364</v>
      </c>
      <c r="H388" s="116"/>
      <c r="I388" s="116"/>
      <c r="L388" s="169">
        <v>45687</v>
      </c>
      <c r="M388" s="116">
        <v>1248.5999999999999</v>
      </c>
      <c r="N388" s="116">
        <v>1272.45</v>
      </c>
      <c r="O388" s="116">
        <v>1232.5</v>
      </c>
      <c r="P388" s="116">
        <v>1261</v>
      </c>
      <c r="Q388" s="116">
        <v>1248.5999999999999</v>
      </c>
      <c r="R388">
        <v>376885</v>
      </c>
    </row>
    <row r="389" spans="1:18" x14ac:dyDescent="0.25">
      <c r="A389" s="169">
        <v>42583</v>
      </c>
      <c r="B389" s="116">
        <v>15.1</v>
      </c>
      <c r="C389" s="116">
        <v>14.49</v>
      </c>
      <c r="D389" s="116">
        <v>14</v>
      </c>
      <c r="E389" s="116">
        <v>14.5</v>
      </c>
      <c r="F389" s="116">
        <v>14.49</v>
      </c>
      <c r="G389">
        <v>13117</v>
      </c>
      <c r="H389" s="116"/>
      <c r="I389" s="116"/>
      <c r="L389" s="169">
        <v>45688</v>
      </c>
      <c r="M389" s="116">
        <v>1239.0999999999999</v>
      </c>
      <c r="N389" s="116">
        <v>1264.95</v>
      </c>
      <c r="O389" s="116">
        <v>1225.3</v>
      </c>
      <c r="P389" s="116">
        <v>1247</v>
      </c>
      <c r="Q389" s="116">
        <v>1239.0999999999999</v>
      </c>
      <c r="R389">
        <v>373999</v>
      </c>
    </row>
    <row r="390" spans="1:18" x14ac:dyDescent="0.25">
      <c r="A390" s="169">
        <v>42584</v>
      </c>
      <c r="B390" s="116">
        <v>14.7</v>
      </c>
      <c r="C390" s="116">
        <v>13.99</v>
      </c>
      <c r="D390" s="116">
        <v>13.55</v>
      </c>
      <c r="E390" s="116">
        <v>14.5</v>
      </c>
      <c r="F390" s="116">
        <v>13.99</v>
      </c>
      <c r="G390">
        <v>13704</v>
      </c>
      <c r="H390" s="116"/>
      <c r="I390" s="116"/>
      <c r="L390" s="169">
        <v>45689</v>
      </c>
      <c r="M390" s="116">
        <v>1227.95</v>
      </c>
      <c r="N390" s="116">
        <v>1258.45</v>
      </c>
      <c r="O390" s="116">
        <v>1208</v>
      </c>
      <c r="P390" s="116">
        <v>1232.05</v>
      </c>
      <c r="Q390" s="116">
        <v>1227.95</v>
      </c>
      <c r="R390">
        <v>185191</v>
      </c>
    </row>
    <row r="391" spans="1:18" x14ac:dyDescent="0.25">
      <c r="A391" s="169">
        <v>42585</v>
      </c>
      <c r="B391" s="116">
        <v>14.5</v>
      </c>
      <c r="C391" s="116">
        <v>13.59</v>
      </c>
      <c r="D391" s="116">
        <v>13.4</v>
      </c>
      <c r="E391" s="116">
        <v>13.8</v>
      </c>
      <c r="F391" s="116">
        <v>13.59</v>
      </c>
      <c r="G391">
        <v>22636</v>
      </c>
      <c r="H391" s="116"/>
      <c r="I391" s="116"/>
      <c r="L391" s="169">
        <v>45691</v>
      </c>
      <c r="M391" s="116">
        <v>1157.5999999999999</v>
      </c>
      <c r="N391" s="116">
        <v>1212.25</v>
      </c>
      <c r="O391" s="116">
        <v>1148</v>
      </c>
      <c r="P391" s="116">
        <v>1202</v>
      </c>
      <c r="Q391" s="116">
        <v>1157.5999999999999</v>
      </c>
      <c r="R391">
        <v>521974</v>
      </c>
    </row>
    <row r="392" spans="1:18" x14ac:dyDescent="0.25">
      <c r="A392" s="169">
        <v>42586</v>
      </c>
      <c r="B392" s="116">
        <v>14</v>
      </c>
      <c r="C392" s="116">
        <v>13.1</v>
      </c>
      <c r="D392" s="116">
        <v>12.51</v>
      </c>
      <c r="E392" s="116">
        <v>13.35</v>
      </c>
      <c r="F392" s="116">
        <v>13.1</v>
      </c>
      <c r="G392">
        <v>13126</v>
      </c>
      <c r="H392" s="116"/>
      <c r="I392" s="116"/>
      <c r="L392" s="169">
        <v>45692</v>
      </c>
      <c r="M392" s="116">
        <v>1195.25</v>
      </c>
      <c r="N392" s="116">
        <v>1218.45</v>
      </c>
      <c r="O392" s="116">
        <v>1157.5</v>
      </c>
      <c r="P392" s="116">
        <v>1157.5</v>
      </c>
      <c r="Q392" s="116">
        <v>1195.25</v>
      </c>
      <c r="R392">
        <v>912909</v>
      </c>
    </row>
    <row r="393" spans="1:18" x14ac:dyDescent="0.25">
      <c r="A393" s="169">
        <v>42587</v>
      </c>
      <c r="B393" s="116">
        <v>13.99</v>
      </c>
      <c r="C393" s="116">
        <v>13.7</v>
      </c>
      <c r="D393" s="116">
        <v>12.9</v>
      </c>
      <c r="E393" s="116">
        <v>12.9</v>
      </c>
      <c r="F393" s="116">
        <v>13.7</v>
      </c>
      <c r="G393">
        <v>29581</v>
      </c>
      <c r="H393" s="116"/>
      <c r="I393" s="116"/>
      <c r="L393" s="169">
        <v>45693</v>
      </c>
      <c r="M393" s="116">
        <v>1184.55</v>
      </c>
      <c r="N393" s="116">
        <v>1214.8</v>
      </c>
      <c r="O393" s="116">
        <v>1164.25</v>
      </c>
      <c r="P393" s="116">
        <v>1195.25</v>
      </c>
      <c r="Q393" s="116">
        <v>1184.55</v>
      </c>
      <c r="R393">
        <v>692282</v>
      </c>
    </row>
    <row r="394" spans="1:18" x14ac:dyDescent="0.25">
      <c r="A394" s="169">
        <v>42590</v>
      </c>
      <c r="B394" s="116">
        <v>16.440000000000001</v>
      </c>
      <c r="C394" s="116">
        <v>15.98</v>
      </c>
      <c r="D394" s="116">
        <v>13.75</v>
      </c>
      <c r="E394" s="116">
        <v>13.75</v>
      </c>
      <c r="F394" s="116">
        <v>15.98</v>
      </c>
      <c r="G394">
        <v>413392</v>
      </c>
      <c r="H394" s="116"/>
      <c r="I394" s="116"/>
      <c r="L394" s="169">
        <v>45694</v>
      </c>
      <c r="M394" s="116">
        <v>1204</v>
      </c>
      <c r="N394" s="116">
        <v>1217</v>
      </c>
      <c r="O394" s="116">
        <v>1175</v>
      </c>
      <c r="P394" s="116">
        <v>1175</v>
      </c>
      <c r="Q394" s="116">
        <v>1204</v>
      </c>
      <c r="R394">
        <v>434344</v>
      </c>
    </row>
    <row r="395" spans="1:18" x14ac:dyDescent="0.25">
      <c r="A395" s="169">
        <v>42591</v>
      </c>
      <c r="B395" s="116">
        <v>16.989999999999998</v>
      </c>
      <c r="C395" s="116">
        <v>15.58</v>
      </c>
      <c r="D395" s="116">
        <v>14.8</v>
      </c>
      <c r="E395" s="116">
        <v>15.75</v>
      </c>
      <c r="F395" s="116">
        <v>15.58</v>
      </c>
      <c r="G395">
        <v>343824</v>
      </c>
      <c r="H395" s="116"/>
      <c r="I395" s="116"/>
      <c r="L395" s="169">
        <v>45695</v>
      </c>
      <c r="M395" s="116">
        <v>1222.8499999999999</v>
      </c>
      <c r="N395" s="116">
        <v>1236</v>
      </c>
      <c r="O395" s="116">
        <v>1180</v>
      </c>
      <c r="P395" s="116">
        <v>1195</v>
      </c>
      <c r="Q395" s="116">
        <v>1222.8499999999999</v>
      </c>
      <c r="R395">
        <v>349220</v>
      </c>
    </row>
    <row r="396" spans="1:18" x14ac:dyDescent="0.25">
      <c r="A396" s="169">
        <v>42592</v>
      </c>
      <c r="B396" s="116">
        <v>17</v>
      </c>
      <c r="C396" s="116">
        <v>16.079999999999998</v>
      </c>
      <c r="D396" s="116">
        <v>15</v>
      </c>
      <c r="E396" s="116">
        <v>15.6</v>
      </c>
      <c r="F396" s="116">
        <v>16.079999999999998</v>
      </c>
      <c r="G396">
        <v>157008</v>
      </c>
      <c r="H396" s="116"/>
      <c r="I396" s="116"/>
      <c r="L396" s="169">
        <v>45698</v>
      </c>
      <c r="M396" s="116">
        <v>1175.2</v>
      </c>
      <c r="N396" s="116">
        <v>1221.95</v>
      </c>
      <c r="O396" s="116">
        <v>1156.0999999999999</v>
      </c>
      <c r="P396" s="116">
        <v>1221</v>
      </c>
      <c r="Q396" s="116">
        <v>1175.2</v>
      </c>
      <c r="R396">
        <v>247839</v>
      </c>
    </row>
    <row r="397" spans="1:18" x14ac:dyDescent="0.25">
      <c r="A397" s="169">
        <v>42593</v>
      </c>
      <c r="B397" s="116">
        <v>16.149999999999999</v>
      </c>
      <c r="C397" s="116">
        <v>15.36</v>
      </c>
      <c r="D397" s="116">
        <v>15.1</v>
      </c>
      <c r="E397" s="116">
        <v>16</v>
      </c>
      <c r="F397" s="116">
        <v>15.36</v>
      </c>
      <c r="G397">
        <v>177314</v>
      </c>
      <c r="H397" s="116"/>
      <c r="I397" s="116"/>
      <c r="L397" s="169">
        <v>45699</v>
      </c>
      <c r="M397" s="116">
        <v>1137.9000000000001</v>
      </c>
      <c r="N397" s="116">
        <v>1173.95</v>
      </c>
      <c r="O397" s="116">
        <v>1105.7</v>
      </c>
      <c r="P397" s="116">
        <v>1163</v>
      </c>
      <c r="Q397" s="116">
        <v>1137.9000000000001</v>
      </c>
      <c r="R397">
        <v>531073</v>
      </c>
    </row>
    <row r="398" spans="1:18" x14ac:dyDescent="0.25">
      <c r="A398" s="169">
        <v>42594</v>
      </c>
      <c r="B398" s="116">
        <v>16.43</v>
      </c>
      <c r="C398" s="116">
        <v>15.28</v>
      </c>
      <c r="D398" s="116">
        <v>15.01</v>
      </c>
      <c r="E398" s="116">
        <v>16.43</v>
      </c>
      <c r="F398" s="116">
        <v>15.28</v>
      </c>
      <c r="G398">
        <v>855</v>
      </c>
      <c r="H398" s="116"/>
      <c r="I398" s="116"/>
      <c r="L398" s="169">
        <v>45700</v>
      </c>
      <c r="M398" s="116">
        <v>1181.05</v>
      </c>
      <c r="N398" s="116">
        <v>1196.2</v>
      </c>
      <c r="O398" s="116">
        <v>1101.05</v>
      </c>
      <c r="P398" s="116">
        <v>1101.05</v>
      </c>
      <c r="Q398" s="116">
        <v>1181.05</v>
      </c>
      <c r="R398">
        <v>656972</v>
      </c>
    </row>
    <row r="399" spans="1:18" x14ac:dyDescent="0.25">
      <c r="A399" s="169">
        <v>42598</v>
      </c>
      <c r="B399" s="116">
        <v>15.95</v>
      </c>
      <c r="C399" s="116">
        <v>14.81</v>
      </c>
      <c r="D399" s="116">
        <v>14.75</v>
      </c>
      <c r="E399" s="116">
        <v>14.95</v>
      </c>
      <c r="F399" s="116">
        <v>14.81</v>
      </c>
      <c r="G399">
        <v>22830</v>
      </c>
      <c r="H399" s="116"/>
      <c r="I399" s="116"/>
      <c r="L399" s="169">
        <v>45701</v>
      </c>
      <c r="M399" s="116">
        <v>1192.2</v>
      </c>
      <c r="N399" s="116">
        <v>1217</v>
      </c>
      <c r="O399" s="116">
        <v>1176.0999999999999</v>
      </c>
      <c r="P399" s="116">
        <v>1181.05</v>
      </c>
      <c r="Q399" s="116">
        <v>1192.2</v>
      </c>
      <c r="R399">
        <v>433864</v>
      </c>
    </row>
    <row r="400" spans="1:18" x14ac:dyDescent="0.25">
      <c r="A400" s="169">
        <v>42599</v>
      </c>
      <c r="B400" s="116">
        <v>15</v>
      </c>
      <c r="C400" s="116">
        <v>14.73</v>
      </c>
      <c r="D400" s="116">
        <v>14.5</v>
      </c>
      <c r="E400" s="116">
        <v>14.85</v>
      </c>
      <c r="F400" s="116">
        <v>14.73</v>
      </c>
      <c r="G400">
        <v>7109</v>
      </c>
      <c r="H400" s="116"/>
      <c r="I400" s="116"/>
      <c r="L400" s="169">
        <v>45702</v>
      </c>
      <c r="M400" s="116">
        <v>1136.5</v>
      </c>
      <c r="N400" s="116">
        <v>1198.4000000000001</v>
      </c>
      <c r="O400" s="116">
        <v>1117</v>
      </c>
      <c r="P400" s="116">
        <v>1196.0999999999999</v>
      </c>
      <c r="Q400" s="116">
        <v>1136.5</v>
      </c>
      <c r="R400">
        <v>597064</v>
      </c>
    </row>
    <row r="401" spans="1:18" x14ac:dyDescent="0.25">
      <c r="A401" s="169">
        <v>42600</v>
      </c>
      <c r="B401" s="116">
        <v>14.98</v>
      </c>
      <c r="C401" s="116">
        <v>14.76</v>
      </c>
      <c r="D401" s="116">
        <v>14.4</v>
      </c>
      <c r="E401" s="116">
        <v>14.5</v>
      </c>
      <c r="F401" s="116">
        <v>14.76</v>
      </c>
      <c r="G401">
        <v>2435</v>
      </c>
      <c r="H401" s="116"/>
      <c r="I401" s="116"/>
      <c r="L401" s="169">
        <v>45705</v>
      </c>
      <c r="M401" s="116">
        <v>1129.75</v>
      </c>
      <c r="N401" s="116">
        <v>1149.9000000000001</v>
      </c>
      <c r="O401" s="116">
        <v>1092.6500000000001</v>
      </c>
      <c r="P401" s="116">
        <v>1129.05</v>
      </c>
      <c r="Q401" s="116">
        <v>1129.75</v>
      </c>
      <c r="R401">
        <v>392863</v>
      </c>
    </row>
    <row r="402" spans="1:18" x14ac:dyDescent="0.25">
      <c r="A402" s="169">
        <v>42601</v>
      </c>
      <c r="B402" s="116">
        <v>15.39</v>
      </c>
      <c r="C402" s="116">
        <v>15</v>
      </c>
      <c r="D402" s="116">
        <v>14.3</v>
      </c>
      <c r="E402" s="116">
        <v>15</v>
      </c>
      <c r="F402" s="116">
        <v>15</v>
      </c>
      <c r="G402">
        <v>8525</v>
      </c>
      <c r="H402" s="116"/>
      <c r="I402" s="116"/>
      <c r="L402" s="169">
        <v>45706</v>
      </c>
      <c r="M402" s="116">
        <v>1138</v>
      </c>
      <c r="N402" s="116">
        <v>1144.5</v>
      </c>
      <c r="O402" s="116">
        <v>1095</v>
      </c>
      <c r="P402" s="116">
        <v>1129.95</v>
      </c>
      <c r="Q402" s="116">
        <v>1138</v>
      </c>
      <c r="R402">
        <v>407723</v>
      </c>
    </row>
    <row r="403" spans="1:18" x14ac:dyDescent="0.25">
      <c r="A403" s="169">
        <v>42604</v>
      </c>
      <c r="B403" s="116">
        <v>16.350000000000001</v>
      </c>
      <c r="C403" s="116">
        <v>15.62</v>
      </c>
      <c r="D403" s="116">
        <v>14.45</v>
      </c>
      <c r="E403" s="116">
        <v>14.56</v>
      </c>
      <c r="F403" s="116">
        <v>15.62</v>
      </c>
      <c r="G403">
        <v>1166559</v>
      </c>
      <c r="H403" s="116"/>
      <c r="I403" s="116"/>
      <c r="L403" s="169">
        <v>45707</v>
      </c>
      <c r="M403" s="116">
        <v>1171.9000000000001</v>
      </c>
      <c r="N403" s="116">
        <v>1179.2</v>
      </c>
      <c r="O403" s="116">
        <v>1110.8</v>
      </c>
      <c r="P403" s="116">
        <v>1116.05</v>
      </c>
      <c r="Q403" s="116">
        <v>1171.9000000000001</v>
      </c>
      <c r="R403">
        <v>266946</v>
      </c>
    </row>
    <row r="404" spans="1:18" x14ac:dyDescent="0.25">
      <c r="A404" s="169">
        <v>42605</v>
      </c>
      <c r="B404" s="116">
        <v>16</v>
      </c>
      <c r="C404" s="116">
        <v>15.6</v>
      </c>
      <c r="D404" s="116">
        <v>15</v>
      </c>
      <c r="E404" s="116">
        <v>16</v>
      </c>
      <c r="F404" s="116">
        <v>15.6</v>
      </c>
      <c r="G404">
        <v>23550</v>
      </c>
      <c r="H404" s="116"/>
      <c r="I404" s="116"/>
      <c r="L404" s="169">
        <v>45708</v>
      </c>
      <c r="M404" s="116">
        <v>1193.0999999999999</v>
      </c>
      <c r="N404" s="116">
        <v>1218.8</v>
      </c>
      <c r="O404" s="116">
        <v>1164.5999999999999</v>
      </c>
      <c r="P404" s="116">
        <v>1176.75</v>
      </c>
      <c r="Q404" s="116">
        <v>1193.0999999999999</v>
      </c>
      <c r="R404">
        <v>341203</v>
      </c>
    </row>
    <row r="405" spans="1:18" x14ac:dyDescent="0.25">
      <c r="A405" s="169">
        <v>42606</v>
      </c>
      <c r="B405" s="116">
        <v>16</v>
      </c>
      <c r="C405" s="116">
        <v>15.67</v>
      </c>
      <c r="D405" s="116">
        <v>15.05</v>
      </c>
      <c r="E405" s="116">
        <v>15.6</v>
      </c>
      <c r="F405" s="116">
        <v>15.67</v>
      </c>
      <c r="G405">
        <v>53189</v>
      </c>
      <c r="H405" s="116"/>
      <c r="I405" s="116"/>
      <c r="L405" s="169">
        <v>45709</v>
      </c>
      <c r="M405" s="116">
        <v>1193.55</v>
      </c>
      <c r="N405" s="116">
        <v>1202</v>
      </c>
      <c r="O405" s="116">
        <v>1170.45</v>
      </c>
      <c r="P405" s="116">
        <v>1191.6500000000001</v>
      </c>
      <c r="Q405" s="116">
        <v>1193.55</v>
      </c>
      <c r="R405">
        <v>271500</v>
      </c>
    </row>
    <row r="406" spans="1:18" x14ac:dyDescent="0.25">
      <c r="A406" s="169">
        <v>42607</v>
      </c>
      <c r="B406" s="116">
        <v>16</v>
      </c>
      <c r="C406" s="116">
        <v>15.15</v>
      </c>
      <c r="D406" s="116">
        <v>15</v>
      </c>
      <c r="E406" s="116">
        <v>15.99</v>
      </c>
      <c r="F406" s="116">
        <v>15.15</v>
      </c>
      <c r="G406">
        <v>32836</v>
      </c>
      <c r="H406" s="116"/>
      <c r="I406" s="116"/>
      <c r="L406" s="169">
        <v>45712</v>
      </c>
      <c r="M406" s="116">
        <v>1146.6500000000001</v>
      </c>
      <c r="N406" s="116">
        <v>1181.9000000000001</v>
      </c>
      <c r="O406" s="116">
        <v>1145</v>
      </c>
      <c r="P406" s="116">
        <v>1179.45</v>
      </c>
      <c r="Q406" s="116">
        <v>1146.6500000000001</v>
      </c>
      <c r="R406">
        <v>340681</v>
      </c>
    </row>
    <row r="407" spans="1:18" x14ac:dyDescent="0.25">
      <c r="A407" s="169">
        <v>42608</v>
      </c>
      <c r="B407" s="116">
        <v>16</v>
      </c>
      <c r="C407" s="116">
        <v>14.72</v>
      </c>
      <c r="D407" s="116">
        <v>14.31</v>
      </c>
      <c r="E407" s="116">
        <v>15.25</v>
      </c>
      <c r="F407" s="116">
        <v>14.72</v>
      </c>
      <c r="G407">
        <v>24380</v>
      </c>
      <c r="H407" s="116"/>
      <c r="I407" s="116"/>
      <c r="L407" s="169">
        <v>45713</v>
      </c>
      <c r="M407" s="116">
        <v>1123.95</v>
      </c>
      <c r="N407" s="116">
        <v>1157.3</v>
      </c>
      <c r="O407" s="116">
        <v>1116.5</v>
      </c>
      <c r="P407" s="116">
        <v>1142</v>
      </c>
      <c r="Q407" s="116">
        <v>1123.95</v>
      </c>
      <c r="R407">
        <v>317181</v>
      </c>
    </row>
    <row r="408" spans="1:18" x14ac:dyDescent="0.25">
      <c r="A408" s="169">
        <v>42611</v>
      </c>
      <c r="B408" s="116">
        <v>15.48</v>
      </c>
      <c r="C408" s="116">
        <v>14.87</v>
      </c>
      <c r="D408" s="116">
        <v>14.75</v>
      </c>
      <c r="E408" s="116">
        <v>15</v>
      </c>
      <c r="F408" s="116">
        <v>14.87</v>
      </c>
      <c r="G408">
        <v>25932</v>
      </c>
      <c r="H408" s="116"/>
      <c r="I408" s="116"/>
      <c r="L408" s="169">
        <v>45715</v>
      </c>
      <c r="M408" s="116">
        <v>1058</v>
      </c>
      <c r="N408" s="116">
        <v>1129.75</v>
      </c>
      <c r="O408" s="116">
        <v>1049.3499999999999</v>
      </c>
      <c r="P408" s="116">
        <v>1123.95</v>
      </c>
      <c r="Q408" s="116">
        <v>1058</v>
      </c>
      <c r="R408">
        <v>516228</v>
      </c>
    </row>
    <row r="409" spans="1:18" x14ac:dyDescent="0.25">
      <c r="A409" s="169">
        <v>42612</v>
      </c>
      <c r="B409" s="116">
        <v>15.51</v>
      </c>
      <c r="C409" s="116">
        <v>15.25</v>
      </c>
      <c r="D409" s="116">
        <v>14.21</v>
      </c>
      <c r="E409" s="116">
        <v>14.9</v>
      </c>
      <c r="F409" s="116">
        <v>15.25</v>
      </c>
      <c r="G409">
        <v>74701</v>
      </c>
      <c r="H409" s="116"/>
      <c r="I409" s="116"/>
      <c r="L409" s="169">
        <v>45716</v>
      </c>
      <c r="M409" s="116">
        <v>1021.1</v>
      </c>
      <c r="N409" s="116">
        <v>1076.95</v>
      </c>
      <c r="O409" s="116">
        <v>999.5</v>
      </c>
      <c r="P409" s="116">
        <v>1037.95</v>
      </c>
      <c r="Q409" s="116">
        <v>1021.1</v>
      </c>
      <c r="R409">
        <v>641511</v>
      </c>
    </row>
    <row r="410" spans="1:18" x14ac:dyDescent="0.25">
      <c r="A410" s="169">
        <v>42613</v>
      </c>
      <c r="B410" s="116">
        <v>15.49</v>
      </c>
      <c r="C410" s="116">
        <v>14.7</v>
      </c>
      <c r="D410" s="116">
        <v>14.5</v>
      </c>
      <c r="E410" s="116">
        <v>14.66</v>
      </c>
      <c r="F410" s="116">
        <v>14.7</v>
      </c>
      <c r="G410">
        <v>26373</v>
      </c>
      <c r="H410" s="116"/>
      <c r="I410" s="116"/>
      <c r="L410" s="169">
        <v>45719</v>
      </c>
      <c r="M410" s="116">
        <v>983.1</v>
      </c>
      <c r="N410" s="116">
        <v>1037.4000000000001</v>
      </c>
      <c r="O410" s="116">
        <v>942.15</v>
      </c>
      <c r="P410" s="116">
        <v>1030.3499999999999</v>
      </c>
      <c r="Q410" s="116">
        <v>983.1</v>
      </c>
      <c r="R410">
        <v>607934</v>
      </c>
    </row>
    <row r="411" spans="1:18" x14ac:dyDescent="0.25">
      <c r="A411" s="169">
        <v>42614</v>
      </c>
      <c r="B411" s="116">
        <v>14.97</v>
      </c>
      <c r="C411" s="116">
        <v>14.44</v>
      </c>
      <c r="D411" s="116">
        <v>14.32</v>
      </c>
      <c r="E411" s="116">
        <v>14.97</v>
      </c>
      <c r="F411" s="116">
        <v>14.44</v>
      </c>
      <c r="G411">
        <v>32154</v>
      </c>
      <c r="H411" s="116"/>
      <c r="I411" s="116"/>
      <c r="L411" s="169">
        <v>45720</v>
      </c>
      <c r="M411" s="116">
        <v>970.6</v>
      </c>
      <c r="N411" s="116">
        <v>1008.45</v>
      </c>
      <c r="O411" s="116">
        <v>957.1</v>
      </c>
      <c r="P411" s="116">
        <v>979.75</v>
      </c>
      <c r="Q411" s="116">
        <v>970.6</v>
      </c>
      <c r="R411">
        <v>555851</v>
      </c>
    </row>
    <row r="412" spans="1:18" x14ac:dyDescent="0.25">
      <c r="A412" s="169">
        <v>42615</v>
      </c>
      <c r="B412" s="116">
        <v>14.98</v>
      </c>
      <c r="C412" s="116">
        <v>14.84</v>
      </c>
      <c r="D412" s="116">
        <v>14.55</v>
      </c>
      <c r="E412" s="116">
        <v>14.56</v>
      </c>
      <c r="F412" s="116">
        <v>14.84</v>
      </c>
      <c r="G412">
        <v>21047</v>
      </c>
      <c r="H412" s="116"/>
      <c r="I412" s="116"/>
      <c r="L412" s="169">
        <v>45721</v>
      </c>
      <c r="M412" s="116">
        <v>1027.8</v>
      </c>
      <c r="N412" s="116">
        <v>1038.4000000000001</v>
      </c>
      <c r="O412" s="116">
        <v>959.2</v>
      </c>
      <c r="P412" s="116">
        <v>979.7</v>
      </c>
      <c r="Q412" s="116">
        <v>1027.8</v>
      </c>
      <c r="R412">
        <v>748721</v>
      </c>
    </row>
    <row r="413" spans="1:18" x14ac:dyDescent="0.25">
      <c r="A413" s="169">
        <v>42619</v>
      </c>
      <c r="B413" s="116">
        <v>15.47</v>
      </c>
      <c r="C413" s="116">
        <v>14.46</v>
      </c>
      <c r="D413" s="116">
        <v>14.2</v>
      </c>
      <c r="E413" s="116">
        <v>14.95</v>
      </c>
      <c r="F413" s="116">
        <v>14.46</v>
      </c>
      <c r="G413">
        <v>78221</v>
      </c>
      <c r="H413" s="116"/>
      <c r="I413" s="116"/>
      <c r="L413" s="169">
        <v>45722</v>
      </c>
      <c r="M413" s="116">
        <v>1103.5999999999999</v>
      </c>
      <c r="N413" s="116">
        <v>1120</v>
      </c>
      <c r="O413" s="116">
        <v>1025.1500000000001</v>
      </c>
      <c r="P413" s="116">
        <v>1047.7</v>
      </c>
      <c r="Q413" s="116">
        <v>1103.5999999999999</v>
      </c>
      <c r="R413">
        <v>1029440</v>
      </c>
    </row>
    <row r="414" spans="1:18" x14ac:dyDescent="0.25">
      <c r="A414" s="169">
        <v>42620</v>
      </c>
      <c r="B414" s="116">
        <v>14.85</v>
      </c>
      <c r="C414" s="116">
        <v>14.39</v>
      </c>
      <c r="D414" s="116">
        <v>14.35</v>
      </c>
      <c r="E414" s="116">
        <v>14.85</v>
      </c>
      <c r="F414" s="116">
        <v>14.39</v>
      </c>
      <c r="G414">
        <v>16648</v>
      </c>
      <c r="H414" s="116"/>
      <c r="I414" s="116"/>
      <c r="L414" s="169">
        <v>45723</v>
      </c>
      <c r="M414" s="116">
        <v>1151.7</v>
      </c>
      <c r="N414" s="116">
        <v>1156</v>
      </c>
      <c r="O414" s="116">
        <v>1110.1500000000001</v>
      </c>
      <c r="P414" s="116">
        <v>1110.1500000000001</v>
      </c>
      <c r="Q414" s="116">
        <v>1151.7</v>
      </c>
      <c r="R414">
        <v>814016</v>
      </c>
    </row>
    <row r="415" spans="1:18" x14ac:dyDescent="0.25">
      <c r="A415" s="169">
        <v>42621</v>
      </c>
      <c r="B415" s="116">
        <v>14.94</v>
      </c>
      <c r="C415" s="116">
        <v>14.21</v>
      </c>
      <c r="D415" s="116">
        <v>14.1</v>
      </c>
      <c r="E415" s="116">
        <v>14.94</v>
      </c>
      <c r="F415" s="116">
        <v>14.21</v>
      </c>
      <c r="G415">
        <v>45262</v>
      </c>
      <c r="H415" s="116"/>
      <c r="I415" s="116"/>
      <c r="L415" s="169">
        <v>45726</v>
      </c>
      <c r="M415" s="116">
        <v>1155.6500000000001</v>
      </c>
      <c r="N415" s="116">
        <v>1176.7</v>
      </c>
      <c r="O415" s="116">
        <v>1145</v>
      </c>
      <c r="P415" s="116">
        <v>1155</v>
      </c>
      <c r="Q415" s="116">
        <v>1155.6500000000001</v>
      </c>
      <c r="R415">
        <v>569950</v>
      </c>
    </row>
    <row r="416" spans="1:18" x14ac:dyDescent="0.25">
      <c r="A416" s="169">
        <v>42622</v>
      </c>
      <c r="B416" s="116">
        <v>14.49</v>
      </c>
      <c r="C416" s="116">
        <v>14.08</v>
      </c>
      <c r="D416" s="116">
        <v>13.7</v>
      </c>
      <c r="E416" s="116">
        <v>14</v>
      </c>
      <c r="F416" s="116">
        <v>14.08</v>
      </c>
      <c r="G416">
        <v>21752</v>
      </c>
      <c r="H416" s="116"/>
      <c r="I416" s="116"/>
      <c r="L416" s="169">
        <v>45727</v>
      </c>
      <c r="M416" s="116">
        <v>1143.45</v>
      </c>
      <c r="N416" s="116">
        <v>1152</v>
      </c>
      <c r="O416" s="116">
        <v>1113.45</v>
      </c>
      <c r="P416" s="116">
        <v>1140.5</v>
      </c>
      <c r="Q416" s="116">
        <v>1143.45</v>
      </c>
      <c r="R416">
        <v>411028</v>
      </c>
    </row>
    <row r="417" spans="1:18" x14ac:dyDescent="0.25">
      <c r="A417" s="169">
        <v>42625</v>
      </c>
      <c r="B417" s="116">
        <v>14.24</v>
      </c>
      <c r="C417" s="116">
        <v>13.92</v>
      </c>
      <c r="D417" s="116">
        <v>13.9</v>
      </c>
      <c r="E417" s="116">
        <v>14</v>
      </c>
      <c r="F417" s="116">
        <v>13.92</v>
      </c>
      <c r="G417">
        <v>25052</v>
      </c>
      <c r="H417" s="116"/>
      <c r="I417" s="116"/>
      <c r="L417" s="169">
        <v>45728</v>
      </c>
      <c r="M417" s="116">
        <v>1114.25</v>
      </c>
      <c r="N417" s="116">
        <v>1161.9000000000001</v>
      </c>
      <c r="O417" s="116">
        <v>1107.7</v>
      </c>
      <c r="P417" s="116">
        <v>1147.95</v>
      </c>
      <c r="Q417" s="116">
        <v>1114.25</v>
      </c>
      <c r="R417">
        <v>246949</v>
      </c>
    </row>
    <row r="418" spans="1:18" x14ac:dyDescent="0.25">
      <c r="A418" s="169">
        <v>42627</v>
      </c>
      <c r="B418" s="116">
        <v>14</v>
      </c>
      <c r="C418" s="116">
        <v>13.77</v>
      </c>
      <c r="D418" s="116">
        <v>13.75</v>
      </c>
      <c r="E418" s="116">
        <v>13.9</v>
      </c>
      <c r="F418" s="116">
        <v>13.77</v>
      </c>
      <c r="G418">
        <v>8650</v>
      </c>
      <c r="H418" s="116"/>
      <c r="I418" s="116"/>
      <c r="L418" s="169">
        <v>45729</v>
      </c>
      <c r="M418" s="116">
        <v>1121.8</v>
      </c>
      <c r="N418" s="116">
        <v>1141.8499999999999</v>
      </c>
      <c r="O418" s="116">
        <v>1113.6500000000001</v>
      </c>
      <c r="P418" s="116">
        <v>1130</v>
      </c>
      <c r="Q418" s="116">
        <v>1121.8</v>
      </c>
      <c r="R418">
        <v>200283</v>
      </c>
    </row>
    <row r="419" spans="1:18" x14ac:dyDescent="0.25">
      <c r="A419" s="169">
        <v>42628</v>
      </c>
      <c r="B419" s="116">
        <v>14.69</v>
      </c>
      <c r="C419" s="116">
        <v>13.76</v>
      </c>
      <c r="D419" s="116">
        <v>13.6</v>
      </c>
      <c r="E419" s="116">
        <v>13.8</v>
      </c>
      <c r="F419" s="116">
        <v>13.76</v>
      </c>
      <c r="G419">
        <v>27355</v>
      </c>
      <c r="H419" s="116"/>
      <c r="I419" s="116"/>
      <c r="L419" s="169">
        <v>45733</v>
      </c>
      <c r="M419" s="116">
        <v>1123.95</v>
      </c>
      <c r="N419" s="116">
        <v>1138.0999999999999</v>
      </c>
      <c r="O419" s="116">
        <v>1114</v>
      </c>
      <c r="P419" s="116">
        <v>1135.05</v>
      </c>
      <c r="Q419" s="116">
        <v>1123.95</v>
      </c>
      <c r="R419">
        <v>188164</v>
      </c>
    </row>
    <row r="420" spans="1:18" x14ac:dyDescent="0.25">
      <c r="A420" s="169">
        <v>42629</v>
      </c>
      <c r="B420" s="116">
        <v>14.15</v>
      </c>
      <c r="C420" s="116">
        <v>13.9</v>
      </c>
      <c r="D420" s="116">
        <v>13.55</v>
      </c>
      <c r="E420" s="116">
        <v>14</v>
      </c>
      <c r="F420" s="116">
        <v>13.9</v>
      </c>
      <c r="G420">
        <v>35952</v>
      </c>
      <c r="H420" s="116"/>
      <c r="I420" s="116"/>
      <c r="L420" s="169">
        <v>45734</v>
      </c>
      <c r="M420" s="116">
        <v>1196.0999999999999</v>
      </c>
      <c r="N420" s="116">
        <v>1201</v>
      </c>
      <c r="O420" s="116">
        <v>1121.5999999999999</v>
      </c>
      <c r="P420" s="116">
        <v>1130</v>
      </c>
      <c r="Q420" s="116">
        <v>1196.0999999999999</v>
      </c>
      <c r="R420">
        <v>552100</v>
      </c>
    </row>
    <row r="421" spans="1:18" x14ac:dyDescent="0.25">
      <c r="A421" s="169">
        <v>42632</v>
      </c>
      <c r="B421" s="116">
        <v>15.34</v>
      </c>
      <c r="C421" s="116">
        <v>15.14</v>
      </c>
      <c r="D421" s="116">
        <v>14</v>
      </c>
      <c r="E421" s="116">
        <v>14</v>
      </c>
      <c r="F421" s="116">
        <v>15.14</v>
      </c>
      <c r="G421">
        <v>97369</v>
      </c>
      <c r="H421" s="116"/>
      <c r="I421" s="116"/>
      <c r="L421" s="169">
        <v>45735</v>
      </c>
      <c r="M421" s="116">
        <v>1249.45</v>
      </c>
      <c r="N421" s="116">
        <v>1258.4000000000001</v>
      </c>
      <c r="O421" s="116">
        <v>1199</v>
      </c>
      <c r="P421" s="116">
        <v>1213</v>
      </c>
      <c r="Q421" s="116">
        <v>1249.45</v>
      </c>
      <c r="R421">
        <v>575227</v>
      </c>
    </row>
    <row r="422" spans="1:18" x14ac:dyDescent="0.25">
      <c r="A422" s="169">
        <v>42633</v>
      </c>
      <c r="B422" s="116">
        <v>17.25</v>
      </c>
      <c r="C422" s="116">
        <v>16.43</v>
      </c>
      <c r="D422" s="116">
        <v>14.5</v>
      </c>
      <c r="E422" s="116">
        <v>15</v>
      </c>
      <c r="F422" s="116">
        <v>16.43</v>
      </c>
      <c r="G422">
        <v>435481</v>
      </c>
      <c r="H422" s="116"/>
      <c r="I422" s="116"/>
      <c r="L422" s="169">
        <v>45736</v>
      </c>
      <c r="M422" s="116">
        <v>1256.9000000000001</v>
      </c>
      <c r="N422" s="116">
        <v>1297</v>
      </c>
      <c r="O422" s="116">
        <v>1250</v>
      </c>
      <c r="P422" s="116">
        <v>1260</v>
      </c>
      <c r="Q422" s="116">
        <v>1256.9000000000001</v>
      </c>
      <c r="R422">
        <v>702817</v>
      </c>
    </row>
    <row r="423" spans="1:18" x14ac:dyDescent="0.25">
      <c r="A423" s="169">
        <v>42634</v>
      </c>
      <c r="B423" s="116">
        <v>17.399999999999999</v>
      </c>
      <c r="C423" s="116">
        <v>15.73</v>
      </c>
      <c r="D423" s="116">
        <v>15.5</v>
      </c>
      <c r="E423" s="116">
        <v>16.2</v>
      </c>
      <c r="F423" s="116">
        <v>15.73</v>
      </c>
      <c r="G423">
        <v>346439</v>
      </c>
      <c r="H423" s="116"/>
      <c r="I423" s="116"/>
      <c r="L423" s="169">
        <v>45737</v>
      </c>
      <c r="M423" s="116">
        <v>1312.15</v>
      </c>
      <c r="N423" s="116">
        <v>1317</v>
      </c>
      <c r="O423" s="116">
        <v>1257.8</v>
      </c>
      <c r="P423" s="116">
        <v>1278</v>
      </c>
      <c r="Q423" s="116">
        <v>1312.15</v>
      </c>
      <c r="R423">
        <v>1024910</v>
      </c>
    </row>
    <row r="424" spans="1:18" x14ac:dyDescent="0.25">
      <c r="A424" s="169">
        <v>42635</v>
      </c>
      <c r="B424" s="116">
        <v>16.7</v>
      </c>
      <c r="C424" s="116">
        <v>15.22</v>
      </c>
      <c r="D424" s="116">
        <v>15.01</v>
      </c>
      <c r="E424" s="116">
        <v>16.350000000000001</v>
      </c>
      <c r="F424" s="116">
        <v>15.22</v>
      </c>
      <c r="G424">
        <v>220081</v>
      </c>
      <c r="H424" s="116"/>
      <c r="I424" s="116"/>
      <c r="L424" s="169">
        <v>45740</v>
      </c>
      <c r="M424" s="116">
        <v>1305.8</v>
      </c>
      <c r="N424" s="116">
        <v>1346.45</v>
      </c>
      <c r="O424" s="116">
        <v>1300</v>
      </c>
      <c r="P424" s="116">
        <v>1336</v>
      </c>
      <c r="Q424" s="116">
        <v>1305.8</v>
      </c>
      <c r="R424">
        <v>476943</v>
      </c>
    </row>
    <row r="425" spans="1:18" x14ac:dyDescent="0.25">
      <c r="A425" s="169">
        <v>42636</v>
      </c>
      <c r="B425" s="116">
        <v>15.38</v>
      </c>
      <c r="C425" s="116">
        <v>14.93</v>
      </c>
      <c r="D425" s="116">
        <v>14.9</v>
      </c>
      <c r="E425" s="116">
        <v>15.31</v>
      </c>
      <c r="F425" s="116">
        <v>14.93</v>
      </c>
      <c r="G425">
        <v>47584</v>
      </c>
      <c r="H425" s="116"/>
      <c r="I425" s="116"/>
      <c r="L425" s="169">
        <v>45741</v>
      </c>
      <c r="M425" s="116">
        <v>1279.2</v>
      </c>
      <c r="N425" s="116">
        <v>1321.7</v>
      </c>
      <c r="O425" s="116">
        <v>1270</v>
      </c>
      <c r="P425" s="116">
        <v>1315.1</v>
      </c>
      <c r="Q425" s="116">
        <v>1279.2</v>
      </c>
      <c r="R425">
        <v>378511</v>
      </c>
    </row>
    <row r="426" spans="1:18" x14ac:dyDescent="0.25">
      <c r="A426" s="169">
        <v>42639</v>
      </c>
      <c r="B426" s="116">
        <v>15</v>
      </c>
      <c r="C426" s="116">
        <v>14.43</v>
      </c>
      <c r="D426" s="116">
        <v>14.4</v>
      </c>
      <c r="E426" s="116">
        <v>15</v>
      </c>
      <c r="F426" s="116">
        <v>14.43</v>
      </c>
      <c r="G426">
        <v>74530</v>
      </c>
      <c r="H426" s="116"/>
      <c r="I426" s="116"/>
      <c r="L426" s="169">
        <v>45742</v>
      </c>
      <c r="M426" s="116">
        <v>1266.2</v>
      </c>
      <c r="N426" s="116">
        <v>1299.4000000000001</v>
      </c>
      <c r="O426" s="116">
        <v>1260</v>
      </c>
      <c r="P426" s="116">
        <v>1297.7</v>
      </c>
      <c r="Q426" s="116">
        <v>1266.2</v>
      </c>
      <c r="R426">
        <v>268809</v>
      </c>
    </row>
    <row r="427" spans="1:18" x14ac:dyDescent="0.25">
      <c r="A427" s="169">
        <v>42640</v>
      </c>
      <c r="B427" s="116">
        <v>14.98</v>
      </c>
      <c r="C427" s="116">
        <v>14.4</v>
      </c>
      <c r="D427" s="116">
        <v>14.35</v>
      </c>
      <c r="E427" s="116">
        <v>14.6</v>
      </c>
      <c r="F427" s="116">
        <v>14.4</v>
      </c>
      <c r="G427">
        <v>79731</v>
      </c>
      <c r="H427" s="116"/>
      <c r="I427" s="116"/>
      <c r="L427" s="169">
        <v>45743</v>
      </c>
      <c r="M427" s="116">
        <v>1288.1500000000001</v>
      </c>
      <c r="N427" s="116">
        <v>1294</v>
      </c>
      <c r="O427" s="116">
        <v>1254.5999999999999</v>
      </c>
      <c r="P427" s="116">
        <v>1263.2</v>
      </c>
      <c r="Q427" s="116">
        <v>1288.1500000000001</v>
      </c>
      <c r="R427">
        <v>326691</v>
      </c>
    </row>
    <row r="428" spans="1:18" x14ac:dyDescent="0.25">
      <c r="A428" s="169">
        <v>42641</v>
      </c>
      <c r="B428" s="116">
        <v>14.76</v>
      </c>
      <c r="C428" s="116">
        <v>14.13</v>
      </c>
      <c r="D428" s="116">
        <v>14.05</v>
      </c>
      <c r="E428" s="116">
        <v>14.4</v>
      </c>
      <c r="F428" s="116">
        <v>14.13</v>
      </c>
      <c r="G428">
        <v>38616</v>
      </c>
      <c r="H428" s="116"/>
      <c r="I428" s="116"/>
      <c r="L428" s="169">
        <v>45744</v>
      </c>
      <c r="M428" s="116">
        <v>1287.25</v>
      </c>
      <c r="N428" s="116">
        <v>1326.45</v>
      </c>
      <c r="O428" s="116">
        <v>1281.05</v>
      </c>
      <c r="P428" s="116">
        <v>1300</v>
      </c>
      <c r="Q428" s="116">
        <v>1287.25</v>
      </c>
      <c r="R428">
        <v>400297</v>
      </c>
    </row>
    <row r="429" spans="1:18" x14ac:dyDescent="0.25">
      <c r="A429" s="169">
        <v>42642</v>
      </c>
      <c r="B429" s="116">
        <v>14.2</v>
      </c>
      <c r="C429" s="116">
        <v>13.05</v>
      </c>
      <c r="D429" s="116">
        <v>12.8</v>
      </c>
      <c r="E429" s="116">
        <v>14.11</v>
      </c>
      <c r="F429" s="116">
        <v>13.05</v>
      </c>
      <c r="G429">
        <v>75714</v>
      </c>
      <c r="H429" s="116"/>
      <c r="I429" s="116"/>
      <c r="L429" s="169">
        <v>45748</v>
      </c>
      <c r="M429" s="116">
        <v>1276.8499999999999</v>
      </c>
      <c r="N429" s="116">
        <v>1296</v>
      </c>
      <c r="O429" s="116">
        <v>1236</v>
      </c>
      <c r="P429" s="116">
        <v>1256</v>
      </c>
      <c r="Q429" s="116">
        <v>1276.8499999999999</v>
      </c>
      <c r="R429">
        <v>414916</v>
      </c>
    </row>
    <row r="430" spans="1:18" x14ac:dyDescent="0.25">
      <c r="A430" s="169">
        <v>42643</v>
      </c>
      <c r="B430" s="116">
        <v>13.9</v>
      </c>
      <c r="C430" s="116">
        <v>13.45</v>
      </c>
      <c r="D430" s="116">
        <v>13.11</v>
      </c>
      <c r="E430" s="116">
        <v>13.44</v>
      </c>
      <c r="F430" s="116">
        <v>13.45</v>
      </c>
      <c r="G430">
        <v>42156</v>
      </c>
      <c r="H430" s="116"/>
      <c r="I430" s="116"/>
      <c r="L430" s="169">
        <v>45749</v>
      </c>
      <c r="M430" s="116">
        <v>1329.8</v>
      </c>
      <c r="N430" s="116">
        <v>1352</v>
      </c>
      <c r="O430" s="116">
        <v>1278.0999999999999</v>
      </c>
      <c r="P430" s="116">
        <v>1278.8</v>
      </c>
      <c r="Q430" s="116">
        <v>1329.8</v>
      </c>
      <c r="R430">
        <v>834285</v>
      </c>
    </row>
    <row r="431" spans="1:18" x14ac:dyDescent="0.25">
      <c r="A431" s="169">
        <v>42646</v>
      </c>
      <c r="B431" s="116">
        <v>13.55</v>
      </c>
      <c r="C431" s="116">
        <v>13.16</v>
      </c>
      <c r="D431" s="116">
        <v>13.13</v>
      </c>
      <c r="E431" s="116">
        <v>13.55</v>
      </c>
      <c r="F431" s="116">
        <v>13.16</v>
      </c>
      <c r="G431">
        <v>38379</v>
      </c>
      <c r="H431" s="116"/>
      <c r="I431" s="116"/>
      <c r="L431" s="169">
        <v>45750</v>
      </c>
      <c r="M431" s="116">
        <v>1320.45</v>
      </c>
      <c r="N431" s="116">
        <v>1349</v>
      </c>
      <c r="O431" s="116">
        <v>1299.25</v>
      </c>
      <c r="P431" s="116">
        <v>1326</v>
      </c>
      <c r="Q431" s="116">
        <v>1320.45</v>
      </c>
      <c r="R431">
        <v>383976</v>
      </c>
    </row>
    <row r="432" spans="1:18" x14ac:dyDescent="0.25">
      <c r="A432" s="169">
        <v>42647</v>
      </c>
      <c r="B432" s="116">
        <v>14.8</v>
      </c>
      <c r="C432" s="116">
        <v>14.54</v>
      </c>
      <c r="D432" s="116">
        <v>13.35</v>
      </c>
      <c r="E432" s="116">
        <v>13.9</v>
      </c>
      <c r="F432" s="116">
        <v>14.54</v>
      </c>
      <c r="G432">
        <v>130024</v>
      </c>
      <c r="H432" s="116"/>
      <c r="I432" s="116"/>
      <c r="L432" s="169">
        <v>45751</v>
      </c>
      <c r="M432" s="116">
        <v>1239.8</v>
      </c>
      <c r="N432" s="116">
        <v>1319.45</v>
      </c>
      <c r="O432" s="116">
        <v>1220</v>
      </c>
      <c r="P432" s="116">
        <v>1315.15</v>
      </c>
      <c r="Q432" s="116">
        <v>1239.8</v>
      </c>
      <c r="R432">
        <v>538329</v>
      </c>
    </row>
    <row r="433" spans="1:18" x14ac:dyDescent="0.25">
      <c r="A433" s="169">
        <v>42648</v>
      </c>
      <c r="B433" s="116">
        <v>15.3</v>
      </c>
      <c r="C433" s="116">
        <v>14.41</v>
      </c>
      <c r="D433" s="116">
        <v>14.21</v>
      </c>
      <c r="E433" s="116">
        <v>14.79</v>
      </c>
      <c r="F433" s="116">
        <v>14.41</v>
      </c>
      <c r="G433">
        <v>69198</v>
      </c>
      <c r="H433" s="116"/>
      <c r="I433" s="116"/>
      <c r="L433" s="169">
        <v>45754</v>
      </c>
      <c r="M433" s="116">
        <v>1118.3</v>
      </c>
      <c r="N433" s="116">
        <v>1151.5999999999999</v>
      </c>
      <c r="O433" s="116">
        <v>1015</v>
      </c>
      <c r="P433" s="116">
        <v>1015</v>
      </c>
      <c r="Q433" s="116">
        <v>1118.3</v>
      </c>
      <c r="R433">
        <v>1292327</v>
      </c>
    </row>
    <row r="434" spans="1:18" x14ac:dyDescent="0.25">
      <c r="A434" s="169">
        <v>42649</v>
      </c>
      <c r="B434" s="116">
        <v>14.75</v>
      </c>
      <c r="C434" s="116">
        <v>13.84</v>
      </c>
      <c r="D434" s="116">
        <v>13.75</v>
      </c>
      <c r="E434" s="116">
        <v>14.51</v>
      </c>
      <c r="F434" s="116">
        <v>13.84</v>
      </c>
      <c r="G434">
        <v>60177</v>
      </c>
      <c r="H434" s="116"/>
      <c r="I434" s="116"/>
      <c r="L434" s="169">
        <v>45755</v>
      </c>
      <c r="M434" s="116">
        <v>1194.95</v>
      </c>
      <c r="N434" s="116">
        <v>1198.0999999999999</v>
      </c>
      <c r="O434" s="116">
        <v>1144.6500000000001</v>
      </c>
      <c r="P434" s="116">
        <v>1151</v>
      </c>
      <c r="Q434" s="116">
        <v>1194.95</v>
      </c>
      <c r="R434">
        <v>533399</v>
      </c>
    </row>
    <row r="435" spans="1:18" x14ac:dyDescent="0.25">
      <c r="A435" s="169">
        <v>42650</v>
      </c>
      <c r="B435" s="116">
        <v>14.25</v>
      </c>
      <c r="C435" s="116">
        <v>13.64</v>
      </c>
      <c r="D435" s="116">
        <v>13.5</v>
      </c>
      <c r="E435" s="116">
        <v>14.25</v>
      </c>
      <c r="F435" s="116">
        <v>13.64</v>
      </c>
      <c r="G435">
        <v>16614</v>
      </c>
      <c r="H435" s="116"/>
      <c r="I435" s="116"/>
      <c r="L435" s="169">
        <v>45756</v>
      </c>
      <c r="M435" s="116">
        <v>1151.55</v>
      </c>
      <c r="N435" s="116">
        <v>1183.4000000000001</v>
      </c>
      <c r="O435" s="116">
        <v>1124</v>
      </c>
      <c r="P435" s="116">
        <v>1182.5</v>
      </c>
      <c r="Q435" s="116">
        <v>1151.55</v>
      </c>
      <c r="R435">
        <v>421485</v>
      </c>
    </row>
    <row r="436" spans="1:18" x14ac:dyDescent="0.25">
      <c r="A436" s="169">
        <v>42653</v>
      </c>
      <c r="B436" s="116">
        <v>13.99</v>
      </c>
      <c r="C436" s="116">
        <v>13.27</v>
      </c>
      <c r="D436" s="116">
        <v>13.2</v>
      </c>
      <c r="E436" s="116">
        <v>13.64</v>
      </c>
      <c r="F436" s="116">
        <v>13.27</v>
      </c>
      <c r="G436">
        <v>25819</v>
      </c>
      <c r="H436" s="116"/>
      <c r="I436" s="116"/>
      <c r="L436" s="169">
        <v>45758</v>
      </c>
      <c r="M436" s="116">
        <v>1197.3499999999999</v>
      </c>
      <c r="N436" s="116">
        <v>1240</v>
      </c>
      <c r="O436" s="116">
        <v>1175.2</v>
      </c>
      <c r="P436" s="116">
        <v>1199.95</v>
      </c>
      <c r="Q436" s="116">
        <v>1197.3499999999999</v>
      </c>
      <c r="R436">
        <v>504187</v>
      </c>
    </row>
    <row r="437" spans="1:18" x14ac:dyDescent="0.25">
      <c r="A437" s="169">
        <v>42656</v>
      </c>
      <c r="B437" s="116">
        <v>13.46</v>
      </c>
      <c r="C437" s="116">
        <v>12.37</v>
      </c>
      <c r="D437" s="116">
        <v>12.2</v>
      </c>
      <c r="E437" s="116">
        <v>13.46</v>
      </c>
      <c r="F437" s="116">
        <v>12.37</v>
      </c>
      <c r="G437">
        <v>75626</v>
      </c>
      <c r="H437" s="116"/>
      <c r="I437" s="116"/>
      <c r="L437" s="169">
        <v>45762</v>
      </c>
      <c r="M437" s="116">
        <v>1238.4000000000001</v>
      </c>
      <c r="N437" s="116">
        <v>1250</v>
      </c>
      <c r="O437" s="116">
        <v>1214.5999999999999</v>
      </c>
      <c r="P437" s="116">
        <v>1214.5999999999999</v>
      </c>
      <c r="Q437" s="116">
        <v>1238.4000000000001</v>
      </c>
      <c r="R437">
        <v>406486</v>
      </c>
    </row>
    <row r="438" spans="1:18" x14ac:dyDescent="0.25">
      <c r="A438" s="169">
        <v>42657</v>
      </c>
      <c r="B438" s="116">
        <v>12.95</v>
      </c>
      <c r="C438" s="116">
        <v>12.44</v>
      </c>
      <c r="D438" s="116">
        <v>12.35</v>
      </c>
      <c r="E438" s="116">
        <v>12.75</v>
      </c>
      <c r="F438" s="116">
        <v>12.44</v>
      </c>
      <c r="G438">
        <v>26991</v>
      </c>
      <c r="H438" s="116"/>
      <c r="I438" s="116"/>
      <c r="L438" s="169">
        <v>45763</v>
      </c>
      <c r="M438" s="116">
        <v>1284.0999999999999</v>
      </c>
      <c r="N438" s="116">
        <v>1295</v>
      </c>
      <c r="O438" s="116">
        <v>1227.7</v>
      </c>
      <c r="P438" s="116">
        <v>1240</v>
      </c>
      <c r="Q438" s="116">
        <v>1284.0999999999999</v>
      </c>
      <c r="R438">
        <v>384294</v>
      </c>
    </row>
    <row r="439" spans="1:18" x14ac:dyDescent="0.25">
      <c r="A439" s="169">
        <v>42660</v>
      </c>
      <c r="B439" s="116">
        <v>12.57</v>
      </c>
      <c r="C439" s="116">
        <v>12.26</v>
      </c>
      <c r="D439" s="116">
        <v>11.87</v>
      </c>
      <c r="E439" s="116">
        <v>12.05</v>
      </c>
      <c r="F439" s="116">
        <v>12.26</v>
      </c>
      <c r="G439">
        <v>100519</v>
      </c>
      <c r="H439" s="116"/>
      <c r="I439" s="116"/>
      <c r="L439" s="169">
        <v>45764</v>
      </c>
      <c r="M439" s="116">
        <v>1286.2</v>
      </c>
      <c r="N439" s="116">
        <v>1296</v>
      </c>
      <c r="O439" s="116">
        <v>1263.5999999999999</v>
      </c>
      <c r="P439" s="116">
        <v>1286</v>
      </c>
      <c r="Q439" s="116">
        <v>1286.2</v>
      </c>
      <c r="R439">
        <v>326120</v>
      </c>
    </row>
    <row r="440" spans="1:18" x14ac:dyDescent="0.25">
      <c r="A440" s="169">
        <v>42661</v>
      </c>
      <c r="B440" s="116">
        <v>12.5</v>
      </c>
      <c r="C440" s="116">
        <v>12.05</v>
      </c>
      <c r="D440" s="116">
        <v>11.7</v>
      </c>
      <c r="E440" s="116">
        <v>12.49</v>
      </c>
      <c r="F440" s="116">
        <v>12.05</v>
      </c>
      <c r="G440">
        <v>79289</v>
      </c>
      <c r="H440" s="116"/>
      <c r="I440" s="116"/>
      <c r="L440" s="169">
        <v>45768</v>
      </c>
      <c r="M440" s="116">
        <v>1289.5</v>
      </c>
      <c r="N440" s="116">
        <v>1316</v>
      </c>
      <c r="O440" s="116">
        <v>1285.9000000000001</v>
      </c>
      <c r="P440" s="116">
        <v>1288</v>
      </c>
      <c r="Q440" s="116">
        <v>1289.5</v>
      </c>
      <c r="R440">
        <v>372555</v>
      </c>
    </row>
    <row r="441" spans="1:18" x14ac:dyDescent="0.25">
      <c r="A441" s="169">
        <v>42662</v>
      </c>
      <c r="B441" s="116">
        <v>12.28</v>
      </c>
      <c r="C441" s="116">
        <v>11.86</v>
      </c>
      <c r="D441" s="116">
        <v>11.58</v>
      </c>
      <c r="E441" s="116">
        <v>12.15</v>
      </c>
      <c r="F441" s="116">
        <v>11.86</v>
      </c>
      <c r="G441">
        <v>48959</v>
      </c>
      <c r="H441" s="116"/>
      <c r="I441" s="116"/>
      <c r="L441" s="169">
        <v>45769</v>
      </c>
      <c r="M441" s="116">
        <v>1319.7</v>
      </c>
      <c r="N441" s="116">
        <v>1346</v>
      </c>
      <c r="O441" s="116">
        <v>1300</v>
      </c>
      <c r="P441" s="116">
        <v>1304.2</v>
      </c>
      <c r="Q441" s="116">
        <v>1319.7</v>
      </c>
      <c r="R441">
        <v>664596</v>
      </c>
    </row>
    <row r="442" spans="1:18" x14ac:dyDescent="0.25">
      <c r="A442" s="169">
        <v>42663</v>
      </c>
      <c r="B442" s="116">
        <v>12.5</v>
      </c>
      <c r="C442" s="116">
        <v>12.28</v>
      </c>
      <c r="D442" s="116">
        <v>11.9</v>
      </c>
      <c r="E442" s="116">
        <v>12</v>
      </c>
      <c r="F442" s="116">
        <v>12.28</v>
      </c>
      <c r="G442">
        <v>125498</v>
      </c>
      <c r="H442" s="116"/>
      <c r="I442" s="116"/>
      <c r="L442" s="169">
        <v>45770</v>
      </c>
      <c r="M442" s="116">
        <v>1317.7</v>
      </c>
      <c r="N442" s="116">
        <v>1339</v>
      </c>
      <c r="O442" s="116">
        <v>1290.4000000000001</v>
      </c>
      <c r="P442" s="116">
        <v>1334</v>
      </c>
      <c r="Q442" s="116">
        <v>1317.7</v>
      </c>
      <c r="R442">
        <v>320177</v>
      </c>
    </row>
    <row r="443" spans="1:18" x14ac:dyDescent="0.25">
      <c r="A443" s="169">
        <v>42664</v>
      </c>
      <c r="B443" s="116">
        <v>12.3</v>
      </c>
      <c r="C443" s="116">
        <v>11.93</v>
      </c>
      <c r="D443" s="116">
        <v>11.8</v>
      </c>
      <c r="E443" s="116">
        <v>11.8</v>
      </c>
      <c r="F443" s="116">
        <v>11.93</v>
      </c>
      <c r="G443">
        <v>20131</v>
      </c>
      <c r="H443" s="116"/>
      <c r="I443" s="116"/>
      <c r="L443" s="169">
        <v>45771</v>
      </c>
      <c r="M443" s="116">
        <v>1326.8</v>
      </c>
      <c r="N443" s="116">
        <v>1337</v>
      </c>
      <c r="O443" s="116">
        <v>1297.9000000000001</v>
      </c>
      <c r="P443" s="116">
        <v>1319.9</v>
      </c>
      <c r="Q443" s="116">
        <v>1326.8</v>
      </c>
      <c r="R443">
        <v>435739</v>
      </c>
    </row>
    <row r="444" spans="1:18" x14ac:dyDescent="0.25">
      <c r="A444" s="169">
        <v>42667</v>
      </c>
      <c r="B444" s="116">
        <v>12.3</v>
      </c>
      <c r="C444" s="116">
        <v>11.84</v>
      </c>
      <c r="D444" s="116">
        <v>11.7</v>
      </c>
      <c r="E444" s="116">
        <v>11.7</v>
      </c>
      <c r="F444" s="116">
        <v>11.84</v>
      </c>
      <c r="G444">
        <v>98462</v>
      </c>
      <c r="H444" s="116"/>
      <c r="I444" s="116"/>
      <c r="L444" s="169">
        <v>45772</v>
      </c>
      <c r="M444" s="116">
        <v>1280.5999999999999</v>
      </c>
      <c r="N444" s="116">
        <v>1344</v>
      </c>
      <c r="O444" s="116">
        <v>1251</v>
      </c>
      <c r="P444" s="116">
        <v>1324.8</v>
      </c>
      <c r="Q444" s="116">
        <v>1280.5999999999999</v>
      </c>
      <c r="R444">
        <v>518754</v>
      </c>
    </row>
    <row r="445" spans="1:18" x14ac:dyDescent="0.25">
      <c r="A445" s="169">
        <v>42668</v>
      </c>
      <c r="B445" s="116">
        <v>12.09</v>
      </c>
      <c r="C445" s="116">
        <v>11.98</v>
      </c>
      <c r="D445" s="116">
        <v>11.5</v>
      </c>
      <c r="E445" s="116">
        <v>12</v>
      </c>
      <c r="F445" s="116">
        <v>11.98</v>
      </c>
      <c r="G445">
        <v>34730</v>
      </c>
      <c r="H445" s="116"/>
      <c r="I445" s="116"/>
      <c r="L445" s="169">
        <v>45775</v>
      </c>
      <c r="M445" s="116">
        <v>1239.8</v>
      </c>
      <c r="N445" s="116">
        <v>1258.4000000000001</v>
      </c>
      <c r="O445" s="116">
        <v>1201.0999999999999</v>
      </c>
      <c r="P445" s="116">
        <v>1244</v>
      </c>
      <c r="Q445" s="116">
        <v>1239.8</v>
      </c>
      <c r="R445">
        <v>896357</v>
      </c>
    </row>
    <row r="446" spans="1:18" x14ac:dyDescent="0.25">
      <c r="A446" s="169">
        <v>42669</v>
      </c>
      <c r="B446" s="116">
        <v>11.95</v>
      </c>
      <c r="C446" s="116">
        <v>11.74</v>
      </c>
      <c r="D446" s="116">
        <v>11.45</v>
      </c>
      <c r="E446" s="116">
        <v>11.76</v>
      </c>
      <c r="F446" s="116">
        <v>11.74</v>
      </c>
      <c r="G446">
        <v>22811</v>
      </c>
      <c r="H446" s="116"/>
      <c r="I446" s="116"/>
      <c r="L446" s="169">
        <v>45776</v>
      </c>
      <c r="M446" s="116">
        <v>1203.2</v>
      </c>
      <c r="N446" s="116">
        <v>1250</v>
      </c>
      <c r="O446" s="116">
        <v>1200</v>
      </c>
      <c r="P446" s="116">
        <v>1240</v>
      </c>
      <c r="Q446" s="116">
        <v>1203.2</v>
      </c>
      <c r="R446">
        <v>419929</v>
      </c>
    </row>
    <row r="447" spans="1:18" x14ac:dyDescent="0.25">
      <c r="A447" s="169">
        <v>42670</v>
      </c>
      <c r="B447" s="116">
        <v>12.2</v>
      </c>
      <c r="C447" s="116">
        <v>11.77</v>
      </c>
      <c r="D447" s="116">
        <v>11.35</v>
      </c>
      <c r="E447" s="116">
        <v>11.41</v>
      </c>
      <c r="F447" s="116">
        <v>11.77</v>
      </c>
      <c r="G447">
        <v>95319</v>
      </c>
      <c r="H447" s="116"/>
      <c r="I447" s="116"/>
      <c r="L447" s="169">
        <v>45777</v>
      </c>
      <c r="M447" s="116">
        <v>1203.2</v>
      </c>
      <c r="N447" s="116">
        <v>1228.8</v>
      </c>
      <c r="O447" s="116">
        <v>1198.3</v>
      </c>
      <c r="P447" s="116">
        <v>1200</v>
      </c>
      <c r="Q447" s="116">
        <v>1203.2</v>
      </c>
      <c r="R447">
        <v>326410</v>
      </c>
    </row>
    <row r="448" spans="1:18" x14ac:dyDescent="0.25">
      <c r="A448" s="169">
        <v>42671</v>
      </c>
      <c r="B448" s="116">
        <v>12.49</v>
      </c>
      <c r="C448" s="116">
        <v>11.7</v>
      </c>
      <c r="D448" s="116">
        <v>11.7</v>
      </c>
      <c r="E448" s="116">
        <v>11.95</v>
      </c>
      <c r="F448" s="116">
        <v>11.7</v>
      </c>
      <c r="G448">
        <v>60144</v>
      </c>
      <c r="H448" s="116"/>
      <c r="I448" s="116"/>
      <c r="L448" s="169">
        <v>45779</v>
      </c>
      <c r="M448" s="116">
        <v>1193.5</v>
      </c>
      <c r="N448" s="116">
        <v>1230.8</v>
      </c>
      <c r="O448" s="116">
        <v>1187.3</v>
      </c>
      <c r="P448" s="116">
        <v>1209.9000000000001</v>
      </c>
      <c r="Q448" s="116">
        <v>1193.5</v>
      </c>
      <c r="R448">
        <v>341021</v>
      </c>
    </row>
    <row r="449" spans="1:18" x14ac:dyDescent="0.25">
      <c r="A449" s="169">
        <v>42673</v>
      </c>
      <c r="B449" s="116">
        <v>13.44</v>
      </c>
      <c r="C449" s="116">
        <v>13.1</v>
      </c>
      <c r="D449" s="116">
        <v>11.3</v>
      </c>
      <c r="E449" s="116">
        <v>12.25</v>
      </c>
      <c r="F449" s="116">
        <v>13.1</v>
      </c>
      <c r="G449">
        <v>102460</v>
      </c>
      <c r="H449" s="116"/>
      <c r="I449" s="116"/>
      <c r="L449" s="169">
        <v>45782</v>
      </c>
      <c r="M449" s="116">
        <v>1229.7</v>
      </c>
      <c r="N449" s="116">
        <v>1240</v>
      </c>
      <c r="O449" s="116">
        <v>1193.3</v>
      </c>
      <c r="P449" s="116">
        <v>1193.5</v>
      </c>
      <c r="Q449" s="116">
        <v>1229.7</v>
      </c>
      <c r="R449">
        <v>430126</v>
      </c>
    </row>
    <row r="450" spans="1:18" x14ac:dyDescent="0.25">
      <c r="A450" s="169">
        <v>42675</v>
      </c>
      <c r="B450" s="116">
        <v>14.69</v>
      </c>
      <c r="C450" s="116">
        <v>14.03</v>
      </c>
      <c r="D450" s="116">
        <v>12.82</v>
      </c>
      <c r="E450" s="116">
        <v>13.15</v>
      </c>
      <c r="F450" s="116">
        <v>14.03</v>
      </c>
      <c r="G450">
        <v>182046</v>
      </c>
      <c r="H450" s="116"/>
      <c r="I450" s="116"/>
      <c r="L450" s="169">
        <v>45783</v>
      </c>
      <c r="M450" s="116">
        <v>1209.0999999999999</v>
      </c>
      <c r="N450" s="116">
        <v>1232.7</v>
      </c>
      <c r="O450" s="116">
        <v>1198.0999999999999</v>
      </c>
      <c r="P450" s="116">
        <v>1229</v>
      </c>
      <c r="Q450" s="116">
        <v>1209.0999999999999</v>
      </c>
      <c r="R450">
        <v>201790</v>
      </c>
    </row>
    <row r="451" spans="1:18" x14ac:dyDescent="0.25">
      <c r="A451" s="169">
        <v>42676</v>
      </c>
      <c r="B451" s="116">
        <v>14.4</v>
      </c>
      <c r="C451" s="116">
        <v>13.69</v>
      </c>
      <c r="D451" s="116">
        <v>13.02</v>
      </c>
      <c r="E451" s="116">
        <v>14.4</v>
      </c>
      <c r="F451" s="116">
        <v>13.69</v>
      </c>
      <c r="G451">
        <v>77168</v>
      </c>
      <c r="H451" s="116"/>
      <c r="I451" s="116"/>
      <c r="L451" s="169">
        <v>45784</v>
      </c>
      <c r="M451" s="116">
        <v>1225</v>
      </c>
      <c r="N451" s="116">
        <v>1232.5999999999999</v>
      </c>
      <c r="O451" s="116">
        <v>1183</v>
      </c>
      <c r="P451" s="116">
        <v>1225</v>
      </c>
      <c r="Q451" s="116">
        <v>1225</v>
      </c>
      <c r="R451">
        <v>529400</v>
      </c>
    </row>
    <row r="452" spans="1:18" x14ac:dyDescent="0.25">
      <c r="A452" s="169">
        <v>42677</v>
      </c>
      <c r="B452" s="116">
        <v>16.420000000000002</v>
      </c>
      <c r="C452" s="116">
        <v>16.420000000000002</v>
      </c>
      <c r="D452" s="116">
        <v>14</v>
      </c>
      <c r="E452" s="116">
        <v>14</v>
      </c>
      <c r="F452" s="116">
        <v>16.420000000000002</v>
      </c>
      <c r="G452">
        <v>718522</v>
      </c>
      <c r="H452" s="116"/>
      <c r="I452" s="116"/>
      <c r="L452" s="169">
        <v>45785</v>
      </c>
      <c r="M452" s="116">
        <v>1197.3</v>
      </c>
      <c r="N452" s="116">
        <v>1234.7</v>
      </c>
      <c r="O452" s="116">
        <v>1186.2</v>
      </c>
      <c r="P452" s="116">
        <v>1228.8</v>
      </c>
      <c r="Q452" s="116">
        <v>1197.3</v>
      </c>
      <c r="R452">
        <v>193604</v>
      </c>
    </row>
    <row r="453" spans="1:18" x14ac:dyDescent="0.25">
      <c r="A453" s="169">
        <v>42678</v>
      </c>
      <c r="B453" s="116">
        <v>18.100000000000001</v>
      </c>
      <c r="C453" s="116">
        <v>16.309999999999999</v>
      </c>
      <c r="D453" s="116">
        <v>16.100000000000001</v>
      </c>
      <c r="E453" s="116">
        <v>17.25</v>
      </c>
      <c r="F453" s="116">
        <v>16.309999999999999</v>
      </c>
      <c r="G453">
        <v>460508</v>
      </c>
      <c r="H453" s="116"/>
      <c r="I453" s="116"/>
      <c r="L453" s="169">
        <v>45786</v>
      </c>
      <c r="M453" s="116">
        <v>1175.5</v>
      </c>
      <c r="N453" s="116">
        <v>1187</v>
      </c>
      <c r="O453" s="116">
        <v>1145.0999999999999</v>
      </c>
      <c r="P453" s="116">
        <v>1170.0999999999999</v>
      </c>
      <c r="Q453" s="116">
        <v>1175.5</v>
      </c>
      <c r="R453">
        <v>343588</v>
      </c>
    </row>
    <row r="454" spans="1:18" x14ac:dyDescent="0.25">
      <c r="A454" s="169">
        <v>42681</v>
      </c>
      <c r="B454" s="116">
        <v>19.45</v>
      </c>
      <c r="C454" s="116">
        <v>18.78</v>
      </c>
      <c r="D454" s="116">
        <v>16.5</v>
      </c>
      <c r="E454" s="116">
        <v>16.7</v>
      </c>
      <c r="F454" s="116">
        <v>18.78</v>
      </c>
      <c r="G454">
        <v>4743678</v>
      </c>
      <c r="H454" s="116"/>
      <c r="I454" s="116"/>
      <c r="L454" s="169">
        <v>45789</v>
      </c>
      <c r="M454" s="116">
        <v>1263</v>
      </c>
      <c r="N454" s="116">
        <v>1274.9000000000001</v>
      </c>
      <c r="O454" s="116">
        <v>1221.9000000000001</v>
      </c>
      <c r="P454" s="116">
        <v>1221.9000000000001</v>
      </c>
      <c r="Q454" s="116">
        <v>1263</v>
      </c>
      <c r="R454">
        <v>473889</v>
      </c>
    </row>
    <row r="455" spans="1:18" x14ac:dyDescent="0.25">
      <c r="A455" s="169">
        <v>42682</v>
      </c>
      <c r="B455" s="116">
        <v>20.25</v>
      </c>
      <c r="C455" s="116">
        <v>19.84</v>
      </c>
      <c r="D455" s="116">
        <v>19.149999999999999</v>
      </c>
      <c r="E455" s="116">
        <v>19.149999999999999</v>
      </c>
      <c r="F455" s="116">
        <v>19.84</v>
      </c>
      <c r="G455">
        <v>572439</v>
      </c>
      <c r="H455" s="116"/>
      <c r="I455" s="116"/>
      <c r="L455" s="169">
        <v>45790</v>
      </c>
      <c r="M455" s="116">
        <v>1267</v>
      </c>
      <c r="N455" s="116">
        <v>1282.5999999999999</v>
      </c>
      <c r="O455" s="116">
        <v>1255.7</v>
      </c>
      <c r="P455" s="116">
        <v>1266.5</v>
      </c>
      <c r="Q455" s="116">
        <v>1267</v>
      </c>
      <c r="R455">
        <v>366036</v>
      </c>
    </row>
    <row r="456" spans="1:18" x14ac:dyDescent="0.25">
      <c r="A456" s="169">
        <v>42683</v>
      </c>
      <c r="B456" s="116">
        <v>18.899999999999999</v>
      </c>
      <c r="C456" s="116">
        <v>17.87</v>
      </c>
      <c r="D456" s="116">
        <v>17.86</v>
      </c>
      <c r="E456" s="116">
        <v>17.86</v>
      </c>
      <c r="F456" s="116">
        <v>17.87</v>
      </c>
      <c r="G456">
        <v>477564</v>
      </c>
      <c r="H456" s="116"/>
      <c r="I456" s="116"/>
      <c r="L456" s="169">
        <v>45791</v>
      </c>
      <c r="M456" s="116">
        <v>1330.8</v>
      </c>
      <c r="N456" s="116">
        <v>1333</v>
      </c>
      <c r="O456" s="116">
        <v>1264.5</v>
      </c>
      <c r="P456" s="116">
        <v>1265.0999999999999</v>
      </c>
      <c r="Q456" s="116">
        <v>1330.8</v>
      </c>
      <c r="R456">
        <v>661621</v>
      </c>
    </row>
    <row r="457" spans="1:18" x14ac:dyDescent="0.25">
      <c r="A457" s="169">
        <v>42684</v>
      </c>
      <c r="B457" s="116">
        <v>19.649999999999999</v>
      </c>
      <c r="C457" s="116">
        <v>19.57</v>
      </c>
      <c r="D457" s="116">
        <v>18.3</v>
      </c>
      <c r="E457" s="116">
        <v>18.5</v>
      </c>
      <c r="F457" s="116">
        <v>19.57</v>
      </c>
      <c r="G457">
        <v>330301</v>
      </c>
      <c r="H457" s="116"/>
      <c r="I457" s="116"/>
      <c r="L457" s="169">
        <v>45792</v>
      </c>
      <c r="M457" s="116">
        <v>1314.3</v>
      </c>
      <c r="N457" s="116">
        <v>1341</v>
      </c>
      <c r="O457" s="116">
        <v>1296.2</v>
      </c>
      <c r="P457" s="116">
        <v>1337.7</v>
      </c>
      <c r="Q457" s="116">
        <v>1314.3</v>
      </c>
      <c r="R457">
        <v>518291</v>
      </c>
    </row>
    <row r="458" spans="1:18" x14ac:dyDescent="0.25">
      <c r="A458" s="169">
        <v>42685</v>
      </c>
      <c r="B458" s="116">
        <v>20.399999999999999</v>
      </c>
      <c r="C458" s="116">
        <v>18.739999999999998</v>
      </c>
      <c r="D458" s="116">
        <v>18.3</v>
      </c>
      <c r="E458" s="116">
        <v>18.95</v>
      </c>
      <c r="F458" s="116">
        <v>18.739999999999998</v>
      </c>
      <c r="G458">
        <v>200374</v>
      </c>
      <c r="H458" s="116"/>
      <c r="I458" s="116"/>
      <c r="L458" s="169">
        <v>45793</v>
      </c>
      <c r="M458" s="116">
        <v>1306.5999999999999</v>
      </c>
      <c r="N458" s="116">
        <v>1325</v>
      </c>
      <c r="O458" s="116">
        <v>1296.5999999999999</v>
      </c>
      <c r="P458" s="116">
        <v>1319.7</v>
      </c>
      <c r="Q458" s="116">
        <v>1306.5999999999999</v>
      </c>
      <c r="R458">
        <v>395724</v>
      </c>
    </row>
    <row r="459" spans="1:18" x14ac:dyDescent="0.25">
      <c r="A459" s="169">
        <v>42689</v>
      </c>
      <c r="B459" s="116">
        <v>18.7</v>
      </c>
      <c r="C459" s="116">
        <v>16.87</v>
      </c>
      <c r="D459" s="116">
        <v>16.87</v>
      </c>
      <c r="E459" s="116">
        <v>18.7</v>
      </c>
      <c r="F459" s="116">
        <v>16.87</v>
      </c>
      <c r="G459">
        <v>85572</v>
      </c>
      <c r="H459" s="116"/>
      <c r="I459" s="116"/>
      <c r="L459" s="169">
        <v>45796</v>
      </c>
      <c r="M459" s="116">
        <v>1330.9</v>
      </c>
      <c r="N459" s="116">
        <v>1361</v>
      </c>
      <c r="O459" s="116">
        <v>1302.2</v>
      </c>
      <c r="P459" s="116">
        <v>1308.0999999999999</v>
      </c>
      <c r="Q459" s="116">
        <v>1330.9</v>
      </c>
      <c r="R459">
        <v>943214</v>
      </c>
    </row>
    <row r="460" spans="1:18" x14ac:dyDescent="0.25">
      <c r="A460" s="169">
        <v>42690</v>
      </c>
      <c r="B460" s="116">
        <v>17.100000000000001</v>
      </c>
      <c r="C460" s="116">
        <v>15.2</v>
      </c>
      <c r="D460" s="116">
        <v>15.19</v>
      </c>
      <c r="E460" s="116">
        <v>16.87</v>
      </c>
      <c r="F460" s="116">
        <v>15.2</v>
      </c>
      <c r="G460">
        <v>208395</v>
      </c>
      <c r="H460" s="116"/>
      <c r="I460" s="116"/>
      <c r="L460" s="169">
        <v>45797</v>
      </c>
      <c r="M460" s="116">
        <v>1325.8</v>
      </c>
      <c r="N460" s="116">
        <v>1369</v>
      </c>
      <c r="O460" s="116">
        <v>1318</v>
      </c>
      <c r="P460" s="116">
        <v>1340</v>
      </c>
      <c r="Q460" s="116">
        <v>1325.8</v>
      </c>
      <c r="R460">
        <v>710250</v>
      </c>
    </row>
    <row r="461" spans="1:18" x14ac:dyDescent="0.25">
      <c r="A461" s="169">
        <v>42691</v>
      </c>
      <c r="B461" s="116">
        <v>15.5</v>
      </c>
      <c r="C461" s="116">
        <v>15</v>
      </c>
      <c r="D461" s="116">
        <v>15</v>
      </c>
      <c r="E461" s="116">
        <v>15.21</v>
      </c>
      <c r="F461" s="116">
        <v>15</v>
      </c>
      <c r="G461">
        <v>93489</v>
      </c>
      <c r="H461" s="116"/>
      <c r="I461" s="116"/>
      <c r="L461" s="169">
        <v>45798</v>
      </c>
      <c r="M461" s="116">
        <v>1321</v>
      </c>
      <c r="N461" s="116">
        <v>1330</v>
      </c>
      <c r="O461" s="116">
        <v>1302</v>
      </c>
      <c r="P461" s="116">
        <v>1319.1</v>
      </c>
      <c r="Q461" s="116">
        <v>1321</v>
      </c>
      <c r="R461">
        <v>279813</v>
      </c>
    </row>
    <row r="462" spans="1:18" x14ac:dyDescent="0.25">
      <c r="A462" s="169">
        <v>42692</v>
      </c>
      <c r="B462" s="116">
        <v>15.5</v>
      </c>
      <c r="C462" s="116">
        <v>15</v>
      </c>
      <c r="D462" s="116">
        <v>15</v>
      </c>
      <c r="E462" s="116">
        <v>15</v>
      </c>
      <c r="F462" s="116">
        <v>15</v>
      </c>
      <c r="G462">
        <v>2609049</v>
      </c>
      <c r="H462" s="116"/>
      <c r="I462" s="116"/>
      <c r="L462" s="169">
        <v>45799</v>
      </c>
      <c r="M462" s="116">
        <v>1329.4</v>
      </c>
      <c r="N462" s="116">
        <v>1335</v>
      </c>
      <c r="O462" s="116">
        <v>1305.5</v>
      </c>
      <c r="P462" s="116">
        <v>1318</v>
      </c>
      <c r="Q462" s="116">
        <v>1329.4</v>
      </c>
      <c r="R462">
        <v>286617</v>
      </c>
    </row>
    <row r="463" spans="1:18" x14ac:dyDescent="0.25">
      <c r="A463" s="169">
        <v>42695</v>
      </c>
      <c r="B463" s="116">
        <v>15</v>
      </c>
      <c r="C463" s="116">
        <v>14.25</v>
      </c>
      <c r="D463" s="116">
        <v>14.25</v>
      </c>
      <c r="E463" s="116">
        <v>15</v>
      </c>
      <c r="F463" s="116">
        <v>14.25</v>
      </c>
      <c r="G463">
        <v>47891</v>
      </c>
      <c r="H463" s="116"/>
      <c r="I463" s="116"/>
      <c r="L463" s="169">
        <v>45800</v>
      </c>
      <c r="M463" s="116">
        <v>1339.2</v>
      </c>
      <c r="N463" s="116">
        <v>1374.6</v>
      </c>
      <c r="O463" s="116">
        <v>1320</v>
      </c>
      <c r="P463" s="116">
        <v>1330.1</v>
      </c>
      <c r="Q463" s="116">
        <v>1339.2</v>
      </c>
      <c r="R463">
        <v>780445</v>
      </c>
    </row>
    <row r="464" spans="1:18" x14ac:dyDescent="0.25">
      <c r="A464" s="169">
        <v>42696</v>
      </c>
      <c r="B464" s="116">
        <v>13.99</v>
      </c>
      <c r="C464" s="116">
        <v>13.75</v>
      </c>
      <c r="D464" s="116">
        <v>13.54</v>
      </c>
      <c r="E464" s="116">
        <v>13.86</v>
      </c>
      <c r="F464" s="116">
        <v>13.75</v>
      </c>
      <c r="G464">
        <v>146201</v>
      </c>
      <c r="H464" s="116"/>
      <c r="I464" s="116"/>
      <c r="L464" s="169">
        <v>45803</v>
      </c>
      <c r="M464" s="116">
        <v>1349</v>
      </c>
      <c r="N464" s="116">
        <v>1361</v>
      </c>
      <c r="O464" s="116">
        <v>1341.1</v>
      </c>
      <c r="P464" s="116">
        <v>1347</v>
      </c>
      <c r="Q464" s="116">
        <v>1349</v>
      </c>
      <c r="R464">
        <v>389093</v>
      </c>
    </row>
    <row r="465" spans="1:18" x14ac:dyDescent="0.25">
      <c r="A465" s="169">
        <v>42697</v>
      </c>
      <c r="B465" s="116">
        <v>14</v>
      </c>
      <c r="C465" s="116">
        <v>13.39</v>
      </c>
      <c r="D465" s="116">
        <v>13.3</v>
      </c>
      <c r="E465" s="116">
        <v>13.99</v>
      </c>
      <c r="F465" s="116">
        <v>13.39</v>
      </c>
      <c r="G465">
        <v>62669</v>
      </c>
      <c r="H465" s="116"/>
      <c r="I465" s="116"/>
      <c r="L465" s="169">
        <v>45804</v>
      </c>
      <c r="M465" s="116">
        <v>1357.5</v>
      </c>
      <c r="N465" s="116">
        <v>1381.1</v>
      </c>
      <c r="O465" s="116">
        <v>1325.2</v>
      </c>
      <c r="P465" s="116">
        <v>1356</v>
      </c>
      <c r="Q465" s="116">
        <v>1357.5</v>
      </c>
      <c r="R465">
        <v>582879</v>
      </c>
    </row>
    <row r="466" spans="1:18" x14ac:dyDescent="0.25">
      <c r="A466" s="169">
        <v>42698</v>
      </c>
      <c r="B466" s="116">
        <v>13.5</v>
      </c>
      <c r="C466" s="116">
        <v>13.24</v>
      </c>
      <c r="D466" s="116">
        <v>13</v>
      </c>
      <c r="E466" s="116">
        <v>13.01</v>
      </c>
      <c r="F466" s="116">
        <v>13.24</v>
      </c>
      <c r="G466">
        <v>2698229</v>
      </c>
      <c r="H466" s="116"/>
      <c r="I466" s="116"/>
      <c r="L466" s="169">
        <v>45805</v>
      </c>
      <c r="M466" s="116">
        <v>1356.1</v>
      </c>
      <c r="N466" s="116">
        <v>1369.5</v>
      </c>
      <c r="O466" s="116">
        <v>1350.9</v>
      </c>
      <c r="P466" s="116">
        <v>1360</v>
      </c>
      <c r="Q466" s="116">
        <v>1356.1</v>
      </c>
      <c r="R466">
        <v>272255</v>
      </c>
    </row>
    <row r="467" spans="1:18" x14ac:dyDescent="0.25">
      <c r="A467" s="169">
        <v>42699</v>
      </c>
      <c r="B467" s="116">
        <v>13.9</v>
      </c>
      <c r="C467" s="116">
        <v>13.9</v>
      </c>
      <c r="D467" s="116">
        <v>13.02</v>
      </c>
      <c r="E467" s="116">
        <v>13.02</v>
      </c>
      <c r="F467" s="116">
        <v>13.9</v>
      </c>
      <c r="G467">
        <v>853238</v>
      </c>
      <c r="H467" s="116"/>
      <c r="I467" s="116"/>
      <c r="L467" s="169">
        <v>45806</v>
      </c>
      <c r="M467" s="116">
        <v>1413.5</v>
      </c>
      <c r="N467" s="116">
        <v>1422</v>
      </c>
      <c r="O467" s="116">
        <v>1359.5</v>
      </c>
      <c r="P467" s="116">
        <v>1364</v>
      </c>
      <c r="Q467" s="116">
        <v>1413.5</v>
      </c>
      <c r="R467">
        <v>909796</v>
      </c>
    </row>
    <row r="468" spans="1:18" x14ac:dyDescent="0.25">
      <c r="A468" s="169">
        <v>42702</v>
      </c>
      <c r="B468" s="116">
        <v>14.4</v>
      </c>
      <c r="C468" s="116">
        <v>14.32</v>
      </c>
      <c r="D468" s="116">
        <v>13.85</v>
      </c>
      <c r="E468" s="116">
        <v>13.9</v>
      </c>
      <c r="F468" s="116">
        <v>14.32</v>
      </c>
      <c r="G468">
        <v>222272</v>
      </c>
      <c r="H468" s="116"/>
      <c r="I468" s="116"/>
      <c r="L468" s="169">
        <v>45807</v>
      </c>
      <c r="M468" s="116">
        <v>1393.1</v>
      </c>
      <c r="N468" s="116">
        <v>1432.2</v>
      </c>
      <c r="O468" s="116">
        <v>1380</v>
      </c>
      <c r="P468" s="116">
        <v>1417.1</v>
      </c>
      <c r="Q468" s="116">
        <v>1393.1</v>
      </c>
      <c r="R468">
        <v>440723</v>
      </c>
    </row>
    <row r="469" spans="1:18" x14ac:dyDescent="0.25">
      <c r="A469" s="169">
        <v>42703</v>
      </c>
      <c r="B469" s="116">
        <v>15.03</v>
      </c>
      <c r="C469" s="116">
        <v>15</v>
      </c>
      <c r="D469" s="116">
        <v>14.32</v>
      </c>
      <c r="E469" s="116">
        <v>14.33</v>
      </c>
      <c r="F469" s="116">
        <v>15</v>
      </c>
      <c r="G469">
        <v>408112</v>
      </c>
      <c r="H469" s="116"/>
      <c r="I469" s="116"/>
      <c r="L469" s="169">
        <v>45810</v>
      </c>
      <c r="M469" s="116">
        <v>1353.5</v>
      </c>
      <c r="N469" s="116">
        <v>1383.3</v>
      </c>
      <c r="O469" s="116">
        <v>1330</v>
      </c>
      <c r="P469" s="116">
        <v>1380</v>
      </c>
      <c r="Q469" s="116">
        <v>1353.5</v>
      </c>
      <c r="R469">
        <v>530875</v>
      </c>
    </row>
    <row r="470" spans="1:18" x14ac:dyDescent="0.25">
      <c r="A470" s="169">
        <v>42704</v>
      </c>
      <c r="B470" s="116">
        <v>15.25</v>
      </c>
      <c r="C470" s="116">
        <v>14.64</v>
      </c>
      <c r="D470" s="116">
        <v>14.51</v>
      </c>
      <c r="E470" s="116">
        <v>15.15</v>
      </c>
      <c r="F470" s="116">
        <v>14.64</v>
      </c>
      <c r="G470">
        <v>77792</v>
      </c>
      <c r="H470" s="116"/>
      <c r="I470" s="116"/>
      <c r="L470" s="169">
        <v>45811</v>
      </c>
      <c r="M470" s="116">
        <v>1442.1</v>
      </c>
      <c r="N470" s="116">
        <v>1459</v>
      </c>
      <c r="O470" s="116">
        <v>1354.5</v>
      </c>
      <c r="P470" s="116">
        <v>1354.5</v>
      </c>
      <c r="Q470" s="116">
        <v>1442.1</v>
      </c>
      <c r="R470">
        <v>1346644</v>
      </c>
    </row>
    <row r="471" spans="1:18" x14ac:dyDescent="0.25">
      <c r="A471" s="169">
        <v>42705</v>
      </c>
      <c r="B471" s="116">
        <v>14.79</v>
      </c>
      <c r="C471" s="116">
        <v>14.01</v>
      </c>
      <c r="D471" s="116">
        <v>14</v>
      </c>
      <c r="E471" s="116">
        <v>14.55</v>
      </c>
      <c r="F471" s="116">
        <v>14.01</v>
      </c>
      <c r="G471">
        <v>202916</v>
      </c>
      <c r="H471" s="116"/>
      <c r="I471" s="116"/>
      <c r="L471" s="169">
        <v>45812</v>
      </c>
      <c r="M471" s="116">
        <v>1500</v>
      </c>
      <c r="N471" s="116">
        <v>1515</v>
      </c>
      <c r="O471" s="116">
        <v>1450.1</v>
      </c>
      <c r="P471" s="116">
        <v>1450.1</v>
      </c>
      <c r="Q471" s="116">
        <v>1500</v>
      </c>
      <c r="R471">
        <v>1372822</v>
      </c>
    </row>
    <row r="472" spans="1:18" x14ac:dyDescent="0.25">
      <c r="A472" s="169">
        <v>42706</v>
      </c>
      <c r="B472" s="116">
        <v>14.65</v>
      </c>
      <c r="C472" s="116">
        <v>13.81</v>
      </c>
      <c r="D472" s="116">
        <v>13.65</v>
      </c>
      <c r="E472" s="116">
        <v>14.65</v>
      </c>
      <c r="F472" s="116">
        <v>13.81</v>
      </c>
      <c r="G472">
        <v>82105</v>
      </c>
      <c r="H472" s="116"/>
      <c r="I472" s="116"/>
      <c r="L472" s="169">
        <v>45813</v>
      </c>
      <c r="M472" s="116">
        <v>1527.6</v>
      </c>
      <c r="N472" s="116">
        <v>1533.5</v>
      </c>
      <c r="O472" s="116">
        <v>1503.1</v>
      </c>
      <c r="P472" s="116">
        <v>1505</v>
      </c>
      <c r="Q472" s="116">
        <v>1527.6</v>
      </c>
      <c r="R472">
        <v>593689</v>
      </c>
    </row>
    <row r="473" spans="1:18" x14ac:dyDescent="0.25">
      <c r="A473" s="169">
        <v>42709</v>
      </c>
      <c r="B473" s="116">
        <v>14.15</v>
      </c>
      <c r="C473" s="116">
        <v>13.43</v>
      </c>
      <c r="D473" s="116">
        <v>13.27</v>
      </c>
      <c r="E473" s="116">
        <v>14</v>
      </c>
      <c r="F473" s="116">
        <v>13.43</v>
      </c>
      <c r="G473">
        <v>96441</v>
      </c>
      <c r="H473" s="116"/>
      <c r="I473" s="116"/>
      <c r="L473" s="169">
        <v>45814</v>
      </c>
      <c r="M473" s="116">
        <v>1458.9</v>
      </c>
      <c r="N473" s="116">
        <v>1539.8</v>
      </c>
      <c r="O473" s="116">
        <v>1448.1</v>
      </c>
      <c r="P473" s="116">
        <v>1539</v>
      </c>
      <c r="Q473" s="116">
        <v>1458.9</v>
      </c>
      <c r="R473">
        <v>610972</v>
      </c>
    </row>
    <row r="474" spans="1:18" x14ac:dyDescent="0.25">
      <c r="A474" s="169">
        <v>42710</v>
      </c>
      <c r="B474" s="116">
        <v>13.95</v>
      </c>
      <c r="C474" s="116">
        <v>12.94</v>
      </c>
      <c r="D474" s="116">
        <v>12.5</v>
      </c>
      <c r="E474" s="116">
        <v>13.75</v>
      </c>
      <c r="F474" s="116">
        <v>12.94</v>
      </c>
      <c r="G474">
        <v>174332</v>
      </c>
      <c r="H474" s="116"/>
      <c r="I474" s="116"/>
      <c r="L474" s="169">
        <v>45817</v>
      </c>
      <c r="M474" s="116">
        <v>1492.4</v>
      </c>
      <c r="N474" s="116">
        <v>1511.9</v>
      </c>
      <c r="O474" s="116">
        <v>1459.3</v>
      </c>
      <c r="P474" s="116">
        <v>1477.7</v>
      </c>
      <c r="Q474" s="116">
        <v>1492.4</v>
      </c>
      <c r="R474">
        <v>484360</v>
      </c>
    </row>
    <row r="475" spans="1:18" x14ac:dyDescent="0.25">
      <c r="A475" s="169">
        <v>42711</v>
      </c>
      <c r="B475" s="116">
        <v>13.6</v>
      </c>
      <c r="C475" s="116">
        <v>13</v>
      </c>
      <c r="D475" s="116">
        <v>12.55</v>
      </c>
      <c r="E475" s="116">
        <v>12.55</v>
      </c>
      <c r="F475" s="116">
        <v>13</v>
      </c>
      <c r="G475">
        <v>181362</v>
      </c>
      <c r="H475" s="116"/>
      <c r="I475" s="116"/>
      <c r="L475" s="169">
        <v>45818</v>
      </c>
      <c r="M475" s="116">
        <v>1507.9</v>
      </c>
      <c r="N475" s="116">
        <v>1524</v>
      </c>
      <c r="O475" s="116">
        <v>1494</v>
      </c>
      <c r="P475" s="116">
        <v>1500.1</v>
      </c>
      <c r="Q475" s="116">
        <v>1507.9</v>
      </c>
      <c r="R475">
        <v>385704</v>
      </c>
    </row>
    <row r="476" spans="1:18" x14ac:dyDescent="0.25">
      <c r="A476" s="169">
        <v>42712</v>
      </c>
      <c r="B476" s="116">
        <v>13.4</v>
      </c>
      <c r="C476" s="116">
        <v>13.1</v>
      </c>
      <c r="D476" s="116">
        <v>12.85</v>
      </c>
      <c r="E476" s="116">
        <v>13.4</v>
      </c>
      <c r="F476" s="116">
        <v>13.1</v>
      </c>
      <c r="G476">
        <v>179695</v>
      </c>
      <c r="H476" s="116"/>
      <c r="I476" s="116"/>
      <c r="L476" s="169">
        <v>45819</v>
      </c>
      <c r="M476" s="116">
        <v>1507.4</v>
      </c>
      <c r="N476" s="116">
        <v>1537.5</v>
      </c>
      <c r="O476" s="116">
        <v>1494.5</v>
      </c>
      <c r="P476" s="116">
        <v>1506</v>
      </c>
      <c r="Q476" s="116">
        <v>1507.4</v>
      </c>
      <c r="R476">
        <v>388033</v>
      </c>
    </row>
    <row r="477" spans="1:18" x14ac:dyDescent="0.25">
      <c r="A477" s="169">
        <v>42713</v>
      </c>
      <c r="B477" s="116">
        <v>13</v>
      </c>
      <c r="C477" s="116">
        <v>12.77</v>
      </c>
      <c r="D477" s="116">
        <v>12.72</v>
      </c>
      <c r="E477" s="116">
        <v>13</v>
      </c>
      <c r="F477" s="116">
        <v>12.77</v>
      </c>
      <c r="G477">
        <v>140239</v>
      </c>
      <c r="H477" s="116"/>
      <c r="I477" s="116"/>
      <c r="L477" s="169">
        <v>45820</v>
      </c>
      <c r="M477" s="116">
        <v>1496.1</v>
      </c>
      <c r="N477" s="116">
        <v>1529.5</v>
      </c>
      <c r="O477" s="116">
        <v>1478</v>
      </c>
      <c r="P477" s="116">
        <v>1508</v>
      </c>
      <c r="Q477" s="116">
        <v>1496.1</v>
      </c>
      <c r="R477">
        <v>362272</v>
      </c>
    </row>
    <row r="478" spans="1:18" x14ac:dyDescent="0.25">
      <c r="A478" s="169">
        <v>42716</v>
      </c>
      <c r="B478" s="116">
        <v>12.85</v>
      </c>
      <c r="C478" s="116">
        <v>12.63</v>
      </c>
      <c r="D478" s="116">
        <v>12.5</v>
      </c>
      <c r="E478" s="116">
        <v>12.5</v>
      </c>
      <c r="F478" s="116">
        <v>12.63</v>
      </c>
      <c r="G478">
        <v>363302</v>
      </c>
      <c r="H478" s="116"/>
      <c r="I478" s="116"/>
      <c r="L478" s="169">
        <v>45821</v>
      </c>
      <c r="M478" s="116">
        <v>1486.9</v>
      </c>
      <c r="N478" s="116">
        <v>1499.7</v>
      </c>
      <c r="O478" s="116">
        <v>1444.3</v>
      </c>
      <c r="P478" s="116">
        <v>1460</v>
      </c>
      <c r="Q478" s="116">
        <v>1486.9</v>
      </c>
      <c r="R478">
        <v>360216</v>
      </c>
    </row>
    <row r="479" spans="1:18" x14ac:dyDescent="0.25">
      <c r="A479" s="169">
        <v>42717</v>
      </c>
      <c r="B479" s="116">
        <v>13.13</v>
      </c>
      <c r="C479" s="116">
        <v>12.4</v>
      </c>
      <c r="D479" s="116">
        <v>12.35</v>
      </c>
      <c r="E479" s="116">
        <v>12.9</v>
      </c>
      <c r="F479" s="116">
        <v>12.4</v>
      </c>
      <c r="G479">
        <v>194048</v>
      </c>
      <c r="H479" s="116"/>
      <c r="I479" s="116"/>
      <c r="L479" s="169">
        <v>45824</v>
      </c>
      <c r="M479" s="116">
        <v>1518.4</v>
      </c>
      <c r="N479" s="116">
        <v>1524</v>
      </c>
      <c r="O479" s="116">
        <v>1457.1</v>
      </c>
      <c r="P479" s="116">
        <v>1488</v>
      </c>
      <c r="Q479" s="116">
        <v>1518.4</v>
      </c>
      <c r="R479">
        <v>497919</v>
      </c>
    </row>
    <row r="480" spans="1:18" x14ac:dyDescent="0.25">
      <c r="A480" s="169">
        <v>42718</v>
      </c>
      <c r="B480" s="116">
        <v>12.89</v>
      </c>
      <c r="C480" s="116">
        <v>12.37</v>
      </c>
      <c r="D480" s="116">
        <v>12.31</v>
      </c>
      <c r="E480" s="116">
        <v>12.85</v>
      </c>
      <c r="F480" s="116">
        <v>12.37</v>
      </c>
      <c r="G480">
        <v>265200</v>
      </c>
      <c r="H480" s="116"/>
      <c r="I480" s="116"/>
      <c r="L480" s="169">
        <v>45825</v>
      </c>
      <c r="M480" s="116">
        <v>1524.6</v>
      </c>
      <c r="N480" s="116">
        <v>1545.5</v>
      </c>
      <c r="O480" s="116">
        <v>1514</v>
      </c>
      <c r="P480" s="116">
        <v>1522.9</v>
      </c>
      <c r="Q480" s="116">
        <v>1524.6</v>
      </c>
      <c r="R480">
        <v>742966</v>
      </c>
    </row>
    <row r="481" spans="1:18" x14ac:dyDescent="0.25">
      <c r="A481" s="169">
        <v>42719</v>
      </c>
      <c r="B481" s="116">
        <v>12.5</v>
      </c>
      <c r="C481" s="116">
        <v>12.03</v>
      </c>
      <c r="D481" s="116">
        <v>12</v>
      </c>
      <c r="E481" s="116">
        <v>12.12</v>
      </c>
      <c r="F481" s="116">
        <v>12.03</v>
      </c>
      <c r="G481">
        <v>171261</v>
      </c>
      <c r="H481" s="116"/>
      <c r="I481" s="116"/>
      <c r="L481" s="169">
        <v>45826</v>
      </c>
      <c r="M481" s="116">
        <v>1503.1</v>
      </c>
      <c r="N481" s="116">
        <v>1529.9</v>
      </c>
      <c r="O481" s="116">
        <v>1493</v>
      </c>
      <c r="P481" s="116">
        <v>1524.6</v>
      </c>
      <c r="Q481" s="116">
        <v>1503.1</v>
      </c>
      <c r="R481">
        <v>267660</v>
      </c>
    </row>
    <row r="482" spans="1:18" x14ac:dyDescent="0.25">
      <c r="A482" s="169">
        <v>42720</v>
      </c>
      <c r="B482" s="116">
        <v>12.3</v>
      </c>
      <c r="C482" s="116">
        <v>11.92</v>
      </c>
      <c r="D482" s="116">
        <v>11.55</v>
      </c>
      <c r="E482" s="116">
        <v>12.05</v>
      </c>
      <c r="F482" s="116">
        <v>11.92</v>
      </c>
      <c r="G482">
        <v>156244</v>
      </c>
      <c r="H482" s="116"/>
      <c r="I482" s="116"/>
      <c r="L482" s="169">
        <v>45827</v>
      </c>
      <c r="M482" s="116">
        <v>1467.6</v>
      </c>
      <c r="N482" s="116">
        <v>1513.7</v>
      </c>
      <c r="O482" s="116">
        <v>1460</v>
      </c>
      <c r="P482" s="116">
        <v>1501.5</v>
      </c>
      <c r="Q482" s="116">
        <v>1467.6</v>
      </c>
      <c r="R482">
        <v>297489</v>
      </c>
    </row>
    <row r="483" spans="1:18" x14ac:dyDescent="0.25">
      <c r="A483" s="169">
        <v>42723</v>
      </c>
      <c r="B483" s="116">
        <v>11.8</v>
      </c>
      <c r="C483" s="116">
        <v>11.51</v>
      </c>
      <c r="D483" s="116">
        <v>11.4</v>
      </c>
      <c r="E483" s="116">
        <v>11.45</v>
      </c>
      <c r="F483" s="116">
        <v>11.51</v>
      </c>
      <c r="G483">
        <v>331786</v>
      </c>
      <c r="H483" s="116"/>
      <c r="I483" s="116"/>
      <c r="L483" s="169">
        <v>45828</v>
      </c>
      <c r="M483" s="116">
        <v>1467.9</v>
      </c>
      <c r="N483" s="116">
        <v>1502</v>
      </c>
      <c r="O483" s="116">
        <v>1458.2</v>
      </c>
      <c r="P483" s="116">
        <v>1470.3</v>
      </c>
      <c r="Q483" s="116">
        <v>1467.9</v>
      </c>
      <c r="R483">
        <v>1217758</v>
      </c>
    </row>
    <row r="484" spans="1:18" x14ac:dyDescent="0.25">
      <c r="A484" s="169">
        <v>42724</v>
      </c>
      <c r="B484" s="116">
        <v>11.65</v>
      </c>
      <c r="C484" s="116">
        <v>11.52</v>
      </c>
      <c r="D484" s="116">
        <v>11.31</v>
      </c>
      <c r="E484" s="116">
        <v>11.5</v>
      </c>
      <c r="F484" s="116">
        <v>11.52</v>
      </c>
      <c r="G484">
        <v>325879</v>
      </c>
      <c r="H484" s="116"/>
      <c r="I484" s="116"/>
      <c r="L484" s="169">
        <v>45831</v>
      </c>
      <c r="M484" s="116">
        <v>1502.2</v>
      </c>
      <c r="N484" s="116">
        <v>1511</v>
      </c>
      <c r="O484" s="116">
        <v>1469.2</v>
      </c>
      <c r="P484" s="116">
        <v>1470</v>
      </c>
      <c r="Q484" s="116">
        <v>1502.2</v>
      </c>
      <c r="R484">
        <v>269578</v>
      </c>
    </row>
    <row r="485" spans="1:18" x14ac:dyDescent="0.25">
      <c r="A485" s="169">
        <v>42725</v>
      </c>
      <c r="B485" s="116">
        <v>11.68</v>
      </c>
      <c r="C485" s="116">
        <v>11.54</v>
      </c>
      <c r="D485" s="116">
        <v>11.3</v>
      </c>
      <c r="E485" s="116">
        <v>11.43</v>
      </c>
      <c r="F485" s="116">
        <v>11.54</v>
      </c>
      <c r="G485">
        <v>381290</v>
      </c>
      <c r="H485" s="116"/>
      <c r="I485" s="116"/>
      <c r="L485" s="169">
        <v>45832</v>
      </c>
      <c r="M485" s="116">
        <v>1526.4</v>
      </c>
      <c r="N485" s="116">
        <v>1547.8</v>
      </c>
      <c r="O485" s="116">
        <v>1520.1</v>
      </c>
      <c r="P485" s="116">
        <v>1521</v>
      </c>
      <c r="Q485" s="116">
        <v>1526.4</v>
      </c>
      <c r="R485">
        <v>653922</v>
      </c>
    </row>
    <row r="486" spans="1:18" x14ac:dyDescent="0.25">
      <c r="A486" s="169">
        <v>42726</v>
      </c>
      <c r="B486" s="116">
        <v>11.45</v>
      </c>
      <c r="C486" s="116">
        <v>11.28</v>
      </c>
      <c r="D486" s="116">
        <v>11.25</v>
      </c>
      <c r="E486" s="116">
        <v>11.25</v>
      </c>
      <c r="F486" s="116">
        <v>11.28</v>
      </c>
      <c r="G486">
        <v>30535</v>
      </c>
      <c r="H486" s="116"/>
      <c r="I486" s="116"/>
      <c r="L486" s="169">
        <v>45833</v>
      </c>
      <c r="M486" s="116">
        <v>1522.2</v>
      </c>
      <c r="N486" s="116">
        <v>1545.5</v>
      </c>
      <c r="O486" s="116">
        <v>1500</v>
      </c>
      <c r="P486" s="116">
        <v>1539.5</v>
      </c>
      <c r="Q486" s="116">
        <v>1522.2</v>
      </c>
      <c r="R486">
        <v>381990</v>
      </c>
    </row>
    <row r="487" spans="1:18" x14ac:dyDescent="0.25">
      <c r="A487" s="169">
        <v>42727</v>
      </c>
      <c r="B487" s="116">
        <v>12.4</v>
      </c>
      <c r="C487" s="116">
        <v>12.4</v>
      </c>
      <c r="D487" s="116">
        <v>11.25</v>
      </c>
      <c r="E487" s="116">
        <v>11.28</v>
      </c>
      <c r="F487" s="116">
        <v>12.4</v>
      </c>
      <c r="G487">
        <v>38615</v>
      </c>
      <c r="H487" s="116"/>
      <c r="I487" s="116"/>
      <c r="L487" s="169">
        <v>45834</v>
      </c>
      <c r="M487" s="116">
        <v>1548</v>
      </c>
      <c r="N487" s="116">
        <v>1558</v>
      </c>
      <c r="O487" s="116">
        <v>1497</v>
      </c>
      <c r="P487" s="116">
        <v>1540.1</v>
      </c>
      <c r="Q487" s="116">
        <v>1548</v>
      </c>
      <c r="R487">
        <v>1464195</v>
      </c>
    </row>
    <row r="488" spans="1:18" x14ac:dyDescent="0.25">
      <c r="A488" s="169">
        <v>42730</v>
      </c>
      <c r="B488" s="116">
        <v>11.5</v>
      </c>
      <c r="C488" s="116">
        <v>11.16</v>
      </c>
      <c r="D488" s="116">
        <v>11.16</v>
      </c>
      <c r="E488" s="116">
        <v>11.16</v>
      </c>
      <c r="F488" s="116">
        <v>11.16</v>
      </c>
      <c r="G488">
        <v>532993</v>
      </c>
      <c r="H488" s="116"/>
      <c r="I488" s="116"/>
      <c r="L488" s="169">
        <v>45835</v>
      </c>
      <c r="M488" s="116">
        <v>1548.4</v>
      </c>
      <c r="N488" s="116">
        <v>1560</v>
      </c>
      <c r="O488" s="116">
        <v>1510</v>
      </c>
      <c r="P488" s="116">
        <v>1555</v>
      </c>
      <c r="Q488" s="116">
        <v>1548.4</v>
      </c>
      <c r="R488">
        <v>896829</v>
      </c>
    </row>
    <row r="489" spans="1:18" x14ac:dyDescent="0.25">
      <c r="A489" s="169">
        <v>42731</v>
      </c>
      <c r="B489" s="116">
        <v>10.050000000000001</v>
      </c>
      <c r="C489" s="116">
        <v>10.050000000000001</v>
      </c>
      <c r="D489" s="116">
        <v>10.050000000000001</v>
      </c>
      <c r="E489" s="116">
        <v>10.050000000000001</v>
      </c>
      <c r="F489" s="116">
        <v>10.050000000000001</v>
      </c>
      <c r="G489">
        <v>56831</v>
      </c>
      <c r="H489" s="116"/>
      <c r="I489" s="116"/>
      <c r="L489" s="169">
        <v>45838</v>
      </c>
      <c r="M489" s="116">
        <v>1588.9</v>
      </c>
      <c r="N489" s="116">
        <v>1590</v>
      </c>
      <c r="O489" s="116">
        <v>1551.7</v>
      </c>
      <c r="P489" s="116">
        <v>1560</v>
      </c>
      <c r="Q489" s="116">
        <v>1588.9</v>
      </c>
      <c r="R489">
        <v>975439</v>
      </c>
    </row>
    <row r="490" spans="1:18" x14ac:dyDescent="0.25">
      <c r="A490" s="169">
        <v>42732</v>
      </c>
      <c r="B490" s="116">
        <v>10.88</v>
      </c>
      <c r="C490" s="116">
        <v>10.31</v>
      </c>
      <c r="D490" s="116">
        <v>9.0500000000000007</v>
      </c>
      <c r="E490" s="116">
        <v>9.0500000000000007</v>
      </c>
      <c r="F490" s="116">
        <v>10.31</v>
      </c>
      <c r="G490">
        <v>671656</v>
      </c>
      <c r="H490" s="116"/>
      <c r="I490" s="116"/>
      <c r="L490" s="169">
        <v>45839</v>
      </c>
      <c r="M490" s="116">
        <v>1580.4</v>
      </c>
      <c r="N490" s="116">
        <v>1612</v>
      </c>
      <c r="O490" s="116">
        <v>1562</v>
      </c>
      <c r="P490" s="116">
        <v>1598</v>
      </c>
      <c r="Q490" s="116">
        <v>1580.4</v>
      </c>
      <c r="R490">
        <v>487846</v>
      </c>
    </row>
    <row r="491" spans="1:18" x14ac:dyDescent="0.25">
      <c r="A491" s="169">
        <v>42733</v>
      </c>
      <c r="B491" s="116">
        <v>10.77</v>
      </c>
      <c r="C491" s="116">
        <v>10.68</v>
      </c>
      <c r="D491" s="116">
        <v>10.37</v>
      </c>
      <c r="E491" s="116">
        <v>10.44</v>
      </c>
      <c r="F491" s="116">
        <v>10.68</v>
      </c>
      <c r="G491">
        <v>41955</v>
      </c>
      <c r="H491" s="116"/>
      <c r="I491" s="116"/>
      <c r="L491" s="169">
        <v>45840</v>
      </c>
      <c r="M491" s="116">
        <v>1525.1</v>
      </c>
      <c r="N491" s="116">
        <v>1589.6</v>
      </c>
      <c r="O491" s="116">
        <v>1519</v>
      </c>
      <c r="P491" s="116">
        <v>1581</v>
      </c>
      <c r="Q491" s="116">
        <v>1525.1</v>
      </c>
      <c r="R491">
        <v>578428</v>
      </c>
    </row>
    <row r="492" spans="1:18" x14ac:dyDescent="0.25">
      <c r="A492" s="169">
        <v>42734</v>
      </c>
      <c r="B492" s="116">
        <v>10.9</v>
      </c>
      <c r="C492" s="116">
        <v>10.67</v>
      </c>
      <c r="D492" s="116">
        <v>10.53</v>
      </c>
      <c r="E492" s="116">
        <v>10.71</v>
      </c>
      <c r="F492" s="116">
        <v>10.67</v>
      </c>
      <c r="G492">
        <v>72427</v>
      </c>
      <c r="H492" s="116"/>
      <c r="I492" s="116"/>
      <c r="L492" s="169">
        <v>45841</v>
      </c>
      <c r="M492" s="116">
        <v>1531.2</v>
      </c>
      <c r="N492" s="116">
        <v>1545.2</v>
      </c>
      <c r="O492" s="116">
        <v>1518</v>
      </c>
      <c r="P492" s="116">
        <v>1526.1</v>
      </c>
      <c r="Q492" s="116">
        <v>1531.2</v>
      </c>
      <c r="R492">
        <v>319017</v>
      </c>
    </row>
    <row r="493" spans="1:18" x14ac:dyDescent="0.25">
      <c r="A493" s="169">
        <v>42737</v>
      </c>
      <c r="B493" s="116">
        <v>10.88</v>
      </c>
      <c r="C493" s="116">
        <v>10.76</v>
      </c>
      <c r="D493" s="116">
        <v>10.4</v>
      </c>
      <c r="E493" s="116">
        <v>10.88</v>
      </c>
      <c r="F493" s="116">
        <v>10.76</v>
      </c>
      <c r="G493">
        <v>33840</v>
      </c>
      <c r="H493" s="116"/>
      <c r="I493" s="116"/>
      <c r="L493" s="169">
        <v>45842</v>
      </c>
      <c r="M493" s="116">
        <v>1553.7</v>
      </c>
      <c r="N493" s="116">
        <v>1564.7</v>
      </c>
      <c r="O493" s="116">
        <v>1530.8</v>
      </c>
      <c r="P493" s="116">
        <v>1540.7</v>
      </c>
      <c r="Q493" s="116">
        <v>1553.7</v>
      </c>
      <c r="R493">
        <v>337045</v>
      </c>
    </row>
    <row r="494" spans="1:18" x14ac:dyDescent="0.25">
      <c r="A494" s="169">
        <v>42738</v>
      </c>
      <c r="B494" s="116">
        <v>11.7</v>
      </c>
      <c r="C494" s="116">
        <v>11.63</v>
      </c>
      <c r="D494" s="116">
        <v>10.96</v>
      </c>
      <c r="E494" s="116">
        <v>11</v>
      </c>
      <c r="F494" s="116">
        <v>11.63</v>
      </c>
      <c r="G494">
        <v>46167</v>
      </c>
      <c r="H494" s="116"/>
      <c r="I494" s="116"/>
      <c r="L494" s="169">
        <v>45845</v>
      </c>
      <c r="M494" s="116">
        <v>1528.7</v>
      </c>
      <c r="N494" s="116">
        <v>1562.2</v>
      </c>
      <c r="O494" s="116">
        <v>1522.3</v>
      </c>
      <c r="P494" s="116">
        <v>1553</v>
      </c>
      <c r="Q494" s="116">
        <v>1528.7</v>
      </c>
      <c r="R494">
        <v>212031</v>
      </c>
    </row>
    <row r="495" spans="1:18" x14ac:dyDescent="0.25">
      <c r="A495" s="169">
        <v>42739</v>
      </c>
      <c r="B495" s="116">
        <v>11.99</v>
      </c>
      <c r="C495" s="116">
        <v>11.57</v>
      </c>
      <c r="D495" s="116">
        <v>11.01</v>
      </c>
      <c r="E495" s="116">
        <v>11.5</v>
      </c>
      <c r="F495" s="116">
        <v>11.57</v>
      </c>
      <c r="G495">
        <v>35890</v>
      </c>
      <c r="H495" s="116"/>
      <c r="I495" s="116"/>
      <c r="L495" s="169">
        <v>45846</v>
      </c>
      <c r="M495" s="116">
        <v>1488.3</v>
      </c>
      <c r="N495" s="116">
        <v>1535</v>
      </c>
      <c r="O495" s="116">
        <v>1480</v>
      </c>
      <c r="P495" s="116">
        <v>1527.2</v>
      </c>
      <c r="Q495" s="116">
        <v>1488.3</v>
      </c>
      <c r="R495">
        <v>469215</v>
      </c>
    </row>
    <row r="496" spans="1:18" x14ac:dyDescent="0.25">
      <c r="A496" s="169">
        <v>42740</v>
      </c>
      <c r="B496" s="116">
        <v>11.89</v>
      </c>
      <c r="C496" s="116">
        <v>11.75</v>
      </c>
      <c r="D496" s="116">
        <v>11.31</v>
      </c>
      <c r="E496" s="116">
        <v>11.89</v>
      </c>
      <c r="F496" s="116">
        <v>11.75</v>
      </c>
      <c r="G496">
        <v>31287</v>
      </c>
      <c r="H496" s="116"/>
      <c r="I496" s="116"/>
      <c r="L496" s="169">
        <v>45847</v>
      </c>
      <c r="M496" s="116">
        <v>1480.2</v>
      </c>
      <c r="N496" s="116">
        <v>1496.7</v>
      </c>
      <c r="O496" s="116">
        <v>1466</v>
      </c>
      <c r="P496" s="116">
        <v>1486</v>
      </c>
      <c r="Q496" s="116">
        <v>1480.2</v>
      </c>
      <c r="R496">
        <v>507499</v>
      </c>
    </row>
    <row r="497" spans="1:18" x14ac:dyDescent="0.25">
      <c r="A497" s="169">
        <v>42741</v>
      </c>
      <c r="B497" s="116">
        <v>11.75</v>
      </c>
      <c r="C497" s="116">
        <v>11.36</v>
      </c>
      <c r="D497" s="116">
        <v>11.12</v>
      </c>
      <c r="E497" s="116">
        <v>11.5</v>
      </c>
      <c r="F497" s="116">
        <v>11.36</v>
      </c>
      <c r="G497">
        <v>29487</v>
      </c>
      <c r="H497" s="116"/>
      <c r="I497" s="116"/>
      <c r="L497" s="169">
        <v>45848</v>
      </c>
      <c r="M497" s="116">
        <v>1522.5</v>
      </c>
      <c r="N497" s="116">
        <v>1543</v>
      </c>
      <c r="O497" s="116">
        <v>1480.2</v>
      </c>
      <c r="P497" s="116">
        <v>1486.8</v>
      </c>
      <c r="Q497" s="116">
        <v>1522.5</v>
      </c>
      <c r="R497">
        <v>540305</v>
      </c>
    </row>
    <row r="498" spans="1:18" x14ac:dyDescent="0.25">
      <c r="A498" s="169">
        <v>42744</v>
      </c>
      <c r="B498" s="116">
        <v>11.45</v>
      </c>
      <c r="C498" s="116">
        <v>11.31</v>
      </c>
      <c r="D498" s="116">
        <v>11.07</v>
      </c>
      <c r="E498" s="116">
        <v>11.34</v>
      </c>
      <c r="F498" s="116">
        <v>11.31</v>
      </c>
      <c r="G498">
        <v>14951</v>
      </c>
      <c r="H498" s="116"/>
      <c r="I498" s="116"/>
      <c r="L498" s="169">
        <v>45849</v>
      </c>
      <c r="M498" s="116">
        <v>1488.9</v>
      </c>
      <c r="N498" s="116">
        <v>1522</v>
      </c>
      <c r="O498" s="116">
        <v>1485</v>
      </c>
      <c r="P498" s="116">
        <v>1521</v>
      </c>
      <c r="Q498" s="116">
        <v>1488.9</v>
      </c>
      <c r="R498">
        <v>269210</v>
      </c>
    </row>
    <row r="499" spans="1:18" x14ac:dyDescent="0.25">
      <c r="A499" s="169">
        <v>42745</v>
      </c>
      <c r="B499" s="116">
        <v>11.99</v>
      </c>
      <c r="C499" s="116">
        <v>11.74</v>
      </c>
      <c r="D499" s="116">
        <v>11.3</v>
      </c>
      <c r="E499" s="116">
        <v>11.5</v>
      </c>
      <c r="F499" s="116">
        <v>11.74</v>
      </c>
      <c r="G499">
        <v>32545</v>
      </c>
      <c r="H499" s="116"/>
      <c r="I499" s="116"/>
      <c r="L499" s="169">
        <v>45852</v>
      </c>
      <c r="M499" s="116">
        <v>1478.3</v>
      </c>
      <c r="N499" s="116">
        <v>1497.5</v>
      </c>
      <c r="O499" s="116">
        <v>1464.4</v>
      </c>
      <c r="P499" s="116">
        <v>1488.9</v>
      </c>
      <c r="Q499" s="116">
        <v>1478.3</v>
      </c>
      <c r="R499">
        <v>255173</v>
      </c>
    </row>
    <row r="500" spans="1:18" x14ac:dyDescent="0.25">
      <c r="A500" s="169">
        <v>42746</v>
      </c>
      <c r="B500" s="116">
        <v>12.9</v>
      </c>
      <c r="C500" s="116">
        <v>12.84</v>
      </c>
      <c r="D500" s="116">
        <v>11.6</v>
      </c>
      <c r="E500" s="116">
        <v>11.85</v>
      </c>
      <c r="F500" s="116">
        <v>12.84</v>
      </c>
      <c r="G500">
        <v>211338</v>
      </c>
      <c r="H500" s="116"/>
      <c r="I500" s="116"/>
      <c r="L500" s="169">
        <v>45853</v>
      </c>
      <c r="M500" s="116">
        <v>1478.5</v>
      </c>
      <c r="N500" s="116">
        <v>1500</v>
      </c>
      <c r="O500" s="116">
        <v>1475</v>
      </c>
      <c r="P500" s="116">
        <v>1490</v>
      </c>
      <c r="Q500" s="116">
        <v>1478.5</v>
      </c>
      <c r="R500">
        <v>194929</v>
      </c>
    </row>
    <row r="501" spans="1:18" x14ac:dyDescent="0.25">
      <c r="A501" s="169">
        <v>42747</v>
      </c>
      <c r="B501" s="116">
        <v>14.12</v>
      </c>
      <c r="C501" s="116">
        <v>14.12</v>
      </c>
      <c r="D501" s="116">
        <v>12.76</v>
      </c>
      <c r="E501" s="116">
        <v>12.9</v>
      </c>
      <c r="F501" s="116">
        <v>14.12</v>
      </c>
      <c r="G501">
        <v>192852</v>
      </c>
      <c r="H501" s="116"/>
      <c r="I501" s="116"/>
      <c r="L501" s="169">
        <v>45854</v>
      </c>
      <c r="M501" s="116">
        <v>1488.4</v>
      </c>
      <c r="N501" s="116">
        <v>1498.5</v>
      </c>
      <c r="O501" s="116">
        <v>1475</v>
      </c>
      <c r="P501" s="116">
        <v>1480.4</v>
      </c>
      <c r="Q501" s="116">
        <v>1488.4</v>
      </c>
      <c r="R501">
        <v>158372</v>
      </c>
    </row>
    <row r="502" spans="1:18" x14ac:dyDescent="0.25">
      <c r="A502" s="169">
        <v>42748</v>
      </c>
      <c r="B502" s="116">
        <v>14.76</v>
      </c>
      <c r="C502" s="116">
        <v>14.76</v>
      </c>
      <c r="D502" s="116">
        <v>14.49</v>
      </c>
      <c r="E502" s="116">
        <v>14.49</v>
      </c>
      <c r="F502" s="116">
        <v>14.76</v>
      </c>
      <c r="G502">
        <v>95183</v>
      </c>
      <c r="H502" s="116"/>
      <c r="I502" s="116"/>
      <c r="L502" s="169">
        <v>45855</v>
      </c>
      <c r="M502" s="116">
        <v>1472.1</v>
      </c>
      <c r="N502" s="116">
        <v>1493.9</v>
      </c>
      <c r="O502" s="116">
        <v>1461.5</v>
      </c>
      <c r="P502" s="116">
        <v>1490.9</v>
      </c>
      <c r="Q502" s="116">
        <v>1472.1</v>
      </c>
      <c r="R502">
        <v>162867</v>
      </c>
    </row>
    <row r="503" spans="1:18" x14ac:dyDescent="0.25">
      <c r="A503" s="169">
        <v>42751</v>
      </c>
      <c r="B503" s="116">
        <v>14.76</v>
      </c>
      <c r="C503" s="116">
        <v>14.76</v>
      </c>
      <c r="D503" s="116">
        <v>14.76</v>
      </c>
      <c r="E503" s="116">
        <v>14.76</v>
      </c>
      <c r="F503" s="116">
        <v>14.76</v>
      </c>
      <c r="G503">
        <v>52007</v>
      </c>
      <c r="H503" s="116"/>
      <c r="I503" s="116"/>
      <c r="L503" s="169">
        <v>45856</v>
      </c>
      <c r="M503" s="116">
        <v>1472.6</v>
      </c>
      <c r="N503" s="116">
        <v>1484.9</v>
      </c>
      <c r="O503" s="116">
        <v>1463</v>
      </c>
      <c r="P503" s="116">
        <v>1473.9</v>
      </c>
      <c r="Q503" s="116">
        <v>1472.6</v>
      </c>
      <c r="R503">
        <v>190838</v>
      </c>
    </row>
    <row r="504" spans="1:18" x14ac:dyDescent="0.25">
      <c r="A504" s="169">
        <v>42752</v>
      </c>
      <c r="B504" s="116">
        <v>14.76</v>
      </c>
      <c r="C504" s="116">
        <v>14.36</v>
      </c>
      <c r="D504" s="116">
        <v>14.21</v>
      </c>
      <c r="E504" s="116">
        <v>14.76</v>
      </c>
      <c r="F504" s="116">
        <v>14.36</v>
      </c>
      <c r="G504">
        <v>477051</v>
      </c>
      <c r="H504" s="116"/>
      <c r="I504" s="116"/>
      <c r="L504" s="169">
        <v>45859</v>
      </c>
      <c r="M504" s="116">
        <v>1529.4</v>
      </c>
      <c r="N504" s="116">
        <v>1535</v>
      </c>
      <c r="O504" s="116">
        <v>1473</v>
      </c>
      <c r="P504" s="116">
        <v>1473.2</v>
      </c>
      <c r="Q504" s="116">
        <v>1529.4</v>
      </c>
      <c r="R504">
        <v>591567</v>
      </c>
    </row>
    <row r="505" spans="1:18" x14ac:dyDescent="0.25">
      <c r="A505" s="169">
        <v>42753</v>
      </c>
      <c r="B505" s="116">
        <v>14.36</v>
      </c>
      <c r="C505" s="116">
        <v>13.7</v>
      </c>
      <c r="D505" s="116">
        <v>13.65</v>
      </c>
      <c r="E505" s="116">
        <v>14.36</v>
      </c>
      <c r="F505" s="116">
        <v>13.7</v>
      </c>
      <c r="G505">
        <v>85287</v>
      </c>
      <c r="H505" s="116"/>
      <c r="I505" s="116"/>
      <c r="L505" s="169">
        <v>45860</v>
      </c>
      <c r="M505" s="116">
        <v>1530.8</v>
      </c>
      <c r="N505" s="116">
        <v>1555</v>
      </c>
      <c r="O505" s="116">
        <v>1521.9</v>
      </c>
      <c r="P505" s="116">
        <v>1535.4</v>
      </c>
      <c r="Q505" s="116">
        <v>1530.8</v>
      </c>
      <c r="R505">
        <v>433389</v>
      </c>
    </row>
    <row r="506" spans="1:18" x14ac:dyDescent="0.25">
      <c r="A506" s="169">
        <v>42754</v>
      </c>
      <c r="B506" s="116">
        <v>13.87</v>
      </c>
      <c r="C506" s="116">
        <v>13.87</v>
      </c>
      <c r="D506" s="116">
        <v>13.65</v>
      </c>
      <c r="E506" s="116">
        <v>13.7</v>
      </c>
      <c r="F506" s="116">
        <v>13.87</v>
      </c>
      <c r="G506">
        <v>2276491</v>
      </c>
      <c r="H506" s="116"/>
      <c r="I506" s="116"/>
      <c r="L506" s="169">
        <v>45861</v>
      </c>
      <c r="M506" s="116">
        <v>1526.8</v>
      </c>
      <c r="N506" s="116">
        <v>1544</v>
      </c>
      <c r="O506" s="116">
        <v>1521</v>
      </c>
      <c r="P506" s="116">
        <v>1537</v>
      </c>
      <c r="Q506" s="116">
        <v>1526.8</v>
      </c>
      <c r="R506">
        <v>126817</v>
      </c>
    </row>
    <row r="507" spans="1:18" x14ac:dyDescent="0.25">
      <c r="A507" s="169">
        <v>42755</v>
      </c>
      <c r="B507" s="116">
        <v>13.87</v>
      </c>
      <c r="C507" s="116">
        <v>13.86</v>
      </c>
      <c r="D507" s="116">
        <v>13.8</v>
      </c>
      <c r="E507" s="116">
        <v>13.87</v>
      </c>
      <c r="F507" s="116">
        <v>13.86</v>
      </c>
      <c r="G507">
        <v>67560</v>
      </c>
      <c r="H507" s="116"/>
      <c r="I507" s="116"/>
      <c r="L507" s="169">
        <v>45862</v>
      </c>
      <c r="M507" s="116">
        <v>1533.4</v>
      </c>
      <c r="N507" s="116">
        <v>1546</v>
      </c>
      <c r="O507" s="116">
        <v>1502</v>
      </c>
      <c r="P507" s="116">
        <v>1530</v>
      </c>
      <c r="Q507" s="116">
        <v>1533.4</v>
      </c>
      <c r="R507">
        <v>222732</v>
      </c>
    </row>
    <row r="508" spans="1:18" x14ac:dyDescent="0.25">
      <c r="A508" s="169">
        <v>42758</v>
      </c>
      <c r="B508" s="116">
        <v>13.87</v>
      </c>
      <c r="C508" s="116">
        <v>13.87</v>
      </c>
      <c r="D508" s="116">
        <v>13.87</v>
      </c>
      <c r="E508" s="116">
        <v>13.87</v>
      </c>
      <c r="F508" s="116">
        <v>13.87</v>
      </c>
      <c r="G508">
        <v>11893</v>
      </c>
      <c r="H508" s="116"/>
      <c r="I508" s="116"/>
      <c r="L508" s="169">
        <v>45863</v>
      </c>
      <c r="M508" s="116">
        <v>1504.3</v>
      </c>
      <c r="N508" s="116">
        <v>1541.9</v>
      </c>
      <c r="O508" s="116">
        <v>1502</v>
      </c>
      <c r="P508" s="116">
        <v>1533.4</v>
      </c>
      <c r="Q508" s="116">
        <v>1504.3</v>
      </c>
      <c r="R508">
        <v>304148</v>
      </c>
    </row>
    <row r="509" spans="1:18" x14ac:dyDescent="0.25">
      <c r="A509" s="169">
        <v>42759</v>
      </c>
      <c r="B509" s="116">
        <v>13.87</v>
      </c>
      <c r="C509" s="116">
        <v>13.87</v>
      </c>
      <c r="D509" s="116">
        <v>13.87</v>
      </c>
      <c r="E509" s="116">
        <v>13.87</v>
      </c>
      <c r="F509" s="116">
        <v>13.87</v>
      </c>
      <c r="G509">
        <v>12145</v>
      </c>
      <c r="H509" s="116"/>
      <c r="I509" s="116"/>
      <c r="L509" s="169">
        <v>45866</v>
      </c>
      <c r="M509" s="116">
        <v>1470.5</v>
      </c>
      <c r="N509" s="116">
        <v>1511.4</v>
      </c>
      <c r="O509" s="116">
        <v>1466.3</v>
      </c>
      <c r="P509" s="116">
        <v>1504.2</v>
      </c>
      <c r="Q509" s="116">
        <v>1470.5</v>
      </c>
      <c r="R509">
        <v>214846</v>
      </c>
    </row>
    <row r="510" spans="1:18" x14ac:dyDescent="0.25">
      <c r="A510" s="169">
        <v>42760</v>
      </c>
      <c r="B510" s="116">
        <v>13.87</v>
      </c>
      <c r="C510" s="116">
        <v>13.87</v>
      </c>
      <c r="D510" s="116">
        <v>13.87</v>
      </c>
      <c r="E510" s="116">
        <v>13.87</v>
      </c>
      <c r="F510" s="116">
        <v>13.87</v>
      </c>
      <c r="G510">
        <v>5245</v>
      </c>
      <c r="H510" s="116"/>
      <c r="I510" s="116"/>
      <c r="L510" s="169">
        <v>45867</v>
      </c>
      <c r="M510" s="116">
        <v>1484.1</v>
      </c>
      <c r="N510" s="116">
        <v>1496.6</v>
      </c>
      <c r="O510" s="116">
        <v>1451</v>
      </c>
      <c r="P510" s="116">
        <v>1468.2</v>
      </c>
      <c r="Q510" s="116">
        <v>1484.1</v>
      </c>
      <c r="R510">
        <v>354952</v>
      </c>
    </row>
    <row r="511" spans="1:18" x14ac:dyDescent="0.25">
      <c r="A511" s="169">
        <v>42762</v>
      </c>
      <c r="B511" s="116">
        <v>13.87</v>
      </c>
      <c r="C511" s="116">
        <v>13.87</v>
      </c>
      <c r="D511" s="116">
        <v>13.87</v>
      </c>
      <c r="E511" s="116">
        <v>13.87</v>
      </c>
      <c r="F511" s="116">
        <v>13.87</v>
      </c>
      <c r="G511">
        <v>16724</v>
      </c>
      <c r="H511" s="116"/>
      <c r="I511" s="116"/>
      <c r="L511" s="169">
        <v>45868</v>
      </c>
      <c r="M511" s="116">
        <v>1518.2</v>
      </c>
      <c r="N511" s="116">
        <v>1525</v>
      </c>
      <c r="O511" s="116">
        <v>1486</v>
      </c>
      <c r="P511" s="116">
        <v>1490.8</v>
      </c>
      <c r="Q511" s="116">
        <v>1518.2</v>
      </c>
      <c r="R511">
        <v>273783</v>
      </c>
    </row>
    <row r="512" spans="1:18" x14ac:dyDescent="0.25">
      <c r="A512" s="169">
        <v>42765</v>
      </c>
      <c r="B512" s="116">
        <v>13.87</v>
      </c>
      <c r="C512" s="116">
        <v>13.87</v>
      </c>
      <c r="D512" s="116">
        <v>13.87</v>
      </c>
      <c r="E512" s="116">
        <v>13.87</v>
      </c>
      <c r="F512" s="116">
        <v>13.87</v>
      </c>
      <c r="G512">
        <v>14124</v>
      </c>
      <c r="H512" s="116"/>
      <c r="I512" s="116"/>
      <c r="L512" s="169">
        <v>45869</v>
      </c>
      <c r="M512" s="116">
        <v>1504.7</v>
      </c>
      <c r="N512" s="116">
        <v>1529.9</v>
      </c>
      <c r="O512" s="116">
        <v>1474.6</v>
      </c>
      <c r="P512" s="116">
        <v>1500</v>
      </c>
      <c r="Q512" s="116">
        <v>1504.7</v>
      </c>
      <c r="R512">
        <v>448451</v>
      </c>
    </row>
    <row r="513" spans="1:18" x14ac:dyDescent="0.25">
      <c r="A513" s="169">
        <v>42766</v>
      </c>
      <c r="B513" s="116">
        <v>13.87</v>
      </c>
      <c r="C513" s="116">
        <v>13.87</v>
      </c>
      <c r="D513" s="116">
        <v>13.87</v>
      </c>
      <c r="E513" s="116">
        <v>13.87</v>
      </c>
      <c r="F513" s="116">
        <v>13.87</v>
      </c>
      <c r="G513">
        <v>2625</v>
      </c>
      <c r="H513" s="116"/>
      <c r="I513" s="116"/>
      <c r="L513" s="169">
        <v>45870</v>
      </c>
      <c r="M513" s="116">
        <v>1445.6</v>
      </c>
      <c r="N513" s="116">
        <v>1500.8</v>
      </c>
      <c r="O513" s="116">
        <v>1423.6</v>
      </c>
      <c r="P513" s="116">
        <v>1497</v>
      </c>
      <c r="Q513" s="116">
        <v>1445.6</v>
      </c>
      <c r="R513">
        <v>297168</v>
      </c>
    </row>
    <row r="514" spans="1:18" x14ac:dyDescent="0.25">
      <c r="A514" s="169">
        <v>42767</v>
      </c>
      <c r="B514" s="116">
        <v>14.56</v>
      </c>
      <c r="C514" s="116">
        <v>14.56</v>
      </c>
      <c r="D514" s="116">
        <v>13.91</v>
      </c>
      <c r="E514" s="116">
        <v>14.48</v>
      </c>
      <c r="F514" s="116">
        <v>14.56</v>
      </c>
      <c r="G514">
        <v>190750</v>
      </c>
      <c r="H514" s="116"/>
      <c r="I514" s="116"/>
      <c r="L514" s="169">
        <v>45873</v>
      </c>
      <c r="M514" s="116">
        <v>1474.6</v>
      </c>
      <c r="N514" s="116">
        <v>1480</v>
      </c>
      <c r="O514" s="116">
        <v>1450.4</v>
      </c>
      <c r="P514" s="116">
        <v>1450.4</v>
      </c>
      <c r="Q514" s="116">
        <v>1474.6</v>
      </c>
      <c r="R514">
        <v>123177</v>
      </c>
    </row>
    <row r="515" spans="1:18" x14ac:dyDescent="0.25">
      <c r="A515" s="169">
        <v>42768</v>
      </c>
      <c r="B515" s="116">
        <v>15.28</v>
      </c>
      <c r="C515" s="116">
        <v>15.28</v>
      </c>
      <c r="D515" s="116">
        <v>14.56</v>
      </c>
      <c r="E515" s="116">
        <v>15.25</v>
      </c>
      <c r="F515" s="116">
        <v>15.28</v>
      </c>
      <c r="G515">
        <v>2704772</v>
      </c>
      <c r="H515" s="116"/>
      <c r="I515" s="116"/>
      <c r="L515" s="169">
        <v>45874</v>
      </c>
      <c r="M515" s="116">
        <v>1451.1</v>
      </c>
      <c r="N515" s="116">
        <v>1486.9</v>
      </c>
      <c r="O515" s="116">
        <v>1432.9</v>
      </c>
      <c r="P515" s="116">
        <v>1474.1</v>
      </c>
      <c r="Q515" s="116">
        <v>1451.1</v>
      </c>
      <c r="R515">
        <v>202814</v>
      </c>
    </row>
    <row r="516" spans="1:18" x14ac:dyDescent="0.25">
      <c r="A516" s="169">
        <v>42769</v>
      </c>
      <c r="B516" s="116">
        <v>16.04</v>
      </c>
      <c r="C516" s="116">
        <v>16.04</v>
      </c>
      <c r="D516" s="116">
        <v>15.95</v>
      </c>
      <c r="E516" s="116">
        <v>16.04</v>
      </c>
      <c r="F516" s="116">
        <v>16.04</v>
      </c>
      <c r="G516">
        <v>1715509</v>
      </c>
      <c r="H516" s="116"/>
      <c r="I516" s="116"/>
      <c r="L516" s="169">
        <v>45875</v>
      </c>
      <c r="M516" s="116">
        <v>1455.9</v>
      </c>
      <c r="N516" s="116">
        <v>1464.5</v>
      </c>
      <c r="O516" s="116">
        <v>1427.6</v>
      </c>
      <c r="P516" s="116">
        <v>1460</v>
      </c>
      <c r="Q516" s="116">
        <v>1455.9</v>
      </c>
      <c r="R516">
        <v>212448</v>
      </c>
    </row>
    <row r="517" spans="1:18" x14ac:dyDescent="0.25">
      <c r="A517" s="169">
        <v>42772</v>
      </c>
      <c r="B517" s="116">
        <v>16.84</v>
      </c>
      <c r="C517" s="116">
        <v>16.84</v>
      </c>
      <c r="D517" s="116">
        <v>16.149999999999999</v>
      </c>
      <c r="E517" s="116">
        <v>16.84</v>
      </c>
      <c r="F517" s="116">
        <v>16.84</v>
      </c>
      <c r="G517">
        <v>334913</v>
      </c>
      <c r="H517" s="116"/>
      <c r="I517" s="116"/>
      <c r="L517" s="169">
        <v>45876</v>
      </c>
      <c r="M517" s="116">
        <v>1430.7</v>
      </c>
      <c r="N517" s="116">
        <v>1451.4</v>
      </c>
      <c r="O517" s="116">
        <v>1409.4</v>
      </c>
      <c r="P517" s="116">
        <v>1450.1</v>
      </c>
      <c r="Q517" s="116">
        <v>1430.7</v>
      </c>
      <c r="R517">
        <v>202441</v>
      </c>
    </row>
    <row r="518" spans="1:18" x14ac:dyDescent="0.25">
      <c r="A518" s="169">
        <v>42773</v>
      </c>
      <c r="B518" s="116">
        <v>17.68</v>
      </c>
      <c r="C518" s="116">
        <v>17.68</v>
      </c>
      <c r="D518" s="116">
        <v>16.25</v>
      </c>
      <c r="E518" s="116">
        <v>17.68</v>
      </c>
      <c r="F518" s="116">
        <v>17.68</v>
      </c>
      <c r="G518">
        <v>1189958</v>
      </c>
      <c r="H518" s="116"/>
      <c r="I518" s="116"/>
      <c r="L518" s="169">
        <v>45877</v>
      </c>
      <c r="M518" s="116">
        <v>1400.3</v>
      </c>
      <c r="N518" s="116">
        <v>1440</v>
      </c>
      <c r="O518" s="116">
        <v>1386</v>
      </c>
      <c r="P518" s="116">
        <v>1432.9</v>
      </c>
      <c r="Q518" s="116">
        <v>1400.3</v>
      </c>
      <c r="R518">
        <v>190207</v>
      </c>
    </row>
    <row r="519" spans="1:18" x14ac:dyDescent="0.25">
      <c r="A519" s="169">
        <v>42774</v>
      </c>
      <c r="B519" s="116">
        <v>18.559999999999999</v>
      </c>
      <c r="C519" s="116">
        <v>18.559999999999999</v>
      </c>
      <c r="D519" s="116">
        <v>17.5</v>
      </c>
      <c r="E519" s="116">
        <v>18.2</v>
      </c>
      <c r="F519" s="116">
        <v>18.559999999999999</v>
      </c>
      <c r="G519">
        <v>1270146</v>
      </c>
      <c r="H519" s="116"/>
      <c r="I519" s="116"/>
      <c r="L519" s="169">
        <v>45880</v>
      </c>
      <c r="M519" s="116">
        <v>1389.9</v>
      </c>
      <c r="N519" s="116">
        <v>1414</v>
      </c>
      <c r="O519" s="116">
        <v>1357</v>
      </c>
      <c r="P519" s="116">
        <v>1394.2</v>
      </c>
      <c r="Q519" s="116">
        <v>1389.9</v>
      </c>
      <c r="R519">
        <v>348587</v>
      </c>
    </row>
    <row r="520" spans="1:18" x14ac:dyDescent="0.25">
      <c r="A520" s="169">
        <v>42775</v>
      </c>
      <c r="B520" s="116">
        <v>19.239999999999998</v>
      </c>
      <c r="C520" s="116">
        <v>18.579999999999998</v>
      </c>
      <c r="D520" s="116">
        <v>18.27</v>
      </c>
      <c r="E520" s="116">
        <v>19.239999999999998</v>
      </c>
      <c r="F520" s="116">
        <v>18.579999999999998</v>
      </c>
      <c r="G520">
        <v>270554</v>
      </c>
      <c r="H520" s="116"/>
      <c r="I520" s="116"/>
      <c r="L520" s="169">
        <v>45881</v>
      </c>
      <c r="M520" s="116">
        <v>1380.8</v>
      </c>
      <c r="N520" s="116">
        <v>1421</v>
      </c>
      <c r="O520" s="116">
        <v>1375.1</v>
      </c>
      <c r="P520" s="116">
        <v>1392</v>
      </c>
      <c r="Q520" s="116">
        <v>1380.8</v>
      </c>
      <c r="R520">
        <v>196482</v>
      </c>
    </row>
    <row r="521" spans="1:18" x14ac:dyDescent="0.25">
      <c r="A521" s="169">
        <v>42776</v>
      </c>
      <c r="B521" s="116">
        <v>18.989999999999998</v>
      </c>
      <c r="C521" s="116">
        <v>18.5</v>
      </c>
      <c r="D521" s="116">
        <v>17.66</v>
      </c>
      <c r="E521" s="116">
        <v>18.2</v>
      </c>
      <c r="F521" s="116">
        <v>18.5</v>
      </c>
      <c r="G521">
        <v>244146</v>
      </c>
      <c r="H521" s="116"/>
      <c r="I521" s="116"/>
      <c r="L521" s="169">
        <v>45882</v>
      </c>
      <c r="M521" s="116">
        <v>1412.7</v>
      </c>
      <c r="N521" s="116">
        <v>1477</v>
      </c>
      <c r="O521" s="116">
        <v>1398.6</v>
      </c>
      <c r="P521" s="116">
        <v>1400</v>
      </c>
      <c r="Q521" s="116">
        <v>1412.7</v>
      </c>
      <c r="R521">
        <v>756107</v>
      </c>
    </row>
    <row r="522" spans="1:18" x14ac:dyDescent="0.25">
      <c r="A522" s="169">
        <v>42779</v>
      </c>
      <c r="B522" s="116">
        <v>18.899999999999999</v>
      </c>
      <c r="C522" s="116">
        <v>17.579999999999998</v>
      </c>
      <c r="D522" s="116">
        <v>17.579999999999998</v>
      </c>
      <c r="E522" s="116">
        <v>18.899999999999999</v>
      </c>
      <c r="F522" s="116">
        <v>17.579999999999998</v>
      </c>
      <c r="G522">
        <v>78970</v>
      </c>
      <c r="H522" s="116"/>
      <c r="I522" s="116"/>
      <c r="L522" s="169">
        <v>45883</v>
      </c>
      <c r="M522" s="116">
        <v>1398.7</v>
      </c>
      <c r="N522" s="116">
        <v>1421</v>
      </c>
      <c r="O522" s="116">
        <v>1386.7</v>
      </c>
      <c r="P522" s="116">
        <v>1421</v>
      </c>
      <c r="Q522" s="116">
        <v>1398.7</v>
      </c>
      <c r="R522">
        <v>254882</v>
      </c>
    </row>
    <row r="523" spans="1:18" x14ac:dyDescent="0.25">
      <c r="A523" s="169">
        <v>42780</v>
      </c>
      <c r="B523" s="116">
        <v>17.5</v>
      </c>
      <c r="C523" s="116">
        <v>16.72</v>
      </c>
      <c r="D523" s="116">
        <v>16.71</v>
      </c>
      <c r="E523" s="116">
        <v>17.5</v>
      </c>
      <c r="F523" s="116">
        <v>16.72</v>
      </c>
      <c r="G523">
        <v>164674</v>
      </c>
      <c r="H523" s="116"/>
      <c r="I523" s="116"/>
      <c r="L523" s="169">
        <v>45887</v>
      </c>
      <c r="M523" s="116">
        <v>1379.3</v>
      </c>
      <c r="N523" s="116">
        <v>1420</v>
      </c>
      <c r="O523" s="116">
        <v>1353</v>
      </c>
      <c r="P523" s="116">
        <v>1415.1</v>
      </c>
      <c r="Q523" s="116">
        <v>1379.3</v>
      </c>
      <c r="R523">
        <v>398571</v>
      </c>
    </row>
    <row r="524" spans="1:18" x14ac:dyDescent="0.25">
      <c r="A524" s="169">
        <v>42781</v>
      </c>
      <c r="B524" s="116">
        <v>16.850000000000001</v>
      </c>
      <c r="C524" s="116">
        <v>15.99</v>
      </c>
      <c r="D524" s="116">
        <v>15.89</v>
      </c>
      <c r="E524" s="116">
        <v>16</v>
      </c>
      <c r="F524" s="116">
        <v>15.99</v>
      </c>
      <c r="G524">
        <v>124785</v>
      </c>
      <c r="H524" s="116"/>
      <c r="I524" s="116"/>
      <c r="L524" s="169">
        <v>45888</v>
      </c>
      <c r="M524" s="116">
        <v>1397.2</v>
      </c>
      <c r="N524" s="116">
        <v>1407.8</v>
      </c>
      <c r="O524" s="116">
        <v>1373.8</v>
      </c>
      <c r="P524" s="116">
        <v>1379.3</v>
      </c>
      <c r="Q524" s="116">
        <v>1397.2</v>
      </c>
      <c r="R524">
        <v>295348</v>
      </c>
    </row>
    <row r="525" spans="1:18" x14ac:dyDescent="0.25">
      <c r="A525" s="169">
        <v>42782</v>
      </c>
      <c r="B525" s="116">
        <v>16.78</v>
      </c>
      <c r="C525" s="116">
        <v>16.78</v>
      </c>
      <c r="D525" s="116">
        <v>15.25</v>
      </c>
      <c r="E525" s="116">
        <v>15.5</v>
      </c>
      <c r="F525" s="116">
        <v>16.78</v>
      </c>
      <c r="G525">
        <v>143844</v>
      </c>
      <c r="H525" s="116"/>
      <c r="I525" s="116"/>
      <c r="L525" s="169">
        <v>45889</v>
      </c>
      <c r="M525" s="116">
        <v>1417</v>
      </c>
      <c r="N525" s="116">
        <v>1446.2</v>
      </c>
      <c r="O525" s="116">
        <v>1404.2</v>
      </c>
      <c r="P525" s="116">
        <v>1421</v>
      </c>
      <c r="Q525" s="116">
        <v>1417</v>
      </c>
      <c r="R525">
        <v>659045</v>
      </c>
    </row>
    <row r="526" spans="1:18" x14ac:dyDescent="0.25">
      <c r="A526" s="169">
        <v>42783</v>
      </c>
      <c r="B526" s="116">
        <v>17.61</v>
      </c>
      <c r="C526" s="116">
        <v>17.61</v>
      </c>
      <c r="D526" s="116">
        <v>16.5</v>
      </c>
      <c r="E526" s="116">
        <v>16.5</v>
      </c>
      <c r="F526" s="116">
        <v>17.61</v>
      </c>
      <c r="G526">
        <v>177799</v>
      </c>
      <c r="H526" s="116"/>
      <c r="I526" s="116"/>
      <c r="L526" s="169">
        <v>45890</v>
      </c>
      <c r="M526" s="116">
        <v>1392.6</v>
      </c>
      <c r="N526" s="116">
        <v>1421.8</v>
      </c>
      <c r="O526" s="116">
        <v>1378</v>
      </c>
      <c r="P526" s="116">
        <v>1418.1</v>
      </c>
      <c r="Q526" s="116">
        <v>1392.6</v>
      </c>
      <c r="R526">
        <v>306819</v>
      </c>
    </row>
    <row r="527" spans="1:18" x14ac:dyDescent="0.25">
      <c r="A527" s="169">
        <v>42786</v>
      </c>
      <c r="B527" s="116">
        <v>18.489999999999998</v>
      </c>
      <c r="C527" s="116">
        <v>18.32</v>
      </c>
      <c r="D527" s="116">
        <v>16.77</v>
      </c>
      <c r="E527" s="116">
        <v>17.899999999999999</v>
      </c>
      <c r="F527" s="116">
        <v>18.32</v>
      </c>
      <c r="G527">
        <v>109913</v>
      </c>
      <c r="H527" s="116"/>
      <c r="I527" s="116"/>
      <c r="L527" s="169">
        <v>45891</v>
      </c>
      <c r="M527" s="116">
        <v>1353.7</v>
      </c>
      <c r="N527" s="116">
        <v>1394.7</v>
      </c>
      <c r="O527" s="116">
        <v>1350</v>
      </c>
      <c r="P527" s="116">
        <v>1388.1</v>
      </c>
      <c r="Q527" s="116">
        <v>1353.7</v>
      </c>
      <c r="R527">
        <v>292744</v>
      </c>
    </row>
    <row r="528" spans="1:18" x14ac:dyDescent="0.25">
      <c r="A528" s="169">
        <v>42787</v>
      </c>
      <c r="B528" s="116">
        <v>18.489999999999998</v>
      </c>
      <c r="C528" s="116">
        <v>18.3</v>
      </c>
      <c r="D528" s="116">
        <v>17.7</v>
      </c>
      <c r="E528" s="116">
        <v>17.7</v>
      </c>
      <c r="F528" s="116">
        <v>18.3</v>
      </c>
      <c r="G528">
        <v>22709</v>
      </c>
      <c r="H528" s="116"/>
      <c r="I528" s="116"/>
      <c r="L528" s="169">
        <v>45894</v>
      </c>
      <c r="M528" s="116">
        <v>1340.9</v>
      </c>
      <c r="N528" s="116">
        <v>1379</v>
      </c>
      <c r="O528" s="116">
        <v>1336.1</v>
      </c>
      <c r="P528" s="116">
        <v>1360.1</v>
      </c>
      <c r="Q528" s="116">
        <v>1340.9</v>
      </c>
      <c r="R528">
        <v>283934</v>
      </c>
    </row>
    <row r="529" spans="1:18" x14ac:dyDescent="0.25">
      <c r="A529" s="169">
        <v>42788</v>
      </c>
      <c r="B529" s="116">
        <v>18.45</v>
      </c>
      <c r="C529" s="116">
        <v>17.7</v>
      </c>
      <c r="D529" s="116">
        <v>17.7</v>
      </c>
      <c r="E529" s="116">
        <v>17.75</v>
      </c>
      <c r="F529" s="116">
        <v>17.7</v>
      </c>
      <c r="G529">
        <v>52166</v>
      </c>
      <c r="H529" s="116"/>
      <c r="I529" s="116"/>
      <c r="L529" s="169">
        <v>45895</v>
      </c>
      <c r="M529" s="116">
        <v>1308.5</v>
      </c>
      <c r="N529" s="116">
        <v>1352.9</v>
      </c>
      <c r="O529" s="116">
        <v>1305</v>
      </c>
      <c r="P529" s="116">
        <v>1341</v>
      </c>
      <c r="Q529" s="116">
        <v>1308.5</v>
      </c>
      <c r="R529">
        <v>227384</v>
      </c>
    </row>
    <row r="530" spans="1:18" x14ac:dyDescent="0.25">
      <c r="A530" s="169">
        <v>42789</v>
      </c>
      <c r="B530" s="116">
        <v>18</v>
      </c>
      <c r="C530" s="116">
        <v>17.23</v>
      </c>
      <c r="D530" s="116">
        <v>16.850000000000001</v>
      </c>
      <c r="E530" s="116">
        <v>16.850000000000001</v>
      </c>
      <c r="F530" s="116">
        <v>17.23</v>
      </c>
      <c r="G530">
        <v>20357</v>
      </c>
      <c r="H530" s="116"/>
      <c r="I530" s="116"/>
      <c r="L530" s="169">
        <v>45897</v>
      </c>
      <c r="M530" s="116">
        <v>1306.5</v>
      </c>
      <c r="N530" s="116">
        <v>1320</v>
      </c>
      <c r="O530" s="116">
        <v>1292</v>
      </c>
      <c r="P530" s="116">
        <v>1300.0999999999999</v>
      </c>
      <c r="Q530" s="116">
        <v>1306.5</v>
      </c>
      <c r="R530">
        <v>303741</v>
      </c>
    </row>
    <row r="531" spans="1:18" x14ac:dyDescent="0.25">
      <c r="A531" s="169">
        <v>42793</v>
      </c>
      <c r="B531" s="116">
        <v>18</v>
      </c>
      <c r="C531" s="116">
        <v>17.41</v>
      </c>
      <c r="D531" s="116">
        <v>16.75</v>
      </c>
      <c r="E531" s="116">
        <v>16.75</v>
      </c>
      <c r="F531" s="116">
        <v>17.41</v>
      </c>
      <c r="G531">
        <v>25965</v>
      </c>
      <c r="H531" s="116"/>
      <c r="I531" s="116"/>
      <c r="L531" s="169">
        <v>45898</v>
      </c>
      <c r="M531" s="116">
        <v>1288.8</v>
      </c>
      <c r="N531" s="116">
        <v>1318</v>
      </c>
      <c r="O531" s="116">
        <v>1284.5999999999999</v>
      </c>
      <c r="P531" s="116">
        <v>1313.9</v>
      </c>
      <c r="Q531" s="116">
        <v>1288.8</v>
      </c>
      <c r="R531">
        <v>243761</v>
      </c>
    </row>
    <row r="532" spans="1:18" x14ac:dyDescent="0.25">
      <c r="A532" s="169">
        <v>42794</v>
      </c>
      <c r="B532" s="116">
        <v>17.989999999999998</v>
      </c>
      <c r="C532" s="116">
        <v>17.04</v>
      </c>
      <c r="D532" s="116">
        <v>16.75</v>
      </c>
      <c r="E532" s="116">
        <v>17.45</v>
      </c>
      <c r="F532" s="116">
        <v>17.04</v>
      </c>
      <c r="G532">
        <v>15329</v>
      </c>
      <c r="H532" s="116"/>
      <c r="I532" s="116"/>
      <c r="L532" s="169">
        <v>45901</v>
      </c>
      <c r="M532" s="116">
        <v>1328</v>
      </c>
      <c r="N532" s="116">
        <v>1333</v>
      </c>
      <c r="O532" s="116">
        <v>1286.3</v>
      </c>
      <c r="P532" s="116">
        <v>1292.3</v>
      </c>
      <c r="Q532" s="116">
        <v>1328</v>
      </c>
      <c r="R532">
        <v>332566</v>
      </c>
    </row>
    <row r="533" spans="1:18" x14ac:dyDescent="0.25">
      <c r="A533" s="169">
        <v>42795</v>
      </c>
      <c r="B533" s="116">
        <v>17.850000000000001</v>
      </c>
      <c r="C533" s="116">
        <v>17.850000000000001</v>
      </c>
      <c r="D533" s="116">
        <v>17.05</v>
      </c>
      <c r="E533" s="116">
        <v>17.05</v>
      </c>
      <c r="F533" s="116">
        <v>17.850000000000001</v>
      </c>
      <c r="G533">
        <v>93886</v>
      </c>
      <c r="H533" s="116"/>
      <c r="I533" s="116"/>
      <c r="L533" s="169">
        <v>45902</v>
      </c>
      <c r="M533" s="116">
        <v>1318</v>
      </c>
      <c r="N533" s="116">
        <v>1338.8</v>
      </c>
      <c r="O533" s="116">
        <v>1310.4000000000001</v>
      </c>
      <c r="P533" s="116">
        <v>1330</v>
      </c>
      <c r="Q533" s="116">
        <v>1318</v>
      </c>
      <c r="R533">
        <v>176406</v>
      </c>
    </row>
    <row r="534" spans="1:18" x14ac:dyDescent="0.25">
      <c r="A534" s="169">
        <v>42796</v>
      </c>
      <c r="B534" s="116">
        <v>18.7</v>
      </c>
      <c r="C534" s="116">
        <v>17.55</v>
      </c>
      <c r="D534" s="116">
        <v>17.399999999999999</v>
      </c>
      <c r="E534" s="116">
        <v>18</v>
      </c>
      <c r="F534" s="116">
        <v>17.55</v>
      </c>
      <c r="G534">
        <v>104101</v>
      </c>
      <c r="H534" s="116"/>
      <c r="I534" s="116"/>
      <c r="L534" s="169">
        <v>45903</v>
      </c>
      <c r="M534" s="116">
        <v>1336.9</v>
      </c>
      <c r="N534" s="116">
        <v>1363</v>
      </c>
      <c r="O534" s="116">
        <v>1326</v>
      </c>
      <c r="P534" s="116">
        <v>1326.1</v>
      </c>
      <c r="Q534" s="116">
        <v>1336.9</v>
      </c>
      <c r="R534">
        <v>298722</v>
      </c>
    </row>
    <row r="535" spans="1:18" x14ac:dyDescent="0.25">
      <c r="A535" s="169">
        <v>42797</v>
      </c>
      <c r="B535" s="116">
        <v>18.25</v>
      </c>
      <c r="C535" s="116">
        <v>17.2</v>
      </c>
      <c r="D535" s="116">
        <v>17</v>
      </c>
      <c r="E535" s="116">
        <v>17.149999999999999</v>
      </c>
      <c r="F535" s="116">
        <v>17.2</v>
      </c>
      <c r="G535">
        <v>115008</v>
      </c>
      <c r="H535" s="116"/>
      <c r="I535" s="116"/>
      <c r="L535" s="169">
        <v>45904</v>
      </c>
      <c r="M535" s="116">
        <v>1298.2</v>
      </c>
      <c r="N535" s="116">
        <v>1365</v>
      </c>
      <c r="O535" s="116">
        <v>1292.5</v>
      </c>
      <c r="P535" s="116">
        <v>1343.5</v>
      </c>
      <c r="Q535" s="116">
        <v>1298.2</v>
      </c>
      <c r="R535">
        <v>243083</v>
      </c>
    </row>
    <row r="536" spans="1:18" x14ac:dyDescent="0.25">
      <c r="A536" s="169">
        <v>42800</v>
      </c>
      <c r="B536" s="116">
        <v>17.7</v>
      </c>
      <c r="C536" s="116">
        <v>17</v>
      </c>
      <c r="D536" s="116">
        <v>16.649999999999999</v>
      </c>
      <c r="E536" s="116">
        <v>17.2</v>
      </c>
      <c r="F536" s="116">
        <v>17</v>
      </c>
      <c r="G536">
        <v>19415</v>
      </c>
      <c r="H536" s="116"/>
      <c r="I536" s="116"/>
      <c r="L536" s="169">
        <v>45905</v>
      </c>
      <c r="M536" s="116">
        <v>1293.4000000000001</v>
      </c>
      <c r="N536" s="116">
        <v>1308.5999999999999</v>
      </c>
      <c r="O536" s="116">
        <v>1283.7</v>
      </c>
      <c r="P536" s="116">
        <v>1297</v>
      </c>
      <c r="Q536" s="116">
        <v>1293.4000000000001</v>
      </c>
      <c r="R536">
        <v>146314</v>
      </c>
    </row>
    <row r="537" spans="1:18" x14ac:dyDescent="0.25">
      <c r="A537" s="169">
        <v>42801</v>
      </c>
      <c r="B537" s="116">
        <v>17.3</v>
      </c>
      <c r="C537" s="116">
        <v>16.75</v>
      </c>
      <c r="D537" s="116">
        <v>16.55</v>
      </c>
      <c r="E537" s="116">
        <v>17.3</v>
      </c>
      <c r="F537" s="116">
        <v>16.75</v>
      </c>
      <c r="G537">
        <v>19690</v>
      </c>
      <c r="H537" s="116"/>
      <c r="I537" s="116"/>
      <c r="L537" s="169">
        <v>45908</v>
      </c>
      <c r="M537" s="116">
        <v>1302.9000000000001</v>
      </c>
      <c r="N537" s="116">
        <v>1332.8</v>
      </c>
      <c r="O537" s="116">
        <v>1293.7</v>
      </c>
      <c r="P537" s="116">
        <v>1294.0999999999999</v>
      </c>
      <c r="Q537" s="116">
        <v>1302.9000000000001</v>
      </c>
      <c r="R537">
        <v>231698</v>
      </c>
    </row>
    <row r="538" spans="1:18" x14ac:dyDescent="0.25">
      <c r="A538" s="169">
        <v>42802</v>
      </c>
      <c r="B538" s="116">
        <v>17.25</v>
      </c>
      <c r="C538" s="116">
        <v>16.5</v>
      </c>
      <c r="D538" s="116">
        <v>16.5</v>
      </c>
      <c r="E538" s="116">
        <v>17.25</v>
      </c>
      <c r="F538" s="116">
        <v>16.5</v>
      </c>
      <c r="G538">
        <v>34068</v>
      </c>
      <c r="H538" s="116"/>
      <c r="I538" s="116"/>
      <c r="L538" s="169">
        <v>45909</v>
      </c>
      <c r="M538" s="116">
        <v>1316.1</v>
      </c>
      <c r="N538" s="116">
        <v>1331.7</v>
      </c>
      <c r="O538" s="116">
        <v>1288</v>
      </c>
      <c r="P538" s="116">
        <v>1297.5</v>
      </c>
      <c r="Q538" s="116">
        <v>1316.1</v>
      </c>
      <c r="R538">
        <v>409516</v>
      </c>
    </row>
    <row r="539" spans="1:18" x14ac:dyDescent="0.25">
      <c r="A539" s="169">
        <v>42803</v>
      </c>
      <c r="B539" s="116">
        <v>16.5</v>
      </c>
      <c r="C539" s="116">
        <v>15.75</v>
      </c>
      <c r="D539" s="116">
        <v>15.75</v>
      </c>
      <c r="E539" s="116">
        <v>16.100000000000001</v>
      </c>
      <c r="F539" s="116">
        <v>15.75</v>
      </c>
      <c r="G539">
        <v>29500</v>
      </c>
      <c r="H539" s="116"/>
      <c r="I539" s="116"/>
      <c r="L539" s="169">
        <v>45910</v>
      </c>
      <c r="M539" s="116">
        <v>1314.7</v>
      </c>
      <c r="N539" s="116">
        <v>1335</v>
      </c>
      <c r="O539" s="116">
        <v>1307.9000000000001</v>
      </c>
      <c r="P539" s="116">
        <v>1330</v>
      </c>
      <c r="Q539" s="116">
        <v>1314.7</v>
      </c>
      <c r="R539">
        <v>217586</v>
      </c>
    </row>
    <row r="540" spans="1:18" x14ac:dyDescent="0.25">
      <c r="A540" s="169">
        <v>42804</v>
      </c>
      <c r="B540" s="116">
        <v>16.45</v>
      </c>
      <c r="C540" s="116">
        <v>16.25</v>
      </c>
      <c r="D540" s="116">
        <v>15.25</v>
      </c>
      <c r="E540" s="116">
        <v>15.3</v>
      </c>
      <c r="F540" s="116">
        <v>16.25</v>
      </c>
      <c r="G540">
        <v>69673</v>
      </c>
      <c r="H540" s="116"/>
      <c r="I540" s="116"/>
      <c r="L540" s="169">
        <v>45911</v>
      </c>
      <c r="M540" s="116">
        <v>1303</v>
      </c>
      <c r="N540" s="116">
        <v>1321.4</v>
      </c>
      <c r="O540" s="116">
        <v>1301.0999999999999</v>
      </c>
      <c r="P540" s="116">
        <v>1315</v>
      </c>
      <c r="Q540" s="116">
        <v>1303</v>
      </c>
      <c r="R540">
        <v>129870</v>
      </c>
    </row>
    <row r="541" spans="1:18" x14ac:dyDescent="0.25">
      <c r="A541" s="169">
        <v>42808</v>
      </c>
      <c r="B541" s="116">
        <v>17</v>
      </c>
      <c r="C541" s="116">
        <v>16.350000000000001</v>
      </c>
      <c r="D541" s="116">
        <v>15.8</v>
      </c>
      <c r="E541" s="116">
        <v>17</v>
      </c>
      <c r="F541" s="116">
        <v>16.350000000000001</v>
      </c>
      <c r="G541">
        <v>85576</v>
      </c>
      <c r="H541" s="116"/>
      <c r="I541" s="116"/>
      <c r="L541" s="169">
        <v>45912</v>
      </c>
      <c r="M541" s="116">
        <v>1296.5</v>
      </c>
      <c r="N541" s="116">
        <v>1312</v>
      </c>
      <c r="O541" s="116">
        <v>1290</v>
      </c>
      <c r="P541" s="116">
        <v>1305.7</v>
      </c>
      <c r="Q541" s="116">
        <v>1296.5</v>
      </c>
      <c r="R541">
        <v>190354</v>
      </c>
    </row>
    <row r="542" spans="1:18" x14ac:dyDescent="0.25">
      <c r="A542" s="169">
        <v>42809</v>
      </c>
      <c r="B542" s="116">
        <v>16.8</v>
      </c>
      <c r="C542" s="116">
        <v>15.65</v>
      </c>
      <c r="D542" s="116">
        <v>15.55</v>
      </c>
      <c r="E542" s="116">
        <v>16.8</v>
      </c>
      <c r="F542" s="116">
        <v>15.65</v>
      </c>
      <c r="G542">
        <v>39950</v>
      </c>
      <c r="H542" s="116"/>
      <c r="I542" s="116"/>
      <c r="L542" s="169">
        <v>45915</v>
      </c>
      <c r="M542" s="116">
        <v>1322.4</v>
      </c>
      <c r="N542" s="116">
        <v>1326.6</v>
      </c>
      <c r="O542" s="116">
        <v>1282</v>
      </c>
      <c r="P542" s="116">
        <v>1301</v>
      </c>
      <c r="Q542" s="116">
        <v>1322.4</v>
      </c>
      <c r="R542">
        <v>291712</v>
      </c>
    </row>
    <row r="543" spans="1:18" x14ac:dyDescent="0.25">
      <c r="A543" s="169">
        <v>42810</v>
      </c>
      <c r="B543" s="116">
        <v>16</v>
      </c>
      <c r="C543" s="116">
        <v>15.95</v>
      </c>
      <c r="D543" s="116">
        <v>15.3</v>
      </c>
      <c r="E543" s="116">
        <v>15.3</v>
      </c>
      <c r="F543" s="116">
        <v>15.95</v>
      </c>
      <c r="G543">
        <v>16064</v>
      </c>
      <c r="H543" s="116"/>
      <c r="I543" s="116"/>
      <c r="L543" s="169">
        <v>45916</v>
      </c>
      <c r="M543" s="116">
        <v>1313.7</v>
      </c>
      <c r="N543" s="116">
        <v>1333.9</v>
      </c>
      <c r="O543" s="116">
        <v>1305.0999999999999</v>
      </c>
      <c r="P543" s="116">
        <v>1325</v>
      </c>
      <c r="Q543" s="116">
        <v>1313.7</v>
      </c>
      <c r="R543">
        <v>152481</v>
      </c>
    </row>
    <row r="544" spans="1:18" x14ac:dyDescent="0.25">
      <c r="A544" s="169">
        <v>42811</v>
      </c>
      <c r="B544" s="116">
        <v>15.75</v>
      </c>
      <c r="C544" s="116">
        <v>15.3</v>
      </c>
      <c r="D544" s="116">
        <v>15.2</v>
      </c>
      <c r="E544" s="116">
        <v>15.65</v>
      </c>
      <c r="F544" s="116">
        <v>15.3</v>
      </c>
      <c r="G544">
        <v>57983</v>
      </c>
      <c r="H544" s="116"/>
      <c r="I544" s="116"/>
      <c r="L544" s="169">
        <v>45917</v>
      </c>
      <c r="M544" s="116">
        <v>1340.3</v>
      </c>
      <c r="N544" s="116">
        <v>1345.3</v>
      </c>
      <c r="O544" s="116">
        <v>1308.5</v>
      </c>
      <c r="P544" s="116">
        <v>1319</v>
      </c>
      <c r="Q544" s="116">
        <v>1340.3</v>
      </c>
      <c r="R544">
        <v>338815</v>
      </c>
    </row>
    <row r="545" spans="1:18" x14ac:dyDescent="0.25">
      <c r="A545" s="169">
        <v>42814</v>
      </c>
      <c r="B545" s="116">
        <v>15.9</v>
      </c>
      <c r="C545" s="116">
        <v>15.8</v>
      </c>
      <c r="D545" s="116">
        <v>14.6</v>
      </c>
      <c r="E545" s="116">
        <v>15.5</v>
      </c>
      <c r="F545" s="116">
        <v>15.8</v>
      </c>
      <c r="G545">
        <v>2139848</v>
      </c>
      <c r="H545" s="116"/>
      <c r="I545" s="116"/>
      <c r="L545" s="169">
        <v>45918</v>
      </c>
      <c r="M545" s="116">
        <v>1333.5</v>
      </c>
      <c r="N545" s="116">
        <v>1352.9</v>
      </c>
      <c r="O545" s="116">
        <v>1326.1</v>
      </c>
      <c r="P545" s="116">
        <v>1340.1</v>
      </c>
      <c r="Q545" s="116">
        <v>1333.5</v>
      </c>
      <c r="R545">
        <v>237121</v>
      </c>
    </row>
    <row r="546" spans="1:18" x14ac:dyDescent="0.25">
      <c r="A546" s="169">
        <v>42815</v>
      </c>
      <c r="B546" s="116">
        <v>16.399999999999999</v>
      </c>
      <c r="C546" s="116">
        <v>15.15</v>
      </c>
      <c r="D546" s="116">
        <v>15.05</v>
      </c>
      <c r="E546" s="116">
        <v>15.95</v>
      </c>
      <c r="F546" s="116">
        <v>15.15</v>
      </c>
      <c r="G546">
        <v>229215</v>
      </c>
      <c r="H546" s="116"/>
      <c r="I546" s="116"/>
      <c r="L546" s="169">
        <v>45919</v>
      </c>
      <c r="M546" s="116">
        <v>1328.5</v>
      </c>
      <c r="N546" s="116">
        <v>1345</v>
      </c>
      <c r="O546" s="116">
        <v>1316.7</v>
      </c>
      <c r="P546" s="116">
        <v>1335</v>
      </c>
      <c r="Q546" s="116">
        <v>1328.5</v>
      </c>
      <c r="R546">
        <v>216705</v>
      </c>
    </row>
    <row r="547" spans="1:18" x14ac:dyDescent="0.25">
      <c r="A547" s="169">
        <v>42816</v>
      </c>
      <c r="B547" s="116">
        <v>15.8</v>
      </c>
      <c r="C547" s="116">
        <v>14.9</v>
      </c>
      <c r="D547" s="116">
        <v>14.75</v>
      </c>
      <c r="E547" s="116">
        <v>15.5</v>
      </c>
      <c r="F547" s="116">
        <v>14.9</v>
      </c>
      <c r="G547">
        <v>26068</v>
      </c>
      <c r="H547" s="116"/>
      <c r="I547" s="116"/>
      <c r="L547" s="169">
        <v>45922</v>
      </c>
      <c r="M547" s="116">
        <v>1313.3</v>
      </c>
      <c r="N547" s="116">
        <v>1338.5</v>
      </c>
      <c r="O547" s="116">
        <v>1307</v>
      </c>
      <c r="P547" s="116">
        <v>1335.9</v>
      </c>
      <c r="Q547" s="116">
        <v>1313.3</v>
      </c>
      <c r="R547">
        <v>210063</v>
      </c>
    </row>
    <row r="548" spans="1:18" x14ac:dyDescent="0.25">
      <c r="A548" s="169">
        <v>42817</v>
      </c>
      <c r="B548" s="116">
        <v>15.6</v>
      </c>
      <c r="C548" s="116">
        <v>15.6</v>
      </c>
      <c r="D548" s="116">
        <v>14.6</v>
      </c>
      <c r="E548" s="116">
        <v>14.9</v>
      </c>
      <c r="F548" s="116">
        <v>15.6</v>
      </c>
      <c r="G548">
        <v>15096669</v>
      </c>
      <c r="H548" s="116"/>
      <c r="I548" s="116"/>
      <c r="L548" s="169">
        <v>45923</v>
      </c>
      <c r="M548" s="116">
        <v>1318</v>
      </c>
      <c r="N548" s="116">
        <v>1325</v>
      </c>
      <c r="O548" s="116">
        <v>1306.0999999999999</v>
      </c>
      <c r="P548" s="116">
        <v>1310</v>
      </c>
      <c r="Q548" s="116">
        <v>1318</v>
      </c>
      <c r="R548">
        <v>156488</v>
      </c>
    </row>
    <row r="549" spans="1:18" x14ac:dyDescent="0.25">
      <c r="A549" s="169">
        <v>42818</v>
      </c>
      <c r="B549" s="116">
        <v>16</v>
      </c>
      <c r="C549" s="116">
        <v>15.35</v>
      </c>
      <c r="D549" s="116">
        <v>15</v>
      </c>
      <c r="E549" s="116">
        <v>15.9</v>
      </c>
      <c r="F549" s="116">
        <v>15.35</v>
      </c>
      <c r="G549">
        <v>57652</v>
      </c>
      <c r="H549" s="116"/>
      <c r="I549" s="116"/>
      <c r="L549" s="169">
        <v>45924</v>
      </c>
      <c r="M549" s="116">
        <v>1302.8</v>
      </c>
      <c r="N549" s="116">
        <v>1328</v>
      </c>
      <c r="O549" s="116">
        <v>1301</v>
      </c>
      <c r="P549" s="116">
        <v>1328</v>
      </c>
      <c r="Q549" s="116">
        <v>1302.8</v>
      </c>
      <c r="R549">
        <v>133347</v>
      </c>
    </row>
    <row r="550" spans="1:18" x14ac:dyDescent="0.25">
      <c r="A550" s="169">
        <v>42821</v>
      </c>
      <c r="B550" s="116">
        <v>15.9</v>
      </c>
      <c r="C550" s="116">
        <v>15.25</v>
      </c>
      <c r="D550" s="116">
        <v>14.75</v>
      </c>
      <c r="E550" s="116">
        <v>14.75</v>
      </c>
      <c r="F550" s="116">
        <v>15.25</v>
      </c>
      <c r="G550">
        <v>143053</v>
      </c>
      <c r="H550" s="116"/>
      <c r="I550" s="116"/>
      <c r="L550" s="169">
        <v>45925</v>
      </c>
      <c r="M550" s="116">
        <v>1276.5999999999999</v>
      </c>
      <c r="N550" s="116">
        <v>1343.2</v>
      </c>
      <c r="O550" s="116">
        <v>1270</v>
      </c>
      <c r="P550" s="116">
        <v>1305</v>
      </c>
      <c r="Q550" s="116">
        <v>1276.5999999999999</v>
      </c>
      <c r="R550">
        <v>259873</v>
      </c>
    </row>
    <row r="551" spans="1:18" x14ac:dyDescent="0.25">
      <c r="A551" s="169">
        <v>42822</v>
      </c>
      <c r="B551" s="116">
        <v>15.7</v>
      </c>
      <c r="C551" s="116">
        <v>15.05</v>
      </c>
      <c r="D551" s="116">
        <v>14.85</v>
      </c>
      <c r="E551" s="116">
        <v>15.7</v>
      </c>
      <c r="F551" s="116">
        <v>15.05</v>
      </c>
      <c r="G551">
        <v>16617</v>
      </c>
      <c r="H551" s="116"/>
      <c r="I551" s="116"/>
      <c r="L551" s="169">
        <v>45926</v>
      </c>
      <c r="M551" s="116">
        <v>1246</v>
      </c>
      <c r="N551" s="116">
        <v>1276.5999999999999</v>
      </c>
      <c r="O551" s="116">
        <v>1235</v>
      </c>
      <c r="P551" s="116">
        <v>1275.0999999999999</v>
      </c>
      <c r="Q551" s="116">
        <v>1246</v>
      </c>
      <c r="R551">
        <v>237409</v>
      </c>
    </row>
    <row r="552" spans="1:18" x14ac:dyDescent="0.25">
      <c r="A552" s="169">
        <v>42823</v>
      </c>
      <c r="B552" s="116">
        <v>15.5</v>
      </c>
      <c r="C552" s="116">
        <v>15.45</v>
      </c>
      <c r="D552" s="116">
        <v>14.85</v>
      </c>
      <c r="E552" s="116">
        <v>15</v>
      </c>
      <c r="F552" s="116">
        <v>15.45</v>
      </c>
      <c r="G552">
        <v>57596</v>
      </c>
      <c r="H552" s="116"/>
      <c r="I552" s="116"/>
      <c r="L552" s="169">
        <v>45929</v>
      </c>
      <c r="M552" s="116">
        <v>1256</v>
      </c>
      <c r="N552" s="116">
        <v>1269</v>
      </c>
      <c r="O552" s="116">
        <v>1231.2</v>
      </c>
      <c r="P552" s="116">
        <v>1231.2</v>
      </c>
      <c r="Q552" s="116">
        <v>1256</v>
      </c>
      <c r="R552">
        <v>202658</v>
      </c>
    </row>
    <row r="553" spans="1:18" x14ac:dyDescent="0.25">
      <c r="A553" s="169">
        <v>42824</v>
      </c>
      <c r="B553" s="116">
        <v>16</v>
      </c>
      <c r="C553" s="116">
        <v>15.95</v>
      </c>
      <c r="D553" s="116">
        <v>15.25</v>
      </c>
      <c r="E553" s="116">
        <v>15.25</v>
      </c>
      <c r="F553" s="116">
        <v>15.95</v>
      </c>
      <c r="G553">
        <v>56352</v>
      </c>
      <c r="H553" s="116"/>
      <c r="I553" s="116"/>
      <c r="L553" s="169">
        <v>45930</v>
      </c>
      <c r="M553" s="116">
        <v>1225</v>
      </c>
      <c r="N553" s="116">
        <v>1284</v>
      </c>
      <c r="O553" s="116">
        <v>1201.3</v>
      </c>
      <c r="P553" s="116">
        <v>1258</v>
      </c>
      <c r="Q553" s="116">
        <v>1225</v>
      </c>
      <c r="R553">
        <v>647096</v>
      </c>
    </row>
    <row r="554" spans="1:18" x14ac:dyDescent="0.25">
      <c r="A554" s="169">
        <v>42825</v>
      </c>
      <c r="B554" s="116">
        <v>15.8</v>
      </c>
      <c r="C554" s="116">
        <v>15.3</v>
      </c>
      <c r="D554" s="116">
        <v>15.25</v>
      </c>
      <c r="E554" s="116">
        <v>15.75</v>
      </c>
      <c r="F554" s="116">
        <v>15.3</v>
      </c>
      <c r="G554">
        <v>18019</v>
      </c>
      <c r="H554" s="116"/>
      <c r="I554" s="116"/>
      <c r="L554" s="169">
        <v>45931</v>
      </c>
      <c r="M554" s="116">
        <v>1235.9000000000001</v>
      </c>
      <c r="N554" s="116">
        <v>1247.0999999999999</v>
      </c>
      <c r="O554" s="116">
        <v>1210</v>
      </c>
      <c r="P554" s="116">
        <v>1221</v>
      </c>
      <c r="Q554" s="116">
        <v>1235.9000000000001</v>
      </c>
      <c r="R554">
        <v>237883</v>
      </c>
    </row>
    <row r="555" spans="1:18" x14ac:dyDescent="0.25">
      <c r="A555" s="169">
        <v>42828</v>
      </c>
      <c r="B555" s="116">
        <v>15.8</v>
      </c>
      <c r="C555" s="116">
        <v>15.3</v>
      </c>
      <c r="D555" s="116">
        <v>15.1</v>
      </c>
      <c r="E555" s="116">
        <v>15.4</v>
      </c>
      <c r="F555" s="116">
        <v>15.3</v>
      </c>
      <c r="G555">
        <v>36605</v>
      </c>
      <c r="H555" s="116"/>
      <c r="I555" s="116"/>
      <c r="L555" s="169">
        <v>45933</v>
      </c>
      <c r="M555" s="116">
        <v>1312.3</v>
      </c>
      <c r="N555" s="116">
        <v>1325</v>
      </c>
      <c r="O555" s="116">
        <v>1237.4000000000001</v>
      </c>
      <c r="P555" s="116">
        <v>1241.5</v>
      </c>
      <c r="Q555" s="116">
        <v>1312.3</v>
      </c>
      <c r="R555">
        <v>708970</v>
      </c>
    </row>
    <row r="556" spans="1:18" x14ac:dyDescent="0.25">
      <c r="A556" s="169">
        <v>42830</v>
      </c>
      <c r="B556" s="116">
        <v>16.05</v>
      </c>
      <c r="C556" s="116">
        <v>16.05</v>
      </c>
      <c r="D556" s="116">
        <v>15.5</v>
      </c>
      <c r="E556" s="116">
        <v>15.6</v>
      </c>
      <c r="F556" s="116">
        <v>16.05</v>
      </c>
      <c r="G556">
        <v>37590</v>
      </c>
      <c r="H556" s="116"/>
      <c r="I556" s="116"/>
      <c r="L556" s="169">
        <v>45936</v>
      </c>
      <c r="M556" s="116">
        <v>1311.6</v>
      </c>
      <c r="N556" s="116">
        <v>1332.6</v>
      </c>
      <c r="O556" s="116">
        <v>1303</v>
      </c>
      <c r="P556" s="116">
        <v>1320</v>
      </c>
      <c r="Q556" s="116">
        <v>1311.6</v>
      </c>
      <c r="R556">
        <v>404945</v>
      </c>
    </row>
    <row r="557" spans="1:18" x14ac:dyDescent="0.25">
      <c r="A557" s="169">
        <v>42831</v>
      </c>
      <c r="B557" s="116">
        <v>16.850000000000001</v>
      </c>
      <c r="C557" s="116">
        <v>16.850000000000001</v>
      </c>
      <c r="D557" s="116">
        <v>16.850000000000001</v>
      </c>
      <c r="E557" s="116">
        <v>16.850000000000001</v>
      </c>
      <c r="F557" s="116">
        <v>16.850000000000001</v>
      </c>
      <c r="G557">
        <v>20606</v>
      </c>
      <c r="H557" s="116"/>
      <c r="I557" s="116"/>
      <c r="L557" s="169">
        <v>45937</v>
      </c>
      <c r="M557" s="116">
        <v>1311.4</v>
      </c>
      <c r="N557" s="116">
        <v>1315</v>
      </c>
      <c r="O557" s="116">
        <v>1295</v>
      </c>
      <c r="P557" s="116">
        <v>1310</v>
      </c>
      <c r="Q557" s="116">
        <v>1311.4</v>
      </c>
      <c r="R557">
        <v>185821</v>
      </c>
    </row>
    <row r="558" spans="1:18" x14ac:dyDescent="0.25">
      <c r="A558" s="169">
        <v>42832</v>
      </c>
      <c r="B558" s="116">
        <v>17.649999999999999</v>
      </c>
      <c r="C558" s="116">
        <v>17.100000000000001</v>
      </c>
      <c r="D558" s="116">
        <v>16.5</v>
      </c>
      <c r="E558" s="116">
        <v>17.649999999999999</v>
      </c>
      <c r="F558" s="116">
        <v>17.100000000000001</v>
      </c>
      <c r="G558">
        <v>121286</v>
      </c>
      <c r="H558" s="116"/>
      <c r="I558" s="116"/>
      <c r="L558" s="169">
        <v>45938</v>
      </c>
      <c r="M558" s="116">
        <v>1295.9000000000001</v>
      </c>
      <c r="N558" s="116">
        <v>1318.8</v>
      </c>
      <c r="O558" s="116">
        <v>1290</v>
      </c>
      <c r="P558" s="116">
        <v>1318.8</v>
      </c>
      <c r="Q558" s="116">
        <v>1295.9000000000001</v>
      </c>
      <c r="R558">
        <v>385021</v>
      </c>
    </row>
    <row r="559" spans="1:18" x14ac:dyDescent="0.25">
      <c r="A559" s="169">
        <v>42835</v>
      </c>
      <c r="B559" s="116">
        <v>17.95</v>
      </c>
      <c r="C559" s="116">
        <v>17.95</v>
      </c>
      <c r="D559" s="116">
        <v>17.2</v>
      </c>
      <c r="E559" s="116">
        <v>17.55</v>
      </c>
      <c r="F559" s="116">
        <v>17.95</v>
      </c>
      <c r="G559">
        <v>73538</v>
      </c>
      <c r="H559" s="116"/>
      <c r="I559" s="116"/>
      <c r="L559" s="169">
        <v>45939</v>
      </c>
      <c r="M559" s="116">
        <v>1350.1</v>
      </c>
      <c r="N559" s="116">
        <v>1354.5</v>
      </c>
      <c r="O559" s="116">
        <v>1296</v>
      </c>
      <c r="P559" s="116">
        <v>1296</v>
      </c>
      <c r="Q559" s="116">
        <v>1350.1</v>
      </c>
      <c r="R559">
        <v>1070229</v>
      </c>
    </row>
    <row r="560" spans="1:18" x14ac:dyDescent="0.25">
      <c r="A560" s="169">
        <v>42836</v>
      </c>
      <c r="B560" s="116">
        <v>18.8</v>
      </c>
      <c r="C560" s="116">
        <v>18.7</v>
      </c>
      <c r="D560" s="116">
        <v>18.350000000000001</v>
      </c>
      <c r="E560" s="116">
        <v>18.55</v>
      </c>
      <c r="F560" s="116">
        <v>18.7</v>
      </c>
      <c r="G560">
        <v>209023</v>
      </c>
      <c r="H560" s="116"/>
      <c r="I560" s="116"/>
      <c r="L560" s="169">
        <v>45940</v>
      </c>
      <c r="M560" s="116">
        <v>1344.2</v>
      </c>
      <c r="N560" s="116">
        <v>1361.5</v>
      </c>
      <c r="O560" s="116">
        <v>1336</v>
      </c>
      <c r="P560" s="116">
        <v>1351.4</v>
      </c>
      <c r="Q560" s="116">
        <v>1344.2</v>
      </c>
      <c r="R560">
        <v>285977</v>
      </c>
    </row>
    <row r="561" spans="1:18" x14ac:dyDescent="0.25">
      <c r="A561" s="169">
        <v>42837</v>
      </c>
      <c r="B561" s="116">
        <v>19.5</v>
      </c>
      <c r="C561" s="116">
        <v>19.05</v>
      </c>
      <c r="D561" s="116">
        <v>17.8</v>
      </c>
      <c r="E561" s="116">
        <v>18.7</v>
      </c>
      <c r="F561" s="116">
        <v>19.05</v>
      </c>
      <c r="G561">
        <v>332345</v>
      </c>
      <c r="H561" s="116"/>
      <c r="I561" s="116"/>
      <c r="L561" s="169">
        <v>45943</v>
      </c>
      <c r="M561" s="116">
        <v>1317.3</v>
      </c>
      <c r="N561" s="116">
        <v>1346.1</v>
      </c>
      <c r="O561" s="116">
        <v>1314</v>
      </c>
      <c r="P561" s="116">
        <v>1340.1</v>
      </c>
      <c r="Q561" s="116">
        <v>1317.3</v>
      </c>
      <c r="R561">
        <v>225041</v>
      </c>
    </row>
    <row r="562" spans="1:18" x14ac:dyDescent="0.25">
      <c r="A562" s="169">
        <v>42838</v>
      </c>
      <c r="B562" s="116">
        <v>19.8</v>
      </c>
      <c r="C562" s="116">
        <v>18.649999999999999</v>
      </c>
      <c r="D562" s="116">
        <v>18.25</v>
      </c>
      <c r="E562" s="116">
        <v>19.3</v>
      </c>
      <c r="F562" s="116">
        <v>18.649999999999999</v>
      </c>
      <c r="G562">
        <v>80791</v>
      </c>
      <c r="H562" s="116"/>
      <c r="I562" s="116"/>
      <c r="L562" s="169">
        <v>45944</v>
      </c>
      <c r="M562" s="116">
        <v>1323.4</v>
      </c>
      <c r="N562" s="116">
        <v>1331.9</v>
      </c>
      <c r="O562" s="116">
        <v>1306.5999999999999</v>
      </c>
      <c r="P562" s="116">
        <v>1324</v>
      </c>
      <c r="Q562" s="116">
        <v>1323.4</v>
      </c>
      <c r="R562">
        <v>289799</v>
      </c>
    </row>
    <row r="563" spans="1:18" x14ac:dyDescent="0.25">
      <c r="A563" s="169">
        <v>42842</v>
      </c>
      <c r="B563" s="116">
        <v>19.25</v>
      </c>
      <c r="C563" s="116">
        <v>18.399999999999999</v>
      </c>
      <c r="D563" s="116">
        <v>17.899999999999999</v>
      </c>
      <c r="E563" s="116">
        <v>19</v>
      </c>
      <c r="F563" s="116">
        <v>18.399999999999999</v>
      </c>
      <c r="G563">
        <v>196737</v>
      </c>
      <c r="H563" s="116"/>
      <c r="I563" s="116"/>
      <c r="L563" s="169">
        <v>45945</v>
      </c>
      <c r="M563" s="116">
        <v>1342.6</v>
      </c>
      <c r="N563" s="116">
        <v>1348.3</v>
      </c>
      <c r="O563" s="116">
        <v>1324</v>
      </c>
      <c r="P563" s="116">
        <v>1324</v>
      </c>
      <c r="Q563" s="116">
        <v>1342.6</v>
      </c>
      <c r="R563">
        <v>220932</v>
      </c>
    </row>
    <row r="564" spans="1:18" x14ac:dyDescent="0.25">
      <c r="A564" s="169">
        <v>42843</v>
      </c>
      <c r="B564" s="116">
        <v>18.8</v>
      </c>
      <c r="C564" s="116">
        <v>17.600000000000001</v>
      </c>
      <c r="D564" s="116">
        <v>17.5</v>
      </c>
      <c r="E564" s="116">
        <v>17.850000000000001</v>
      </c>
      <c r="F564" s="116">
        <v>17.600000000000001</v>
      </c>
      <c r="G564">
        <v>83407</v>
      </c>
      <c r="H564" s="116"/>
      <c r="I564" s="116"/>
      <c r="L564" s="169">
        <v>45946</v>
      </c>
      <c r="M564" s="116">
        <v>1322.6</v>
      </c>
      <c r="N564" s="116">
        <v>1352.3</v>
      </c>
      <c r="O564" s="116">
        <v>1315</v>
      </c>
      <c r="P564" s="116">
        <v>1347.6</v>
      </c>
      <c r="Q564" s="116">
        <v>1322.6</v>
      </c>
      <c r="R564">
        <v>423328</v>
      </c>
    </row>
    <row r="565" spans="1:18" x14ac:dyDescent="0.25">
      <c r="A565" s="169">
        <v>42844</v>
      </c>
      <c r="B565" s="116">
        <v>17.95</v>
      </c>
      <c r="C565" s="116">
        <v>17.8</v>
      </c>
      <c r="D565" s="116">
        <v>17.100000000000001</v>
      </c>
      <c r="E565" s="116">
        <v>17.95</v>
      </c>
      <c r="F565" s="116">
        <v>17.8</v>
      </c>
      <c r="G565">
        <v>388797</v>
      </c>
      <c r="H565" s="116"/>
      <c r="I565" s="116"/>
      <c r="L565" s="169">
        <v>45947</v>
      </c>
      <c r="M565" s="116">
        <v>1323.4</v>
      </c>
      <c r="N565" s="116">
        <v>1336.5</v>
      </c>
      <c r="O565" s="116">
        <v>1313.7</v>
      </c>
      <c r="P565" s="116">
        <v>1324</v>
      </c>
      <c r="Q565" s="116">
        <v>1323.4</v>
      </c>
      <c r="R565">
        <v>185224</v>
      </c>
    </row>
    <row r="566" spans="1:18" x14ac:dyDescent="0.25">
      <c r="A566" s="169">
        <v>42845</v>
      </c>
      <c r="B566" s="116">
        <v>18.399999999999999</v>
      </c>
      <c r="C566" s="116">
        <v>18.3</v>
      </c>
      <c r="D566" s="116">
        <v>17.399999999999999</v>
      </c>
      <c r="E566" s="116">
        <v>18.399999999999999</v>
      </c>
      <c r="F566" s="116">
        <v>18.3</v>
      </c>
      <c r="G566">
        <v>110370</v>
      </c>
      <c r="H566" s="116"/>
      <c r="I566" s="116"/>
      <c r="L566" s="169">
        <v>45950</v>
      </c>
      <c r="M566" s="116">
        <v>1320.7</v>
      </c>
      <c r="N566" s="116">
        <v>1343.1</v>
      </c>
      <c r="O566" s="116">
        <v>1315.1</v>
      </c>
      <c r="P566" s="116">
        <v>1337</v>
      </c>
      <c r="Q566" s="116">
        <v>1320.7</v>
      </c>
      <c r="R566">
        <v>161102</v>
      </c>
    </row>
    <row r="567" spans="1:18" x14ac:dyDescent="0.25">
      <c r="A567" s="169">
        <v>42846</v>
      </c>
      <c r="B567" s="116">
        <v>18.399999999999999</v>
      </c>
      <c r="C567" s="116">
        <v>17.850000000000001</v>
      </c>
      <c r="D567" s="116">
        <v>17.75</v>
      </c>
      <c r="E567" s="116">
        <v>18.2</v>
      </c>
      <c r="F567" s="116">
        <v>17.850000000000001</v>
      </c>
      <c r="G567">
        <v>25335</v>
      </c>
      <c r="H567" s="116"/>
      <c r="I567" s="116"/>
      <c r="L567" s="169">
        <v>45951</v>
      </c>
      <c r="M567" s="116">
        <v>1350.6</v>
      </c>
      <c r="N567" s="116">
        <v>1355</v>
      </c>
      <c r="O567" s="116">
        <v>1322.4</v>
      </c>
      <c r="P567" s="116">
        <v>1325.1</v>
      </c>
      <c r="Q567" s="116">
        <v>1350.6</v>
      </c>
      <c r="R567">
        <v>222609</v>
      </c>
    </row>
    <row r="568" spans="1:18" x14ac:dyDescent="0.25">
      <c r="A568" s="169">
        <v>42849</v>
      </c>
      <c r="B568" s="116">
        <v>18.350000000000001</v>
      </c>
      <c r="C568" s="116">
        <v>18.05</v>
      </c>
      <c r="D568" s="116">
        <v>17.25</v>
      </c>
      <c r="E568" s="116">
        <v>17.850000000000001</v>
      </c>
      <c r="F568" s="116">
        <v>18.05</v>
      </c>
      <c r="G568">
        <v>59642</v>
      </c>
      <c r="H568" s="116"/>
      <c r="I568" s="116"/>
      <c r="L568" s="169">
        <v>45953</v>
      </c>
      <c r="M568" s="116">
        <v>1324.2</v>
      </c>
      <c r="N568" s="116">
        <v>1361</v>
      </c>
      <c r="O568" s="116">
        <v>1321</v>
      </c>
      <c r="P568" s="116">
        <v>1356.4</v>
      </c>
      <c r="Q568" s="116">
        <v>1324.2</v>
      </c>
      <c r="R568">
        <v>217835</v>
      </c>
    </row>
    <row r="569" spans="1:18" x14ac:dyDescent="0.25">
      <c r="A569" s="169">
        <v>42850</v>
      </c>
      <c r="B569" s="116">
        <v>18.3</v>
      </c>
      <c r="C569" s="116">
        <v>17.899999999999999</v>
      </c>
      <c r="D569" s="116">
        <v>17.399999999999999</v>
      </c>
      <c r="E569" s="116">
        <v>18</v>
      </c>
      <c r="F569" s="116">
        <v>17.899999999999999</v>
      </c>
      <c r="G569">
        <v>46015</v>
      </c>
      <c r="H569" s="116"/>
      <c r="I569" s="116"/>
      <c r="L569" s="169">
        <v>45954</v>
      </c>
      <c r="M569" s="116">
        <v>1336.3</v>
      </c>
      <c r="N569" s="116">
        <v>1350</v>
      </c>
      <c r="O569" s="116">
        <v>1320</v>
      </c>
      <c r="P569" s="116">
        <v>1326.1</v>
      </c>
      <c r="Q569" s="116">
        <v>1336.3</v>
      </c>
      <c r="R569">
        <v>221262</v>
      </c>
    </row>
    <row r="570" spans="1:18" x14ac:dyDescent="0.25">
      <c r="A570" s="169">
        <v>42851</v>
      </c>
      <c r="B570" s="116">
        <v>18.05</v>
      </c>
      <c r="C570" s="116">
        <v>17.3</v>
      </c>
      <c r="D570" s="116">
        <v>17.100000000000001</v>
      </c>
      <c r="E570" s="116">
        <v>18.05</v>
      </c>
      <c r="F570" s="116">
        <v>17.3</v>
      </c>
      <c r="G570">
        <v>56830</v>
      </c>
      <c r="H570" s="116"/>
      <c r="I570" s="116"/>
      <c r="L570" s="169">
        <v>45957</v>
      </c>
      <c r="M570" s="116">
        <v>1327.7</v>
      </c>
      <c r="N570" s="116">
        <v>1336.5</v>
      </c>
      <c r="O570" s="116">
        <v>1315.3</v>
      </c>
      <c r="P570" s="116">
        <v>1336</v>
      </c>
      <c r="Q570" s="116">
        <v>1327.7</v>
      </c>
      <c r="R570">
        <v>159568</v>
      </c>
    </row>
    <row r="571" spans="1:18" x14ac:dyDescent="0.25">
      <c r="A571" s="169">
        <v>42852</v>
      </c>
      <c r="B571" s="116">
        <v>17.55</v>
      </c>
      <c r="C571" s="116">
        <v>16.7</v>
      </c>
      <c r="D571" s="116">
        <v>16.55</v>
      </c>
      <c r="E571" s="116">
        <v>17.5</v>
      </c>
      <c r="F571" s="116">
        <v>16.7</v>
      </c>
      <c r="G571">
        <v>51029</v>
      </c>
      <c r="H571" s="116"/>
      <c r="I571" s="116"/>
      <c r="L571" s="169">
        <v>45958</v>
      </c>
      <c r="M571" s="116">
        <v>1319</v>
      </c>
      <c r="N571" s="116">
        <v>1329.2</v>
      </c>
      <c r="O571" s="116">
        <v>1310</v>
      </c>
      <c r="P571" s="116">
        <v>1327</v>
      </c>
      <c r="Q571" s="116">
        <v>1319</v>
      </c>
      <c r="R571">
        <v>150911</v>
      </c>
    </row>
    <row r="572" spans="1:18" x14ac:dyDescent="0.25">
      <c r="A572" s="169">
        <v>42853</v>
      </c>
      <c r="B572" s="116">
        <v>17.350000000000001</v>
      </c>
      <c r="C572" s="116">
        <v>16.899999999999999</v>
      </c>
      <c r="D572" s="116">
        <v>16.55</v>
      </c>
      <c r="E572" s="116">
        <v>17</v>
      </c>
      <c r="F572" s="116">
        <v>16.899999999999999</v>
      </c>
      <c r="G572">
        <v>34105</v>
      </c>
      <c r="H572" s="116"/>
      <c r="I572" s="116"/>
      <c r="L572" s="169">
        <v>45959</v>
      </c>
      <c r="M572" s="116">
        <v>1312.4</v>
      </c>
      <c r="N572" s="116">
        <v>1334.6</v>
      </c>
      <c r="O572" s="116">
        <v>1305.9000000000001</v>
      </c>
      <c r="P572" s="116">
        <v>1322</v>
      </c>
      <c r="Q572" s="116">
        <v>1312.4</v>
      </c>
      <c r="R572">
        <v>259610</v>
      </c>
    </row>
    <row r="573" spans="1:18" x14ac:dyDescent="0.25">
      <c r="A573" s="169">
        <v>42857</v>
      </c>
      <c r="B573" s="116">
        <v>17.7</v>
      </c>
      <c r="C573" s="116">
        <v>17.7</v>
      </c>
      <c r="D573" s="116">
        <v>16.899999999999999</v>
      </c>
      <c r="E573" s="116">
        <v>16.899999999999999</v>
      </c>
      <c r="F573" s="116">
        <v>17.7</v>
      </c>
      <c r="G573">
        <v>29341</v>
      </c>
      <c r="H573" s="116"/>
      <c r="I573" s="116"/>
      <c r="L573" s="169">
        <v>45960</v>
      </c>
      <c r="M573" s="116">
        <v>1319.9</v>
      </c>
      <c r="N573" s="116">
        <v>1324.4</v>
      </c>
      <c r="O573" s="116">
        <v>1302</v>
      </c>
      <c r="P573" s="116">
        <v>1313</v>
      </c>
      <c r="Q573" s="116">
        <v>1319.9</v>
      </c>
      <c r="R573">
        <v>263242</v>
      </c>
    </row>
    <row r="574" spans="1:18" x14ac:dyDescent="0.25">
      <c r="A574" s="169">
        <v>42858</v>
      </c>
      <c r="B574" s="116">
        <v>18.55</v>
      </c>
      <c r="C574" s="116">
        <v>18.55</v>
      </c>
      <c r="D574" s="116">
        <v>17.5</v>
      </c>
      <c r="E574" s="116">
        <v>18.100000000000001</v>
      </c>
      <c r="F574" s="116">
        <v>18.55</v>
      </c>
      <c r="G574">
        <v>420182</v>
      </c>
      <c r="H574" s="116"/>
      <c r="I574" s="116"/>
      <c r="L574" s="169">
        <v>45961</v>
      </c>
      <c r="M574" s="116">
        <v>1304.8</v>
      </c>
      <c r="N574" s="116">
        <v>1325</v>
      </c>
      <c r="O574" s="116">
        <v>1301.0999999999999</v>
      </c>
      <c r="P574" s="116">
        <v>1319.9</v>
      </c>
      <c r="Q574" s="116">
        <v>1304.8</v>
      </c>
      <c r="R574">
        <v>200921</v>
      </c>
    </row>
    <row r="575" spans="1:18" x14ac:dyDescent="0.25">
      <c r="A575" s="169">
        <v>42859</v>
      </c>
      <c r="B575" s="116">
        <v>19.45</v>
      </c>
      <c r="C575" s="116">
        <v>18.25</v>
      </c>
      <c r="D575" s="116">
        <v>18.2</v>
      </c>
      <c r="E575" s="116">
        <v>18.8</v>
      </c>
      <c r="F575" s="116">
        <v>18.25</v>
      </c>
      <c r="G575">
        <v>63681</v>
      </c>
      <c r="H575" s="116"/>
      <c r="I575" s="116"/>
      <c r="L575" s="169">
        <v>45964</v>
      </c>
      <c r="M575" s="116">
        <v>1320.8</v>
      </c>
      <c r="N575" s="116">
        <v>1330</v>
      </c>
      <c r="O575" s="116">
        <v>1297.5999999999999</v>
      </c>
      <c r="P575" s="116">
        <v>1300</v>
      </c>
      <c r="Q575" s="116">
        <v>1320.8</v>
      </c>
      <c r="R575">
        <v>330923</v>
      </c>
    </row>
    <row r="576" spans="1:18" x14ac:dyDescent="0.25">
      <c r="A576" s="169">
        <v>42860</v>
      </c>
      <c r="B576" s="116">
        <v>18.899999999999999</v>
      </c>
      <c r="C576" s="116">
        <v>18.399999999999999</v>
      </c>
      <c r="D576" s="116">
        <v>17.5</v>
      </c>
      <c r="E576" s="116">
        <v>18.45</v>
      </c>
      <c r="F576" s="116">
        <v>18.399999999999999</v>
      </c>
      <c r="G576">
        <v>155354</v>
      </c>
      <c r="H576" s="116"/>
      <c r="I576" s="116"/>
      <c r="L576" s="169">
        <v>45965</v>
      </c>
      <c r="M576" s="116">
        <v>1318</v>
      </c>
      <c r="N576" s="116">
        <v>1323</v>
      </c>
      <c r="O576" s="116">
        <v>1301</v>
      </c>
      <c r="P576" s="116">
        <v>1320.9</v>
      </c>
      <c r="Q576" s="116">
        <v>1318</v>
      </c>
      <c r="R576">
        <v>262761</v>
      </c>
    </row>
    <row r="577" spans="1:18" x14ac:dyDescent="0.25">
      <c r="A577" s="169">
        <v>42863</v>
      </c>
      <c r="B577" s="116">
        <v>18.95</v>
      </c>
      <c r="C577" s="116">
        <v>18.7</v>
      </c>
      <c r="D577" s="116">
        <v>18</v>
      </c>
      <c r="E577" s="116">
        <v>18.600000000000001</v>
      </c>
      <c r="F577" s="116">
        <v>18.7</v>
      </c>
      <c r="G577">
        <v>39337</v>
      </c>
      <c r="H577" s="116"/>
      <c r="I577" s="116"/>
      <c r="L577" s="169">
        <v>45967</v>
      </c>
      <c r="M577" s="116">
        <v>1314.5</v>
      </c>
      <c r="N577" s="116">
        <v>1319</v>
      </c>
      <c r="O577" s="116">
        <v>1293.0999999999999</v>
      </c>
      <c r="P577" s="116">
        <v>1318</v>
      </c>
      <c r="Q577" s="116">
        <v>1314.5</v>
      </c>
      <c r="R577">
        <v>277375</v>
      </c>
    </row>
    <row r="578" spans="1:18" x14ac:dyDescent="0.25">
      <c r="A578" s="169">
        <v>42864</v>
      </c>
      <c r="B578" s="116">
        <v>18.95</v>
      </c>
      <c r="C578" s="116">
        <v>18.600000000000001</v>
      </c>
      <c r="D578" s="116">
        <v>18.3</v>
      </c>
      <c r="E578" s="116">
        <v>18.3</v>
      </c>
      <c r="F578" s="116">
        <v>18.600000000000001</v>
      </c>
      <c r="G578">
        <v>59496</v>
      </c>
      <c r="H578" s="116"/>
      <c r="I578" s="116"/>
      <c r="L578" s="169">
        <v>45968</v>
      </c>
      <c r="M578" s="116">
        <v>1315.6</v>
      </c>
      <c r="N578" s="116">
        <v>1324.6</v>
      </c>
      <c r="O578" s="116">
        <v>1287</v>
      </c>
      <c r="P578" s="116">
        <v>1307.0999999999999</v>
      </c>
      <c r="Q578" s="116">
        <v>1315.6</v>
      </c>
      <c r="R578">
        <v>213885</v>
      </c>
    </row>
    <row r="579" spans="1:18" x14ac:dyDescent="0.25">
      <c r="A579" s="169">
        <v>42865</v>
      </c>
      <c r="B579" s="116">
        <v>18.75</v>
      </c>
      <c r="C579" s="116">
        <v>18.2</v>
      </c>
      <c r="D579" s="116">
        <v>18.100000000000001</v>
      </c>
      <c r="E579" s="116">
        <v>18.45</v>
      </c>
      <c r="F579" s="116">
        <v>18.2</v>
      </c>
      <c r="G579">
        <v>68720</v>
      </c>
      <c r="H579" s="116"/>
      <c r="I579" s="116"/>
      <c r="L579" s="169">
        <v>45971</v>
      </c>
      <c r="M579" s="116">
        <v>1319.6</v>
      </c>
      <c r="N579" s="116">
        <v>1327.8</v>
      </c>
      <c r="O579" s="116">
        <v>1312.1</v>
      </c>
      <c r="P579" s="116">
        <v>1321</v>
      </c>
      <c r="Q579" s="116">
        <v>1319.6</v>
      </c>
      <c r="R579">
        <v>154383</v>
      </c>
    </row>
    <row r="580" spans="1:18" x14ac:dyDescent="0.25">
      <c r="A580" s="169">
        <v>42866</v>
      </c>
      <c r="B580" s="116">
        <v>19.100000000000001</v>
      </c>
      <c r="C580" s="116">
        <v>19.100000000000001</v>
      </c>
      <c r="D580" s="116">
        <v>18.2</v>
      </c>
      <c r="E580" s="116">
        <v>18.5</v>
      </c>
      <c r="F580" s="116">
        <v>19.100000000000001</v>
      </c>
      <c r="G580">
        <v>188172</v>
      </c>
      <c r="H580" s="116"/>
      <c r="I580" s="116"/>
      <c r="L580" s="169">
        <v>45972</v>
      </c>
      <c r="M580" s="116">
        <v>1319.5</v>
      </c>
      <c r="N580" s="116">
        <v>1328.1</v>
      </c>
      <c r="O580" s="116">
        <v>1307.2</v>
      </c>
      <c r="P580" s="116">
        <v>1320</v>
      </c>
      <c r="Q580" s="116">
        <v>1319.5</v>
      </c>
      <c r="R580">
        <v>210860</v>
      </c>
    </row>
    <row r="581" spans="1:18" x14ac:dyDescent="0.25">
      <c r="A581" s="169">
        <v>42867</v>
      </c>
      <c r="B581" s="116">
        <v>20.05</v>
      </c>
      <c r="C581" s="116">
        <v>20.05</v>
      </c>
      <c r="D581" s="116">
        <v>19.25</v>
      </c>
      <c r="E581" s="116">
        <v>19.25</v>
      </c>
      <c r="F581" s="116">
        <v>20.05</v>
      </c>
      <c r="G581">
        <v>171946</v>
      </c>
      <c r="H581" s="116"/>
      <c r="I581" s="116"/>
      <c r="L581" s="169">
        <v>45973</v>
      </c>
      <c r="M581" s="116">
        <v>1316.9</v>
      </c>
      <c r="N581" s="116">
        <v>1322</v>
      </c>
      <c r="O581" s="116">
        <v>1301</v>
      </c>
      <c r="P581" s="116">
        <v>1320.1</v>
      </c>
      <c r="Q581" s="116">
        <v>1316.9</v>
      </c>
      <c r="R581">
        <v>233975</v>
      </c>
    </row>
    <row r="582" spans="1:18" x14ac:dyDescent="0.25">
      <c r="A582" s="169">
        <v>42870</v>
      </c>
      <c r="B582" s="116">
        <v>21.05</v>
      </c>
      <c r="C582" s="116">
        <v>21.05</v>
      </c>
      <c r="D582" s="116">
        <v>20.65</v>
      </c>
      <c r="E582" s="116">
        <v>21.05</v>
      </c>
      <c r="F582" s="116">
        <v>21.05</v>
      </c>
      <c r="G582">
        <v>305270</v>
      </c>
      <c r="H582" s="116"/>
      <c r="I582" s="116"/>
      <c r="L582" s="169">
        <v>45974</v>
      </c>
      <c r="M582" s="116">
        <v>1271.3</v>
      </c>
      <c r="N582" s="116">
        <v>1352.9</v>
      </c>
      <c r="O582" s="116">
        <v>1237.9000000000001</v>
      </c>
      <c r="P582" s="116">
        <v>1340</v>
      </c>
      <c r="Q582" s="116">
        <v>1271.3</v>
      </c>
      <c r="R582">
        <v>1497615</v>
      </c>
    </row>
    <row r="583" spans="1:18" x14ac:dyDescent="0.25">
      <c r="A583" s="169">
        <v>42871</v>
      </c>
      <c r="B583" s="116">
        <v>22.1</v>
      </c>
      <c r="C583" s="116">
        <v>22.1</v>
      </c>
      <c r="D583" s="116">
        <v>21.1</v>
      </c>
      <c r="E583" s="116">
        <v>21.8</v>
      </c>
      <c r="F583" s="116">
        <v>22.1</v>
      </c>
      <c r="G583">
        <v>295821</v>
      </c>
      <c r="H583" s="116"/>
      <c r="I583" s="116"/>
      <c r="L583" s="169">
        <v>45975</v>
      </c>
      <c r="M583" s="116">
        <v>1287.3</v>
      </c>
      <c r="N583" s="116">
        <v>1301</v>
      </c>
      <c r="O583" s="116">
        <v>1265.5999999999999</v>
      </c>
      <c r="P583" s="116">
        <v>1271.3</v>
      </c>
      <c r="Q583" s="116">
        <v>1287.3</v>
      </c>
      <c r="R583">
        <v>375202</v>
      </c>
    </row>
    <row r="584" spans="1:18" x14ac:dyDescent="0.25">
      <c r="A584" s="169">
        <v>42872</v>
      </c>
      <c r="B584" s="116">
        <v>23</v>
      </c>
      <c r="C584" s="116">
        <v>22.3</v>
      </c>
      <c r="D584" s="116">
        <v>22</v>
      </c>
      <c r="E584" s="116">
        <v>22.15</v>
      </c>
      <c r="F584" s="116">
        <v>22.3</v>
      </c>
      <c r="G584">
        <v>150501</v>
      </c>
      <c r="H584" s="116"/>
      <c r="I584" s="116"/>
      <c r="L584" s="169">
        <v>45978</v>
      </c>
      <c r="M584" s="116">
        <v>1259.2</v>
      </c>
      <c r="N584" s="116">
        <v>1299.5999999999999</v>
      </c>
      <c r="O584" s="116">
        <v>1254</v>
      </c>
      <c r="P584" s="116">
        <v>1298</v>
      </c>
      <c r="Q584" s="116">
        <v>1259.2</v>
      </c>
      <c r="R584">
        <v>342503</v>
      </c>
    </row>
    <row r="585" spans="1:18" x14ac:dyDescent="0.25">
      <c r="A585" s="169">
        <v>42873</v>
      </c>
      <c r="B585" s="116">
        <v>22.4</v>
      </c>
      <c r="C585" s="116">
        <v>21.35</v>
      </c>
      <c r="D585" s="116">
        <v>21.2</v>
      </c>
      <c r="E585" s="116">
        <v>22.4</v>
      </c>
      <c r="F585" s="116">
        <v>21.35</v>
      </c>
      <c r="G585">
        <v>117776</v>
      </c>
      <c r="H585" s="116"/>
      <c r="I585" s="116"/>
      <c r="L585" s="169">
        <v>45979</v>
      </c>
      <c r="M585" s="116">
        <v>1249.5999999999999</v>
      </c>
      <c r="N585" s="116">
        <v>1272</v>
      </c>
      <c r="O585" s="116">
        <v>1245</v>
      </c>
      <c r="P585" s="116">
        <v>1259.2</v>
      </c>
      <c r="Q585" s="116">
        <v>1249.5999999999999</v>
      </c>
      <c r="R585">
        <v>343302</v>
      </c>
    </row>
    <row r="586" spans="1:18" x14ac:dyDescent="0.25">
      <c r="A586" s="169">
        <v>42874</v>
      </c>
      <c r="B586" s="116">
        <v>21.75</v>
      </c>
      <c r="C586" s="116">
        <v>20.85</v>
      </c>
      <c r="D586" s="116">
        <v>20.75</v>
      </c>
      <c r="E586" s="116">
        <v>21.15</v>
      </c>
      <c r="F586" s="116">
        <v>20.85</v>
      </c>
      <c r="G586">
        <v>56486</v>
      </c>
      <c r="H586" s="116"/>
      <c r="I586" s="116"/>
      <c r="L586" s="169">
        <v>45980</v>
      </c>
      <c r="M586" s="116">
        <v>1264.8</v>
      </c>
      <c r="N586" s="116">
        <v>1276</v>
      </c>
      <c r="O586" s="116">
        <v>1241.4000000000001</v>
      </c>
      <c r="P586" s="116">
        <v>1249.5999999999999</v>
      </c>
      <c r="Q586" s="116">
        <v>1264.8</v>
      </c>
      <c r="R586">
        <v>305534</v>
      </c>
    </row>
    <row r="587" spans="1:18" x14ac:dyDescent="0.25">
      <c r="A587" s="169">
        <v>42877</v>
      </c>
      <c r="B587" s="116">
        <v>21.7</v>
      </c>
      <c r="C587" s="116">
        <v>20.05</v>
      </c>
      <c r="D587" s="116">
        <v>19.850000000000001</v>
      </c>
      <c r="E587" s="116">
        <v>21.7</v>
      </c>
      <c r="F587" s="116">
        <v>20.05</v>
      </c>
      <c r="G587">
        <v>60039</v>
      </c>
      <c r="H587" s="116"/>
      <c r="I587" s="116"/>
      <c r="L587" s="169">
        <v>45981</v>
      </c>
      <c r="M587" s="116">
        <v>1263.9000000000001</v>
      </c>
      <c r="N587" s="116">
        <v>1275</v>
      </c>
      <c r="O587" s="116">
        <v>1246.3</v>
      </c>
      <c r="P587" s="116">
        <v>1275</v>
      </c>
      <c r="Q587" s="116">
        <v>1263.9000000000001</v>
      </c>
      <c r="R587">
        <v>253172</v>
      </c>
    </row>
    <row r="588" spans="1:18" x14ac:dyDescent="0.25">
      <c r="A588" s="169">
        <v>42878</v>
      </c>
      <c r="B588" s="116">
        <v>19.399999999999999</v>
      </c>
      <c r="C588" s="116">
        <v>19.100000000000001</v>
      </c>
      <c r="D588" s="116">
        <v>19.05</v>
      </c>
      <c r="E588" s="116">
        <v>19.3</v>
      </c>
      <c r="F588" s="116">
        <v>19.100000000000001</v>
      </c>
      <c r="G588">
        <v>76395</v>
      </c>
      <c r="H588" s="116"/>
      <c r="I588" s="116"/>
      <c r="L588" s="169">
        <v>45982</v>
      </c>
      <c r="M588" s="116">
        <v>1223</v>
      </c>
      <c r="N588" s="116">
        <v>1259.8</v>
      </c>
      <c r="O588" s="116">
        <v>1219.4000000000001</v>
      </c>
      <c r="P588" s="116">
        <v>1259.8</v>
      </c>
      <c r="Q588" s="116">
        <v>1223</v>
      </c>
      <c r="R588">
        <v>264678</v>
      </c>
    </row>
    <row r="589" spans="1:18" x14ac:dyDescent="0.25">
      <c r="A589" s="169">
        <v>42879</v>
      </c>
      <c r="B589" s="116">
        <v>19.899999999999999</v>
      </c>
      <c r="C589" s="116">
        <v>18.399999999999999</v>
      </c>
      <c r="D589" s="116">
        <v>18.149999999999999</v>
      </c>
      <c r="E589" s="116">
        <v>19</v>
      </c>
      <c r="F589" s="116">
        <v>18.399999999999999</v>
      </c>
      <c r="G589">
        <v>67750</v>
      </c>
      <c r="H589" s="116"/>
      <c r="I589" s="116"/>
      <c r="L589" s="169">
        <v>45985</v>
      </c>
      <c r="M589" s="116">
        <v>1191.7</v>
      </c>
      <c r="N589" s="116">
        <v>1232</v>
      </c>
      <c r="O589" s="116">
        <v>1186</v>
      </c>
      <c r="P589" s="116">
        <v>1226.5</v>
      </c>
      <c r="Q589" s="116">
        <v>1191.7</v>
      </c>
      <c r="R589">
        <v>351856</v>
      </c>
    </row>
    <row r="590" spans="1:18" x14ac:dyDescent="0.25">
      <c r="A590" s="169">
        <v>42880</v>
      </c>
      <c r="B590" s="116">
        <v>18.95</v>
      </c>
      <c r="C590" s="116">
        <v>18.8</v>
      </c>
      <c r="D590" s="116">
        <v>18</v>
      </c>
      <c r="E590" s="116">
        <v>18.100000000000001</v>
      </c>
      <c r="F590" s="116">
        <v>18.8</v>
      </c>
      <c r="G590">
        <v>34495</v>
      </c>
      <c r="H590" s="116"/>
      <c r="I590" s="116"/>
      <c r="L590" s="169">
        <v>45986</v>
      </c>
      <c r="M590" s="116">
        <v>1188.8</v>
      </c>
      <c r="N590" s="116">
        <v>1203.5</v>
      </c>
      <c r="O590" s="116">
        <v>1170</v>
      </c>
      <c r="P590" s="116">
        <v>1199</v>
      </c>
      <c r="Q590" s="116">
        <v>1188.8</v>
      </c>
      <c r="R590">
        <v>275402</v>
      </c>
    </row>
    <row r="591" spans="1:18" x14ac:dyDescent="0.25">
      <c r="A591" s="169">
        <v>42881</v>
      </c>
      <c r="B591" s="116">
        <v>19.7</v>
      </c>
      <c r="C591" s="116">
        <v>19.25</v>
      </c>
      <c r="D591" s="116">
        <v>19</v>
      </c>
      <c r="E591" s="116">
        <v>19.25</v>
      </c>
      <c r="F591" s="116">
        <v>19.25</v>
      </c>
      <c r="G591">
        <v>46446</v>
      </c>
      <c r="H591" s="116"/>
      <c r="I591" s="116"/>
      <c r="L591" s="169">
        <v>45987</v>
      </c>
      <c r="M591" s="116">
        <v>1241</v>
      </c>
      <c r="N591" s="116">
        <v>1251.9000000000001</v>
      </c>
      <c r="O591" s="116">
        <v>1183.3</v>
      </c>
      <c r="P591" s="116">
        <v>1194.7</v>
      </c>
      <c r="Q591" s="116">
        <v>1241</v>
      </c>
      <c r="R591">
        <v>518172</v>
      </c>
    </row>
    <row r="592" spans="1:18" x14ac:dyDescent="0.25">
      <c r="A592" s="169">
        <v>42884</v>
      </c>
      <c r="B592" s="116">
        <v>19.899999999999999</v>
      </c>
      <c r="C592" s="116">
        <v>19.05</v>
      </c>
      <c r="D592" s="116">
        <v>18.600000000000001</v>
      </c>
      <c r="E592" s="116">
        <v>19</v>
      </c>
      <c r="F592" s="116">
        <v>19.05</v>
      </c>
      <c r="G592">
        <v>37742</v>
      </c>
      <c r="H592" s="116"/>
      <c r="I592" s="116"/>
      <c r="L592" s="169">
        <v>45988</v>
      </c>
      <c r="M592" s="116">
        <v>1228.9000000000001</v>
      </c>
      <c r="N592" s="116">
        <v>1277</v>
      </c>
      <c r="O592" s="116">
        <v>1219.4000000000001</v>
      </c>
      <c r="P592" s="116">
        <v>1249.0999999999999</v>
      </c>
      <c r="Q592" s="116">
        <v>1228.9000000000001</v>
      </c>
      <c r="R592">
        <v>373699</v>
      </c>
    </row>
    <row r="593" spans="1:18" x14ac:dyDescent="0.25">
      <c r="A593" s="169">
        <v>42885</v>
      </c>
      <c r="B593" s="116">
        <v>19.3</v>
      </c>
      <c r="C593" s="116">
        <v>18.55</v>
      </c>
      <c r="D593" s="116">
        <v>18.25</v>
      </c>
      <c r="E593" s="116">
        <v>18.5</v>
      </c>
      <c r="F593" s="116">
        <v>18.55</v>
      </c>
      <c r="G593">
        <v>58600</v>
      </c>
      <c r="H593" s="116"/>
      <c r="I593" s="116"/>
      <c r="L593" s="169">
        <v>45989</v>
      </c>
      <c r="M593" s="116">
        <v>1220.4000000000001</v>
      </c>
      <c r="N593" s="116">
        <v>1235.5999999999999</v>
      </c>
      <c r="O593" s="116">
        <v>1203.0999999999999</v>
      </c>
      <c r="P593" s="116">
        <v>1235</v>
      </c>
      <c r="Q593" s="116">
        <v>1220.4000000000001</v>
      </c>
      <c r="R593">
        <v>188904</v>
      </c>
    </row>
    <row r="594" spans="1:18" x14ac:dyDescent="0.25">
      <c r="A594" s="169">
        <v>42886</v>
      </c>
      <c r="B594" s="116">
        <v>19.149999999999999</v>
      </c>
      <c r="C594" s="116">
        <v>19</v>
      </c>
      <c r="D594" s="116">
        <v>18</v>
      </c>
      <c r="E594" s="116">
        <v>18</v>
      </c>
      <c r="F594" s="116">
        <v>19</v>
      </c>
      <c r="G594">
        <v>41510</v>
      </c>
      <c r="H594" s="116"/>
      <c r="I594" s="116"/>
      <c r="L594" s="169">
        <v>45992</v>
      </c>
      <c r="M594" s="116">
        <v>1219.7</v>
      </c>
      <c r="N594" s="116">
        <v>1247</v>
      </c>
      <c r="O594" s="116">
        <v>1213.9000000000001</v>
      </c>
      <c r="P594" s="116">
        <v>1226.2</v>
      </c>
      <c r="Q594" s="116">
        <v>1219.7</v>
      </c>
      <c r="R594">
        <v>194447</v>
      </c>
    </row>
    <row r="595" spans="1:18" x14ac:dyDescent="0.25">
      <c r="A595" s="169">
        <v>42887</v>
      </c>
      <c r="B595" s="116">
        <v>19.100000000000001</v>
      </c>
      <c r="C595" s="116">
        <v>18.8</v>
      </c>
      <c r="D595" s="116">
        <v>18.5</v>
      </c>
      <c r="E595" s="116">
        <v>19.100000000000001</v>
      </c>
      <c r="F595" s="116">
        <v>18.8</v>
      </c>
      <c r="G595">
        <v>31036</v>
      </c>
      <c r="H595" s="116"/>
      <c r="I595" s="116"/>
      <c r="L595" s="169">
        <v>45993</v>
      </c>
      <c r="M595" s="116">
        <v>1210.8</v>
      </c>
      <c r="N595" s="116">
        <v>1224</v>
      </c>
      <c r="O595" s="116">
        <v>1202.9000000000001</v>
      </c>
      <c r="P595" s="116">
        <v>1213.0999999999999</v>
      </c>
      <c r="Q595" s="116">
        <v>1210.8</v>
      </c>
      <c r="R595">
        <v>136009</v>
      </c>
    </row>
    <row r="596" spans="1:18" x14ac:dyDescent="0.25">
      <c r="A596" s="169">
        <v>42888</v>
      </c>
      <c r="B596" s="116">
        <v>19.100000000000001</v>
      </c>
      <c r="C596" s="116">
        <v>19</v>
      </c>
      <c r="D596" s="116">
        <v>18.600000000000001</v>
      </c>
      <c r="E596" s="116">
        <v>18.600000000000001</v>
      </c>
      <c r="F596" s="116">
        <v>19</v>
      </c>
      <c r="G596">
        <v>17477</v>
      </c>
      <c r="H596" s="116"/>
      <c r="I596" s="116"/>
      <c r="L596" s="169">
        <v>45994</v>
      </c>
      <c r="M596" s="116">
        <v>1204.2</v>
      </c>
      <c r="N596" s="116">
        <v>1217.8</v>
      </c>
      <c r="O596" s="116">
        <v>1199</v>
      </c>
      <c r="P596" s="116">
        <v>1213.2</v>
      </c>
      <c r="Q596" s="116">
        <v>1204.2</v>
      </c>
      <c r="R596">
        <v>129518</v>
      </c>
    </row>
    <row r="597" spans="1:18" x14ac:dyDescent="0.25">
      <c r="A597" s="169">
        <v>42891</v>
      </c>
      <c r="B597" s="116">
        <v>19.25</v>
      </c>
      <c r="C597" s="116">
        <v>18.5</v>
      </c>
      <c r="D597" s="116">
        <v>18.2</v>
      </c>
      <c r="E597" s="116">
        <v>19.25</v>
      </c>
      <c r="F597" s="116">
        <v>18.5</v>
      </c>
      <c r="G597">
        <v>69147</v>
      </c>
      <c r="H597" s="116"/>
      <c r="I597" s="116"/>
      <c r="L597" s="169">
        <v>45995</v>
      </c>
      <c r="M597" s="116">
        <v>1195.8</v>
      </c>
      <c r="N597" s="116">
        <v>1211</v>
      </c>
      <c r="O597" s="116">
        <v>1190</v>
      </c>
      <c r="P597" s="116">
        <v>1204.2</v>
      </c>
      <c r="Q597" s="116">
        <v>1195.8</v>
      </c>
      <c r="R597">
        <v>136935</v>
      </c>
    </row>
    <row r="598" spans="1:18" x14ac:dyDescent="0.25">
      <c r="A598" s="169">
        <v>42892</v>
      </c>
      <c r="B598" s="116">
        <v>18.5</v>
      </c>
      <c r="C598" s="116">
        <v>18</v>
      </c>
      <c r="D598" s="116">
        <v>17.899999999999999</v>
      </c>
      <c r="E598" s="116">
        <v>18.149999999999999</v>
      </c>
      <c r="F598" s="116">
        <v>18</v>
      </c>
      <c r="G598">
        <v>75278</v>
      </c>
      <c r="H598" s="116"/>
      <c r="I598" s="116"/>
      <c r="L598" s="169">
        <v>45996</v>
      </c>
      <c r="M598" s="116">
        <v>1220.3</v>
      </c>
      <c r="N598" s="116">
        <v>1223.9000000000001</v>
      </c>
      <c r="O598" s="116">
        <v>1186.7</v>
      </c>
      <c r="P598" s="116">
        <v>1198.7</v>
      </c>
      <c r="Q598" s="116">
        <v>1220.3</v>
      </c>
      <c r="R598">
        <v>181602</v>
      </c>
    </row>
    <row r="599" spans="1:18" x14ac:dyDescent="0.25">
      <c r="A599" s="169">
        <v>42893</v>
      </c>
      <c r="B599" s="116">
        <v>19.8</v>
      </c>
      <c r="C599" s="116">
        <v>19.55</v>
      </c>
      <c r="D599" s="116">
        <v>17.75</v>
      </c>
      <c r="E599" s="116">
        <v>18.149999999999999</v>
      </c>
      <c r="F599" s="116">
        <v>19.55</v>
      </c>
      <c r="G599">
        <v>137510</v>
      </c>
      <c r="H599" s="116"/>
      <c r="I599" s="116"/>
      <c r="L599" s="169">
        <v>45999</v>
      </c>
      <c r="M599" s="116">
        <v>1219.5</v>
      </c>
      <c r="N599" s="116">
        <v>1254</v>
      </c>
      <c r="O599" s="116">
        <v>1205</v>
      </c>
      <c r="P599" s="116">
        <v>1221.2</v>
      </c>
      <c r="Q599" s="116">
        <v>1219.5</v>
      </c>
      <c r="R599">
        <v>326342</v>
      </c>
    </row>
    <row r="600" spans="1:18" x14ac:dyDescent="0.25">
      <c r="A600" s="169">
        <v>42894</v>
      </c>
      <c r="B600" s="116">
        <v>21.1</v>
      </c>
      <c r="C600" s="116">
        <v>20.9</v>
      </c>
      <c r="D600" s="116">
        <v>19.7</v>
      </c>
      <c r="E600" s="116">
        <v>19.7</v>
      </c>
      <c r="F600" s="116">
        <v>20.9</v>
      </c>
      <c r="G600">
        <v>197993</v>
      </c>
      <c r="H600" s="116"/>
      <c r="I600" s="116"/>
      <c r="L600" s="169">
        <v>46000</v>
      </c>
      <c r="M600" s="116">
        <v>1240</v>
      </c>
      <c r="N600" s="116">
        <v>1252.9000000000001</v>
      </c>
      <c r="O600" s="116">
        <v>1185.7</v>
      </c>
      <c r="P600" s="116">
        <v>1215</v>
      </c>
      <c r="Q600" s="116">
        <v>1240</v>
      </c>
      <c r="R600">
        <v>364185</v>
      </c>
    </row>
    <row r="601" spans="1:18" x14ac:dyDescent="0.25">
      <c r="A601" s="169">
        <v>42895</v>
      </c>
      <c r="B601" s="116">
        <v>22.95</v>
      </c>
      <c r="C601" s="116">
        <v>22.15</v>
      </c>
      <c r="D601" s="116">
        <v>20.05</v>
      </c>
      <c r="E601" s="116">
        <v>21</v>
      </c>
      <c r="F601" s="116">
        <v>22.15</v>
      </c>
      <c r="G601">
        <v>384594</v>
      </c>
      <c r="H601" s="116"/>
      <c r="I601" s="116"/>
      <c r="L601" s="169">
        <v>46001</v>
      </c>
      <c r="M601" s="116">
        <v>1282</v>
      </c>
      <c r="N601" s="116">
        <v>1288.7</v>
      </c>
      <c r="O601" s="116">
        <v>1230</v>
      </c>
      <c r="P601" s="116">
        <v>1240.8</v>
      </c>
      <c r="Q601" s="116">
        <v>1282</v>
      </c>
      <c r="R601">
        <v>451882</v>
      </c>
    </row>
    <row r="602" spans="1:18" x14ac:dyDescent="0.25">
      <c r="A602" s="169">
        <v>42898</v>
      </c>
      <c r="B602" s="116">
        <v>20.05</v>
      </c>
      <c r="C602" s="116">
        <v>19.95</v>
      </c>
      <c r="D602" s="116">
        <v>19.95</v>
      </c>
      <c r="E602" s="116">
        <v>20</v>
      </c>
      <c r="F602" s="116">
        <v>19.95</v>
      </c>
      <c r="G602">
        <v>84571</v>
      </c>
      <c r="H602" s="116"/>
      <c r="I602" s="116"/>
      <c r="L602" s="169">
        <v>46002</v>
      </c>
      <c r="M602" s="116">
        <v>1280.2</v>
      </c>
      <c r="N602" s="116">
        <v>1290.0999999999999</v>
      </c>
      <c r="O602" s="116">
        <v>1253.8</v>
      </c>
      <c r="P602" s="116">
        <v>1290.0999999999999</v>
      </c>
      <c r="Q602" s="116">
        <v>1280.2</v>
      </c>
      <c r="R602">
        <v>354593</v>
      </c>
    </row>
    <row r="603" spans="1:18" x14ac:dyDescent="0.25">
      <c r="A603" s="169">
        <v>42899</v>
      </c>
      <c r="B603" s="116">
        <v>20.8</v>
      </c>
      <c r="C603" s="116">
        <v>19.399999999999999</v>
      </c>
      <c r="D603" s="116">
        <v>18</v>
      </c>
      <c r="E603" s="116">
        <v>18</v>
      </c>
      <c r="F603" s="116">
        <v>19.399999999999999</v>
      </c>
      <c r="G603">
        <v>604296</v>
      </c>
      <c r="H603" s="116"/>
      <c r="I603" s="116"/>
      <c r="L603" s="169">
        <v>46003</v>
      </c>
      <c r="M603" s="116">
        <v>1288.3</v>
      </c>
      <c r="N603" s="116">
        <v>1298.0999999999999</v>
      </c>
      <c r="O603" s="116">
        <v>1270.2</v>
      </c>
      <c r="P603" s="116">
        <v>1292.9000000000001</v>
      </c>
      <c r="Q603" s="116">
        <v>1288.3</v>
      </c>
      <c r="R603">
        <v>203664</v>
      </c>
    </row>
    <row r="604" spans="1:18" x14ac:dyDescent="0.25">
      <c r="A604" s="169">
        <v>42900</v>
      </c>
      <c r="B604" s="116">
        <v>19.399999999999999</v>
      </c>
      <c r="C604" s="116">
        <v>18.95</v>
      </c>
      <c r="D604" s="116">
        <v>18.3</v>
      </c>
      <c r="E604" s="116">
        <v>18.7</v>
      </c>
      <c r="F604" s="116">
        <v>18.95</v>
      </c>
      <c r="G604">
        <v>24398</v>
      </c>
      <c r="H604" s="116"/>
      <c r="I604" s="116"/>
      <c r="L604" s="169">
        <v>46006</v>
      </c>
      <c r="M604" s="116">
        <v>1288</v>
      </c>
      <c r="N604" s="116">
        <v>1295.2</v>
      </c>
      <c r="O604" s="116">
        <v>1271.0999999999999</v>
      </c>
      <c r="P604" s="116">
        <v>1282.0999999999999</v>
      </c>
      <c r="Q604" s="116">
        <v>1288</v>
      </c>
      <c r="R604">
        <v>169227</v>
      </c>
    </row>
    <row r="605" spans="1:18" x14ac:dyDescent="0.25">
      <c r="A605" s="169">
        <v>42901</v>
      </c>
      <c r="B605" s="116">
        <v>18.899999999999999</v>
      </c>
      <c r="C605" s="116">
        <v>17.5</v>
      </c>
      <c r="D605" s="116">
        <v>17.3</v>
      </c>
      <c r="E605" s="116">
        <v>18.399999999999999</v>
      </c>
      <c r="F605" s="116">
        <v>17.5</v>
      </c>
      <c r="G605">
        <v>45137</v>
      </c>
      <c r="H605" s="116"/>
      <c r="I605" s="116"/>
      <c r="L605" s="169">
        <v>46007</v>
      </c>
      <c r="M605" s="116">
        <v>1309.5</v>
      </c>
      <c r="N605" s="116">
        <v>1330</v>
      </c>
      <c r="O605" s="116">
        <v>1280.0999999999999</v>
      </c>
      <c r="P605" s="116">
        <v>1283.0999999999999</v>
      </c>
      <c r="Q605" s="116">
        <v>1309.5</v>
      </c>
      <c r="R605">
        <v>3575763</v>
      </c>
    </row>
    <row r="606" spans="1:18" x14ac:dyDescent="0.25">
      <c r="A606" s="169">
        <v>42902</v>
      </c>
      <c r="B606" s="116">
        <v>18.25</v>
      </c>
      <c r="C606" s="116">
        <v>17.75</v>
      </c>
      <c r="D606" s="116">
        <v>17.350000000000001</v>
      </c>
      <c r="E606" s="116">
        <v>17.95</v>
      </c>
      <c r="F606" s="116">
        <v>17.75</v>
      </c>
      <c r="G606">
        <v>32522</v>
      </c>
      <c r="H606" s="116"/>
      <c r="I606" s="116"/>
      <c r="L606" s="169">
        <v>46008</v>
      </c>
      <c r="M606" s="116">
        <v>1305.4000000000001</v>
      </c>
      <c r="N606" s="116">
        <v>1319</v>
      </c>
      <c r="O606" s="116">
        <v>1280.2</v>
      </c>
      <c r="P606" s="116">
        <v>1317.6</v>
      </c>
      <c r="Q606" s="116">
        <v>1305.4000000000001</v>
      </c>
      <c r="R606">
        <v>435545</v>
      </c>
    </row>
    <row r="607" spans="1:18" x14ac:dyDescent="0.25">
      <c r="A607" s="169">
        <v>42905</v>
      </c>
      <c r="B607" s="116">
        <v>18.600000000000001</v>
      </c>
      <c r="C607" s="116">
        <v>17.8</v>
      </c>
      <c r="D607" s="116">
        <v>16.55</v>
      </c>
      <c r="E607" s="116">
        <v>16.55</v>
      </c>
      <c r="F607" s="116">
        <v>17.8</v>
      </c>
      <c r="G607">
        <v>12289</v>
      </c>
      <c r="H607" s="116"/>
      <c r="I607" s="116"/>
      <c r="L607" s="169">
        <v>46009</v>
      </c>
      <c r="M607" s="116">
        <v>1309.9000000000001</v>
      </c>
      <c r="N607" s="116">
        <v>1330</v>
      </c>
      <c r="O607" s="116">
        <v>1293.0999999999999</v>
      </c>
      <c r="P607" s="116">
        <v>1309.9000000000001</v>
      </c>
      <c r="Q607" s="116">
        <v>1309.9000000000001</v>
      </c>
      <c r="R607">
        <v>2582441</v>
      </c>
    </row>
    <row r="608" spans="1:18" x14ac:dyDescent="0.25">
      <c r="A608" s="169">
        <v>42906</v>
      </c>
      <c r="B608" s="116">
        <v>18.399999999999999</v>
      </c>
      <c r="C608" s="116">
        <v>18.3</v>
      </c>
      <c r="D608" s="116">
        <v>17.899999999999999</v>
      </c>
      <c r="E608" s="116">
        <v>18</v>
      </c>
      <c r="F608" s="116">
        <v>18.3</v>
      </c>
      <c r="G608">
        <v>4312</v>
      </c>
      <c r="H608" s="116"/>
      <c r="I608" s="116"/>
      <c r="L608" s="169">
        <v>46010</v>
      </c>
      <c r="M608" s="116">
        <v>1300.9000000000001</v>
      </c>
      <c r="N608" s="116">
        <v>1328</v>
      </c>
      <c r="O608" s="116">
        <v>1290.0999999999999</v>
      </c>
      <c r="P608" s="116">
        <v>1315.1</v>
      </c>
      <c r="Q608" s="116">
        <v>1300.9000000000001</v>
      </c>
      <c r="R608">
        <v>567162</v>
      </c>
    </row>
    <row r="609" spans="1:18" x14ac:dyDescent="0.25">
      <c r="A609" s="169">
        <v>42907</v>
      </c>
      <c r="B609" s="116">
        <v>17.95</v>
      </c>
      <c r="C609" s="116">
        <v>17.95</v>
      </c>
      <c r="D609" s="116">
        <v>17.25</v>
      </c>
      <c r="E609" s="116">
        <v>17.25</v>
      </c>
      <c r="F609" s="116">
        <v>17.95</v>
      </c>
      <c r="G609">
        <v>2281</v>
      </c>
      <c r="H609" s="116"/>
      <c r="I609" s="116"/>
      <c r="L609" s="169">
        <v>46013</v>
      </c>
      <c r="M609" s="116">
        <v>1352.5</v>
      </c>
      <c r="N609" s="116">
        <v>1361</v>
      </c>
      <c r="O609" s="116">
        <v>1301.9000000000001</v>
      </c>
      <c r="P609" s="116">
        <v>1303.0999999999999</v>
      </c>
      <c r="Q609" s="116">
        <v>1352.5</v>
      </c>
      <c r="R609">
        <v>773114</v>
      </c>
    </row>
    <row r="610" spans="1:18" x14ac:dyDescent="0.25">
      <c r="A610" s="169">
        <v>42908</v>
      </c>
      <c r="B610" s="116">
        <v>18.649999999999999</v>
      </c>
      <c r="C610" s="116">
        <v>17.350000000000001</v>
      </c>
      <c r="D610" s="116">
        <v>17.25</v>
      </c>
      <c r="E610" s="116">
        <v>17.399999999999999</v>
      </c>
      <c r="F610" s="116">
        <v>17.350000000000001</v>
      </c>
      <c r="G610">
        <v>4001</v>
      </c>
      <c r="H610" s="116"/>
      <c r="I610" s="116"/>
      <c r="L610" s="169">
        <v>46014</v>
      </c>
      <c r="M610" s="116">
        <v>1389.2</v>
      </c>
      <c r="N610" s="116">
        <v>1392</v>
      </c>
      <c r="O610" s="116">
        <v>1345</v>
      </c>
      <c r="P610" s="116">
        <v>1356.9</v>
      </c>
      <c r="Q610" s="116">
        <v>1389.2</v>
      </c>
      <c r="R610">
        <v>664616</v>
      </c>
    </row>
    <row r="611" spans="1:18" x14ac:dyDescent="0.25">
      <c r="A611" s="169">
        <v>42909</v>
      </c>
      <c r="B611" s="116">
        <v>17.399999999999999</v>
      </c>
      <c r="C611" s="116">
        <v>16.149999999999999</v>
      </c>
      <c r="D611" s="116">
        <v>16</v>
      </c>
      <c r="E611" s="116">
        <v>17.399999999999999</v>
      </c>
      <c r="F611" s="116">
        <v>16.149999999999999</v>
      </c>
      <c r="G611">
        <v>40713</v>
      </c>
      <c r="H611" s="116"/>
      <c r="I611" s="116"/>
      <c r="L611" s="169">
        <v>46015</v>
      </c>
      <c r="M611" s="116">
        <v>1375.2</v>
      </c>
      <c r="N611" s="116">
        <v>1395</v>
      </c>
      <c r="O611" s="116">
        <v>1370.2</v>
      </c>
      <c r="P611" s="116">
        <v>1391.4</v>
      </c>
      <c r="Q611" s="116">
        <v>1375.2</v>
      </c>
      <c r="R611">
        <v>255614</v>
      </c>
    </row>
    <row r="612" spans="1:18" x14ac:dyDescent="0.25">
      <c r="A612" s="169">
        <v>42913</v>
      </c>
      <c r="B612" s="116">
        <v>16.8</v>
      </c>
      <c r="C612" s="116">
        <v>15.55</v>
      </c>
      <c r="D612" s="116">
        <v>15.05</v>
      </c>
      <c r="E612" s="116">
        <v>15.1</v>
      </c>
      <c r="F612" s="116">
        <v>15.55</v>
      </c>
      <c r="G612">
        <v>72000</v>
      </c>
      <c r="H612" s="116"/>
      <c r="I612" s="116"/>
      <c r="L612" s="169">
        <v>46017</v>
      </c>
      <c r="M612" s="116">
        <v>1369.8</v>
      </c>
      <c r="N612" s="116">
        <v>1384</v>
      </c>
      <c r="O612" s="116">
        <v>1359.8</v>
      </c>
      <c r="P612" s="116">
        <v>1374.4</v>
      </c>
      <c r="Q612" s="116">
        <v>1369.8</v>
      </c>
      <c r="R612">
        <v>180818</v>
      </c>
    </row>
    <row r="613" spans="1:18" x14ac:dyDescent="0.25">
      <c r="A613" s="169">
        <v>42914</v>
      </c>
      <c r="B613" s="116">
        <v>17</v>
      </c>
      <c r="C613" s="116">
        <v>16.8</v>
      </c>
      <c r="D613" s="116">
        <v>15.4</v>
      </c>
      <c r="E613" s="116">
        <v>15.5</v>
      </c>
      <c r="F613" s="116">
        <v>16.8</v>
      </c>
      <c r="G613">
        <v>21118</v>
      </c>
      <c r="H613" s="116"/>
      <c r="I613" s="116"/>
      <c r="L613" s="169">
        <v>46020</v>
      </c>
      <c r="M613" s="116">
        <v>1387.4</v>
      </c>
      <c r="N613" s="116">
        <v>1395</v>
      </c>
      <c r="O613" s="116">
        <v>1366</v>
      </c>
      <c r="P613" s="116">
        <v>1369.9</v>
      </c>
      <c r="Q613" s="116">
        <v>1387.4</v>
      </c>
      <c r="R613">
        <v>368834</v>
      </c>
    </row>
    <row r="614" spans="1:18" x14ac:dyDescent="0.25">
      <c r="A614" s="169">
        <v>42915</v>
      </c>
      <c r="B614" s="116">
        <v>18</v>
      </c>
      <c r="C614" s="116">
        <v>17.399999999999999</v>
      </c>
      <c r="D614" s="116">
        <v>17.25</v>
      </c>
      <c r="E614" s="116">
        <v>17.25</v>
      </c>
      <c r="F614" s="116">
        <v>17.399999999999999</v>
      </c>
      <c r="G614">
        <v>24408</v>
      </c>
      <c r="H614" s="116"/>
      <c r="I614" s="116"/>
      <c r="L614" s="169">
        <v>46021</v>
      </c>
      <c r="M614" s="116">
        <v>1294.3</v>
      </c>
      <c r="N614" s="116">
        <v>1390</v>
      </c>
      <c r="O614" s="116">
        <v>1275.5</v>
      </c>
      <c r="P614" s="116">
        <v>1386.5</v>
      </c>
      <c r="Q614" s="116">
        <v>1294.3</v>
      </c>
      <c r="R614">
        <v>2259195</v>
      </c>
    </row>
    <row r="615" spans="1:18" x14ac:dyDescent="0.25">
      <c r="A615" s="169">
        <v>42916</v>
      </c>
      <c r="B615" s="116">
        <v>17.8</v>
      </c>
      <c r="C615" s="116">
        <v>17.3</v>
      </c>
      <c r="D615" s="116">
        <v>17.149999999999999</v>
      </c>
      <c r="E615" s="116">
        <v>17.8</v>
      </c>
      <c r="F615" s="116">
        <v>17.3</v>
      </c>
      <c r="G615">
        <v>6680</v>
      </c>
      <c r="H615" s="116"/>
      <c r="I615" s="116"/>
      <c r="L615" s="169">
        <v>46022</v>
      </c>
      <c r="M615" s="116">
        <v>1321.3</v>
      </c>
      <c r="N615" s="116">
        <v>1338</v>
      </c>
      <c r="O615" s="116">
        <v>1303.8</v>
      </c>
      <c r="P615" s="116">
        <v>1308</v>
      </c>
      <c r="Q615" s="116">
        <v>1321.3</v>
      </c>
      <c r="R615">
        <v>562156</v>
      </c>
    </row>
    <row r="616" spans="1:18" x14ac:dyDescent="0.25">
      <c r="A616" s="169">
        <v>42919</v>
      </c>
      <c r="B616" s="116">
        <v>17.95</v>
      </c>
      <c r="C616" s="116">
        <v>17.2</v>
      </c>
      <c r="D616" s="116">
        <v>16.7</v>
      </c>
      <c r="E616" s="116">
        <v>16.850000000000001</v>
      </c>
      <c r="F616" s="116">
        <v>17.2</v>
      </c>
      <c r="G616">
        <v>3565</v>
      </c>
      <c r="H616" s="116"/>
      <c r="I616" s="116"/>
      <c r="L616" s="169">
        <v>46023</v>
      </c>
      <c r="M616" s="116">
        <v>1352.4</v>
      </c>
      <c r="N616" s="116">
        <v>1369.8</v>
      </c>
      <c r="O616" s="116">
        <v>1315.4</v>
      </c>
      <c r="P616" s="116">
        <v>1322.5</v>
      </c>
      <c r="Q616" s="116">
        <v>1352.4</v>
      </c>
      <c r="R616">
        <v>601297</v>
      </c>
    </row>
    <row r="617" spans="1:18" x14ac:dyDescent="0.25">
      <c r="A617" s="169">
        <v>42920</v>
      </c>
      <c r="B617" s="116">
        <v>18</v>
      </c>
      <c r="C617" s="116">
        <v>17</v>
      </c>
      <c r="D617" s="116">
        <v>16.8</v>
      </c>
      <c r="E617" s="116">
        <v>16.850000000000001</v>
      </c>
      <c r="F617" s="116">
        <v>17</v>
      </c>
      <c r="G617">
        <v>22650</v>
      </c>
      <c r="H617" s="116"/>
      <c r="I617" s="116"/>
      <c r="L617" s="169">
        <v>46024</v>
      </c>
      <c r="M617" s="116">
        <v>1348.8</v>
      </c>
      <c r="N617" s="116">
        <v>1374</v>
      </c>
      <c r="O617" s="116">
        <v>1345</v>
      </c>
      <c r="P617" s="116">
        <v>1358</v>
      </c>
      <c r="Q617" s="116">
        <v>1348.8</v>
      </c>
      <c r="R617">
        <v>360426</v>
      </c>
    </row>
    <row r="618" spans="1:18" x14ac:dyDescent="0.25">
      <c r="A618" s="169">
        <v>42921</v>
      </c>
      <c r="B618" s="116">
        <v>18.649999999999999</v>
      </c>
      <c r="C618" s="116">
        <v>18.25</v>
      </c>
      <c r="D618" s="116">
        <v>17</v>
      </c>
      <c r="E618" s="116">
        <v>18.2</v>
      </c>
      <c r="F618" s="116">
        <v>18.25</v>
      </c>
      <c r="G618">
        <v>28125</v>
      </c>
      <c r="H618" s="116"/>
      <c r="I618" s="116"/>
      <c r="L618" s="169">
        <v>46027</v>
      </c>
      <c r="M618" s="116">
        <v>1336.2</v>
      </c>
      <c r="N618" s="116">
        <v>1351.9</v>
      </c>
      <c r="O618" s="116">
        <v>1331</v>
      </c>
      <c r="P618" s="116">
        <v>1351.9</v>
      </c>
      <c r="Q618" s="116">
        <v>1336.2</v>
      </c>
      <c r="R618">
        <v>225432</v>
      </c>
    </row>
    <row r="619" spans="1:18" x14ac:dyDescent="0.25">
      <c r="A619" s="169">
        <v>42922</v>
      </c>
      <c r="B619" s="116">
        <v>19</v>
      </c>
      <c r="C619" s="116">
        <v>17.850000000000001</v>
      </c>
      <c r="D619" s="116">
        <v>17.25</v>
      </c>
      <c r="E619" s="116">
        <v>17.75</v>
      </c>
      <c r="F619" s="116">
        <v>17.850000000000001</v>
      </c>
      <c r="G619">
        <v>13687</v>
      </c>
      <c r="H619" s="116"/>
      <c r="I619" s="116"/>
      <c r="L619" s="169">
        <v>46028</v>
      </c>
      <c r="M619" s="116">
        <v>1318.5</v>
      </c>
      <c r="N619" s="116">
        <v>1339.8</v>
      </c>
      <c r="O619" s="116">
        <v>1315</v>
      </c>
      <c r="P619" s="116">
        <v>1335</v>
      </c>
      <c r="Q619" s="116">
        <v>1318.5</v>
      </c>
      <c r="R619">
        <v>206195</v>
      </c>
    </row>
    <row r="620" spans="1:18" x14ac:dyDescent="0.25">
      <c r="A620" s="169">
        <v>42923</v>
      </c>
      <c r="B620" s="116">
        <v>19</v>
      </c>
      <c r="C620" s="116">
        <v>18.5</v>
      </c>
      <c r="D620" s="116">
        <v>17.3</v>
      </c>
      <c r="E620" s="116">
        <v>17.45</v>
      </c>
      <c r="F620" s="116">
        <v>18.5</v>
      </c>
      <c r="G620">
        <v>12002</v>
      </c>
      <c r="H620" s="116"/>
      <c r="I620" s="116"/>
      <c r="L620" s="169">
        <v>46029</v>
      </c>
      <c r="M620" s="116">
        <v>1337.6</v>
      </c>
      <c r="N620" s="116">
        <v>1348.5</v>
      </c>
      <c r="O620" s="116">
        <v>1310</v>
      </c>
      <c r="P620" s="116">
        <v>1316</v>
      </c>
      <c r="Q620" s="116">
        <v>1337.6</v>
      </c>
      <c r="R620">
        <v>219178</v>
      </c>
    </row>
    <row r="621" spans="1:18" x14ac:dyDescent="0.25">
      <c r="A621" s="169">
        <v>42926</v>
      </c>
      <c r="B621" s="116">
        <v>18.55</v>
      </c>
      <c r="C621" s="116">
        <v>17.95</v>
      </c>
      <c r="D621" s="116">
        <v>17.649999999999999</v>
      </c>
      <c r="E621" s="116">
        <v>17.649999999999999</v>
      </c>
      <c r="F621" s="116">
        <v>17.95</v>
      </c>
      <c r="G621">
        <v>9958</v>
      </c>
      <c r="H621" s="116"/>
      <c r="I621" s="116"/>
      <c r="L621" s="169">
        <v>46030</v>
      </c>
      <c r="M621" s="116">
        <v>1286.8</v>
      </c>
      <c r="N621" s="116">
        <v>1340.7</v>
      </c>
      <c r="O621" s="116">
        <v>1273.5999999999999</v>
      </c>
      <c r="P621" s="116">
        <v>1337</v>
      </c>
      <c r="Q621" s="116">
        <v>1286.8</v>
      </c>
      <c r="R621">
        <v>312867</v>
      </c>
    </row>
    <row r="622" spans="1:18" x14ac:dyDescent="0.25">
      <c r="A622" s="169">
        <v>42927</v>
      </c>
      <c r="B622" s="116">
        <v>18.2</v>
      </c>
      <c r="C622" s="116">
        <v>18.2</v>
      </c>
      <c r="D622" s="116">
        <v>17.600000000000001</v>
      </c>
      <c r="E622" s="116">
        <v>17.600000000000001</v>
      </c>
      <c r="F622" s="116">
        <v>18.2</v>
      </c>
      <c r="G622">
        <v>13396</v>
      </c>
      <c r="H622" s="116"/>
      <c r="I622" s="116"/>
      <c r="L622" s="169">
        <v>46031</v>
      </c>
      <c r="M622" s="116">
        <v>1265.2</v>
      </c>
      <c r="N622" s="116">
        <v>1295.3</v>
      </c>
      <c r="O622" s="116">
        <v>1261</v>
      </c>
      <c r="P622" s="116">
        <v>1286.7</v>
      </c>
      <c r="Q622" s="116">
        <v>1265.2</v>
      </c>
      <c r="R622">
        <v>185361</v>
      </c>
    </row>
    <row r="623" spans="1:18" x14ac:dyDescent="0.25">
      <c r="A623" s="169">
        <v>42928</v>
      </c>
      <c r="B623" s="116">
        <v>18.2</v>
      </c>
      <c r="C623" s="116">
        <v>18.100000000000001</v>
      </c>
      <c r="D623" s="116">
        <v>17.7</v>
      </c>
      <c r="E623" s="116">
        <v>17.7</v>
      </c>
      <c r="F623" s="116">
        <v>18.100000000000001</v>
      </c>
      <c r="G623">
        <v>3542</v>
      </c>
      <c r="H623" s="116"/>
      <c r="I623" s="116"/>
      <c r="L623" s="169">
        <v>46034</v>
      </c>
      <c r="M623" s="116">
        <v>1252.0999999999999</v>
      </c>
      <c r="N623" s="116">
        <v>1270.0999999999999</v>
      </c>
      <c r="O623" s="116">
        <v>1224.8</v>
      </c>
      <c r="P623" s="116">
        <v>1265</v>
      </c>
      <c r="Q623" s="116">
        <v>1252.0999999999999</v>
      </c>
      <c r="R623">
        <v>317515</v>
      </c>
    </row>
    <row r="624" spans="1:18" x14ac:dyDescent="0.25">
      <c r="A624" s="169">
        <v>42929</v>
      </c>
      <c r="B624" s="116">
        <v>18.5</v>
      </c>
      <c r="C624" s="116">
        <v>17.95</v>
      </c>
      <c r="D624" s="116">
        <v>17.899999999999999</v>
      </c>
      <c r="E624" s="116">
        <v>17.899999999999999</v>
      </c>
      <c r="F624" s="116">
        <v>17.95</v>
      </c>
      <c r="G624">
        <v>16563</v>
      </c>
      <c r="H624" s="116"/>
      <c r="I624" s="116"/>
      <c r="L624" s="169">
        <v>46035</v>
      </c>
      <c r="M624" s="116">
        <v>1235.7</v>
      </c>
      <c r="N624" s="116">
        <v>1273.5</v>
      </c>
      <c r="O624" s="116">
        <v>1232</v>
      </c>
      <c r="P624" s="116">
        <v>1260.5</v>
      </c>
      <c r="Q624" s="116">
        <v>1235.7</v>
      </c>
      <c r="R624">
        <v>231342</v>
      </c>
    </row>
    <row r="625" spans="1:18" x14ac:dyDescent="0.25">
      <c r="A625" s="169">
        <v>42930</v>
      </c>
      <c r="B625" s="116">
        <v>18.5</v>
      </c>
      <c r="C625" s="116">
        <v>17.3</v>
      </c>
      <c r="D625" s="116">
        <v>17.100000000000001</v>
      </c>
      <c r="E625" s="116">
        <v>18.399999999999999</v>
      </c>
      <c r="F625" s="116">
        <v>17.3</v>
      </c>
      <c r="G625">
        <v>9030</v>
      </c>
      <c r="H625" s="116"/>
      <c r="I625" s="116"/>
      <c r="L625" s="169">
        <v>46036</v>
      </c>
      <c r="M625" s="116">
        <v>1238.7</v>
      </c>
      <c r="N625" s="116">
        <v>1247.5999999999999</v>
      </c>
      <c r="O625" s="116">
        <v>1226</v>
      </c>
      <c r="P625" s="116">
        <v>1231</v>
      </c>
      <c r="Q625" s="116">
        <v>1238.7</v>
      </c>
      <c r="R625">
        <v>246035</v>
      </c>
    </row>
    <row r="626" spans="1:18" x14ac:dyDescent="0.25">
      <c r="A626" s="169">
        <v>42933</v>
      </c>
      <c r="B626" s="116">
        <v>18</v>
      </c>
      <c r="C626" s="116">
        <v>17.25</v>
      </c>
      <c r="D626" s="116">
        <v>16.25</v>
      </c>
      <c r="E626" s="116">
        <v>16.25</v>
      </c>
      <c r="F626" s="116">
        <v>17.25</v>
      </c>
      <c r="G626">
        <v>13925</v>
      </c>
      <c r="H626" s="116"/>
      <c r="I626" s="116"/>
      <c r="L626" s="169">
        <v>46038</v>
      </c>
      <c r="M626" s="116">
        <v>1229</v>
      </c>
      <c r="N626" s="116">
        <v>1245.4000000000001</v>
      </c>
      <c r="O626" s="116">
        <v>1221.0999999999999</v>
      </c>
      <c r="P626" s="116">
        <v>1243.9000000000001</v>
      </c>
      <c r="Q626" s="116">
        <v>1229</v>
      </c>
      <c r="R626">
        <v>234967</v>
      </c>
    </row>
    <row r="627" spans="1:18" x14ac:dyDescent="0.25">
      <c r="A627" s="169">
        <v>42934</v>
      </c>
      <c r="B627" s="116">
        <v>17.75</v>
      </c>
      <c r="C627" s="116">
        <v>17.3</v>
      </c>
      <c r="D627" s="116">
        <v>17</v>
      </c>
      <c r="E627" s="116">
        <v>17.350000000000001</v>
      </c>
      <c r="F627" s="116">
        <v>17.3</v>
      </c>
      <c r="G627">
        <v>18798</v>
      </c>
      <c r="H627" s="116"/>
      <c r="I627" s="116"/>
      <c r="L627" s="169">
        <v>46041</v>
      </c>
      <c r="M627" s="116">
        <v>1205.9000000000001</v>
      </c>
      <c r="N627" s="116">
        <v>1226.5999999999999</v>
      </c>
      <c r="O627" s="116">
        <v>1200</v>
      </c>
      <c r="P627" s="116">
        <v>1218</v>
      </c>
      <c r="Q627" s="116">
        <v>1205.9000000000001</v>
      </c>
      <c r="R627">
        <v>127813</v>
      </c>
    </row>
    <row r="628" spans="1:18" x14ac:dyDescent="0.25">
      <c r="A628" s="169">
        <v>42935</v>
      </c>
      <c r="B628" s="116">
        <v>18</v>
      </c>
      <c r="C628" s="116">
        <v>17.95</v>
      </c>
      <c r="D628" s="116">
        <v>17</v>
      </c>
      <c r="E628" s="116">
        <v>17.25</v>
      </c>
      <c r="F628" s="116">
        <v>17.95</v>
      </c>
      <c r="G628">
        <v>6869</v>
      </c>
      <c r="H628" s="116"/>
      <c r="I628" s="116"/>
      <c r="L628" s="169">
        <v>46042</v>
      </c>
      <c r="M628" s="116">
        <v>1166.8</v>
      </c>
      <c r="N628" s="116">
        <v>1207.7</v>
      </c>
      <c r="O628" s="116">
        <v>1155</v>
      </c>
      <c r="P628" s="116">
        <v>1204.5</v>
      </c>
      <c r="Q628" s="116">
        <v>1166.8</v>
      </c>
      <c r="R628">
        <v>497222</v>
      </c>
    </row>
    <row r="629" spans="1:18" x14ac:dyDescent="0.25">
      <c r="A629" s="169">
        <v>42936</v>
      </c>
      <c r="B629" s="116">
        <v>18.5</v>
      </c>
      <c r="C629" s="116">
        <v>18.25</v>
      </c>
      <c r="D629" s="116">
        <v>17.2</v>
      </c>
      <c r="E629" s="116">
        <v>17.2</v>
      </c>
      <c r="F629" s="116">
        <v>18.25</v>
      </c>
      <c r="G629">
        <v>26902</v>
      </c>
      <c r="H629" s="116"/>
      <c r="I629" s="116"/>
      <c r="L629" s="169">
        <v>46043</v>
      </c>
      <c r="M629" s="116">
        <v>1142.2</v>
      </c>
      <c r="N629" s="116">
        <v>1174.0999999999999</v>
      </c>
      <c r="O629" s="116">
        <v>1125</v>
      </c>
      <c r="P629" s="116">
        <v>1165.5</v>
      </c>
      <c r="Q629" s="116">
        <v>1142.2</v>
      </c>
      <c r="R629">
        <v>464686</v>
      </c>
    </row>
    <row r="630" spans="1:18" x14ac:dyDescent="0.25">
      <c r="A630" s="169">
        <v>42937</v>
      </c>
      <c r="B630" s="116">
        <v>18.899999999999999</v>
      </c>
      <c r="C630" s="116">
        <v>18.649999999999999</v>
      </c>
      <c r="D630" s="116">
        <v>18.2</v>
      </c>
      <c r="E630" s="116">
        <v>18.25</v>
      </c>
      <c r="F630" s="116">
        <v>18.649999999999999</v>
      </c>
      <c r="G630">
        <v>14564</v>
      </c>
      <c r="H630" s="116"/>
      <c r="I630" s="116"/>
      <c r="L630" s="169">
        <v>46044</v>
      </c>
      <c r="M630" s="116">
        <v>1152.0999999999999</v>
      </c>
      <c r="N630" s="116">
        <v>1177.8</v>
      </c>
      <c r="O630" s="116">
        <v>1145.7</v>
      </c>
      <c r="P630" s="116">
        <v>1153.0999999999999</v>
      </c>
      <c r="Q630" s="116">
        <v>1152.0999999999999</v>
      </c>
      <c r="R630">
        <v>222480</v>
      </c>
    </row>
    <row r="631" spans="1:18" x14ac:dyDescent="0.25">
      <c r="A631" s="169">
        <v>42940</v>
      </c>
      <c r="B631" s="116">
        <v>18.899999999999999</v>
      </c>
      <c r="C631" s="116">
        <v>18.399999999999999</v>
      </c>
      <c r="D631" s="116">
        <v>17.649999999999999</v>
      </c>
      <c r="E631" s="116">
        <v>17.649999999999999</v>
      </c>
      <c r="F631" s="116">
        <v>18.399999999999999</v>
      </c>
      <c r="G631">
        <v>22905</v>
      </c>
      <c r="H631" s="116"/>
      <c r="I631" s="116"/>
      <c r="L631" s="169">
        <v>46045</v>
      </c>
      <c r="M631" s="116">
        <v>1115.5</v>
      </c>
      <c r="N631" s="116">
        <v>1158</v>
      </c>
      <c r="O631" s="116">
        <v>1111</v>
      </c>
      <c r="P631" s="116">
        <v>1157.9000000000001</v>
      </c>
      <c r="Q631" s="116">
        <v>1115.5</v>
      </c>
      <c r="R631">
        <v>277168</v>
      </c>
    </row>
    <row r="632" spans="1:18" x14ac:dyDescent="0.25">
      <c r="A632" s="169">
        <v>42941</v>
      </c>
      <c r="B632" s="116">
        <v>18.45</v>
      </c>
      <c r="C632" s="116">
        <v>18</v>
      </c>
      <c r="D632" s="116">
        <v>17.7</v>
      </c>
      <c r="E632" s="116">
        <v>17.8</v>
      </c>
      <c r="F632" s="116">
        <v>18</v>
      </c>
      <c r="G632">
        <v>7548</v>
      </c>
      <c r="H632" s="116"/>
      <c r="I632" s="116"/>
      <c r="L632" s="169">
        <v>46049</v>
      </c>
      <c r="M632" s="116">
        <v>1100.7</v>
      </c>
      <c r="N632" s="116">
        <v>1130.5</v>
      </c>
      <c r="O632" s="116">
        <v>1096.9000000000001</v>
      </c>
      <c r="P632" s="116">
        <v>1121.2</v>
      </c>
      <c r="Q632" s="116">
        <v>1100.7</v>
      </c>
      <c r="R632">
        <v>645916</v>
      </c>
    </row>
    <row r="633" spans="1:18" x14ac:dyDescent="0.25">
      <c r="A633" s="169">
        <v>42942</v>
      </c>
      <c r="B633" s="116">
        <v>18.399999999999999</v>
      </c>
      <c r="C633" s="116">
        <v>18</v>
      </c>
      <c r="D633" s="116">
        <v>17.8</v>
      </c>
      <c r="E633" s="116">
        <v>18.100000000000001</v>
      </c>
      <c r="F633" s="116">
        <v>18</v>
      </c>
      <c r="G633">
        <v>3623</v>
      </c>
      <c r="H633" s="116"/>
      <c r="I633" s="116"/>
      <c r="L633" s="169">
        <v>46050</v>
      </c>
      <c r="M633" s="116">
        <v>1142</v>
      </c>
      <c r="N633" s="116">
        <v>1147.9000000000001</v>
      </c>
      <c r="O633" s="116">
        <v>1096.2</v>
      </c>
      <c r="P633" s="116">
        <v>1100.7</v>
      </c>
      <c r="Q633" s="116">
        <v>1142</v>
      </c>
      <c r="R633">
        <v>560080</v>
      </c>
    </row>
    <row r="634" spans="1:18" x14ac:dyDescent="0.25">
      <c r="A634" s="169">
        <v>42943</v>
      </c>
      <c r="B634" s="116">
        <v>18.8</v>
      </c>
      <c r="C634" s="116">
        <v>17.899999999999999</v>
      </c>
      <c r="D634" s="116">
        <v>17.5</v>
      </c>
      <c r="E634" s="116">
        <v>18.399999999999999</v>
      </c>
      <c r="F634" s="116">
        <v>17.899999999999999</v>
      </c>
      <c r="G634">
        <v>7841</v>
      </c>
      <c r="H634" s="116"/>
      <c r="I634" s="116"/>
      <c r="L634" s="169">
        <v>46051</v>
      </c>
      <c r="M634" s="116">
        <v>1133.4000000000001</v>
      </c>
      <c r="N634" s="116">
        <v>1163</v>
      </c>
      <c r="O634" s="116">
        <v>1124.5</v>
      </c>
      <c r="P634" s="116">
        <v>1150</v>
      </c>
      <c r="Q634" s="116">
        <v>1133.4000000000001</v>
      </c>
      <c r="R634">
        <v>398141</v>
      </c>
    </row>
    <row r="635" spans="1:18" x14ac:dyDescent="0.25">
      <c r="A635" s="169">
        <v>42944</v>
      </c>
      <c r="B635" s="116">
        <v>17.7</v>
      </c>
      <c r="C635" s="116">
        <v>17.649999999999999</v>
      </c>
      <c r="D635" s="116">
        <v>17.100000000000001</v>
      </c>
      <c r="E635" s="116">
        <v>17.7</v>
      </c>
      <c r="F635" s="116">
        <v>17.649999999999999</v>
      </c>
      <c r="G635">
        <v>9790</v>
      </c>
      <c r="H635" s="116"/>
      <c r="I635" s="116"/>
      <c r="L635" s="169">
        <v>46052</v>
      </c>
      <c r="M635" s="116">
        <v>1103.8</v>
      </c>
      <c r="N635" s="116">
        <v>1134.8</v>
      </c>
      <c r="O635" s="116">
        <v>1084</v>
      </c>
      <c r="P635" s="116">
        <v>1134.8</v>
      </c>
      <c r="Q635" s="116">
        <v>1103.8</v>
      </c>
      <c r="R635">
        <v>373797</v>
      </c>
    </row>
    <row r="636" spans="1:18" x14ac:dyDescent="0.25">
      <c r="A636" s="169">
        <v>42947</v>
      </c>
      <c r="B636" s="116">
        <v>17.75</v>
      </c>
      <c r="C636" s="116">
        <v>17.649999999999999</v>
      </c>
      <c r="D636" s="116">
        <v>17</v>
      </c>
      <c r="E636" s="116">
        <v>17.75</v>
      </c>
      <c r="F636" s="116">
        <v>17.649999999999999</v>
      </c>
      <c r="G636">
        <v>2555</v>
      </c>
      <c r="H636" s="116"/>
      <c r="I636" s="116"/>
      <c r="L636" s="169">
        <v>46054</v>
      </c>
      <c r="M636" s="116">
        <v>1073.5999999999999</v>
      </c>
      <c r="N636" s="116">
        <v>1118.2</v>
      </c>
      <c r="O636" s="116">
        <v>1050</v>
      </c>
      <c r="P636" s="116">
        <v>1100</v>
      </c>
      <c r="Q636" s="116">
        <v>1073.5999999999999</v>
      </c>
      <c r="R636">
        <v>270875</v>
      </c>
    </row>
    <row r="637" spans="1:18" x14ac:dyDescent="0.25">
      <c r="A637" s="169">
        <v>42948</v>
      </c>
      <c r="B637" s="116">
        <v>17.7</v>
      </c>
      <c r="C637" s="116">
        <v>17.7</v>
      </c>
      <c r="D637" s="116">
        <v>16.8</v>
      </c>
      <c r="E637" s="116">
        <v>16.8</v>
      </c>
      <c r="F637" s="116">
        <v>17.7</v>
      </c>
      <c r="G637">
        <v>6529</v>
      </c>
      <c r="H637" s="116"/>
      <c r="I637" s="116"/>
      <c r="L637" s="169">
        <v>46055</v>
      </c>
      <c r="M637" s="116">
        <v>1098.2</v>
      </c>
      <c r="N637" s="116">
        <v>1107</v>
      </c>
      <c r="O637" s="116">
        <v>1042.9000000000001</v>
      </c>
      <c r="P637" s="116">
        <v>1073</v>
      </c>
      <c r="Q637" s="116">
        <v>1098.2</v>
      </c>
      <c r="R637">
        <v>291738</v>
      </c>
    </row>
    <row r="638" spans="1:18" x14ac:dyDescent="0.25">
      <c r="A638" s="169">
        <v>42949</v>
      </c>
      <c r="B638" s="116">
        <v>18.5</v>
      </c>
      <c r="C638" s="116">
        <v>17.899999999999999</v>
      </c>
      <c r="D638" s="116">
        <v>16.399999999999999</v>
      </c>
      <c r="E638" s="116">
        <v>16.399999999999999</v>
      </c>
      <c r="F638" s="116">
        <v>17.899999999999999</v>
      </c>
      <c r="G638">
        <v>2425</v>
      </c>
      <c r="H638" s="116"/>
      <c r="I638" s="116"/>
      <c r="L638" s="169">
        <v>46056</v>
      </c>
      <c r="M638" s="116">
        <v>1168.7</v>
      </c>
      <c r="N638" s="116">
        <v>1181.7</v>
      </c>
      <c r="O638" s="116">
        <v>1125</v>
      </c>
      <c r="P638" s="116">
        <v>1150</v>
      </c>
      <c r="Q638" s="116">
        <v>1168.7</v>
      </c>
      <c r="R638">
        <v>417616</v>
      </c>
    </row>
    <row r="639" spans="1:18" x14ac:dyDescent="0.25">
      <c r="A639" s="169">
        <v>42950</v>
      </c>
      <c r="B639" s="116">
        <v>17.5</v>
      </c>
      <c r="C639" s="116">
        <v>16.899999999999999</v>
      </c>
      <c r="D639" s="116">
        <v>16.850000000000001</v>
      </c>
      <c r="E639" s="116">
        <v>17.5</v>
      </c>
      <c r="F639" s="116">
        <v>16.899999999999999</v>
      </c>
      <c r="G639">
        <v>21087</v>
      </c>
      <c r="H639" s="116"/>
      <c r="I639" s="116"/>
      <c r="L639" s="169">
        <v>46057</v>
      </c>
      <c r="M639" s="116">
        <v>1285.5</v>
      </c>
      <c r="N639" s="116">
        <v>1328</v>
      </c>
      <c r="O639" s="116">
        <v>1255</v>
      </c>
      <c r="P639" s="116">
        <v>1255</v>
      </c>
      <c r="Q639" s="116">
        <v>1285.5</v>
      </c>
      <c r="R639">
        <v>5236292</v>
      </c>
    </row>
    <row r="640" spans="1:18" x14ac:dyDescent="0.25">
      <c r="A640" s="169">
        <v>42951</v>
      </c>
      <c r="B640" s="116">
        <v>17.8</v>
      </c>
      <c r="C640" s="116">
        <v>17.350000000000001</v>
      </c>
      <c r="D640" s="116">
        <v>16.75</v>
      </c>
      <c r="E640" s="116">
        <v>16.899999999999999</v>
      </c>
      <c r="F640" s="116">
        <v>17.350000000000001</v>
      </c>
      <c r="G640">
        <v>21701</v>
      </c>
      <c r="H640" s="116"/>
      <c r="I640" s="116"/>
      <c r="L640" s="169">
        <v>46058</v>
      </c>
      <c r="M640" s="116">
        <v>1266.0999999999999</v>
      </c>
      <c r="N640" s="116">
        <v>1288.5999999999999</v>
      </c>
      <c r="O640" s="116">
        <v>1255.2</v>
      </c>
      <c r="P640" s="116">
        <v>1286</v>
      </c>
      <c r="Q640" s="116">
        <v>1266.0999999999999</v>
      </c>
      <c r="R640">
        <v>403513</v>
      </c>
    </row>
    <row r="641" spans="1:18" x14ac:dyDescent="0.25">
      <c r="A641" s="169">
        <v>42954</v>
      </c>
      <c r="B641" s="116">
        <v>19.75</v>
      </c>
      <c r="C641" s="116">
        <v>18.8</v>
      </c>
      <c r="D641" s="116">
        <v>18</v>
      </c>
      <c r="E641" s="116">
        <v>18</v>
      </c>
      <c r="F641" s="116">
        <v>18.8</v>
      </c>
      <c r="G641">
        <v>106623</v>
      </c>
      <c r="H641" s="116"/>
      <c r="I641" s="116"/>
      <c r="L641" s="169">
        <v>46059</v>
      </c>
      <c r="M641" s="116">
        <v>1261.3</v>
      </c>
      <c r="N641" s="116">
        <v>1265</v>
      </c>
      <c r="O641" s="116">
        <v>1222.9000000000001</v>
      </c>
      <c r="P641" s="116">
        <v>1260</v>
      </c>
      <c r="Q641" s="116">
        <v>1261.3</v>
      </c>
      <c r="R641">
        <v>301931</v>
      </c>
    </row>
    <row r="642" spans="1:18" x14ac:dyDescent="0.25">
      <c r="A642" s="169">
        <v>42955</v>
      </c>
      <c r="B642" s="116">
        <v>20.3</v>
      </c>
      <c r="C642" s="116">
        <v>17.3</v>
      </c>
      <c r="D642" s="116">
        <v>17</v>
      </c>
      <c r="E642" s="116">
        <v>18.75</v>
      </c>
      <c r="F642" s="116">
        <v>17.3</v>
      </c>
      <c r="G642">
        <v>115551</v>
      </c>
      <c r="H642" s="116"/>
      <c r="I642" s="116"/>
      <c r="L642" s="169">
        <v>46062</v>
      </c>
      <c r="M642" s="116">
        <v>1258.2</v>
      </c>
      <c r="N642" s="116">
        <v>1284.9000000000001</v>
      </c>
      <c r="O642" s="116">
        <v>1252.2</v>
      </c>
      <c r="P642" s="116">
        <v>1270.9000000000001</v>
      </c>
      <c r="Q642" s="116">
        <v>1258.2</v>
      </c>
      <c r="R642">
        <v>277312</v>
      </c>
    </row>
    <row r="643" spans="1:18" x14ac:dyDescent="0.25">
      <c r="A643" s="169">
        <v>42956</v>
      </c>
      <c r="B643" s="116">
        <v>17</v>
      </c>
      <c r="C643" s="116">
        <v>16.600000000000001</v>
      </c>
      <c r="D643" s="116">
        <v>15.5</v>
      </c>
      <c r="E643" s="116">
        <v>16.5</v>
      </c>
      <c r="F643" s="116">
        <v>16.600000000000001</v>
      </c>
      <c r="G643">
        <v>31230</v>
      </c>
      <c r="H643" s="116"/>
      <c r="I643" s="116"/>
      <c r="L643" s="169">
        <v>46063</v>
      </c>
      <c r="M643" s="116">
        <v>1249.7</v>
      </c>
      <c r="N643" s="116">
        <v>1269.9000000000001</v>
      </c>
      <c r="O643" s="116">
        <v>1242.5</v>
      </c>
      <c r="P643" s="116">
        <v>1261</v>
      </c>
      <c r="Q643" s="116">
        <v>1249.7</v>
      </c>
      <c r="R643">
        <v>287764</v>
      </c>
    </row>
    <row r="644" spans="1:18" x14ac:dyDescent="0.25">
      <c r="A644" s="169">
        <v>42957</v>
      </c>
      <c r="B644" s="116">
        <v>17.45</v>
      </c>
      <c r="C644" s="116">
        <v>15.9</v>
      </c>
      <c r="D644" s="116">
        <v>15.5</v>
      </c>
      <c r="E644" s="116">
        <v>15.5</v>
      </c>
      <c r="F644" s="116">
        <v>15.9</v>
      </c>
      <c r="G644">
        <v>32087</v>
      </c>
      <c r="H644" s="116"/>
      <c r="I644" s="116"/>
      <c r="L644" s="169">
        <v>46064</v>
      </c>
      <c r="M644" s="116">
        <v>1222.5999999999999</v>
      </c>
      <c r="N644" s="116">
        <v>1252</v>
      </c>
      <c r="O644" s="116">
        <v>1215.0999999999999</v>
      </c>
      <c r="P644" s="116">
        <v>1252</v>
      </c>
      <c r="Q644" s="116">
        <v>1222.5999999999999</v>
      </c>
      <c r="R644">
        <v>1488384</v>
      </c>
    </row>
    <row r="645" spans="1:18" x14ac:dyDescent="0.25">
      <c r="A645" s="169">
        <v>42958</v>
      </c>
      <c r="B645" s="116">
        <v>16</v>
      </c>
      <c r="C645" s="116">
        <v>15.2</v>
      </c>
      <c r="D645" s="116">
        <v>15.05</v>
      </c>
      <c r="E645" s="116">
        <v>15.8</v>
      </c>
      <c r="F645" s="116">
        <v>15.2</v>
      </c>
      <c r="G645">
        <v>35255</v>
      </c>
      <c r="H645" s="116"/>
      <c r="I645" s="116"/>
      <c r="L645" s="169">
        <v>46065</v>
      </c>
      <c r="M645" s="116">
        <v>1225.5999999999999</v>
      </c>
      <c r="N645" s="116">
        <v>1249</v>
      </c>
      <c r="O645" s="116">
        <v>1208.0999999999999</v>
      </c>
      <c r="P645" s="116">
        <v>1220</v>
      </c>
      <c r="Q645" s="116">
        <v>1225.5999999999999</v>
      </c>
      <c r="R645">
        <v>257813</v>
      </c>
    </row>
    <row r="646" spans="1:18" x14ac:dyDescent="0.25">
      <c r="A646" s="169">
        <v>42961</v>
      </c>
      <c r="B646" s="116">
        <v>16.5</v>
      </c>
      <c r="C646" s="116">
        <v>16.05</v>
      </c>
      <c r="D646" s="116">
        <v>15.2</v>
      </c>
      <c r="E646" s="116">
        <v>15.2</v>
      </c>
      <c r="F646" s="116">
        <v>16.05</v>
      </c>
      <c r="G646">
        <v>6440</v>
      </c>
      <c r="H646" s="116"/>
      <c r="I646" s="116"/>
      <c r="L646" s="169">
        <v>46066</v>
      </c>
      <c r="M646" s="116">
        <v>1190.4000000000001</v>
      </c>
      <c r="N646" s="116">
        <v>1220.0999999999999</v>
      </c>
      <c r="O646" s="116">
        <v>1181.0999999999999</v>
      </c>
      <c r="P646" s="116">
        <v>1220.0999999999999</v>
      </c>
      <c r="Q646" s="116">
        <v>1190.4000000000001</v>
      </c>
      <c r="R646">
        <v>316311</v>
      </c>
    </row>
    <row r="647" spans="1:18" x14ac:dyDescent="0.25">
      <c r="A647" s="169">
        <v>42963</v>
      </c>
      <c r="B647" s="116">
        <v>16.8</v>
      </c>
      <c r="C647" s="116">
        <v>15.75</v>
      </c>
      <c r="D647" s="116">
        <v>15.5</v>
      </c>
      <c r="E647" s="116">
        <v>15.8</v>
      </c>
      <c r="F647" s="116">
        <v>15.75</v>
      </c>
      <c r="G647">
        <v>6570</v>
      </c>
      <c r="H647" s="116"/>
      <c r="I647" s="116"/>
      <c r="L647" s="169">
        <v>46069</v>
      </c>
      <c r="M647" s="116">
        <v>1188</v>
      </c>
      <c r="N647" s="116">
        <v>1190</v>
      </c>
      <c r="O647" s="116">
        <v>1173</v>
      </c>
      <c r="P647" s="116">
        <v>1180.0999999999999</v>
      </c>
      <c r="Q647" s="116">
        <v>1188</v>
      </c>
      <c r="R647">
        <v>164059</v>
      </c>
    </row>
    <row r="648" spans="1:18" x14ac:dyDescent="0.25">
      <c r="A648" s="169">
        <v>42964</v>
      </c>
      <c r="B648" s="116">
        <v>16.45</v>
      </c>
      <c r="C648" s="116">
        <v>16.2</v>
      </c>
      <c r="D648" s="116">
        <v>15</v>
      </c>
      <c r="E648" s="116">
        <v>15.75</v>
      </c>
      <c r="F648" s="116">
        <v>16.2</v>
      </c>
      <c r="G648">
        <v>19038</v>
      </c>
      <c r="H648" s="116"/>
      <c r="I648" s="116"/>
      <c r="L648" s="169">
        <v>46070</v>
      </c>
      <c r="M648" s="116">
        <v>1175.7</v>
      </c>
      <c r="N648" s="116">
        <v>1205.9000000000001</v>
      </c>
      <c r="O648" s="116">
        <v>1169.0999999999999</v>
      </c>
      <c r="P648" s="116">
        <v>1187.9000000000001</v>
      </c>
      <c r="Q648" s="116">
        <v>1175.7</v>
      </c>
      <c r="R648">
        <v>346740</v>
      </c>
    </row>
    <row r="649" spans="1:18" x14ac:dyDescent="0.25">
      <c r="A649" s="169">
        <v>42965</v>
      </c>
      <c r="B649" s="116">
        <v>18.850000000000001</v>
      </c>
      <c r="C649" s="116">
        <v>18.75</v>
      </c>
      <c r="D649" s="116">
        <v>16.149999999999999</v>
      </c>
      <c r="E649" s="116">
        <v>16.149999999999999</v>
      </c>
      <c r="F649" s="116">
        <v>18.75</v>
      </c>
      <c r="G649">
        <v>32276</v>
      </c>
      <c r="H649" s="116"/>
      <c r="I649" s="116"/>
      <c r="L649" s="169">
        <v>46071</v>
      </c>
      <c r="M649" s="116">
        <v>1211.4000000000001</v>
      </c>
      <c r="N649" s="116">
        <v>1227.7</v>
      </c>
      <c r="O649" s="116">
        <v>1170</v>
      </c>
      <c r="P649" s="116">
        <v>1176</v>
      </c>
      <c r="Q649" s="116">
        <v>1211.4000000000001</v>
      </c>
      <c r="R649">
        <v>352554</v>
      </c>
    </row>
    <row r="650" spans="1:18" x14ac:dyDescent="0.25">
      <c r="A650" s="169">
        <v>42968</v>
      </c>
      <c r="B650" s="116">
        <v>19</v>
      </c>
      <c r="C650" s="116">
        <v>16.95</v>
      </c>
      <c r="D650" s="116">
        <v>16</v>
      </c>
      <c r="E650" s="116">
        <v>17.100000000000001</v>
      </c>
      <c r="F650" s="116">
        <v>16.95</v>
      </c>
      <c r="G650">
        <v>16189</v>
      </c>
      <c r="H650" s="116"/>
      <c r="I650" s="116"/>
      <c r="L650" s="169">
        <v>46072</v>
      </c>
      <c r="M650" s="116">
        <v>1127.4000000000001</v>
      </c>
      <c r="N650" s="116">
        <v>1223.5999999999999</v>
      </c>
      <c r="O650" s="116">
        <v>1125</v>
      </c>
      <c r="P650" s="116">
        <v>1223.5999999999999</v>
      </c>
      <c r="Q650" s="116">
        <v>1127.4000000000001</v>
      </c>
      <c r="R650">
        <v>1509019</v>
      </c>
    </row>
    <row r="651" spans="1:18" x14ac:dyDescent="0.25">
      <c r="A651" s="169">
        <v>42969</v>
      </c>
      <c r="B651" s="116">
        <v>17.5</v>
      </c>
      <c r="C651" s="116">
        <v>16.899999999999999</v>
      </c>
      <c r="D651" s="116">
        <v>16.5</v>
      </c>
      <c r="E651" s="116">
        <v>17.5</v>
      </c>
      <c r="F651" s="116">
        <v>16.899999999999999</v>
      </c>
      <c r="G651">
        <v>302</v>
      </c>
      <c r="H651" s="116"/>
      <c r="I651" s="116"/>
      <c r="L651" s="169">
        <v>46073</v>
      </c>
      <c r="M651" s="116">
        <v>1143</v>
      </c>
      <c r="N651" s="116">
        <v>1148</v>
      </c>
      <c r="O651" s="116">
        <v>1122</v>
      </c>
      <c r="P651" s="116">
        <v>1122</v>
      </c>
      <c r="Q651" s="116">
        <v>1143</v>
      </c>
      <c r="R651">
        <v>416064</v>
      </c>
    </row>
    <row r="652" spans="1:18" x14ac:dyDescent="0.25">
      <c r="A652" s="169">
        <v>42970</v>
      </c>
      <c r="B652" s="116">
        <v>16.899999999999999</v>
      </c>
      <c r="C652" s="116">
        <v>16.649999999999999</v>
      </c>
      <c r="D652" s="116">
        <v>16.100000000000001</v>
      </c>
      <c r="E652" s="116">
        <v>16.3</v>
      </c>
      <c r="F652" s="116">
        <v>16.649999999999999</v>
      </c>
      <c r="G652">
        <v>6990</v>
      </c>
      <c r="H652" s="116"/>
      <c r="I652" s="116"/>
      <c r="L652" s="169">
        <v>46076</v>
      </c>
      <c r="M652" s="116">
        <v>1139</v>
      </c>
      <c r="N652" s="116">
        <v>1159</v>
      </c>
      <c r="O652" s="116">
        <v>1131</v>
      </c>
      <c r="P652" s="116">
        <v>1158</v>
      </c>
      <c r="Q652" s="116">
        <v>1139</v>
      </c>
      <c r="R652">
        <v>178885</v>
      </c>
    </row>
    <row r="653" spans="1:18" x14ac:dyDescent="0.25">
      <c r="A653" s="169">
        <v>42971</v>
      </c>
      <c r="B653" s="116">
        <v>17.5</v>
      </c>
      <c r="C653" s="116">
        <v>17.05</v>
      </c>
      <c r="D653" s="116">
        <v>16.100000000000001</v>
      </c>
      <c r="E653" s="116">
        <v>16.100000000000001</v>
      </c>
      <c r="F653" s="116">
        <v>17.05</v>
      </c>
      <c r="G653">
        <v>12614</v>
      </c>
      <c r="H653" s="116"/>
      <c r="I653" s="116"/>
      <c r="L653" s="169">
        <v>46077</v>
      </c>
      <c r="M653" s="116">
        <v>1164.0999999999999</v>
      </c>
      <c r="N653" s="116">
        <v>1168.7</v>
      </c>
      <c r="O653" s="116">
        <v>1123.0999999999999</v>
      </c>
      <c r="P653" s="116">
        <v>1123.2</v>
      </c>
      <c r="Q653" s="116">
        <v>1164.0999999999999</v>
      </c>
      <c r="R653">
        <v>289945</v>
      </c>
    </row>
    <row r="654" spans="1:18" x14ac:dyDescent="0.25">
      <c r="A654" s="169">
        <v>42975</v>
      </c>
      <c r="B654" s="116">
        <v>17.55</v>
      </c>
      <c r="C654" s="116">
        <v>17</v>
      </c>
      <c r="D654" s="116">
        <v>16.3</v>
      </c>
      <c r="E654" s="116">
        <v>17</v>
      </c>
      <c r="F654" s="116">
        <v>17</v>
      </c>
      <c r="G654">
        <v>15000</v>
      </c>
      <c r="H654" s="116"/>
      <c r="I654" s="116"/>
      <c r="L654" s="169">
        <v>46078</v>
      </c>
      <c r="M654" s="116">
        <v>1251.8</v>
      </c>
      <c r="N654" s="116">
        <v>1258</v>
      </c>
      <c r="O654" s="116">
        <v>1178.3</v>
      </c>
      <c r="P654" s="116">
        <v>1182.5999999999999</v>
      </c>
      <c r="Q654" s="116">
        <v>1251.8</v>
      </c>
      <c r="R654">
        <v>1388532</v>
      </c>
    </row>
    <row r="655" spans="1:18" x14ac:dyDescent="0.25">
      <c r="A655" s="169">
        <v>42976</v>
      </c>
      <c r="B655" s="116">
        <v>18.45</v>
      </c>
      <c r="C655" s="116">
        <v>16.75</v>
      </c>
      <c r="D655" s="116">
        <v>16.350000000000001</v>
      </c>
      <c r="E655" s="116">
        <v>16.350000000000001</v>
      </c>
      <c r="F655" s="116">
        <v>16.75</v>
      </c>
      <c r="G655">
        <v>13994</v>
      </c>
      <c r="H655" s="116"/>
      <c r="I655" s="116"/>
      <c r="L655" s="169">
        <v>46079</v>
      </c>
      <c r="M655" s="116">
        <v>1264.4000000000001</v>
      </c>
      <c r="N655" s="116">
        <v>1304</v>
      </c>
      <c r="O655" s="116">
        <v>1245.0999999999999</v>
      </c>
      <c r="P655" s="116">
        <v>1250</v>
      </c>
      <c r="Q655" s="116">
        <v>1264.4000000000001</v>
      </c>
      <c r="R655">
        <v>736627</v>
      </c>
    </row>
    <row r="656" spans="1:18" x14ac:dyDescent="0.25">
      <c r="A656" s="169">
        <v>42977</v>
      </c>
      <c r="B656" s="116">
        <v>18</v>
      </c>
      <c r="C656" s="116">
        <v>17.2</v>
      </c>
      <c r="D656" s="116">
        <v>16.45</v>
      </c>
      <c r="E656" s="116">
        <v>16.7</v>
      </c>
      <c r="F656" s="116">
        <v>17.2</v>
      </c>
      <c r="G656">
        <v>21674</v>
      </c>
      <c r="H656" s="116"/>
      <c r="I656" s="116"/>
      <c r="L656" s="169">
        <v>46080</v>
      </c>
      <c r="M656" s="116">
        <v>1233</v>
      </c>
      <c r="N656" s="116">
        <v>1268.7</v>
      </c>
      <c r="O656" s="116">
        <v>1228.2</v>
      </c>
      <c r="P656" s="116">
        <v>1264</v>
      </c>
      <c r="Q656" s="116">
        <v>1233</v>
      </c>
      <c r="R656">
        <v>318862</v>
      </c>
    </row>
    <row r="657" spans="1:18" x14ac:dyDescent="0.25">
      <c r="A657" s="169">
        <v>42978</v>
      </c>
      <c r="B657" s="116">
        <v>18</v>
      </c>
      <c r="C657" s="116">
        <v>17.45</v>
      </c>
      <c r="D657" s="116">
        <v>16.8</v>
      </c>
      <c r="E657" s="116">
        <v>17.95</v>
      </c>
      <c r="F657" s="116">
        <v>17.45</v>
      </c>
      <c r="G657">
        <v>29953</v>
      </c>
      <c r="H657" s="116"/>
      <c r="I657" s="116"/>
      <c r="L657" s="169">
        <v>46083</v>
      </c>
      <c r="M657" s="116">
        <v>1210.5</v>
      </c>
      <c r="N657" s="116">
        <v>1248</v>
      </c>
      <c r="O657" s="116">
        <v>1182</v>
      </c>
      <c r="P657" s="116">
        <v>1182</v>
      </c>
      <c r="Q657" s="116">
        <v>1210.5</v>
      </c>
      <c r="R657">
        <v>455339</v>
      </c>
    </row>
    <row r="658" spans="1:18" x14ac:dyDescent="0.25">
      <c r="A658" s="169">
        <v>42979</v>
      </c>
      <c r="B658" s="116">
        <v>19.5</v>
      </c>
      <c r="C658" s="116">
        <v>19.149999999999999</v>
      </c>
      <c r="D658" s="116">
        <v>16.399999999999999</v>
      </c>
      <c r="E658" s="116">
        <v>16.399999999999999</v>
      </c>
      <c r="F658" s="116">
        <v>19.149999999999999</v>
      </c>
      <c r="G658">
        <v>83515</v>
      </c>
      <c r="H658" s="116"/>
      <c r="I658" s="116"/>
      <c r="L658" s="169">
        <v>46085</v>
      </c>
      <c r="M658" s="116">
        <v>1165.8</v>
      </c>
      <c r="N658" s="116">
        <v>1198.4000000000001</v>
      </c>
      <c r="O658" s="116">
        <v>1147.5999999999999</v>
      </c>
      <c r="P658" s="116">
        <v>1185</v>
      </c>
      <c r="Q658" s="116">
        <v>1165.8</v>
      </c>
      <c r="R658">
        <v>368790</v>
      </c>
    </row>
    <row r="659" spans="1:18" x14ac:dyDescent="0.25">
      <c r="A659" s="169">
        <v>42982</v>
      </c>
      <c r="B659" s="116">
        <v>19.899999999999999</v>
      </c>
      <c r="C659" s="116">
        <v>17.45</v>
      </c>
      <c r="D659" s="116">
        <v>15.55</v>
      </c>
      <c r="E659" s="116">
        <v>19.25</v>
      </c>
      <c r="F659" s="116">
        <v>17.45</v>
      </c>
      <c r="G659">
        <v>50959</v>
      </c>
      <c r="H659" s="116"/>
      <c r="I659" s="116"/>
      <c r="L659" s="169">
        <v>46086</v>
      </c>
      <c r="M659" s="116">
        <v>1205.5999999999999</v>
      </c>
      <c r="N659" s="116">
        <v>1212</v>
      </c>
      <c r="O659" s="116">
        <v>1150</v>
      </c>
      <c r="P659" s="116">
        <v>1177.5999999999999</v>
      </c>
      <c r="Q659" s="116">
        <v>1205.5999999999999</v>
      </c>
      <c r="R659">
        <v>2440760</v>
      </c>
    </row>
    <row r="660" spans="1:18" x14ac:dyDescent="0.25">
      <c r="A660" s="169">
        <v>42983</v>
      </c>
      <c r="B660" s="116">
        <v>18.5</v>
      </c>
      <c r="C660" s="116">
        <v>17.399999999999999</v>
      </c>
      <c r="D660" s="116">
        <v>17.2</v>
      </c>
      <c r="E660" s="116">
        <v>17.45</v>
      </c>
      <c r="F660" s="116">
        <v>17.399999999999999</v>
      </c>
      <c r="G660">
        <v>42900</v>
      </c>
      <c r="H660" s="116"/>
      <c r="I660" s="116"/>
      <c r="L660" s="169">
        <v>46087</v>
      </c>
      <c r="M660" s="116">
        <v>1184</v>
      </c>
      <c r="N660" s="116">
        <v>1216.9000000000001</v>
      </c>
      <c r="O660" s="116">
        <v>1179.0999999999999</v>
      </c>
      <c r="P660" s="116">
        <v>1199.5999999999999</v>
      </c>
      <c r="Q660" s="116">
        <v>1184</v>
      </c>
      <c r="R660">
        <v>277470</v>
      </c>
    </row>
    <row r="661" spans="1:18" x14ac:dyDescent="0.25">
      <c r="A661" s="169">
        <v>42984</v>
      </c>
      <c r="B661" s="116">
        <v>18.05</v>
      </c>
      <c r="C661" s="116">
        <v>17.5</v>
      </c>
      <c r="D661" s="116">
        <v>17.100000000000001</v>
      </c>
      <c r="E661" s="116">
        <v>17.600000000000001</v>
      </c>
      <c r="F661" s="116">
        <v>17.5</v>
      </c>
      <c r="G661">
        <v>11635</v>
      </c>
      <c r="H661" s="116"/>
      <c r="I661" s="116"/>
      <c r="L661" s="169">
        <v>46090</v>
      </c>
      <c r="M661" s="116">
        <v>1162.3</v>
      </c>
      <c r="N661" s="116">
        <v>1169.8</v>
      </c>
      <c r="O661" s="116">
        <v>1128.5</v>
      </c>
      <c r="P661" s="116">
        <v>1161.8</v>
      </c>
      <c r="Q661" s="116">
        <v>1162.3</v>
      </c>
      <c r="R661">
        <v>309024</v>
      </c>
    </row>
    <row r="662" spans="1:18" x14ac:dyDescent="0.25">
      <c r="A662" s="169">
        <v>42985</v>
      </c>
      <c r="B662" s="116">
        <v>17.8</v>
      </c>
      <c r="C662" s="116">
        <v>17.399999999999999</v>
      </c>
      <c r="D662" s="116">
        <v>17.399999999999999</v>
      </c>
      <c r="E662" s="116">
        <v>17.55</v>
      </c>
      <c r="F662" s="116">
        <v>17.399999999999999</v>
      </c>
      <c r="G662">
        <v>6700</v>
      </c>
      <c r="H662" s="116"/>
      <c r="I662" s="116"/>
      <c r="L662" s="169">
        <v>46091</v>
      </c>
      <c r="M662" s="116">
        <v>1170.8</v>
      </c>
      <c r="N662" s="116">
        <v>1199.8</v>
      </c>
      <c r="O662" s="116">
        <v>1159.3</v>
      </c>
      <c r="P662" s="116">
        <v>1178.2</v>
      </c>
      <c r="Q662" s="116">
        <v>1170.8</v>
      </c>
      <c r="R662">
        <v>375500</v>
      </c>
    </row>
    <row r="663" spans="1:18" x14ac:dyDescent="0.25">
      <c r="A663" s="169">
        <v>42986</v>
      </c>
      <c r="B663" s="116">
        <v>17.850000000000001</v>
      </c>
      <c r="C663" s="116">
        <v>17.45</v>
      </c>
      <c r="D663" s="116">
        <v>16.5</v>
      </c>
      <c r="E663" s="116">
        <v>17.399999999999999</v>
      </c>
      <c r="F663" s="116">
        <v>17.45</v>
      </c>
      <c r="G663">
        <v>9990</v>
      </c>
      <c r="H663" s="116"/>
      <c r="I663" s="116"/>
      <c r="L663" s="169">
        <v>46092</v>
      </c>
      <c r="M663" s="116">
        <v>1185.5999999999999</v>
      </c>
      <c r="N663" s="116">
        <v>1223.8</v>
      </c>
      <c r="O663" s="116">
        <v>1176</v>
      </c>
      <c r="P663" s="116">
        <v>1182</v>
      </c>
      <c r="Q663" s="116">
        <v>1185.5999999999999</v>
      </c>
      <c r="R663">
        <v>381855</v>
      </c>
    </row>
    <row r="664" spans="1:18" x14ac:dyDescent="0.25">
      <c r="A664" s="169">
        <v>42989</v>
      </c>
      <c r="B664" s="116">
        <v>17.45</v>
      </c>
      <c r="C664" s="116">
        <v>17</v>
      </c>
      <c r="D664" s="116">
        <v>16.149999999999999</v>
      </c>
      <c r="E664" s="116">
        <v>16.5</v>
      </c>
      <c r="F664" s="116">
        <v>17</v>
      </c>
      <c r="G664">
        <v>20744</v>
      </c>
      <c r="H664" s="116"/>
      <c r="I664" s="116"/>
      <c r="L664" s="169">
        <v>46093</v>
      </c>
      <c r="M664" s="116">
        <v>1205</v>
      </c>
      <c r="N664" s="116">
        <v>1214.9000000000001</v>
      </c>
      <c r="O664" s="116">
        <v>1155.0999999999999</v>
      </c>
      <c r="P664" s="116">
        <v>1178</v>
      </c>
      <c r="Q664" s="116">
        <v>1205</v>
      </c>
      <c r="R664">
        <v>285346</v>
      </c>
    </row>
    <row r="665" spans="1:18" x14ac:dyDescent="0.25">
      <c r="A665" s="169">
        <v>42990</v>
      </c>
      <c r="B665" s="116">
        <v>17.8</v>
      </c>
      <c r="C665" s="116">
        <v>17</v>
      </c>
      <c r="D665" s="116">
        <v>16.55</v>
      </c>
      <c r="E665" s="116">
        <v>16.600000000000001</v>
      </c>
      <c r="F665" s="116">
        <v>17</v>
      </c>
      <c r="G665">
        <v>7570</v>
      </c>
      <c r="H665" s="116"/>
      <c r="I665" s="116"/>
      <c r="L665" s="169">
        <v>46094</v>
      </c>
      <c r="M665" s="116">
        <v>1140.8</v>
      </c>
      <c r="N665" s="116">
        <v>1203.2</v>
      </c>
      <c r="O665" s="116">
        <v>1136</v>
      </c>
      <c r="P665" s="116">
        <v>1195</v>
      </c>
      <c r="Q665" s="116">
        <v>1140.8</v>
      </c>
      <c r="R665">
        <v>398683</v>
      </c>
    </row>
    <row r="666" spans="1:18" x14ac:dyDescent="0.25">
      <c r="A666" s="169">
        <v>42991</v>
      </c>
      <c r="B666" s="116">
        <v>17.8</v>
      </c>
      <c r="C666" s="116">
        <v>17</v>
      </c>
      <c r="D666" s="116">
        <v>16.7</v>
      </c>
      <c r="E666" s="116">
        <v>17.8</v>
      </c>
      <c r="F666" s="116">
        <v>17</v>
      </c>
      <c r="G666">
        <v>18163</v>
      </c>
      <c r="H666" s="116"/>
      <c r="I666" s="116"/>
      <c r="L666" s="169">
        <v>46097</v>
      </c>
      <c r="M666" s="116">
        <v>1147.2</v>
      </c>
      <c r="N666" s="116">
        <v>1157</v>
      </c>
      <c r="O666" s="116">
        <v>1119.9000000000001</v>
      </c>
      <c r="P666" s="116">
        <v>1149</v>
      </c>
      <c r="Q666" s="116">
        <v>1147.2</v>
      </c>
      <c r="R666">
        <v>522472</v>
      </c>
    </row>
    <row r="667" spans="1:18" x14ac:dyDescent="0.25">
      <c r="A667" s="169">
        <v>42992</v>
      </c>
      <c r="B667" s="116">
        <v>17.350000000000001</v>
      </c>
      <c r="C667" s="116">
        <v>17.2</v>
      </c>
      <c r="D667" s="116">
        <v>16.55</v>
      </c>
      <c r="E667" s="116">
        <v>16.55</v>
      </c>
      <c r="F667" s="116">
        <v>17.2</v>
      </c>
      <c r="G667">
        <v>28947</v>
      </c>
      <c r="H667" s="116"/>
      <c r="I667" s="116"/>
      <c r="L667" s="169">
        <v>46098</v>
      </c>
      <c r="M667" s="116">
        <v>1236.3</v>
      </c>
      <c r="N667" s="116">
        <v>1242</v>
      </c>
      <c r="O667" s="116">
        <v>1151.2</v>
      </c>
      <c r="P667" s="116">
        <v>1153.0999999999999</v>
      </c>
      <c r="Q667" s="116">
        <v>1236.3</v>
      </c>
      <c r="R667">
        <v>1493749</v>
      </c>
    </row>
    <row r="668" spans="1:18" x14ac:dyDescent="0.25">
      <c r="A668" s="169">
        <v>42993</v>
      </c>
      <c r="B668" s="116">
        <v>18</v>
      </c>
      <c r="C668" s="116">
        <v>17.55</v>
      </c>
      <c r="D668" s="116">
        <v>16.3</v>
      </c>
      <c r="E668" s="116">
        <v>16.45</v>
      </c>
      <c r="F668" s="116">
        <v>17.55</v>
      </c>
      <c r="G668">
        <v>72205</v>
      </c>
      <c r="H668" s="116"/>
      <c r="I668" s="116"/>
      <c r="L668" s="169">
        <v>46099</v>
      </c>
      <c r="M668" s="116">
        <v>1247</v>
      </c>
      <c r="N668" s="116">
        <v>1261.2</v>
      </c>
      <c r="O668" s="116">
        <v>1222</v>
      </c>
      <c r="P668" s="116">
        <v>1233.5999999999999</v>
      </c>
      <c r="Q668" s="116">
        <v>1247</v>
      </c>
      <c r="R668">
        <v>556655</v>
      </c>
    </row>
    <row r="669" spans="1:18" x14ac:dyDescent="0.25">
      <c r="A669" s="169">
        <v>42996</v>
      </c>
      <c r="B669" s="116">
        <v>17.850000000000001</v>
      </c>
      <c r="C669" s="116">
        <v>17.149999999999999</v>
      </c>
      <c r="D669" s="116">
        <v>16.600000000000001</v>
      </c>
      <c r="E669" s="116">
        <v>16.75</v>
      </c>
      <c r="F669" s="116">
        <v>17.149999999999999</v>
      </c>
      <c r="G669">
        <v>63521</v>
      </c>
      <c r="H669" s="116"/>
      <c r="I669" s="116"/>
      <c r="L669" s="169">
        <v>46100</v>
      </c>
      <c r="M669" s="116">
        <v>1185.4000000000001</v>
      </c>
      <c r="N669" s="116">
        <v>1228.0999999999999</v>
      </c>
      <c r="O669" s="116">
        <v>1177.2</v>
      </c>
      <c r="P669" s="116">
        <v>1228.0999999999999</v>
      </c>
      <c r="Q669" s="116">
        <v>1185.4000000000001</v>
      </c>
      <c r="R669">
        <v>605940</v>
      </c>
    </row>
    <row r="670" spans="1:18" x14ac:dyDescent="0.25">
      <c r="A670" s="169">
        <v>42997</v>
      </c>
      <c r="B670" s="116">
        <v>20.399999999999999</v>
      </c>
      <c r="C670" s="116">
        <v>19.600000000000001</v>
      </c>
      <c r="D670" s="116">
        <v>16.899999999999999</v>
      </c>
      <c r="E670" s="116">
        <v>17.05</v>
      </c>
      <c r="F670" s="116">
        <v>19.600000000000001</v>
      </c>
      <c r="G670">
        <v>330271</v>
      </c>
      <c r="H670" s="116"/>
      <c r="I670" s="116"/>
      <c r="L670" s="169">
        <v>46101</v>
      </c>
      <c r="M670" s="116">
        <v>1245.8</v>
      </c>
      <c r="N670" s="116">
        <v>1275</v>
      </c>
      <c r="O670" s="116">
        <v>1201</v>
      </c>
      <c r="P670" s="116">
        <v>1201</v>
      </c>
      <c r="Q670" s="116">
        <v>1245.8</v>
      </c>
      <c r="R670">
        <v>1463549</v>
      </c>
    </row>
    <row r="671" spans="1:18" x14ac:dyDescent="0.25">
      <c r="A671" s="169">
        <v>42998</v>
      </c>
      <c r="B671" s="116">
        <v>21.35</v>
      </c>
      <c r="C671" s="116">
        <v>21.05</v>
      </c>
      <c r="D671" s="116">
        <v>19</v>
      </c>
      <c r="E671" s="116">
        <v>19.600000000000001</v>
      </c>
      <c r="F671" s="116">
        <v>21.05</v>
      </c>
      <c r="G671">
        <v>166893</v>
      </c>
      <c r="H671" s="116"/>
      <c r="I671" s="116"/>
      <c r="L671" s="169">
        <v>46104</v>
      </c>
      <c r="M671" s="116">
        <v>1209.5999999999999</v>
      </c>
      <c r="N671" s="116">
        <v>1234</v>
      </c>
      <c r="O671" s="116">
        <v>1186.4000000000001</v>
      </c>
      <c r="P671" s="116">
        <v>1230</v>
      </c>
      <c r="Q671" s="116">
        <v>1209.5999999999999</v>
      </c>
      <c r="R671">
        <v>1480245</v>
      </c>
    </row>
    <row r="672" spans="1:18" x14ac:dyDescent="0.25">
      <c r="A672" s="169">
        <v>42999</v>
      </c>
      <c r="B672" s="116">
        <v>22.2</v>
      </c>
      <c r="C672" s="116">
        <v>21.3</v>
      </c>
      <c r="D672" s="116">
        <v>21.05</v>
      </c>
      <c r="E672" s="116">
        <v>21.2</v>
      </c>
      <c r="F672" s="116">
        <v>21.3</v>
      </c>
      <c r="G672">
        <v>465824</v>
      </c>
      <c r="H672" s="116"/>
      <c r="I672" s="116"/>
      <c r="L672" s="169">
        <v>46105</v>
      </c>
      <c r="M672" s="116">
        <v>1258.8</v>
      </c>
      <c r="N672" s="116">
        <v>1267</v>
      </c>
      <c r="O672" s="116">
        <v>1221</v>
      </c>
      <c r="P672" s="116">
        <v>1245</v>
      </c>
      <c r="Q672" s="116">
        <v>1258.8</v>
      </c>
      <c r="R672">
        <v>675841</v>
      </c>
    </row>
    <row r="673" spans="1:18" x14ac:dyDescent="0.25">
      <c r="A673" s="169">
        <v>43000</v>
      </c>
      <c r="B673" s="116">
        <v>22.1</v>
      </c>
      <c r="C673" s="116">
        <v>19.25</v>
      </c>
      <c r="D673" s="116">
        <v>18.2</v>
      </c>
      <c r="E673" s="116">
        <v>20.100000000000001</v>
      </c>
      <c r="F673" s="116">
        <v>19.25</v>
      </c>
      <c r="G673">
        <v>97845</v>
      </c>
      <c r="H673" s="116"/>
      <c r="I673" s="116"/>
      <c r="L673" s="169">
        <v>46106</v>
      </c>
      <c r="M673" s="116">
        <v>1307.7</v>
      </c>
      <c r="N673" s="116">
        <v>1340.5</v>
      </c>
      <c r="O673" s="116">
        <v>1270.4000000000001</v>
      </c>
      <c r="P673" s="116">
        <v>1272.2</v>
      </c>
      <c r="Q673" s="116">
        <v>1307.7</v>
      </c>
      <c r="R673">
        <v>985456</v>
      </c>
    </row>
    <row r="674" spans="1:18" x14ac:dyDescent="0.25">
      <c r="A674" s="169">
        <v>43003</v>
      </c>
      <c r="B674" s="116">
        <v>19.25</v>
      </c>
      <c r="C674" s="116">
        <v>18.2</v>
      </c>
      <c r="D674" s="116">
        <v>16.2</v>
      </c>
      <c r="E674" s="116">
        <v>19.25</v>
      </c>
      <c r="F674" s="116">
        <v>18.2</v>
      </c>
      <c r="G674">
        <v>51933</v>
      </c>
      <c r="H674" s="116"/>
      <c r="I674" s="116"/>
      <c r="L674" s="169">
        <v>46108</v>
      </c>
      <c r="M674" s="116">
        <v>1278.3</v>
      </c>
      <c r="N674" s="116">
        <v>1310</v>
      </c>
      <c r="O674" s="116">
        <v>1270.5999999999999</v>
      </c>
      <c r="P674" s="116">
        <v>1300</v>
      </c>
      <c r="Q674" s="116">
        <v>1278.3</v>
      </c>
      <c r="R674">
        <v>524573</v>
      </c>
    </row>
    <row r="675" spans="1:18" x14ac:dyDescent="0.25">
      <c r="A675" s="169">
        <v>43004</v>
      </c>
      <c r="B675" s="116">
        <v>21.25</v>
      </c>
      <c r="C675" s="116">
        <v>19</v>
      </c>
      <c r="D675" s="116">
        <v>18</v>
      </c>
      <c r="E675" s="116">
        <v>18</v>
      </c>
      <c r="F675" s="116">
        <v>19</v>
      </c>
      <c r="G675">
        <v>210590</v>
      </c>
      <c r="H675" s="116"/>
      <c r="I675" s="116"/>
      <c r="L675" s="169">
        <v>46111</v>
      </c>
      <c r="M675" s="116">
        <v>1271.7</v>
      </c>
      <c r="N675" s="116">
        <v>1296</v>
      </c>
      <c r="O675" s="116">
        <v>1234.4000000000001</v>
      </c>
      <c r="P675" s="116">
        <v>1260</v>
      </c>
      <c r="Q675" s="116">
        <v>1271.7</v>
      </c>
      <c r="R675">
        <v>473290</v>
      </c>
    </row>
    <row r="676" spans="1:18" x14ac:dyDescent="0.25">
      <c r="A676" s="169">
        <v>43005</v>
      </c>
      <c r="B676" s="116">
        <v>18.5</v>
      </c>
      <c r="C676" s="116">
        <v>17.399999999999999</v>
      </c>
      <c r="D676" s="116">
        <v>17.100000000000001</v>
      </c>
      <c r="E676" s="116">
        <v>18.100000000000001</v>
      </c>
      <c r="F676" s="116">
        <v>17.399999999999999</v>
      </c>
      <c r="G676">
        <v>56800</v>
      </c>
      <c r="H676" s="116"/>
      <c r="I676" s="116"/>
      <c r="L676" s="169">
        <v>46113</v>
      </c>
      <c r="M676" s="116">
        <v>1347.6</v>
      </c>
      <c r="N676" s="116">
        <v>1357.2</v>
      </c>
      <c r="O676" s="116">
        <v>1302.2</v>
      </c>
      <c r="P676" s="116">
        <v>1315.1</v>
      </c>
      <c r="Q676" s="116">
        <v>1347.6</v>
      </c>
      <c r="R676">
        <v>1162711</v>
      </c>
    </row>
    <row r="677" spans="1:18" x14ac:dyDescent="0.25">
      <c r="A677" s="169">
        <v>43006</v>
      </c>
      <c r="B677" s="116">
        <v>18</v>
      </c>
      <c r="C677" s="116">
        <v>17.600000000000001</v>
      </c>
      <c r="D677" s="116">
        <v>17.100000000000001</v>
      </c>
      <c r="E677" s="116">
        <v>17.8</v>
      </c>
      <c r="F677" s="116">
        <v>17.600000000000001</v>
      </c>
      <c r="G677">
        <v>59928</v>
      </c>
      <c r="H677" s="116"/>
      <c r="I677" s="116"/>
      <c r="L677" s="169">
        <v>46114</v>
      </c>
      <c r="M677" s="116">
        <v>1388.3</v>
      </c>
      <c r="N677" s="116">
        <v>1398</v>
      </c>
      <c r="O677" s="116">
        <v>1290</v>
      </c>
      <c r="P677" s="116">
        <v>1328</v>
      </c>
      <c r="Q677" s="116">
        <v>1388.3</v>
      </c>
      <c r="R677">
        <v>1007135</v>
      </c>
    </row>
    <row r="678" spans="1:18" x14ac:dyDescent="0.25">
      <c r="A678" s="169">
        <v>43007</v>
      </c>
      <c r="B678" s="116">
        <v>17.899999999999999</v>
      </c>
      <c r="C678" s="116">
        <v>17.7</v>
      </c>
      <c r="D678" s="116">
        <v>17</v>
      </c>
      <c r="E678" s="116">
        <v>17.649999999999999</v>
      </c>
      <c r="F678" s="116">
        <v>17.7</v>
      </c>
      <c r="G678">
        <v>44978</v>
      </c>
      <c r="H678" s="116"/>
      <c r="I678" s="116"/>
      <c r="L678" s="169">
        <v>46118</v>
      </c>
      <c r="M678" s="116">
        <v>1436.7</v>
      </c>
      <c r="N678" s="116">
        <v>1440</v>
      </c>
      <c r="O678" s="116">
        <v>1360.5</v>
      </c>
      <c r="P678" s="116">
        <v>1383.6</v>
      </c>
      <c r="Q678" s="116">
        <v>1436.7</v>
      </c>
      <c r="R678">
        <v>868342</v>
      </c>
    </row>
    <row r="679" spans="1:18" x14ac:dyDescent="0.25">
      <c r="A679" s="169">
        <v>43011</v>
      </c>
      <c r="B679" s="116">
        <v>17.95</v>
      </c>
      <c r="C679" s="116">
        <v>17.3</v>
      </c>
      <c r="D679" s="116">
        <v>17.05</v>
      </c>
      <c r="E679" s="116">
        <v>17.45</v>
      </c>
      <c r="F679" s="116">
        <v>17.3</v>
      </c>
      <c r="G679">
        <v>27115</v>
      </c>
      <c r="H679" s="116"/>
      <c r="I679" s="116"/>
      <c r="L679" s="169">
        <v>46119</v>
      </c>
      <c r="M679" s="116">
        <v>1441.9</v>
      </c>
      <c r="N679" s="116">
        <v>1459</v>
      </c>
      <c r="O679" s="116">
        <v>1423</v>
      </c>
      <c r="P679" s="116">
        <v>1438</v>
      </c>
      <c r="Q679" s="116">
        <v>1441.9</v>
      </c>
      <c r="R679">
        <v>561787</v>
      </c>
    </row>
    <row r="680" spans="1:18" x14ac:dyDescent="0.25">
      <c r="A680" s="169">
        <v>43012</v>
      </c>
      <c r="B680" s="116">
        <v>17.5</v>
      </c>
      <c r="C680" s="116">
        <v>17</v>
      </c>
      <c r="D680" s="116">
        <v>16.850000000000001</v>
      </c>
      <c r="E680" s="116">
        <v>17.399999999999999</v>
      </c>
      <c r="F680" s="116">
        <v>17</v>
      </c>
      <c r="G680">
        <v>29188</v>
      </c>
      <c r="H680" s="116"/>
      <c r="I680" s="116"/>
      <c r="L680" s="169">
        <v>46120</v>
      </c>
      <c r="M680" s="116">
        <v>1483.3</v>
      </c>
      <c r="N680" s="116">
        <v>1499.9</v>
      </c>
      <c r="O680" s="116">
        <v>1449.2</v>
      </c>
      <c r="P680" s="116">
        <v>1484.8</v>
      </c>
      <c r="Q680" s="116">
        <v>1483.3</v>
      </c>
      <c r="R680">
        <v>855800</v>
      </c>
    </row>
    <row r="681" spans="1:18" x14ac:dyDescent="0.25">
      <c r="A681" s="169">
        <v>43013</v>
      </c>
      <c r="B681" s="116">
        <v>17</v>
      </c>
      <c r="C681" s="116">
        <v>16.95</v>
      </c>
      <c r="D681" s="116">
        <v>16.149999999999999</v>
      </c>
      <c r="E681" s="116">
        <v>17</v>
      </c>
      <c r="F681" s="116">
        <v>16.95</v>
      </c>
      <c r="G681">
        <v>28066</v>
      </c>
      <c r="H681" s="116"/>
      <c r="I681" s="116"/>
      <c r="L681" s="169">
        <v>46121</v>
      </c>
      <c r="M681" s="116">
        <v>1487</v>
      </c>
      <c r="N681" s="116">
        <v>1502.3</v>
      </c>
      <c r="O681" s="116">
        <v>1473.3</v>
      </c>
      <c r="P681" s="116">
        <v>1475.9</v>
      </c>
      <c r="Q681" s="116">
        <v>1487</v>
      </c>
      <c r="R681">
        <v>438826</v>
      </c>
    </row>
    <row r="682" spans="1:18" x14ac:dyDescent="0.25">
      <c r="A682" s="169">
        <v>43014</v>
      </c>
      <c r="B682" s="116">
        <v>17.649999999999999</v>
      </c>
      <c r="C682" s="116">
        <v>17.45</v>
      </c>
      <c r="D682" s="116">
        <v>16.2</v>
      </c>
      <c r="E682" s="116">
        <v>16.2</v>
      </c>
      <c r="F682" s="116">
        <v>17.45</v>
      </c>
      <c r="G682">
        <v>44196</v>
      </c>
      <c r="H682" s="116"/>
      <c r="I682" s="116"/>
      <c r="L682" s="169">
        <v>46122</v>
      </c>
      <c r="M682" s="116">
        <v>1506.2</v>
      </c>
      <c r="N682" s="116">
        <v>1510</v>
      </c>
      <c r="O682" s="116">
        <v>1485.7</v>
      </c>
      <c r="P682" s="116">
        <v>1494</v>
      </c>
      <c r="Q682" s="116">
        <v>1506.2</v>
      </c>
      <c r="R682">
        <v>419487</v>
      </c>
    </row>
    <row r="683" spans="1:18" x14ac:dyDescent="0.25">
      <c r="A683" s="169">
        <v>43017</v>
      </c>
      <c r="B683" s="116">
        <v>17.5</v>
      </c>
      <c r="C683" s="116">
        <v>16.95</v>
      </c>
      <c r="D683" s="116">
        <v>16.8</v>
      </c>
      <c r="E683" s="116">
        <v>17</v>
      </c>
      <c r="F683" s="116">
        <v>16.95</v>
      </c>
      <c r="G683">
        <v>23510</v>
      </c>
      <c r="H683" s="116"/>
      <c r="I683" s="116"/>
      <c r="L683" s="169">
        <v>46125</v>
      </c>
      <c r="M683" s="116">
        <v>1502.9</v>
      </c>
      <c r="N683" s="116">
        <v>1515</v>
      </c>
      <c r="O683" s="116">
        <v>1460</v>
      </c>
      <c r="P683" s="116">
        <v>1486.8</v>
      </c>
      <c r="Q683" s="116">
        <v>1502.9</v>
      </c>
      <c r="R683">
        <v>497706</v>
      </c>
    </row>
    <row r="684" spans="1:18" x14ac:dyDescent="0.25">
      <c r="A684" s="169">
        <v>43018</v>
      </c>
      <c r="B684" s="116">
        <v>17</v>
      </c>
      <c r="C684" s="116">
        <v>16.5</v>
      </c>
      <c r="D684" s="116">
        <v>16.2</v>
      </c>
      <c r="E684" s="116">
        <v>16.600000000000001</v>
      </c>
      <c r="F684" s="116">
        <v>16.5</v>
      </c>
      <c r="G684">
        <v>59625</v>
      </c>
      <c r="H684" s="116"/>
      <c r="I684" s="116"/>
      <c r="L684" s="169">
        <v>46127</v>
      </c>
      <c r="M684" s="116">
        <v>1511.7</v>
      </c>
      <c r="N684" s="116">
        <v>1542.5</v>
      </c>
      <c r="O684" s="116">
        <v>1503</v>
      </c>
      <c r="P684" s="116">
        <v>1530</v>
      </c>
      <c r="Q684" s="116">
        <v>1511.7</v>
      </c>
      <c r="R684">
        <v>560065</v>
      </c>
    </row>
    <row r="685" spans="1:18" x14ac:dyDescent="0.25">
      <c r="A685" s="169">
        <v>43019</v>
      </c>
      <c r="B685" s="116">
        <v>17.3</v>
      </c>
      <c r="C685" s="116">
        <v>16.8</v>
      </c>
      <c r="D685" s="116">
        <v>16.05</v>
      </c>
      <c r="E685" s="116">
        <v>16.7</v>
      </c>
      <c r="F685" s="116">
        <v>16.8</v>
      </c>
      <c r="G685">
        <v>58103</v>
      </c>
      <c r="H685" s="116"/>
      <c r="I685" s="116"/>
      <c r="L685" s="169">
        <v>46128</v>
      </c>
      <c r="M685" s="116">
        <v>1556.7</v>
      </c>
      <c r="N685" s="116">
        <v>1568.8</v>
      </c>
      <c r="O685" s="116">
        <v>1510.1</v>
      </c>
      <c r="P685" s="116">
        <v>1524.2</v>
      </c>
      <c r="Q685" s="116">
        <v>1556.7</v>
      </c>
      <c r="R685">
        <v>849310</v>
      </c>
    </row>
    <row r="686" spans="1:18" x14ac:dyDescent="0.25">
      <c r="A686" s="169">
        <v>43020</v>
      </c>
      <c r="B686" s="116">
        <v>17.600000000000001</v>
      </c>
      <c r="C686" s="116">
        <v>17.600000000000001</v>
      </c>
      <c r="D686" s="116">
        <v>16.850000000000001</v>
      </c>
      <c r="E686" s="116">
        <v>17.600000000000001</v>
      </c>
      <c r="F686" s="116">
        <v>17.600000000000001</v>
      </c>
      <c r="G686">
        <v>613104</v>
      </c>
      <c r="H686" s="116"/>
      <c r="I686" s="116"/>
      <c r="L686" s="169">
        <v>46129</v>
      </c>
      <c r="M686" s="116">
        <v>1623.3</v>
      </c>
      <c r="N686" s="116">
        <v>1631</v>
      </c>
      <c r="O686" s="116">
        <v>1556.9</v>
      </c>
      <c r="P686" s="116">
        <v>1572.3</v>
      </c>
      <c r="Q686" s="116">
        <v>1623.3</v>
      </c>
      <c r="R686">
        <v>1556867</v>
      </c>
    </row>
    <row r="687" spans="1:18" x14ac:dyDescent="0.25">
      <c r="A687" s="169">
        <v>43021</v>
      </c>
      <c r="B687" s="116">
        <v>18.25</v>
      </c>
      <c r="C687" s="116">
        <v>17.05</v>
      </c>
      <c r="D687" s="116">
        <v>16.75</v>
      </c>
      <c r="E687" s="116">
        <v>18.2</v>
      </c>
      <c r="F687" s="116">
        <v>17.05</v>
      </c>
      <c r="G687">
        <v>171341</v>
      </c>
      <c r="H687" s="116"/>
      <c r="I687" s="116"/>
      <c r="L687" s="169">
        <v>46132</v>
      </c>
      <c r="M687" s="116">
        <v>1629.1</v>
      </c>
      <c r="N687" s="116">
        <v>1653</v>
      </c>
      <c r="O687" s="116">
        <v>1618.4</v>
      </c>
      <c r="P687" s="116">
        <v>1631</v>
      </c>
      <c r="Q687" s="116">
        <v>1629.1</v>
      </c>
      <c r="R687">
        <v>760276</v>
      </c>
    </row>
    <row r="688" spans="1:18" x14ac:dyDescent="0.25">
      <c r="A688" s="169">
        <v>43024</v>
      </c>
      <c r="B688" s="116">
        <v>17.399999999999999</v>
      </c>
      <c r="C688" s="116">
        <v>17.100000000000001</v>
      </c>
      <c r="D688" s="116">
        <v>16.600000000000001</v>
      </c>
      <c r="E688" s="116">
        <v>17.399999999999999</v>
      </c>
      <c r="F688" s="116">
        <v>17.100000000000001</v>
      </c>
      <c r="G688">
        <v>27132</v>
      </c>
      <c r="H688" s="116"/>
      <c r="I688" s="116"/>
      <c r="L688" s="169">
        <v>46133</v>
      </c>
      <c r="M688" s="116">
        <v>1649.9</v>
      </c>
      <c r="N688" s="116">
        <v>1658</v>
      </c>
      <c r="O688" s="116">
        <v>1628.4</v>
      </c>
      <c r="P688" s="116">
        <v>1636</v>
      </c>
      <c r="Q688" s="116">
        <v>1649.9</v>
      </c>
      <c r="R688">
        <v>623314</v>
      </c>
    </row>
    <row r="689" spans="1:18" x14ac:dyDescent="0.25">
      <c r="A689" s="169">
        <v>43025</v>
      </c>
      <c r="B689" s="116">
        <v>17.95</v>
      </c>
      <c r="C689" s="116">
        <v>17.3</v>
      </c>
      <c r="D689" s="116">
        <v>16.95</v>
      </c>
      <c r="E689" s="116">
        <v>17.5</v>
      </c>
      <c r="F689" s="116">
        <v>17.3</v>
      </c>
      <c r="G689">
        <v>140369</v>
      </c>
      <c r="H689" s="116"/>
      <c r="I689" s="116"/>
      <c r="L689" s="169">
        <v>46134</v>
      </c>
      <c r="M689" s="116">
        <v>1679.5</v>
      </c>
      <c r="N689" s="116">
        <v>1684</v>
      </c>
      <c r="O689" s="116">
        <v>1645</v>
      </c>
      <c r="P689" s="116">
        <v>1655</v>
      </c>
      <c r="Q689" s="116">
        <v>1679.5</v>
      </c>
      <c r="R689">
        <v>771508</v>
      </c>
    </row>
    <row r="690" spans="1:18" x14ac:dyDescent="0.25">
      <c r="A690" s="169">
        <v>43026</v>
      </c>
      <c r="B690" s="116">
        <v>18.149999999999999</v>
      </c>
      <c r="C690" s="116">
        <v>18.149999999999999</v>
      </c>
      <c r="D690" s="116">
        <v>17.5</v>
      </c>
      <c r="E690" s="116">
        <v>17.5</v>
      </c>
      <c r="F690" s="116">
        <v>18.149999999999999</v>
      </c>
      <c r="G690">
        <v>143552</v>
      </c>
      <c r="H690" s="116"/>
      <c r="I690" s="116"/>
      <c r="L690" s="169">
        <v>46135</v>
      </c>
      <c r="M690" s="116">
        <v>1697.8</v>
      </c>
      <c r="N690" s="116">
        <v>1701</v>
      </c>
      <c r="O690" s="116">
        <v>1665.9</v>
      </c>
      <c r="P690" s="116">
        <v>1679.1</v>
      </c>
      <c r="Q690" s="116">
        <v>1697.8</v>
      </c>
      <c r="R690">
        <v>580444</v>
      </c>
    </row>
    <row r="691" spans="1:18" x14ac:dyDescent="0.25">
      <c r="A691" s="169">
        <v>43027</v>
      </c>
      <c r="B691" s="116">
        <v>19.05</v>
      </c>
      <c r="C691" s="116">
        <v>19</v>
      </c>
      <c r="D691" s="116">
        <v>18.25</v>
      </c>
      <c r="E691" s="116">
        <v>18.899999999999999</v>
      </c>
      <c r="F691" s="116">
        <v>19</v>
      </c>
      <c r="G691">
        <v>145631</v>
      </c>
      <c r="H691" s="116"/>
      <c r="I691" s="116"/>
      <c r="L691" s="169">
        <v>46136</v>
      </c>
      <c r="M691" s="116">
        <v>1695.6</v>
      </c>
      <c r="N691" s="116">
        <v>1701</v>
      </c>
      <c r="O691" s="116">
        <v>1661.1</v>
      </c>
      <c r="P691" s="116">
        <v>1700</v>
      </c>
      <c r="Q691" s="116">
        <v>1695.6</v>
      </c>
      <c r="R691">
        <v>488669</v>
      </c>
    </row>
    <row r="692" spans="1:18" x14ac:dyDescent="0.25">
      <c r="A692" s="169">
        <v>43031</v>
      </c>
      <c r="B692" s="116">
        <v>19.95</v>
      </c>
      <c r="C692" s="116">
        <v>18.850000000000001</v>
      </c>
      <c r="D692" s="116">
        <v>18.75</v>
      </c>
      <c r="E692" s="116">
        <v>19.75</v>
      </c>
      <c r="F692" s="116">
        <v>18.850000000000001</v>
      </c>
      <c r="G692">
        <v>84803</v>
      </c>
      <c r="H692" s="116"/>
      <c r="I692" s="116"/>
      <c r="L692" s="169">
        <v>46139</v>
      </c>
      <c r="M692" s="116">
        <v>1730.4</v>
      </c>
      <c r="N692" s="116">
        <v>1747</v>
      </c>
      <c r="O692" s="116">
        <v>1689.1</v>
      </c>
      <c r="P692" s="116">
        <v>1704.8</v>
      </c>
      <c r="Q692" s="116">
        <v>1730.4</v>
      </c>
      <c r="R692">
        <v>975246</v>
      </c>
    </row>
    <row r="693" spans="1:18" x14ac:dyDescent="0.25">
      <c r="A693" s="169">
        <v>43032</v>
      </c>
      <c r="B693" s="116">
        <v>19.75</v>
      </c>
      <c r="C693" s="116">
        <v>19.75</v>
      </c>
      <c r="D693" s="116">
        <v>19</v>
      </c>
      <c r="E693" s="116">
        <v>19.05</v>
      </c>
      <c r="F693" s="116">
        <v>19.75</v>
      </c>
      <c r="G693">
        <v>131046</v>
      </c>
      <c r="H693" s="116"/>
      <c r="I693" s="116"/>
      <c r="L693" s="169">
        <v>46140</v>
      </c>
      <c r="M693" s="116">
        <v>1751.9</v>
      </c>
      <c r="N693" s="116">
        <v>1761</v>
      </c>
      <c r="O693" s="116">
        <v>1710</v>
      </c>
      <c r="P693" s="116">
        <v>1734.3</v>
      </c>
      <c r="Q693" s="116">
        <v>1751.9</v>
      </c>
      <c r="R693">
        <v>855487</v>
      </c>
    </row>
    <row r="694" spans="1:18" x14ac:dyDescent="0.25">
      <c r="A694" s="169">
        <v>43033</v>
      </c>
      <c r="B694" s="116">
        <v>20.7</v>
      </c>
      <c r="C694" s="116">
        <v>18.8</v>
      </c>
      <c r="D694" s="116">
        <v>18.8</v>
      </c>
      <c r="E694" s="116">
        <v>20</v>
      </c>
      <c r="F694" s="116">
        <v>18.8</v>
      </c>
      <c r="G694">
        <v>256196</v>
      </c>
      <c r="H694" s="116"/>
      <c r="I694" s="116"/>
      <c r="L694" s="169">
        <v>46141</v>
      </c>
      <c r="M694" s="116">
        <v>1772.2</v>
      </c>
      <c r="N694" s="116">
        <v>1781</v>
      </c>
      <c r="O694" s="116">
        <v>1735.7</v>
      </c>
      <c r="P694" s="116">
        <v>1760.4</v>
      </c>
      <c r="Q694" s="116">
        <v>1772.2</v>
      </c>
      <c r="R694">
        <v>831742</v>
      </c>
    </row>
    <row r="695" spans="1:18" x14ac:dyDescent="0.25">
      <c r="A695" s="169">
        <v>43034</v>
      </c>
      <c r="B695" s="116">
        <v>18.399999999999999</v>
      </c>
      <c r="C695" s="116">
        <v>17.95</v>
      </c>
      <c r="D695" s="116">
        <v>17.899999999999999</v>
      </c>
      <c r="E695" s="116">
        <v>18.05</v>
      </c>
      <c r="F695" s="116">
        <v>17.95</v>
      </c>
      <c r="G695">
        <v>140656</v>
      </c>
      <c r="H695" s="116"/>
      <c r="I695" s="116"/>
      <c r="L695" s="169">
        <v>46142</v>
      </c>
      <c r="M695" s="116">
        <v>1764.4</v>
      </c>
      <c r="N695" s="116">
        <v>1785.2</v>
      </c>
      <c r="O695" s="116">
        <v>1736.7</v>
      </c>
      <c r="P695" s="116">
        <v>1782</v>
      </c>
      <c r="Q695" s="116">
        <v>1764.4</v>
      </c>
      <c r="R695">
        <v>503137</v>
      </c>
    </row>
    <row r="696" spans="1:18" x14ac:dyDescent="0.25">
      <c r="A696" s="169">
        <v>43035</v>
      </c>
      <c r="B696" s="116">
        <v>18.399999999999999</v>
      </c>
      <c r="C696" s="116">
        <v>18</v>
      </c>
      <c r="D696" s="116">
        <v>17.5</v>
      </c>
      <c r="E696" s="116">
        <v>18.05</v>
      </c>
      <c r="F696" s="116">
        <v>18</v>
      </c>
      <c r="G696">
        <v>26086</v>
      </c>
      <c r="H696" s="116"/>
      <c r="I696" s="116"/>
      <c r="L696" s="169">
        <v>46146</v>
      </c>
      <c r="M696" s="116">
        <v>1797.5</v>
      </c>
      <c r="N696" s="116">
        <v>1815</v>
      </c>
      <c r="O696" s="116">
        <v>1767.2</v>
      </c>
      <c r="P696" s="116">
        <v>1780</v>
      </c>
      <c r="Q696" s="116">
        <v>1797.5</v>
      </c>
      <c r="R696">
        <v>893221</v>
      </c>
    </row>
    <row r="697" spans="1:18" x14ac:dyDescent="0.25">
      <c r="A697" s="169">
        <v>43038</v>
      </c>
      <c r="B697" s="116">
        <v>18.899999999999999</v>
      </c>
      <c r="C697" s="116">
        <v>18.899999999999999</v>
      </c>
      <c r="D697" s="116">
        <v>18.05</v>
      </c>
      <c r="E697" s="116">
        <v>18.399999999999999</v>
      </c>
      <c r="F697" s="116">
        <v>18.899999999999999</v>
      </c>
      <c r="G697">
        <v>45782</v>
      </c>
      <c r="H697" s="116"/>
      <c r="I697" s="116"/>
      <c r="L697" s="169">
        <v>46147</v>
      </c>
      <c r="M697" s="116">
        <v>1783.8</v>
      </c>
      <c r="N697" s="116">
        <v>1834.2</v>
      </c>
      <c r="O697" s="116">
        <v>1756</v>
      </c>
      <c r="P697" s="116">
        <v>1808</v>
      </c>
      <c r="Q697" s="116">
        <v>1783.8</v>
      </c>
      <c r="R697">
        <v>1287253</v>
      </c>
    </row>
    <row r="698" spans="1:18" x14ac:dyDescent="0.25">
      <c r="A698" s="169">
        <v>43039</v>
      </c>
      <c r="B698" s="116">
        <v>19.8</v>
      </c>
      <c r="C698" s="116">
        <v>19.8</v>
      </c>
      <c r="D698" s="116">
        <v>19.05</v>
      </c>
      <c r="E698" s="116">
        <v>19.8</v>
      </c>
      <c r="F698" s="116">
        <v>19.8</v>
      </c>
      <c r="G698">
        <v>240671</v>
      </c>
      <c r="H698" s="116"/>
      <c r="I698" s="116"/>
      <c r="L698" s="169">
        <v>46148</v>
      </c>
      <c r="M698" s="116">
        <v>1764.4</v>
      </c>
      <c r="N698" s="116">
        <v>1846</v>
      </c>
      <c r="O698" s="116">
        <v>1733.1</v>
      </c>
      <c r="P698" s="116">
        <v>1846</v>
      </c>
      <c r="Q698" s="116">
        <v>1764.4</v>
      </c>
      <c r="R698">
        <v>1978293</v>
      </c>
    </row>
    <row r="699" spans="1:18" x14ac:dyDescent="0.25">
      <c r="A699" s="169">
        <v>43040</v>
      </c>
      <c r="B699" s="116">
        <v>20.75</v>
      </c>
      <c r="C699" s="116">
        <v>20.75</v>
      </c>
      <c r="D699" s="116">
        <v>20</v>
      </c>
      <c r="E699" s="116">
        <v>20.65</v>
      </c>
      <c r="F699" s="116">
        <v>20.75</v>
      </c>
      <c r="G699">
        <v>126325</v>
      </c>
      <c r="H699" s="116"/>
      <c r="I699" s="116"/>
      <c r="L699" s="169">
        <v>46149</v>
      </c>
      <c r="M699" s="116">
        <v>1726.7</v>
      </c>
      <c r="N699" s="116">
        <v>1773</v>
      </c>
      <c r="O699" s="116">
        <v>1721.1</v>
      </c>
      <c r="P699" s="116">
        <v>1772.4</v>
      </c>
      <c r="Q699" s="116">
        <v>1726.7</v>
      </c>
      <c r="R699">
        <v>713280</v>
      </c>
    </row>
    <row r="700" spans="1:18" x14ac:dyDescent="0.25">
      <c r="A700" s="169">
        <v>43041</v>
      </c>
      <c r="B700" s="116">
        <v>21.75</v>
      </c>
      <c r="C700" s="116">
        <v>21.35</v>
      </c>
      <c r="D700" s="116">
        <v>21</v>
      </c>
      <c r="E700" s="116">
        <v>21.75</v>
      </c>
      <c r="F700" s="116">
        <v>21.35</v>
      </c>
      <c r="G700">
        <v>310743</v>
      </c>
      <c r="H700" s="116"/>
      <c r="I700" s="116"/>
      <c r="L700" s="169">
        <v>46150</v>
      </c>
      <c r="M700" s="116">
        <v>1736.3</v>
      </c>
      <c r="N700" s="116">
        <v>1755</v>
      </c>
      <c r="O700" s="116">
        <v>1702.7</v>
      </c>
      <c r="P700" s="116">
        <v>1726.2</v>
      </c>
      <c r="Q700" s="116">
        <v>1736.3</v>
      </c>
      <c r="R700">
        <v>510382</v>
      </c>
    </row>
    <row r="701" spans="1:18" x14ac:dyDescent="0.25">
      <c r="A701" s="169">
        <v>43042</v>
      </c>
      <c r="B701" s="116">
        <v>22.4</v>
      </c>
      <c r="C701" s="116">
        <v>22.25</v>
      </c>
      <c r="D701" s="116">
        <v>20.5</v>
      </c>
      <c r="E701" s="116">
        <v>22.25</v>
      </c>
      <c r="F701" s="116">
        <v>22.25</v>
      </c>
      <c r="G701">
        <v>250565</v>
      </c>
      <c r="H701" s="116"/>
      <c r="I701" s="116"/>
      <c r="L701" s="169">
        <v>46153</v>
      </c>
      <c r="M701" s="116">
        <v>1743.7</v>
      </c>
      <c r="N701" s="116">
        <v>1773.6</v>
      </c>
      <c r="O701" s="116">
        <v>1712.8</v>
      </c>
      <c r="P701" s="116">
        <v>1738</v>
      </c>
      <c r="Q701" s="116">
        <v>1743.7</v>
      </c>
      <c r="R701">
        <v>621425</v>
      </c>
    </row>
    <row r="702" spans="1:18" x14ac:dyDescent="0.25">
      <c r="A702" s="169">
        <v>43045</v>
      </c>
      <c r="B702" s="116">
        <v>22.95</v>
      </c>
      <c r="C702" s="116">
        <v>22.15</v>
      </c>
      <c r="D702" s="116">
        <v>21.9</v>
      </c>
      <c r="E702" s="116">
        <v>22</v>
      </c>
      <c r="F702" s="116">
        <v>22.15</v>
      </c>
      <c r="G702">
        <v>82947</v>
      </c>
      <c r="H702" s="116"/>
      <c r="I702" s="116"/>
      <c r="L702" s="169">
        <v>46154</v>
      </c>
      <c r="M702" s="116">
        <v>1703.8</v>
      </c>
      <c r="N702" s="116">
        <v>1775</v>
      </c>
      <c r="O702" s="116">
        <v>1696.2</v>
      </c>
      <c r="P702" s="116">
        <v>1754</v>
      </c>
      <c r="Q702" s="116">
        <v>1703.8</v>
      </c>
      <c r="R702">
        <v>545968</v>
      </c>
    </row>
    <row r="703" spans="1:18" x14ac:dyDescent="0.25">
      <c r="A703" s="169">
        <v>43046</v>
      </c>
      <c r="B703" s="116">
        <v>22.9</v>
      </c>
      <c r="C703" s="116">
        <v>21.15</v>
      </c>
      <c r="D703" s="116">
        <v>21.05</v>
      </c>
      <c r="E703" s="116">
        <v>22.9</v>
      </c>
      <c r="F703" s="116">
        <v>21.15</v>
      </c>
      <c r="G703">
        <v>54032</v>
      </c>
      <c r="H703" s="116"/>
      <c r="I703" s="116"/>
      <c r="L703" s="169">
        <v>46155</v>
      </c>
      <c r="M703" s="116">
        <v>1749.8</v>
      </c>
      <c r="N703" s="116">
        <v>1773.4</v>
      </c>
      <c r="O703" s="116">
        <v>1696.6</v>
      </c>
      <c r="P703" s="116">
        <v>1705.9</v>
      </c>
      <c r="Q703" s="116">
        <v>1749.8</v>
      </c>
      <c r="R703">
        <v>804023</v>
      </c>
    </row>
    <row r="704" spans="1:18" x14ac:dyDescent="0.25">
      <c r="A704" s="169">
        <v>43047</v>
      </c>
      <c r="B704" s="116">
        <v>21.65</v>
      </c>
      <c r="C704" s="116">
        <v>20.100000000000001</v>
      </c>
      <c r="D704" s="116">
        <v>20.100000000000001</v>
      </c>
      <c r="E704" s="116">
        <v>21.65</v>
      </c>
      <c r="F704" s="116">
        <v>20.100000000000001</v>
      </c>
      <c r="G704">
        <v>58771</v>
      </c>
      <c r="H704" s="116"/>
      <c r="I704" s="116"/>
      <c r="L704" s="169">
        <v>46156</v>
      </c>
      <c r="M704" s="116">
        <v>1759</v>
      </c>
      <c r="N704" s="116">
        <v>1790</v>
      </c>
      <c r="O704" s="116">
        <v>1747.7</v>
      </c>
      <c r="P704" s="116">
        <v>1760</v>
      </c>
      <c r="Q704" s="116">
        <v>1759</v>
      </c>
      <c r="R704">
        <v>431455</v>
      </c>
    </row>
    <row r="705" spans="1:18" x14ac:dyDescent="0.25">
      <c r="A705" s="169">
        <v>43048</v>
      </c>
      <c r="B705" s="116">
        <v>20.5</v>
      </c>
      <c r="C705" s="116">
        <v>19.2</v>
      </c>
      <c r="D705" s="116">
        <v>19.149999999999999</v>
      </c>
      <c r="E705" s="116">
        <v>20.5</v>
      </c>
      <c r="F705" s="116">
        <v>19.2</v>
      </c>
      <c r="G705">
        <v>101515</v>
      </c>
      <c r="H705" s="116"/>
      <c r="I705" s="116"/>
      <c r="L705" s="169">
        <v>46157</v>
      </c>
      <c r="M705" s="116">
        <v>1734</v>
      </c>
      <c r="N705" s="116">
        <v>1768.5</v>
      </c>
      <c r="O705" s="116">
        <v>1725</v>
      </c>
      <c r="P705" s="116">
        <v>1768.5</v>
      </c>
      <c r="Q705" s="116">
        <v>1734</v>
      </c>
      <c r="R705">
        <v>297190</v>
      </c>
    </row>
    <row r="706" spans="1:18" x14ac:dyDescent="0.25">
      <c r="A706" s="169">
        <v>43049</v>
      </c>
      <c r="B706" s="116">
        <v>19.899999999999999</v>
      </c>
      <c r="C706" s="116">
        <v>18.850000000000001</v>
      </c>
      <c r="D706" s="116">
        <v>18.55</v>
      </c>
      <c r="E706" s="116">
        <v>19.899999999999999</v>
      </c>
      <c r="F706" s="116">
        <v>18.850000000000001</v>
      </c>
      <c r="G706">
        <v>25073</v>
      </c>
      <c r="H706" s="116"/>
      <c r="I706" s="116"/>
      <c r="L706" s="169">
        <v>46160</v>
      </c>
      <c r="M706" s="116">
        <v>1697.1</v>
      </c>
      <c r="N706" s="116">
        <v>1713.4</v>
      </c>
      <c r="O706" s="116">
        <v>1654.8</v>
      </c>
      <c r="P706" s="116">
        <v>1705.1</v>
      </c>
      <c r="Q706" s="116">
        <v>1697.1</v>
      </c>
      <c r="R706">
        <v>604145</v>
      </c>
    </row>
    <row r="707" spans="1:18" x14ac:dyDescent="0.25">
      <c r="A707" s="169">
        <v>43052</v>
      </c>
      <c r="B707" s="116">
        <v>19.75</v>
      </c>
      <c r="C707" s="116">
        <v>19.75</v>
      </c>
      <c r="D707" s="116">
        <v>19.100000000000001</v>
      </c>
      <c r="E707" s="116">
        <v>19.5</v>
      </c>
      <c r="F707" s="116">
        <v>19.75</v>
      </c>
      <c r="G707">
        <v>40130</v>
      </c>
      <c r="H707" s="116"/>
      <c r="I707" s="116"/>
      <c r="L707" s="169">
        <v>46161</v>
      </c>
      <c r="M707" s="116">
        <v>1664.5</v>
      </c>
      <c r="N707" s="116">
        <v>1704.9</v>
      </c>
      <c r="O707" s="116">
        <v>1650</v>
      </c>
      <c r="P707" s="116">
        <v>1703.7</v>
      </c>
      <c r="Q707" s="116">
        <v>1664.5</v>
      </c>
      <c r="R707">
        <v>293616</v>
      </c>
    </row>
    <row r="708" spans="1:18" x14ac:dyDescent="0.25">
      <c r="A708" s="169">
        <v>43053</v>
      </c>
      <c r="B708" s="116">
        <v>20.25</v>
      </c>
      <c r="C708" s="116">
        <v>19.2</v>
      </c>
      <c r="D708" s="116">
        <v>19.149999999999999</v>
      </c>
      <c r="E708" s="116">
        <v>20.25</v>
      </c>
      <c r="F708" s="116">
        <v>19.2</v>
      </c>
      <c r="G708">
        <v>20222</v>
      </c>
      <c r="H708" s="116"/>
      <c r="I708" s="116"/>
      <c r="L708" s="169">
        <v>46162</v>
      </c>
      <c r="M708" s="116">
        <v>1654.9</v>
      </c>
      <c r="N708" s="116">
        <v>1678.8</v>
      </c>
      <c r="O708" s="116">
        <v>1636.1</v>
      </c>
      <c r="P708" s="116">
        <v>1665</v>
      </c>
      <c r="Q708" s="116">
        <v>1654.9</v>
      </c>
      <c r="R708">
        <v>225391</v>
      </c>
    </row>
    <row r="709" spans="1:18" x14ac:dyDescent="0.25">
      <c r="A709" s="169">
        <v>43054</v>
      </c>
      <c r="B709" s="116">
        <v>19.75</v>
      </c>
      <c r="C709" s="116">
        <v>19.100000000000001</v>
      </c>
      <c r="D709" s="116">
        <v>18.600000000000001</v>
      </c>
      <c r="E709" s="116">
        <v>19.75</v>
      </c>
      <c r="F709" s="116">
        <v>19.100000000000001</v>
      </c>
      <c r="G709">
        <v>22414</v>
      </c>
      <c r="H709" s="116"/>
      <c r="I709" s="116"/>
      <c r="L709" s="169">
        <v>46163</v>
      </c>
      <c r="M709" s="116">
        <v>1714.1</v>
      </c>
      <c r="N709" s="116">
        <v>1721</v>
      </c>
      <c r="O709" s="116">
        <v>1651</v>
      </c>
      <c r="P709" s="116">
        <v>1651.1</v>
      </c>
      <c r="Q709" s="116">
        <v>1714.1</v>
      </c>
      <c r="R709">
        <v>567204</v>
      </c>
    </row>
    <row r="710" spans="1:18" x14ac:dyDescent="0.25">
      <c r="A710" s="169">
        <v>43055</v>
      </c>
      <c r="B710" s="116">
        <v>19.899999999999999</v>
      </c>
      <c r="C710" s="116">
        <v>19.5</v>
      </c>
      <c r="D710" s="116">
        <v>18.350000000000001</v>
      </c>
      <c r="E710" s="116">
        <v>19.75</v>
      </c>
      <c r="F710" s="116">
        <v>19.5</v>
      </c>
      <c r="G710">
        <v>42422</v>
      </c>
      <c r="H710" s="116"/>
      <c r="I710" s="116"/>
      <c r="L710" s="169">
        <v>46164</v>
      </c>
      <c r="M710" s="116">
        <v>1737.3</v>
      </c>
      <c r="N710" s="116">
        <v>1742.8</v>
      </c>
      <c r="O710" s="116">
        <v>1708</v>
      </c>
      <c r="P710" s="116">
        <v>1719.9</v>
      </c>
      <c r="Q710" s="116">
        <v>1737.3</v>
      </c>
      <c r="R710">
        <v>399225</v>
      </c>
    </row>
    <row r="711" spans="1:18" x14ac:dyDescent="0.25">
      <c r="A711" s="169">
        <v>43056</v>
      </c>
      <c r="B711" s="116">
        <v>20.2</v>
      </c>
      <c r="C711" s="116">
        <v>18.850000000000001</v>
      </c>
      <c r="D711" s="116">
        <v>18.7</v>
      </c>
      <c r="E711" s="116">
        <v>20.2</v>
      </c>
      <c r="F711" s="116">
        <v>18.850000000000001</v>
      </c>
      <c r="G711">
        <v>18180</v>
      </c>
      <c r="H711" s="116"/>
      <c r="I711" s="116"/>
      <c r="L711" s="169">
        <v>46167</v>
      </c>
      <c r="M711" s="116">
        <v>1801.4</v>
      </c>
      <c r="N711" s="116">
        <v>1808.4</v>
      </c>
      <c r="O711" s="116">
        <v>1747.6</v>
      </c>
      <c r="P711" s="116">
        <v>1750.5</v>
      </c>
      <c r="Q711" s="116">
        <v>1801.4</v>
      </c>
      <c r="R711">
        <v>943695</v>
      </c>
    </row>
    <row r="712" spans="1:18" x14ac:dyDescent="0.25">
      <c r="A712" s="169">
        <v>43059</v>
      </c>
      <c r="B712" s="116">
        <v>19.75</v>
      </c>
      <c r="C712" s="116">
        <v>19.75</v>
      </c>
      <c r="D712" s="116">
        <v>18.399999999999999</v>
      </c>
      <c r="E712" s="116">
        <v>19.55</v>
      </c>
      <c r="F712" s="116">
        <v>19.75</v>
      </c>
      <c r="G712">
        <v>80289</v>
      </c>
      <c r="H712" s="116"/>
      <c r="I712" s="116"/>
      <c r="L712" s="169">
        <v>46168</v>
      </c>
      <c r="M712" s="116">
        <v>1853.7</v>
      </c>
      <c r="N712" s="116">
        <v>1868</v>
      </c>
      <c r="O712" s="116">
        <v>1809.6</v>
      </c>
      <c r="P712" s="116">
        <v>1810</v>
      </c>
      <c r="Q712" s="116">
        <v>1853.7</v>
      </c>
      <c r="R712">
        <v>961930</v>
      </c>
    </row>
    <row r="713" spans="1:18" x14ac:dyDescent="0.25">
      <c r="A713" s="169">
        <v>43060</v>
      </c>
      <c r="B713" s="116">
        <v>20.7</v>
      </c>
      <c r="C713" s="116">
        <v>20</v>
      </c>
      <c r="D713" s="116">
        <v>19.75</v>
      </c>
      <c r="E713" s="116">
        <v>20.45</v>
      </c>
      <c r="F713" s="116">
        <v>20</v>
      </c>
      <c r="G713">
        <v>52765</v>
      </c>
      <c r="H713" s="116"/>
      <c r="I713" s="116"/>
      <c r="L713" s="169">
        <v>46169</v>
      </c>
      <c r="M713" s="116">
        <v>1858.8</v>
      </c>
      <c r="N713" s="116">
        <v>1888.6</v>
      </c>
      <c r="O713" s="116">
        <v>1850</v>
      </c>
      <c r="P713" s="116">
        <v>1869.8</v>
      </c>
      <c r="Q713" s="116">
        <v>1858.8</v>
      </c>
      <c r="R713">
        <v>586714</v>
      </c>
    </row>
    <row r="714" spans="1:18" x14ac:dyDescent="0.25">
      <c r="A714" s="169">
        <v>43061</v>
      </c>
      <c r="B714" s="116">
        <v>20.3</v>
      </c>
      <c r="C714" s="116">
        <v>19.3</v>
      </c>
      <c r="D714" s="116">
        <v>19</v>
      </c>
      <c r="E714" s="116">
        <v>20.3</v>
      </c>
      <c r="F714" s="116">
        <v>19.3</v>
      </c>
      <c r="G714">
        <v>11489</v>
      </c>
      <c r="H714" s="116"/>
      <c r="I714" s="116"/>
      <c r="L714" s="169">
        <v>46171</v>
      </c>
      <c r="M714" s="116">
        <v>1802.1</v>
      </c>
      <c r="N714" s="116">
        <v>1864.9</v>
      </c>
      <c r="O714" s="116">
        <v>1800</v>
      </c>
      <c r="P714" s="116">
        <v>1864.9</v>
      </c>
      <c r="Q714" s="116">
        <v>1802.1</v>
      </c>
      <c r="R714">
        <v>649536</v>
      </c>
    </row>
    <row r="715" spans="1:18" x14ac:dyDescent="0.25">
      <c r="A715" s="169">
        <v>43062</v>
      </c>
      <c r="B715" s="116">
        <v>19.3</v>
      </c>
      <c r="C715" s="116">
        <v>19</v>
      </c>
      <c r="D715" s="116">
        <v>18.5</v>
      </c>
      <c r="E715" s="116">
        <v>18.600000000000001</v>
      </c>
      <c r="F715" s="116">
        <v>19</v>
      </c>
      <c r="G715">
        <v>35501</v>
      </c>
      <c r="H715" s="116"/>
      <c r="I715" s="116"/>
      <c r="L715" s="169">
        <v>46174</v>
      </c>
      <c r="M715" s="116">
        <v>1817.6</v>
      </c>
      <c r="N715" s="116">
        <v>1840</v>
      </c>
      <c r="O715" s="116">
        <v>1801.1</v>
      </c>
      <c r="P715" s="116">
        <v>1805</v>
      </c>
      <c r="Q715" s="116">
        <v>1817.6</v>
      </c>
      <c r="R715">
        <v>725142</v>
      </c>
    </row>
    <row r="716" spans="1:18" x14ac:dyDescent="0.25">
      <c r="A716" s="169">
        <v>43063</v>
      </c>
      <c r="B716" s="116">
        <v>19.350000000000001</v>
      </c>
      <c r="C716" s="116">
        <v>19.100000000000001</v>
      </c>
      <c r="D716" s="116">
        <v>18.850000000000001</v>
      </c>
      <c r="E716" s="116">
        <v>18.850000000000001</v>
      </c>
      <c r="F716" s="116">
        <v>19.100000000000001</v>
      </c>
      <c r="G716">
        <v>18811</v>
      </c>
      <c r="H716" s="116"/>
      <c r="I716" s="116"/>
      <c r="L716" s="169">
        <v>46175</v>
      </c>
      <c r="M716" s="116">
        <v>1821.7</v>
      </c>
      <c r="N716" s="116">
        <v>1846.8</v>
      </c>
      <c r="O716" s="116">
        <v>1802</v>
      </c>
      <c r="P716" s="116">
        <v>1817</v>
      </c>
      <c r="Q716" s="116">
        <v>1821.7</v>
      </c>
      <c r="R716">
        <v>355876</v>
      </c>
    </row>
    <row r="717" spans="1:18" x14ac:dyDescent="0.25">
      <c r="A717" s="169">
        <v>43066</v>
      </c>
      <c r="B717" s="116">
        <v>19.8</v>
      </c>
      <c r="C717" s="116">
        <v>19</v>
      </c>
      <c r="D717" s="116">
        <v>18.8</v>
      </c>
      <c r="E717" s="116">
        <v>19.8</v>
      </c>
      <c r="F717" s="116">
        <v>19</v>
      </c>
      <c r="G717">
        <v>47851</v>
      </c>
      <c r="H717" s="116"/>
      <c r="I717" s="116"/>
      <c r="L717" s="169">
        <v>46176</v>
      </c>
      <c r="M717" s="116">
        <v>1792.8</v>
      </c>
      <c r="N717" s="116">
        <v>1813.7</v>
      </c>
      <c r="O717" s="116">
        <v>1777.6</v>
      </c>
      <c r="P717" s="116">
        <v>1799.9</v>
      </c>
      <c r="Q717" s="116">
        <v>1792.8</v>
      </c>
      <c r="R717">
        <v>447376</v>
      </c>
    </row>
    <row r="718" spans="1:18" x14ac:dyDescent="0.25">
      <c r="A718" s="169">
        <v>43067</v>
      </c>
      <c r="B718" s="116">
        <v>19.2</v>
      </c>
      <c r="C718" s="116">
        <v>18.649999999999999</v>
      </c>
      <c r="D718" s="116">
        <v>18.25</v>
      </c>
      <c r="E718" s="116">
        <v>18.25</v>
      </c>
      <c r="F718" s="116">
        <v>18.649999999999999</v>
      </c>
      <c r="G718">
        <v>41101</v>
      </c>
      <c r="H718" s="116"/>
      <c r="I718" s="116"/>
      <c r="L718" s="169">
        <v>46177</v>
      </c>
      <c r="M718" s="116">
        <v>1775.5</v>
      </c>
      <c r="N718" s="116">
        <v>1802.9</v>
      </c>
      <c r="O718" s="116">
        <v>1764.3</v>
      </c>
      <c r="P718" s="116">
        <v>1787.6</v>
      </c>
      <c r="Q718" s="116">
        <v>1775.5</v>
      </c>
      <c r="R718">
        <v>472979</v>
      </c>
    </row>
    <row r="719" spans="1:18" x14ac:dyDescent="0.25">
      <c r="A719" s="169">
        <v>43068</v>
      </c>
      <c r="B719" s="116">
        <v>19.149999999999999</v>
      </c>
      <c r="C719" s="116">
        <v>19</v>
      </c>
      <c r="D719" s="116">
        <v>18.100000000000001</v>
      </c>
      <c r="E719" s="116">
        <v>19</v>
      </c>
      <c r="F719" s="116">
        <v>19</v>
      </c>
      <c r="G719">
        <v>67863</v>
      </c>
      <c r="H719" s="116"/>
      <c r="I719" s="116"/>
      <c r="L719" s="169">
        <v>46178</v>
      </c>
      <c r="M719" s="116">
        <v>1778.6</v>
      </c>
      <c r="N719" s="116">
        <v>1830.1</v>
      </c>
      <c r="O719" s="116">
        <v>1772</v>
      </c>
      <c r="P719" s="116">
        <v>1780.6</v>
      </c>
      <c r="Q719" s="116">
        <v>1778.6</v>
      </c>
      <c r="R719">
        <v>486178</v>
      </c>
    </row>
    <row r="720" spans="1:18" x14ac:dyDescent="0.25">
      <c r="A720" s="169">
        <v>43069</v>
      </c>
      <c r="B720" s="116">
        <v>18.899999999999999</v>
      </c>
      <c r="C720" s="116">
        <v>18.5</v>
      </c>
      <c r="D720" s="116">
        <v>18.3</v>
      </c>
      <c r="E720" s="116">
        <v>18.399999999999999</v>
      </c>
      <c r="F720" s="116">
        <v>18.5</v>
      </c>
      <c r="G720">
        <v>50826</v>
      </c>
      <c r="H720" s="116"/>
      <c r="I720" s="116"/>
      <c r="L720" s="169">
        <v>46181</v>
      </c>
      <c r="M720" s="116">
        <v>1711.2</v>
      </c>
      <c r="N720" s="116">
        <v>1760.2</v>
      </c>
      <c r="O720" s="116">
        <v>1700</v>
      </c>
      <c r="P720" s="116">
        <v>1740</v>
      </c>
      <c r="Q720" s="116">
        <v>1711.2</v>
      </c>
      <c r="R720">
        <v>297220</v>
      </c>
    </row>
    <row r="721" spans="1:18" x14ac:dyDescent="0.25">
      <c r="A721" s="169">
        <v>43070</v>
      </c>
      <c r="B721" s="116">
        <v>18.899999999999999</v>
      </c>
      <c r="C721" s="116">
        <v>18.05</v>
      </c>
      <c r="D721" s="116">
        <v>18</v>
      </c>
      <c r="E721" s="116">
        <v>18.25</v>
      </c>
      <c r="F721" s="116">
        <v>18.05</v>
      </c>
      <c r="G721">
        <v>33735</v>
      </c>
      <c r="H721" s="116"/>
      <c r="I721" s="116"/>
      <c r="L721" s="169">
        <v>46182</v>
      </c>
      <c r="M721" s="116">
        <v>1717.2</v>
      </c>
      <c r="N721" s="116">
        <v>1730</v>
      </c>
      <c r="O721" s="116">
        <v>1705</v>
      </c>
      <c r="P721" s="116">
        <v>1728</v>
      </c>
      <c r="Q721" s="116">
        <v>1717.2</v>
      </c>
      <c r="R721">
        <v>254274</v>
      </c>
    </row>
    <row r="722" spans="1:18" x14ac:dyDescent="0.25">
      <c r="A722" s="169">
        <v>43073</v>
      </c>
      <c r="B722" s="116">
        <v>18.5</v>
      </c>
      <c r="C722" s="116">
        <v>18.350000000000001</v>
      </c>
      <c r="D722" s="116">
        <v>18</v>
      </c>
      <c r="E722" s="116">
        <v>18.2</v>
      </c>
      <c r="F722" s="116">
        <v>18.350000000000001</v>
      </c>
      <c r="G722">
        <v>18577</v>
      </c>
      <c r="H722" s="116"/>
      <c r="I722" s="116"/>
      <c r="L722" s="169">
        <v>46183</v>
      </c>
      <c r="M722" s="116">
        <v>1703.8</v>
      </c>
      <c r="N722" s="116">
        <v>1727</v>
      </c>
      <c r="O722" s="116">
        <v>1678</v>
      </c>
      <c r="P722" s="116">
        <v>1724.4</v>
      </c>
      <c r="Q722" s="116">
        <v>1703.8</v>
      </c>
      <c r="R722">
        <v>476060</v>
      </c>
    </row>
    <row r="723" spans="1:18" x14ac:dyDescent="0.25">
      <c r="A723" s="169">
        <v>43074</v>
      </c>
      <c r="B723" s="116">
        <v>18.3</v>
      </c>
      <c r="C723" s="116">
        <v>17.899999999999999</v>
      </c>
      <c r="D723" s="116">
        <v>17.55</v>
      </c>
      <c r="E723" s="116">
        <v>17.55</v>
      </c>
      <c r="F723" s="116">
        <v>17.899999999999999</v>
      </c>
      <c r="G723">
        <v>14776</v>
      </c>
      <c r="H723" s="116"/>
      <c r="I723" s="116"/>
      <c r="L723" s="169">
        <v>46184</v>
      </c>
      <c r="M723" s="116">
        <v>1674.2</v>
      </c>
      <c r="N723" s="116">
        <v>1708.9</v>
      </c>
      <c r="O723" s="116">
        <v>1670</v>
      </c>
      <c r="P723" s="116">
        <v>1700</v>
      </c>
      <c r="Q723" s="116">
        <v>1674.2</v>
      </c>
      <c r="R723">
        <v>249878</v>
      </c>
    </row>
    <row r="724" spans="1:18" x14ac:dyDescent="0.25">
      <c r="A724" s="169">
        <v>43075</v>
      </c>
      <c r="B724" s="116">
        <v>18</v>
      </c>
      <c r="C724" s="116">
        <v>17.75</v>
      </c>
      <c r="D724" s="116">
        <v>17.5</v>
      </c>
      <c r="E724" s="116">
        <v>17.7</v>
      </c>
      <c r="F724" s="116">
        <v>17.75</v>
      </c>
      <c r="G724">
        <v>11530</v>
      </c>
      <c r="H724" s="116"/>
      <c r="I724" s="116"/>
      <c r="L724" s="169">
        <v>46185</v>
      </c>
      <c r="M724" s="116">
        <v>1761.9</v>
      </c>
      <c r="N724" s="116">
        <v>1774.3</v>
      </c>
      <c r="O724" s="116">
        <v>1705.4</v>
      </c>
      <c r="P724" s="116">
        <v>1715.4</v>
      </c>
      <c r="Q724" s="116">
        <v>1761.9</v>
      </c>
      <c r="R724">
        <v>573860</v>
      </c>
    </row>
    <row r="725" spans="1:18" x14ac:dyDescent="0.25">
      <c r="A725" s="169">
        <v>43076</v>
      </c>
      <c r="B725" s="116">
        <v>18.2</v>
      </c>
      <c r="C725" s="116">
        <v>18</v>
      </c>
      <c r="D725" s="116">
        <v>17.649999999999999</v>
      </c>
      <c r="E725" s="116">
        <v>18.2</v>
      </c>
      <c r="F725" s="116">
        <v>18</v>
      </c>
      <c r="G725">
        <v>8547</v>
      </c>
      <c r="H725" s="116"/>
      <c r="I725" s="116"/>
      <c r="L725" s="169">
        <v>46188</v>
      </c>
      <c r="M725" s="116">
        <v>1767.9</v>
      </c>
      <c r="N725" s="116">
        <v>1797.1</v>
      </c>
      <c r="O725" s="116">
        <v>1760</v>
      </c>
      <c r="P725" s="116">
        <v>1797.1</v>
      </c>
      <c r="Q725" s="116">
        <v>1767.9</v>
      </c>
      <c r="R725">
        <v>380239</v>
      </c>
    </row>
    <row r="726" spans="1:18" x14ac:dyDescent="0.25">
      <c r="A726" s="169">
        <v>43077</v>
      </c>
      <c r="B726" s="116">
        <v>18.5</v>
      </c>
      <c r="C726" s="116">
        <v>17.95</v>
      </c>
      <c r="D726" s="116">
        <v>17.600000000000001</v>
      </c>
      <c r="E726" s="116">
        <v>18.25</v>
      </c>
      <c r="F726" s="116">
        <v>17.95</v>
      </c>
      <c r="G726">
        <v>36173</v>
      </c>
      <c r="H726" s="116"/>
      <c r="I726" s="116"/>
      <c r="L726" s="169">
        <v>46189</v>
      </c>
      <c r="M726" s="116">
        <v>1765</v>
      </c>
      <c r="N726" s="116">
        <v>1775.1</v>
      </c>
      <c r="O726" s="116">
        <v>1731.7</v>
      </c>
      <c r="P726" s="116">
        <v>1761</v>
      </c>
      <c r="Q726" s="116">
        <v>1765</v>
      </c>
      <c r="R726">
        <v>363359</v>
      </c>
    </row>
    <row r="727" spans="1:18" x14ac:dyDescent="0.25">
      <c r="A727" s="169">
        <v>43080</v>
      </c>
      <c r="B727" s="116">
        <v>18.3</v>
      </c>
      <c r="C727" s="116">
        <v>17.850000000000001</v>
      </c>
      <c r="D727" s="116">
        <v>17.600000000000001</v>
      </c>
      <c r="E727" s="116">
        <v>17.649999999999999</v>
      </c>
      <c r="F727" s="116">
        <v>17.850000000000001</v>
      </c>
      <c r="G727">
        <v>25056</v>
      </c>
      <c r="H727" s="116"/>
      <c r="I727" s="116"/>
      <c r="L727" s="169">
        <v>46190</v>
      </c>
      <c r="M727" s="116">
        <v>1754.3</v>
      </c>
      <c r="N727" s="116">
        <v>1796</v>
      </c>
      <c r="O727" s="116">
        <v>1745</v>
      </c>
      <c r="P727" s="116">
        <v>1770</v>
      </c>
      <c r="Q727" s="116">
        <v>1754.3</v>
      </c>
      <c r="R727">
        <v>437120</v>
      </c>
    </row>
    <row r="728" spans="1:18" x14ac:dyDescent="0.25">
      <c r="A728" s="169">
        <v>43081</v>
      </c>
      <c r="B728" s="116">
        <v>18</v>
      </c>
      <c r="C728" s="116">
        <v>17.649999999999999</v>
      </c>
      <c r="D728" s="116">
        <v>17.25</v>
      </c>
      <c r="E728" s="116">
        <v>17.45</v>
      </c>
      <c r="F728" s="116">
        <v>17.649999999999999</v>
      </c>
      <c r="G728">
        <v>64954</v>
      </c>
      <c r="H728" s="116"/>
      <c r="I728" s="116"/>
      <c r="L728" s="169"/>
    </row>
    <row r="729" spans="1:18" x14ac:dyDescent="0.25">
      <c r="A729" s="169">
        <v>43082</v>
      </c>
      <c r="B729" s="116">
        <v>17.600000000000001</v>
      </c>
      <c r="C729" s="116">
        <v>17.25</v>
      </c>
      <c r="D729" s="116">
        <v>17.100000000000001</v>
      </c>
      <c r="E729" s="116">
        <v>17.25</v>
      </c>
      <c r="F729" s="116">
        <v>17.25</v>
      </c>
      <c r="G729">
        <v>11765</v>
      </c>
      <c r="H729" s="116"/>
      <c r="I729" s="116"/>
      <c r="L729" s="169"/>
    </row>
    <row r="730" spans="1:18" x14ac:dyDescent="0.25">
      <c r="A730" s="169">
        <v>43083</v>
      </c>
      <c r="B730" s="116">
        <v>17.7</v>
      </c>
      <c r="C730" s="116">
        <v>17.399999999999999</v>
      </c>
      <c r="D730" s="116">
        <v>16.2</v>
      </c>
      <c r="E730" s="116">
        <v>17.7</v>
      </c>
      <c r="F730" s="116">
        <v>17.399999999999999</v>
      </c>
      <c r="G730">
        <v>43228</v>
      </c>
      <c r="H730" s="116"/>
      <c r="I730" s="116"/>
      <c r="L730" s="169"/>
    </row>
    <row r="731" spans="1:18" x14ac:dyDescent="0.25">
      <c r="A731" s="169">
        <v>43084</v>
      </c>
      <c r="B731" s="116">
        <v>18</v>
      </c>
      <c r="C731" s="116">
        <v>17.95</v>
      </c>
      <c r="D731" s="116">
        <v>17.5</v>
      </c>
      <c r="E731" s="116">
        <v>17.5</v>
      </c>
      <c r="F731" s="116">
        <v>17.95</v>
      </c>
      <c r="G731">
        <v>42838</v>
      </c>
      <c r="H731" s="116"/>
      <c r="I731" s="116"/>
      <c r="L731" s="169"/>
    </row>
    <row r="732" spans="1:18" x14ac:dyDescent="0.25">
      <c r="A732" s="169">
        <v>43087</v>
      </c>
      <c r="B732" s="116">
        <v>17.8</v>
      </c>
      <c r="C732" s="116">
        <v>17.45</v>
      </c>
      <c r="D732" s="116">
        <v>16.5</v>
      </c>
      <c r="E732" s="116">
        <v>16.5</v>
      </c>
      <c r="F732" s="116">
        <v>17.45</v>
      </c>
      <c r="G732">
        <v>22244</v>
      </c>
      <c r="H732" s="116"/>
      <c r="I732" s="116"/>
      <c r="L732" s="169"/>
    </row>
    <row r="733" spans="1:18" x14ac:dyDescent="0.25">
      <c r="A733" s="169">
        <v>43088</v>
      </c>
      <c r="B733" s="116">
        <v>18.3</v>
      </c>
      <c r="C733" s="116">
        <v>18</v>
      </c>
      <c r="D733" s="116">
        <v>17.649999999999999</v>
      </c>
      <c r="E733" s="116">
        <v>18.25</v>
      </c>
      <c r="F733" s="116">
        <v>18</v>
      </c>
      <c r="G733">
        <v>34336</v>
      </c>
      <c r="H733" s="116"/>
      <c r="I733" s="116"/>
      <c r="L733" s="169"/>
    </row>
    <row r="734" spans="1:18" x14ac:dyDescent="0.25">
      <c r="A734" s="169">
        <v>43089</v>
      </c>
      <c r="B734" s="116">
        <v>18</v>
      </c>
      <c r="C734" s="116">
        <v>17.45</v>
      </c>
      <c r="D734" s="116">
        <v>17.45</v>
      </c>
      <c r="E734" s="116">
        <v>17.8</v>
      </c>
      <c r="F734" s="116">
        <v>17.45</v>
      </c>
      <c r="G734">
        <v>12235</v>
      </c>
      <c r="H734" s="116"/>
      <c r="I734" s="116"/>
      <c r="L734" s="169"/>
    </row>
    <row r="735" spans="1:18" x14ac:dyDescent="0.25">
      <c r="A735" s="169">
        <v>43090</v>
      </c>
      <c r="B735" s="116">
        <v>18.25</v>
      </c>
      <c r="C735" s="116">
        <v>17.75</v>
      </c>
      <c r="D735" s="116">
        <v>17.55</v>
      </c>
      <c r="E735" s="116">
        <v>17.899999999999999</v>
      </c>
      <c r="F735" s="116">
        <v>17.75</v>
      </c>
      <c r="G735">
        <v>75930</v>
      </c>
      <c r="H735" s="116"/>
      <c r="I735" s="116"/>
      <c r="L735" s="169"/>
    </row>
    <row r="736" spans="1:18" x14ac:dyDescent="0.25">
      <c r="A736" s="169">
        <v>43091</v>
      </c>
      <c r="B736" s="116">
        <v>19.399999999999999</v>
      </c>
      <c r="C736" s="116">
        <v>18.899999999999999</v>
      </c>
      <c r="D736" s="116">
        <v>17.8</v>
      </c>
      <c r="E736" s="116">
        <v>18.25</v>
      </c>
      <c r="F736" s="116">
        <v>18.899999999999999</v>
      </c>
      <c r="G736">
        <v>75211</v>
      </c>
      <c r="H736" s="116"/>
      <c r="I736" s="116"/>
      <c r="L736" s="169"/>
    </row>
    <row r="737" spans="1:12" x14ac:dyDescent="0.25">
      <c r="A737" s="169">
        <v>43095</v>
      </c>
      <c r="B737" s="116">
        <v>19.45</v>
      </c>
      <c r="C737" s="116">
        <v>18.850000000000001</v>
      </c>
      <c r="D737" s="116">
        <v>18.25</v>
      </c>
      <c r="E737" s="116">
        <v>19.45</v>
      </c>
      <c r="F737" s="116">
        <v>18.850000000000001</v>
      </c>
      <c r="G737">
        <v>23766</v>
      </c>
      <c r="H737" s="116"/>
      <c r="I737" s="116"/>
      <c r="L737" s="169"/>
    </row>
    <row r="738" spans="1:12" x14ac:dyDescent="0.25">
      <c r="A738" s="169">
        <v>43096</v>
      </c>
      <c r="B738" s="116">
        <v>18.600000000000001</v>
      </c>
      <c r="C738" s="116">
        <v>18.05</v>
      </c>
      <c r="D738" s="116">
        <v>18</v>
      </c>
      <c r="E738" s="116">
        <v>18.55</v>
      </c>
      <c r="F738" s="116">
        <v>18.05</v>
      </c>
      <c r="G738">
        <v>23129</v>
      </c>
      <c r="H738" s="116"/>
      <c r="I738" s="116"/>
      <c r="L738" s="169"/>
    </row>
    <row r="739" spans="1:12" x14ac:dyDescent="0.25">
      <c r="A739" s="169">
        <v>43097</v>
      </c>
      <c r="B739" s="116">
        <v>18.350000000000001</v>
      </c>
      <c r="C739" s="116">
        <v>17.5</v>
      </c>
      <c r="D739" s="116">
        <v>17.399999999999999</v>
      </c>
      <c r="E739" s="116">
        <v>18.350000000000001</v>
      </c>
      <c r="F739" s="116">
        <v>17.5</v>
      </c>
      <c r="G739">
        <v>42120</v>
      </c>
      <c r="H739" s="116"/>
      <c r="I739" s="116"/>
      <c r="L739" s="169"/>
    </row>
    <row r="740" spans="1:12" x14ac:dyDescent="0.25">
      <c r="A740" s="169">
        <v>43098</v>
      </c>
      <c r="B740" s="116">
        <v>18</v>
      </c>
      <c r="C740" s="116">
        <v>17.55</v>
      </c>
      <c r="D740" s="116">
        <v>17.3</v>
      </c>
      <c r="E740" s="116">
        <v>18</v>
      </c>
      <c r="F740" s="116">
        <v>17.55</v>
      </c>
      <c r="G740">
        <v>45501</v>
      </c>
      <c r="H740" s="116"/>
      <c r="I740" s="116"/>
      <c r="L740" s="169"/>
    </row>
    <row r="741" spans="1:12" x14ac:dyDescent="0.25">
      <c r="A741" s="169">
        <v>43101</v>
      </c>
      <c r="B741" s="116">
        <v>19.25</v>
      </c>
      <c r="C741" s="116">
        <v>18.8</v>
      </c>
      <c r="D741" s="116">
        <v>17.600000000000001</v>
      </c>
      <c r="E741" s="116">
        <v>17.649999999999999</v>
      </c>
      <c r="F741" s="116">
        <v>18.8</v>
      </c>
      <c r="G741">
        <v>56784</v>
      </c>
      <c r="H741" s="116"/>
      <c r="I741" s="116"/>
      <c r="L741" s="169"/>
    </row>
    <row r="742" spans="1:12" x14ac:dyDescent="0.25">
      <c r="A742" s="169">
        <v>43102</v>
      </c>
      <c r="B742" s="116">
        <v>19.45</v>
      </c>
      <c r="C742" s="116">
        <v>18.8</v>
      </c>
      <c r="D742" s="116">
        <v>18.149999999999999</v>
      </c>
      <c r="E742" s="116">
        <v>18.149999999999999</v>
      </c>
      <c r="F742" s="116">
        <v>18.8</v>
      </c>
      <c r="G742">
        <v>42756</v>
      </c>
      <c r="H742" s="116"/>
      <c r="I742" s="116"/>
      <c r="L742" s="169"/>
    </row>
    <row r="743" spans="1:12" x14ac:dyDescent="0.25">
      <c r="A743" s="169">
        <v>43103</v>
      </c>
      <c r="B743" s="116">
        <v>18.95</v>
      </c>
      <c r="C743" s="116">
        <v>18.55</v>
      </c>
      <c r="D743" s="116">
        <v>18.350000000000001</v>
      </c>
      <c r="E743" s="116">
        <v>18.399999999999999</v>
      </c>
      <c r="F743" s="116">
        <v>18.55</v>
      </c>
      <c r="G743">
        <v>48149</v>
      </c>
      <c r="H743" s="116"/>
      <c r="I743" s="116"/>
      <c r="L743" s="169"/>
    </row>
    <row r="744" spans="1:12" x14ac:dyDescent="0.25">
      <c r="A744" s="169">
        <v>43104</v>
      </c>
      <c r="B744" s="116">
        <v>19.5</v>
      </c>
      <c r="C744" s="116">
        <v>19</v>
      </c>
      <c r="D744" s="116">
        <v>18.55</v>
      </c>
      <c r="E744" s="116">
        <v>18.649999999999999</v>
      </c>
      <c r="F744" s="116">
        <v>19</v>
      </c>
      <c r="G744">
        <v>233586</v>
      </c>
      <c r="H744" s="116"/>
      <c r="I744" s="116"/>
      <c r="L744" s="169"/>
    </row>
    <row r="745" spans="1:12" x14ac:dyDescent="0.25">
      <c r="A745" s="169">
        <v>43105</v>
      </c>
      <c r="B745" s="116">
        <v>20.9</v>
      </c>
      <c r="C745" s="116">
        <v>20.9</v>
      </c>
      <c r="D745" s="116">
        <v>19.8</v>
      </c>
      <c r="E745" s="116">
        <v>19.8</v>
      </c>
      <c r="F745" s="116">
        <v>20.9</v>
      </c>
      <c r="G745">
        <v>312515</v>
      </c>
      <c r="H745" s="116"/>
      <c r="I745" s="116"/>
      <c r="L745" s="169"/>
    </row>
    <row r="746" spans="1:12" x14ac:dyDescent="0.25">
      <c r="A746" s="169">
        <v>43108</v>
      </c>
      <c r="B746" s="116">
        <v>22.55</v>
      </c>
      <c r="C746" s="116">
        <v>21.95</v>
      </c>
      <c r="D746" s="116">
        <v>21</v>
      </c>
      <c r="E746" s="116">
        <v>21</v>
      </c>
      <c r="F746" s="116">
        <v>21.95</v>
      </c>
      <c r="G746">
        <v>237749</v>
      </c>
      <c r="H746" s="116"/>
      <c r="I746" s="116"/>
      <c r="L746" s="169"/>
    </row>
    <row r="747" spans="1:12" x14ac:dyDescent="0.25">
      <c r="A747" s="169">
        <v>43109</v>
      </c>
      <c r="B747" s="116">
        <v>21.95</v>
      </c>
      <c r="C747" s="116">
        <v>20.9</v>
      </c>
      <c r="D747" s="116">
        <v>20.65</v>
      </c>
      <c r="E747" s="116">
        <v>21.95</v>
      </c>
      <c r="F747" s="116">
        <v>20.9</v>
      </c>
      <c r="G747">
        <v>90262</v>
      </c>
      <c r="H747" s="116"/>
      <c r="I747" s="116"/>
      <c r="L747" s="169"/>
    </row>
    <row r="748" spans="1:12" x14ac:dyDescent="0.25">
      <c r="A748" s="169">
        <v>43110</v>
      </c>
      <c r="B748" s="116">
        <v>22</v>
      </c>
      <c r="C748" s="116">
        <v>21</v>
      </c>
      <c r="D748" s="116">
        <v>20.05</v>
      </c>
      <c r="E748" s="116">
        <v>20.05</v>
      </c>
      <c r="F748" s="116">
        <v>21</v>
      </c>
      <c r="G748">
        <v>133301</v>
      </c>
      <c r="H748" s="116"/>
      <c r="I748" s="116"/>
      <c r="L748" s="169"/>
    </row>
    <row r="749" spans="1:12" x14ac:dyDescent="0.25">
      <c r="A749" s="169">
        <v>43111</v>
      </c>
      <c r="B749" s="116">
        <v>21.45</v>
      </c>
      <c r="C749" s="116">
        <v>20.65</v>
      </c>
      <c r="D749" s="116">
        <v>20.2</v>
      </c>
      <c r="E749" s="116">
        <v>21.45</v>
      </c>
      <c r="F749" s="116">
        <v>20.65</v>
      </c>
      <c r="G749">
        <v>34927</v>
      </c>
      <c r="H749" s="116"/>
      <c r="I749" s="116"/>
      <c r="L749" s="169"/>
    </row>
    <row r="750" spans="1:12" x14ac:dyDescent="0.25">
      <c r="A750" s="169">
        <v>43112</v>
      </c>
      <c r="B750" s="116">
        <v>20.5</v>
      </c>
      <c r="C750" s="116">
        <v>19.8</v>
      </c>
      <c r="D750" s="116">
        <v>19.5</v>
      </c>
      <c r="E750" s="116">
        <v>20.350000000000001</v>
      </c>
      <c r="F750" s="116">
        <v>19.8</v>
      </c>
      <c r="G750">
        <v>55893</v>
      </c>
      <c r="H750" s="116"/>
      <c r="I750" s="116"/>
      <c r="L750" s="169"/>
    </row>
    <row r="751" spans="1:12" x14ac:dyDescent="0.25">
      <c r="A751" s="169">
        <v>43115</v>
      </c>
      <c r="B751" s="116">
        <v>21.7</v>
      </c>
      <c r="C751" s="116">
        <v>20.9</v>
      </c>
      <c r="D751" s="116">
        <v>20</v>
      </c>
      <c r="E751" s="116">
        <v>20.05</v>
      </c>
      <c r="F751" s="116">
        <v>20.9</v>
      </c>
      <c r="G751">
        <v>85781</v>
      </c>
      <c r="H751" s="116"/>
      <c r="I751" s="116"/>
      <c r="L751" s="169"/>
    </row>
    <row r="752" spans="1:12" x14ac:dyDescent="0.25">
      <c r="A752" s="169">
        <v>43116</v>
      </c>
      <c r="B752" s="116">
        <v>21.35</v>
      </c>
      <c r="C752" s="116">
        <v>20</v>
      </c>
      <c r="D752" s="116">
        <v>19.399999999999999</v>
      </c>
      <c r="E752" s="116">
        <v>21.35</v>
      </c>
      <c r="F752" s="116">
        <v>20</v>
      </c>
      <c r="G752">
        <v>75522</v>
      </c>
      <c r="H752" s="116"/>
      <c r="I752" s="116"/>
      <c r="L752" s="169"/>
    </row>
    <row r="753" spans="1:12" x14ac:dyDescent="0.25">
      <c r="A753" s="169">
        <v>43117</v>
      </c>
      <c r="B753" s="116">
        <v>20</v>
      </c>
      <c r="C753" s="116">
        <v>19.350000000000001</v>
      </c>
      <c r="D753" s="116">
        <v>18.899999999999999</v>
      </c>
      <c r="E753" s="116">
        <v>19</v>
      </c>
      <c r="F753" s="116">
        <v>19.350000000000001</v>
      </c>
      <c r="G753">
        <v>20687</v>
      </c>
      <c r="H753" s="116"/>
      <c r="I753" s="116"/>
      <c r="L753" s="169"/>
    </row>
    <row r="754" spans="1:12" x14ac:dyDescent="0.25">
      <c r="A754" s="169">
        <v>43118</v>
      </c>
      <c r="B754" s="116">
        <v>20.2</v>
      </c>
      <c r="C754" s="116">
        <v>18.600000000000001</v>
      </c>
      <c r="D754" s="116">
        <v>18.399999999999999</v>
      </c>
      <c r="E754" s="116">
        <v>19.149999999999999</v>
      </c>
      <c r="F754" s="116">
        <v>18.600000000000001</v>
      </c>
      <c r="G754">
        <v>78565</v>
      </c>
      <c r="H754" s="116"/>
      <c r="I754" s="116"/>
      <c r="L754" s="169"/>
    </row>
    <row r="755" spans="1:12" x14ac:dyDescent="0.25">
      <c r="A755" s="169">
        <v>43119</v>
      </c>
      <c r="B755" s="116">
        <v>19.25</v>
      </c>
      <c r="C755" s="116">
        <v>18.649999999999999</v>
      </c>
      <c r="D755" s="116">
        <v>18.2</v>
      </c>
      <c r="E755" s="116">
        <v>18.75</v>
      </c>
      <c r="F755" s="116">
        <v>18.649999999999999</v>
      </c>
      <c r="G755">
        <v>41953</v>
      </c>
      <c r="H755" s="116"/>
      <c r="I755" s="116"/>
      <c r="L755" s="169"/>
    </row>
    <row r="756" spans="1:12" x14ac:dyDescent="0.25">
      <c r="A756" s="169">
        <v>43122</v>
      </c>
      <c r="B756" s="116">
        <v>20.5</v>
      </c>
      <c r="C756" s="116">
        <v>20.5</v>
      </c>
      <c r="D756" s="116">
        <v>18.399999999999999</v>
      </c>
      <c r="E756" s="116">
        <v>18.600000000000001</v>
      </c>
      <c r="F756" s="116">
        <v>20.5</v>
      </c>
      <c r="G756">
        <v>73707</v>
      </c>
      <c r="H756" s="116"/>
      <c r="I756" s="116"/>
      <c r="L756" s="169"/>
    </row>
    <row r="757" spans="1:12" x14ac:dyDescent="0.25">
      <c r="A757" s="169">
        <v>43123</v>
      </c>
      <c r="B757" s="116">
        <v>21.95</v>
      </c>
      <c r="C757" s="116">
        <v>19.55</v>
      </c>
      <c r="D757" s="116">
        <v>19.2</v>
      </c>
      <c r="E757" s="116">
        <v>21.9</v>
      </c>
      <c r="F757" s="116">
        <v>19.55</v>
      </c>
      <c r="G757">
        <v>276063</v>
      </c>
      <c r="H757" s="116"/>
      <c r="I757" s="116"/>
      <c r="L757" s="169"/>
    </row>
    <row r="758" spans="1:12" x14ac:dyDescent="0.25">
      <c r="A758" s="169">
        <v>43124</v>
      </c>
      <c r="B758" s="116">
        <v>19.649999999999999</v>
      </c>
      <c r="C758" s="116">
        <v>19.350000000000001</v>
      </c>
      <c r="D758" s="116">
        <v>19.100000000000001</v>
      </c>
      <c r="E758" s="116">
        <v>19.649999999999999</v>
      </c>
      <c r="F758" s="116">
        <v>19.350000000000001</v>
      </c>
      <c r="G758">
        <v>15735</v>
      </c>
      <c r="H758" s="116"/>
      <c r="I758" s="116"/>
      <c r="L758" s="169"/>
    </row>
    <row r="759" spans="1:12" x14ac:dyDescent="0.25">
      <c r="A759" s="169">
        <v>43125</v>
      </c>
      <c r="B759" s="116">
        <v>19.45</v>
      </c>
      <c r="C759" s="116">
        <v>18.850000000000001</v>
      </c>
      <c r="D759" s="116">
        <v>18.649999999999999</v>
      </c>
      <c r="E759" s="116">
        <v>19.25</v>
      </c>
      <c r="F759" s="116">
        <v>18.850000000000001</v>
      </c>
      <c r="G759">
        <v>36057</v>
      </c>
      <c r="H759" s="116"/>
      <c r="I759" s="116"/>
      <c r="L759" s="169"/>
    </row>
    <row r="760" spans="1:12" x14ac:dyDescent="0.25">
      <c r="A760" s="169">
        <v>43129</v>
      </c>
      <c r="B760" s="116">
        <v>19.850000000000001</v>
      </c>
      <c r="C760" s="116">
        <v>18.3</v>
      </c>
      <c r="D760" s="116">
        <v>18.05</v>
      </c>
      <c r="E760" s="116">
        <v>19.149999999999999</v>
      </c>
      <c r="F760" s="116">
        <v>18.3</v>
      </c>
      <c r="G760">
        <v>23585</v>
      </c>
      <c r="H760" s="116"/>
      <c r="I760" s="116"/>
      <c r="L760" s="169"/>
    </row>
    <row r="761" spans="1:12" x14ac:dyDescent="0.25">
      <c r="A761" s="169">
        <v>43130</v>
      </c>
      <c r="B761" s="116">
        <v>18.55</v>
      </c>
      <c r="C761" s="116">
        <v>18.05</v>
      </c>
      <c r="D761" s="116">
        <v>17.850000000000001</v>
      </c>
      <c r="E761" s="116">
        <v>18.25</v>
      </c>
      <c r="F761" s="116">
        <v>18.05</v>
      </c>
      <c r="G761">
        <v>9227</v>
      </c>
      <c r="H761" s="116"/>
      <c r="I761" s="116"/>
      <c r="L761" s="169"/>
    </row>
    <row r="762" spans="1:12" x14ac:dyDescent="0.25">
      <c r="A762" s="169">
        <v>43131</v>
      </c>
      <c r="B762" s="116">
        <v>18.45</v>
      </c>
      <c r="C762" s="116">
        <v>17.350000000000001</v>
      </c>
      <c r="D762" s="116">
        <v>17.2</v>
      </c>
      <c r="E762" s="116">
        <v>18.100000000000001</v>
      </c>
      <c r="F762" s="116">
        <v>17.350000000000001</v>
      </c>
      <c r="G762">
        <v>48471</v>
      </c>
      <c r="H762" s="116"/>
      <c r="I762" s="116"/>
      <c r="L762" s="169"/>
    </row>
    <row r="763" spans="1:12" x14ac:dyDescent="0.25">
      <c r="A763" s="169">
        <v>43132</v>
      </c>
      <c r="B763" s="116">
        <v>19.05</v>
      </c>
      <c r="C763" s="116">
        <v>18.45</v>
      </c>
      <c r="D763" s="116">
        <v>17.2</v>
      </c>
      <c r="E763" s="116">
        <v>17.5</v>
      </c>
      <c r="F763" s="116">
        <v>18.45</v>
      </c>
      <c r="G763">
        <v>39554</v>
      </c>
      <c r="H763" s="116"/>
      <c r="I763" s="116"/>
      <c r="L763" s="169"/>
    </row>
    <row r="764" spans="1:12" x14ac:dyDescent="0.25">
      <c r="A764" s="169">
        <v>43133</v>
      </c>
      <c r="B764" s="116">
        <v>18.5</v>
      </c>
      <c r="C764" s="116">
        <v>17.649999999999999</v>
      </c>
      <c r="D764" s="116">
        <v>17</v>
      </c>
      <c r="E764" s="116">
        <v>18.2</v>
      </c>
      <c r="F764" s="116">
        <v>17.649999999999999</v>
      </c>
      <c r="G764">
        <v>18914</v>
      </c>
      <c r="H764" s="116"/>
      <c r="I764" s="116"/>
      <c r="L764" s="169"/>
    </row>
    <row r="765" spans="1:12" x14ac:dyDescent="0.25">
      <c r="A765" s="169">
        <v>43136</v>
      </c>
      <c r="B765" s="116">
        <v>17.399999999999999</v>
      </c>
      <c r="C765" s="116">
        <v>16.899999999999999</v>
      </c>
      <c r="D765" s="116">
        <v>16</v>
      </c>
      <c r="E765" s="116">
        <v>17.3</v>
      </c>
      <c r="F765" s="116">
        <v>16.899999999999999</v>
      </c>
      <c r="G765">
        <v>113732</v>
      </c>
      <c r="H765" s="116"/>
      <c r="I765" s="116"/>
      <c r="L765" s="169"/>
    </row>
    <row r="766" spans="1:12" x14ac:dyDescent="0.25">
      <c r="A766" s="169">
        <v>43137</v>
      </c>
      <c r="B766" s="116">
        <v>16.850000000000001</v>
      </c>
      <c r="C766" s="116">
        <v>15.9</v>
      </c>
      <c r="D766" s="116">
        <v>15.35</v>
      </c>
      <c r="E766" s="116">
        <v>16</v>
      </c>
      <c r="F766" s="116">
        <v>15.9</v>
      </c>
      <c r="G766">
        <v>42659</v>
      </c>
      <c r="H766" s="116"/>
      <c r="I766" s="116"/>
      <c r="L766" s="169"/>
    </row>
    <row r="767" spans="1:12" x14ac:dyDescent="0.25">
      <c r="A767" s="169">
        <v>43138</v>
      </c>
      <c r="B767" s="116">
        <v>17.600000000000001</v>
      </c>
      <c r="C767" s="116">
        <v>16.7</v>
      </c>
      <c r="D767" s="116">
        <v>16.149999999999999</v>
      </c>
      <c r="E767" s="116">
        <v>16.149999999999999</v>
      </c>
      <c r="F767" s="116">
        <v>16.7</v>
      </c>
      <c r="G767">
        <v>356024</v>
      </c>
      <c r="H767" s="116"/>
      <c r="I767" s="116"/>
      <c r="L767" s="169"/>
    </row>
    <row r="768" spans="1:12" x14ac:dyDescent="0.25">
      <c r="A768" s="169">
        <v>43139</v>
      </c>
      <c r="B768" s="116">
        <v>17.649999999999999</v>
      </c>
      <c r="C768" s="116">
        <v>17.05</v>
      </c>
      <c r="D768" s="116">
        <v>16.8</v>
      </c>
      <c r="E768" s="116">
        <v>17.05</v>
      </c>
      <c r="F768" s="116">
        <v>17.05</v>
      </c>
      <c r="G768">
        <v>43961</v>
      </c>
      <c r="H768" s="116"/>
      <c r="I768" s="116"/>
      <c r="L768" s="169"/>
    </row>
    <row r="769" spans="1:12" x14ac:dyDescent="0.25">
      <c r="A769" s="169">
        <v>43140</v>
      </c>
      <c r="B769" s="116">
        <v>17.25</v>
      </c>
      <c r="C769" s="116">
        <v>16.600000000000001</v>
      </c>
      <c r="D769" s="116">
        <v>16.25</v>
      </c>
      <c r="E769" s="116">
        <v>16.899999999999999</v>
      </c>
      <c r="F769" s="116">
        <v>16.600000000000001</v>
      </c>
      <c r="G769">
        <v>51716</v>
      </c>
      <c r="H769" s="116"/>
      <c r="I769" s="116"/>
      <c r="L769" s="169"/>
    </row>
    <row r="770" spans="1:12" x14ac:dyDescent="0.25">
      <c r="A770" s="169">
        <v>43143</v>
      </c>
      <c r="B770" s="116">
        <v>18.05</v>
      </c>
      <c r="C770" s="116">
        <v>17.899999999999999</v>
      </c>
      <c r="D770" s="116">
        <v>16.5</v>
      </c>
      <c r="E770" s="116">
        <v>16.600000000000001</v>
      </c>
      <c r="F770" s="116">
        <v>17.899999999999999</v>
      </c>
      <c r="G770">
        <v>64622</v>
      </c>
      <c r="H770" s="116"/>
      <c r="I770" s="116"/>
      <c r="L770" s="169"/>
    </row>
    <row r="771" spans="1:12" x14ac:dyDescent="0.25">
      <c r="A771" s="169">
        <v>43145</v>
      </c>
      <c r="B771" s="116">
        <v>18.399999999999999</v>
      </c>
      <c r="C771" s="116">
        <v>17.649999999999999</v>
      </c>
      <c r="D771" s="116">
        <v>17.5</v>
      </c>
      <c r="E771" s="116">
        <v>18.05</v>
      </c>
      <c r="F771" s="116">
        <v>17.649999999999999</v>
      </c>
      <c r="G771">
        <v>41458</v>
      </c>
      <c r="H771" s="116"/>
      <c r="I771" s="116"/>
      <c r="L771" s="169"/>
    </row>
    <row r="772" spans="1:12" x14ac:dyDescent="0.25">
      <c r="A772" s="169">
        <v>43146</v>
      </c>
      <c r="B772" s="116">
        <v>18.25</v>
      </c>
      <c r="C772" s="116">
        <v>17.05</v>
      </c>
      <c r="D772" s="116">
        <v>16.7</v>
      </c>
      <c r="E772" s="116">
        <v>17.850000000000001</v>
      </c>
      <c r="F772" s="116">
        <v>17.05</v>
      </c>
      <c r="G772">
        <v>71464</v>
      </c>
      <c r="H772" s="116"/>
      <c r="I772" s="116"/>
      <c r="L772" s="169"/>
    </row>
    <row r="773" spans="1:12" x14ac:dyDescent="0.25">
      <c r="A773" s="169">
        <v>43147</v>
      </c>
      <c r="B773" s="116">
        <v>17.8</v>
      </c>
      <c r="C773" s="116">
        <v>17.3</v>
      </c>
      <c r="D773" s="116">
        <v>16.100000000000001</v>
      </c>
      <c r="E773" s="116">
        <v>17.5</v>
      </c>
      <c r="F773" s="116">
        <v>17.3</v>
      </c>
      <c r="G773">
        <v>110349</v>
      </c>
      <c r="H773" s="116"/>
      <c r="I773" s="116"/>
      <c r="L773" s="169"/>
    </row>
    <row r="774" spans="1:12" x14ac:dyDescent="0.25">
      <c r="A774" s="169">
        <v>43150</v>
      </c>
      <c r="B774" s="116">
        <v>17.95</v>
      </c>
      <c r="C774" s="116">
        <v>17.100000000000001</v>
      </c>
      <c r="D774" s="116">
        <v>16.350000000000001</v>
      </c>
      <c r="E774" s="116">
        <v>17.5</v>
      </c>
      <c r="F774" s="116">
        <v>17.100000000000001</v>
      </c>
      <c r="G774">
        <v>20948</v>
      </c>
      <c r="H774" s="116"/>
      <c r="I774" s="116"/>
      <c r="L774" s="169"/>
    </row>
    <row r="775" spans="1:12" x14ac:dyDescent="0.25">
      <c r="A775" s="169">
        <v>43151</v>
      </c>
      <c r="B775" s="116">
        <v>17.7</v>
      </c>
      <c r="C775" s="116">
        <v>16.850000000000001</v>
      </c>
      <c r="D775" s="116">
        <v>16.649999999999999</v>
      </c>
      <c r="E775" s="116">
        <v>17.399999999999999</v>
      </c>
      <c r="F775" s="116">
        <v>16.850000000000001</v>
      </c>
      <c r="G775">
        <v>17593</v>
      </c>
      <c r="H775" s="116"/>
      <c r="I775" s="116"/>
      <c r="L775" s="169"/>
    </row>
    <row r="776" spans="1:12" x14ac:dyDescent="0.25">
      <c r="A776" s="169">
        <v>43152</v>
      </c>
      <c r="B776" s="116">
        <v>17.100000000000001</v>
      </c>
      <c r="C776" s="116">
        <v>17</v>
      </c>
      <c r="D776" s="116">
        <v>16.600000000000001</v>
      </c>
      <c r="E776" s="116">
        <v>17.100000000000001</v>
      </c>
      <c r="F776" s="116">
        <v>17</v>
      </c>
      <c r="G776">
        <v>7046</v>
      </c>
      <c r="H776" s="116"/>
      <c r="I776" s="116"/>
      <c r="L776" s="169"/>
    </row>
    <row r="777" spans="1:12" x14ac:dyDescent="0.25">
      <c r="A777" s="169">
        <v>43153</v>
      </c>
      <c r="B777" s="116">
        <v>17.25</v>
      </c>
      <c r="C777" s="116">
        <v>16.5</v>
      </c>
      <c r="D777" s="116">
        <v>16.149999999999999</v>
      </c>
      <c r="E777" s="116">
        <v>17.25</v>
      </c>
      <c r="F777" s="116">
        <v>16.5</v>
      </c>
      <c r="G777">
        <v>50714</v>
      </c>
      <c r="H777" s="116"/>
      <c r="I777" s="116"/>
      <c r="L777" s="169"/>
    </row>
    <row r="778" spans="1:12" x14ac:dyDescent="0.25">
      <c r="A778" s="169">
        <v>43154</v>
      </c>
      <c r="B778" s="116">
        <v>17.100000000000001</v>
      </c>
      <c r="C778" s="116">
        <v>16.649999999999999</v>
      </c>
      <c r="D778" s="116">
        <v>16.350000000000001</v>
      </c>
      <c r="E778" s="116">
        <v>16.350000000000001</v>
      </c>
      <c r="F778" s="116">
        <v>16.649999999999999</v>
      </c>
      <c r="G778">
        <v>109876</v>
      </c>
      <c r="H778" s="116"/>
      <c r="I778" s="116"/>
      <c r="L778" s="169"/>
    </row>
    <row r="779" spans="1:12" x14ac:dyDescent="0.25">
      <c r="A779" s="169">
        <v>43157</v>
      </c>
      <c r="B779" s="116">
        <v>17.25</v>
      </c>
      <c r="C779" s="116">
        <v>16.899999999999999</v>
      </c>
      <c r="D779" s="116">
        <v>16</v>
      </c>
      <c r="E779" s="116">
        <v>16.600000000000001</v>
      </c>
      <c r="F779" s="116">
        <v>16.899999999999999</v>
      </c>
      <c r="G779">
        <v>47646</v>
      </c>
      <c r="H779" s="116"/>
      <c r="I779" s="116"/>
      <c r="L779" s="169"/>
    </row>
    <row r="780" spans="1:12" x14ac:dyDescent="0.25">
      <c r="A780" s="169">
        <v>43158</v>
      </c>
      <c r="B780" s="116">
        <v>16.899999999999999</v>
      </c>
      <c r="C780" s="116">
        <v>16.350000000000001</v>
      </c>
      <c r="D780" s="116">
        <v>16.350000000000001</v>
      </c>
      <c r="E780" s="116">
        <v>16.7</v>
      </c>
      <c r="F780" s="116">
        <v>16.350000000000001</v>
      </c>
      <c r="G780">
        <v>13034</v>
      </c>
      <c r="H780" s="116"/>
      <c r="I780" s="116"/>
      <c r="L780" s="169"/>
    </row>
    <row r="781" spans="1:12" x14ac:dyDescent="0.25">
      <c r="A781" s="169">
        <v>43159</v>
      </c>
      <c r="B781" s="116">
        <v>16.7</v>
      </c>
      <c r="C781" s="116">
        <v>16.25</v>
      </c>
      <c r="D781" s="116">
        <v>16.149999999999999</v>
      </c>
      <c r="E781" s="116">
        <v>16.350000000000001</v>
      </c>
      <c r="F781" s="116">
        <v>16.25</v>
      </c>
      <c r="G781">
        <v>40913</v>
      </c>
      <c r="H781" s="116"/>
      <c r="I781" s="116"/>
      <c r="L781" s="169"/>
    </row>
    <row r="782" spans="1:12" x14ac:dyDescent="0.25">
      <c r="A782" s="169">
        <v>43160</v>
      </c>
      <c r="B782" s="116">
        <v>16.8</v>
      </c>
      <c r="C782" s="116">
        <v>16.600000000000001</v>
      </c>
      <c r="D782" s="116">
        <v>16.25</v>
      </c>
      <c r="E782" s="116">
        <v>16.3</v>
      </c>
      <c r="F782" s="116">
        <v>16.600000000000001</v>
      </c>
      <c r="G782">
        <v>29230</v>
      </c>
      <c r="H782" s="116"/>
      <c r="I782" s="116"/>
      <c r="L782" s="169"/>
    </row>
    <row r="783" spans="1:12" x14ac:dyDescent="0.25">
      <c r="A783" s="169">
        <v>43164</v>
      </c>
      <c r="B783" s="116">
        <v>16.7</v>
      </c>
      <c r="C783" s="116">
        <v>16</v>
      </c>
      <c r="D783" s="116">
        <v>15.85</v>
      </c>
      <c r="E783" s="116">
        <v>16.399999999999999</v>
      </c>
      <c r="F783" s="116">
        <v>16</v>
      </c>
      <c r="G783">
        <v>22315</v>
      </c>
      <c r="H783" s="116"/>
      <c r="I783" s="116"/>
      <c r="L783" s="169"/>
    </row>
    <row r="784" spans="1:12" x14ac:dyDescent="0.25">
      <c r="A784" s="169">
        <v>43165</v>
      </c>
      <c r="B784" s="116">
        <v>16.3</v>
      </c>
      <c r="C784" s="116">
        <v>15.3</v>
      </c>
      <c r="D784" s="116">
        <v>15.1</v>
      </c>
      <c r="E784" s="116">
        <v>16</v>
      </c>
      <c r="F784" s="116">
        <v>15.3</v>
      </c>
      <c r="G784">
        <v>21072</v>
      </c>
      <c r="H784" s="116"/>
      <c r="I784" s="116"/>
      <c r="L784" s="169"/>
    </row>
    <row r="785" spans="1:12" x14ac:dyDescent="0.25">
      <c r="A785" s="169">
        <v>43166</v>
      </c>
      <c r="B785" s="116">
        <v>16</v>
      </c>
      <c r="C785" s="116">
        <v>15.5</v>
      </c>
      <c r="D785" s="116">
        <v>15</v>
      </c>
      <c r="E785" s="116">
        <v>15.35</v>
      </c>
      <c r="F785" s="116">
        <v>15.5</v>
      </c>
      <c r="G785">
        <v>67933</v>
      </c>
      <c r="H785" s="116"/>
      <c r="I785" s="116"/>
      <c r="L785" s="169"/>
    </row>
    <row r="786" spans="1:12" x14ac:dyDescent="0.25">
      <c r="A786" s="169">
        <v>43167</v>
      </c>
      <c r="B786" s="116">
        <v>16.100000000000001</v>
      </c>
      <c r="C786" s="116">
        <v>16</v>
      </c>
      <c r="D786" s="116">
        <v>15.05</v>
      </c>
      <c r="E786" s="116">
        <v>15.4</v>
      </c>
      <c r="F786" s="116">
        <v>16</v>
      </c>
      <c r="G786">
        <v>17988</v>
      </c>
      <c r="H786" s="116"/>
      <c r="I786" s="116"/>
      <c r="L786" s="169"/>
    </row>
    <row r="787" spans="1:12" x14ac:dyDescent="0.25">
      <c r="A787" s="169">
        <v>43168</v>
      </c>
      <c r="B787" s="116">
        <v>16</v>
      </c>
      <c r="C787" s="116">
        <v>15.75</v>
      </c>
      <c r="D787" s="116">
        <v>15.6</v>
      </c>
      <c r="E787" s="116">
        <v>15.6</v>
      </c>
      <c r="F787" s="116">
        <v>15.75</v>
      </c>
      <c r="G787">
        <v>1852</v>
      </c>
      <c r="H787" s="116"/>
      <c r="I787" s="116"/>
      <c r="L787" s="169"/>
    </row>
    <row r="788" spans="1:12" x14ac:dyDescent="0.25">
      <c r="A788" s="169">
        <v>43171</v>
      </c>
      <c r="B788" s="116">
        <v>16</v>
      </c>
      <c r="C788" s="116">
        <v>15.9</v>
      </c>
      <c r="D788" s="116">
        <v>15.3</v>
      </c>
      <c r="E788" s="116">
        <v>15.6</v>
      </c>
      <c r="F788" s="116">
        <v>15.9</v>
      </c>
      <c r="G788">
        <v>37083</v>
      </c>
      <c r="H788" s="116"/>
      <c r="I788" s="116"/>
      <c r="L788" s="169"/>
    </row>
    <row r="789" spans="1:12" x14ac:dyDescent="0.25">
      <c r="A789" s="169">
        <v>43172</v>
      </c>
      <c r="B789" s="116">
        <v>16.25</v>
      </c>
      <c r="C789" s="116">
        <v>15.5</v>
      </c>
      <c r="D789" s="116">
        <v>15.2</v>
      </c>
      <c r="E789" s="116">
        <v>15.2</v>
      </c>
      <c r="F789" s="116">
        <v>15.5</v>
      </c>
      <c r="G789">
        <v>204215</v>
      </c>
      <c r="H789" s="116"/>
      <c r="I789" s="116"/>
      <c r="L789" s="169"/>
    </row>
    <row r="790" spans="1:12" x14ac:dyDescent="0.25">
      <c r="A790" s="169">
        <v>43173</v>
      </c>
      <c r="B790" s="116">
        <v>16.399999999999999</v>
      </c>
      <c r="C790" s="116">
        <v>15.95</v>
      </c>
      <c r="D790" s="116">
        <v>15.3</v>
      </c>
      <c r="E790" s="116">
        <v>15.35</v>
      </c>
      <c r="F790" s="116">
        <v>15.95</v>
      </c>
      <c r="G790">
        <v>101096</v>
      </c>
      <c r="H790" s="116"/>
      <c r="I790" s="116"/>
      <c r="L790" s="169"/>
    </row>
    <row r="791" spans="1:12" x14ac:dyDescent="0.25">
      <c r="A791" s="169">
        <v>43174</v>
      </c>
      <c r="B791" s="116">
        <v>16</v>
      </c>
      <c r="C791" s="116">
        <v>15.75</v>
      </c>
      <c r="D791" s="116">
        <v>15.75</v>
      </c>
      <c r="E791" s="116">
        <v>16</v>
      </c>
      <c r="F791" s="116">
        <v>15.75</v>
      </c>
      <c r="G791">
        <v>7523</v>
      </c>
      <c r="H791" s="116"/>
      <c r="I791" s="116"/>
      <c r="L791" s="169"/>
    </row>
    <row r="792" spans="1:12" x14ac:dyDescent="0.25">
      <c r="A792" s="169">
        <v>43175</v>
      </c>
      <c r="B792" s="116">
        <v>15.75</v>
      </c>
      <c r="C792" s="116">
        <v>15.45</v>
      </c>
      <c r="D792" s="116">
        <v>15.35</v>
      </c>
      <c r="E792" s="116">
        <v>15.4</v>
      </c>
      <c r="F792" s="116">
        <v>15.45</v>
      </c>
      <c r="G792">
        <v>29678</v>
      </c>
      <c r="H792" s="116"/>
      <c r="I792" s="116"/>
      <c r="L792" s="169"/>
    </row>
    <row r="793" spans="1:12" x14ac:dyDescent="0.25">
      <c r="A793" s="169">
        <v>43178</v>
      </c>
      <c r="B793" s="116">
        <v>15.65</v>
      </c>
      <c r="C793" s="116">
        <v>14.9</v>
      </c>
      <c r="D793" s="116">
        <v>14.75</v>
      </c>
      <c r="E793" s="116">
        <v>15.4</v>
      </c>
      <c r="F793" s="116">
        <v>14.9</v>
      </c>
      <c r="G793">
        <v>29394</v>
      </c>
      <c r="H793" s="116"/>
      <c r="I793" s="116"/>
      <c r="L793" s="169"/>
    </row>
    <row r="794" spans="1:12" x14ac:dyDescent="0.25">
      <c r="A794" s="169">
        <v>43179</v>
      </c>
      <c r="B794" s="116">
        <v>15.3</v>
      </c>
      <c r="C794" s="116">
        <v>15</v>
      </c>
      <c r="D794" s="116">
        <v>14.95</v>
      </c>
      <c r="E794" s="116">
        <v>15</v>
      </c>
      <c r="F794" s="116">
        <v>15</v>
      </c>
      <c r="G794">
        <v>41055</v>
      </c>
      <c r="H794" s="116"/>
      <c r="I794" s="116"/>
      <c r="L794" s="169"/>
    </row>
    <row r="795" spans="1:12" x14ac:dyDescent="0.25">
      <c r="A795" s="169">
        <v>43180</v>
      </c>
      <c r="B795" s="116">
        <v>15.25</v>
      </c>
      <c r="C795" s="116">
        <v>14.6</v>
      </c>
      <c r="D795" s="116">
        <v>14.15</v>
      </c>
      <c r="E795" s="116">
        <v>15.2</v>
      </c>
      <c r="F795" s="116">
        <v>14.6</v>
      </c>
      <c r="G795">
        <v>141731</v>
      </c>
      <c r="H795" s="116"/>
      <c r="I795" s="116"/>
      <c r="L795" s="169"/>
    </row>
    <row r="796" spans="1:12" x14ac:dyDescent="0.25">
      <c r="A796" s="169">
        <v>43181</v>
      </c>
      <c r="B796" s="116">
        <v>15</v>
      </c>
      <c r="C796" s="116">
        <v>14.45</v>
      </c>
      <c r="D796" s="116">
        <v>14.05</v>
      </c>
      <c r="E796" s="116">
        <v>14.45</v>
      </c>
      <c r="F796" s="116">
        <v>14.45</v>
      </c>
      <c r="G796">
        <v>334313</v>
      </c>
      <c r="H796" s="116"/>
      <c r="I796" s="116"/>
      <c r="L796" s="169"/>
    </row>
    <row r="797" spans="1:12" x14ac:dyDescent="0.25">
      <c r="A797" s="169">
        <v>43182</v>
      </c>
      <c r="B797" s="116">
        <v>17.2</v>
      </c>
      <c r="C797" s="116">
        <v>13.9</v>
      </c>
      <c r="D797" s="116">
        <v>13.5</v>
      </c>
      <c r="E797" s="116">
        <v>17.2</v>
      </c>
      <c r="F797" s="116">
        <v>13.9</v>
      </c>
      <c r="G797">
        <v>250098</v>
      </c>
      <c r="H797" s="116"/>
      <c r="I797" s="116"/>
      <c r="L797" s="169"/>
    </row>
    <row r="798" spans="1:12" x14ac:dyDescent="0.25">
      <c r="A798" s="169">
        <v>43185</v>
      </c>
      <c r="B798" s="116">
        <v>15</v>
      </c>
      <c r="C798" s="116">
        <v>14.55</v>
      </c>
      <c r="D798" s="116">
        <v>13.5</v>
      </c>
      <c r="E798" s="116">
        <v>13.5</v>
      </c>
      <c r="F798" s="116">
        <v>14.55</v>
      </c>
      <c r="G798">
        <v>352581</v>
      </c>
      <c r="H798" s="116"/>
      <c r="I798" s="116"/>
      <c r="L798" s="169"/>
    </row>
    <row r="799" spans="1:12" x14ac:dyDescent="0.25">
      <c r="A799" s="169">
        <v>43186</v>
      </c>
      <c r="B799" s="116">
        <v>15.9</v>
      </c>
      <c r="C799" s="116">
        <v>15.7</v>
      </c>
      <c r="D799" s="116">
        <v>14.65</v>
      </c>
      <c r="E799" s="116">
        <v>15.25</v>
      </c>
      <c r="F799" s="116">
        <v>15.7</v>
      </c>
      <c r="G799">
        <v>32886</v>
      </c>
      <c r="H799" s="116"/>
      <c r="I799" s="116"/>
      <c r="L799" s="169"/>
    </row>
    <row r="800" spans="1:12" x14ac:dyDescent="0.25">
      <c r="A800" s="169">
        <v>43187</v>
      </c>
      <c r="B800" s="116">
        <v>15.95</v>
      </c>
      <c r="C800" s="116">
        <v>15.3</v>
      </c>
      <c r="D800" s="116">
        <v>14.55</v>
      </c>
      <c r="E800" s="116">
        <v>14.6</v>
      </c>
      <c r="F800" s="116">
        <v>15.3</v>
      </c>
      <c r="G800">
        <v>493594</v>
      </c>
      <c r="H800" s="116"/>
      <c r="I800" s="116"/>
      <c r="L800" s="169"/>
    </row>
    <row r="801" spans="1:12" x14ac:dyDescent="0.25">
      <c r="A801" s="169">
        <v>43192</v>
      </c>
      <c r="B801" s="116">
        <v>15.9</v>
      </c>
      <c r="C801" s="116">
        <v>15.5</v>
      </c>
      <c r="D801" s="116">
        <v>14.3</v>
      </c>
      <c r="E801" s="116">
        <v>15</v>
      </c>
      <c r="F801" s="116">
        <v>15.5</v>
      </c>
      <c r="G801">
        <v>59834</v>
      </c>
      <c r="H801" s="116"/>
      <c r="I801" s="116"/>
      <c r="L801" s="169"/>
    </row>
    <row r="802" spans="1:12" x14ac:dyDescent="0.25">
      <c r="A802" s="169">
        <v>43193</v>
      </c>
      <c r="B802" s="116">
        <v>16.399999999999999</v>
      </c>
      <c r="C802" s="116">
        <v>15.75</v>
      </c>
      <c r="D802" s="116">
        <v>15.25</v>
      </c>
      <c r="E802" s="116">
        <v>15.9</v>
      </c>
      <c r="F802" s="116">
        <v>15.75</v>
      </c>
      <c r="G802">
        <v>147409</v>
      </c>
      <c r="H802" s="116"/>
      <c r="I802" s="116"/>
      <c r="L802" s="169"/>
    </row>
    <row r="803" spans="1:12" x14ac:dyDescent="0.25">
      <c r="A803" s="169">
        <v>43194</v>
      </c>
      <c r="B803" s="116">
        <v>16</v>
      </c>
      <c r="C803" s="116">
        <v>15.5</v>
      </c>
      <c r="D803" s="116">
        <v>15.25</v>
      </c>
      <c r="E803" s="116">
        <v>15.75</v>
      </c>
      <c r="F803" s="116">
        <v>15.5</v>
      </c>
      <c r="G803">
        <v>14425</v>
      </c>
      <c r="H803" s="116"/>
      <c r="I803" s="116"/>
      <c r="L803" s="169"/>
    </row>
    <row r="804" spans="1:12" x14ac:dyDescent="0.25">
      <c r="A804" s="169">
        <v>43195</v>
      </c>
      <c r="B804" s="116">
        <v>15.85</v>
      </c>
      <c r="C804" s="116">
        <v>15.7</v>
      </c>
      <c r="D804" s="116">
        <v>15.1</v>
      </c>
      <c r="E804" s="116">
        <v>15.6</v>
      </c>
      <c r="F804" s="116">
        <v>15.7</v>
      </c>
      <c r="G804">
        <v>20598</v>
      </c>
      <c r="H804" s="116"/>
      <c r="I804" s="116"/>
      <c r="L804" s="169"/>
    </row>
    <row r="805" spans="1:12" x14ac:dyDescent="0.25">
      <c r="A805" s="169">
        <v>43196</v>
      </c>
      <c r="B805" s="116">
        <v>16.25</v>
      </c>
      <c r="C805" s="116">
        <v>16.100000000000001</v>
      </c>
      <c r="D805" s="116">
        <v>15.4</v>
      </c>
      <c r="E805" s="116">
        <v>15.5</v>
      </c>
      <c r="F805" s="116">
        <v>16.100000000000001</v>
      </c>
      <c r="G805">
        <v>27065</v>
      </c>
      <c r="H805" s="116"/>
      <c r="I805" s="116"/>
      <c r="L805" s="169"/>
    </row>
    <row r="806" spans="1:12" x14ac:dyDescent="0.25">
      <c r="A806" s="169">
        <v>43199</v>
      </c>
      <c r="B806" s="116">
        <v>17</v>
      </c>
      <c r="C806" s="116">
        <v>16.100000000000001</v>
      </c>
      <c r="D806" s="116">
        <v>15.75</v>
      </c>
      <c r="E806" s="116">
        <v>16.25</v>
      </c>
      <c r="F806" s="116">
        <v>16.100000000000001</v>
      </c>
      <c r="G806">
        <v>68007</v>
      </c>
      <c r="H806" s="116"/>
      <c r="I806" s="116"/>
      <c r="L806" s="169"/>
    </row>
    <row r="807" spans="1:12" x14ac:dyDescent="0.25">
      <c r="A807" s="169">
        <v>43200</v>
      </c>
      <c r="B807" s="116">
        <v>16.350000000000001</v>
      </c>
      <c r="C807" s="116">
        <v>15.8</v>
      </c>
      <c r="D807" s="116">
        <v>15.8</v>
      </c>
      <c r="E807" s="116">
        <v>16.3</v>
      </c>
      <c r="F807" s="116">
        <v>15.8</v>
      </c>
      <c r="G807">
        <v>16929</v>
      </c>
      <c r="H807" s="116"/>
      <c r="I807" s="116"/>
      <c r="L807" s="169"/>
    </row>
    <row r="808" spans="1:12" x14ac:dyDescent="0.25">
      <c r="A808" s="169">
        <v>43201</v>
      </c>
      <c r="B808" s="116">
        <v>16</v>
      </c>
      <c r="C808" s="116">
        <v>15.35</v>
      </c>
      <c r="D808" s="116">
        <v>15.1</v>
      </c>
      <c r="E808" s="116">
        <v>15.7</v>
      </c>
      <c r="F808" s="116">
        <v>15.35</v>
      </c>
      <c r="G808">
        <v>54034</v>
      </c>
      <c r="H808" s="116"/>
      <c r="I808" s="116"/>
      <c r="L808" s="169"/>
    </row>
    <row r="809" spans="1:12" x14ac:dyDescent="0.25">
      <c r="A809" s="169">
        <v>43202</v>
      </c>
      <c r="B809" s="116">
        <v>16.2</v>
      </c>
      <c r="C809" s="116">
        <v>15.5</v>
      </c>
      <c r="D809" s="116">
        <v>15.3</v>
      </c>
      <c r="E809" s="116">
        <v>15.35</v>
      </c>
      <c r="F809" s="116">
        <v>15.5</v>
      </c>
      <c r="G809">
        <v>49207</v>
      </c>
      <c r="H809" s="116"/>
      <c r="I809" s="116"/>
      <c r="L809" s="169"/>
    </row>
    <row r="810" spans="1:12" x14ac:dyDescent="0.25">
      <c r="A810" s="169">
        <v>43203</v>
      </c>
      <c r="B810" s="116">
        <v>17.350000000000001</v>
      </c>
      <c r="C810" s="116">
        <v>16.600000000000001</v>
      </c>
      <c r="D810" s="116">
        <v>15.5</v>
      </c>
      <c r="E810" s="116">
        <v>15.65</v>
      </c>
      <c r="F810" s="116">
        <v>16.600000000000001</v>
      </c>
      <c r="G810">
        <v>117754</v>
      </c>
      <c r="H810" s="116"/>
      <c r="I810" s="116"/>
      <c r="L810" s="169"/>
    </row>
    <row r="811" spans="1:12" x14ac:dyDescent="0.25">
      <c r="A811" s="169">
        <v>43206</v>
      </c>
      <c r="B811" s="116">
        <v>18.149999999999999</v>
      </c>
      <c r="C811" s="116">
        <v>17.75</v>
      </c>
      <c r="D811" s="116">
        <v>16.2</v>
      </c>
      <c r="E811" s="116">
        <v>16.850000000000001</v>
      </c>
      <c r="F811" s="116">
        <v>17.75</v>
      </c>
      <c r="G811">
        <v>272184</v>
      </c>
      <c r="H811" s="116"/>
      <c r="I811" s="116"/>
      <c r="L811" s="169"/>
    </row>
    <row r="812" spans="1:12" x14ac:dyDescent="0.25">
      <c r="A812" s="169">
        <v>43207</v>
      </c>
      <c r="B812" s="116">
        <v>19.899999999999999</v>
      </c>
      <c r="C812" s="116">
        <v>17.649999999999999</v>
      </c>
      <c r="D812" s="116">
        <v>16.899999999999999</v>
      </c>
      <c r="E812" s="116">
        <v>18.399999999999999</v>
      </c>
      <c r="F812" s="116">
        <v>17.649999999999999</v>
      </c>
      <c r="G812">
        <v>684631</v>
      </c>
      <c r="H812" s="116"/>
      <c r="I812" s="116"/>
      <c r="L812" s="169"/>
    </row>
    <row r="813" spans="1:12" x14ac:dyDescent="0.25">
      <c r="A813" s="169">
        <v>43208</v>
      </c>
      <c r="B813" s="116">
        <v>18.2</v>
      </c>
      <c r="C813" s="116">
        <v>17.100000000000001</v>
      </c>
      <c r="D813" s="116">
        <v>16.899999999999999</v>
      </c>
      <c r="E813" s="116">
        <v>18.2</v>
      </c>
      <c r="F813" s="116">
        <v>17.100000000000001</v>
      </c>
      <c r="G813">
        <v>188210</v>
      </c>
      <c r="H813" s="116"/>
      <c r="I813" s="116"/>
      <c r="L813" s="169"/>
    </row>
    <row r="814" spans="1:12" x14ac:dyDescent="0.25">
      <c r="A814" s="169">
        <v>43209</v>
      </c>
      <c r="B814" s="116">
        <v>17.25</v>
      </c>
      <c r="C814" s="116">
        <v>16.149999999999999</v>
      </c>
      <c r="D814" s="116">
        <v>16</v>
      </c>
      <c r="E814" s="116">
        <v>16.8</v>
      </c>
      <c r="F814" s="116">
        <v>16.149999999999999</v>
      </c>
      <c r="G814">
        <v>84793</v>
      </c>
      <c r="H814" s="116"/>
      <c r="I814" s="116"/>
      <c r="L814" s="169"/>
    </row>
    <row r="815" spans="1:12" x14ac:dyDescent="0.25">
      <c r="A815" s="169">
        <v>43210</v>
      </c>
      <c r="B815" s="116">
        <v>16.5</v>
      </c>
      <c r="C815" s="116">
        <v>16</v>
      </c>
      <c r="D815" s="116">
        <v>15.65</v>
      </c>
      <c r="E815" s="116">
        <v>16.45</v>
      </c>
      <c r="F815" s="116">
        <v>16</v>
      </c>
      <c r="G815">
        <v>90128</v>
      </c>
      <c r="H815" s="116"/>
      <c r="I815" s="116"/>
      <c r="L815" s="169"/>
    </row>
    <row r="816" spans="1:12" x14ac:dyDescent="0.25">
      <c r="A816" s="169">
        <v>43213</v>
      </c>
      <c r="B816" s="116">
        <v>17.3</v>
      </c>
      <c r="C816" s="116">
        <v>16.95</v>
      </c>
      <c r="D816" s="116">
        <v>16</v>
      </c>
      <c r="E816" s="116">
        <v>16.45</v>
      </c>
      <c r="F816" s="116">
        <v>16.95</v>
      </c>
      <c r="G816">
        <v>95239</v>
      </c>
      <c r="H816" s="116"/>
      <c r="I816" s="116"/>
      <c r="L816" s="169"/>
    </row>
    <row r="817" spans="1:12" x14ac:dyDescent="0.25">
      <c r="A817" s="169">
        <v>43214</v>
      </c>
      <c r="B817" s="116">
        <v>17.399999999999999</v>
      </c>
      <c r="C817" s="116">
        <v>16.850000000000001</v>
      </c>
      <c r="D817" s="116">
        <v>16.75</v>
      </c>
      <c r="E817" s="116">
        <v>17.399999999999999</v>
      </c>
      <c r="F817" s="116">
        <v>16.850000000000001</v>
      </c>
      <c r="G817">
        <v>54015</v>
      </c>
      <c r="H817" s="116"/>
      <c r="I817" s="116"/>
      <c r="L817" s="169"/>
    </row>
    <row r="818" spans="1:12" x14ac:dyDescent="0.25">
      <c r="A818" s="169">
        <v>43215</v>
      </c>
      <c r="B818" s="116">
        <v>16.8</v>
      </c>
      <c r="C818" s="116">
        <v>16.149999999999999</v>
      </c>
      <c r="D818" s="116">
        <v>16.05</v>
      </c>
      <c r="E818" s="116">
        <v>16.350000000000001</v>
      </c>
      <c r="F818" s="116">
        <v>16.149999999999999</v>
      </c>
      <c r="G818">
        <v>50725</v>
      </c>
      <c r="H818" s="116"/>
      <c r="I818" s="116"/>
      <c r="L818" s="169"/>
    </row>
    <row r="819" spans="1:12" x14ac:dyDescent="0.25">
      <c r="A819" s="169">
        <v>43216</v>
      </c>
      <c r="B819" s="116">
        <v>16.45</v>
      </c>
      <c r="C819" s="116">
        <v>16.350000000000001</v>
      </c>
      <c r="D819" s="116">
        <v>15.55</v>
      </c>
      <c r="E819" s="116">
        <v>15.55</v>
      </c>
      <c r="F819" s="116">
        <v>16.350000000000001</v>
      </c>
      <c r="G819">
        <v>25603</v>
      </c>
      <c r="H819" s="116"/>
      <c r="I819" s="116"/>
      <c r="L819" s="169"/>
    </row>
    <row r="820" spans="1:12" x14ac:dyDescent="0.25">
      <c r="A820" s="169">
        <v>43217</v>
      </c>
      <c r="B820" s="116">
        <v>16.350000000000001</v>
      </c>
      <c r="C820" s="116">
        <v>16.05</v>
      </c>
      <c r="D820" s="116">
        <v>16</v>
      </c>
      <c r="E820" s="116">
        <v>16</v>
      </c>
      <c r="F820" s="116">
        <v>16.05</v>
      </c>
      <c r="G820">
        <v>37403</v>
      </c>
      <c r="H820" s="116"/>
      <c r="I820" s="116"/>
      <c r="L820" s="169"/>
    </row>
    <row r="821" spans="1:12" x14ac:dyDescent="0.25">
      <c r="A821" s="169">
        <v>43220</v>
      </c>
      <c r="B821" s="116">
        <v>16.5</v>
      </c>
      <c r="C821" s="116">
        <v>16</v>
      </c>
      <c r="D821" s="116">
        <v>15.75</v>
      </c>
      <c r="E821" s="116">
        <v>16.350000000000001</v>
      </c>
      <c r="F821" s="116">
        <v>16</v>
      </c>
      <c r="G821">
        <v>38591</v>
      </c>
      <c r="H821" s="116"/>
      <c r="I821" s="116"/>
      <c r="L821" s="169"/>
    </row>
    <row r="822" spans="1:12" x14ac:dyDescent="0.25">
      <c r="A822" s="169">
        <v>43222</v>
      </c>
      <c r="B822" s="116">
        <v>18.25</v>
      </c>
      <c r="C822" s="116">
        <v>17.350000000000001</v>
      </c>
      <c r="D822" s="116">
        <v>16.7</v>
      </c>
      <c r="E822" s="116">
        <v>17</v>
      </c>
      <c r="F822" s="116">
        <v>17.350000000000001</v>
      </c>
      <c r="G822">
        <v>344088</v>
      </c>
      <c r="H822" s="116"/>
      <c r="I822" s="116"/>
      <c r="L822" s="169"/>
    </row>
    <row r="823" spans="1:12" x14ac:dyDescent="0.25">
      <c r="A823" s="169">
        <v>43223</v>
      </c>
      <c r="B823" s="116">
        <v>18.600000000000001</v>
      </c>
      <c r="C823" s="116">
        <v>17.100000000000001</v>
      </c>
      <c r="D823" s="116">
        <v>17</v>
      </c>
      <c r="E823" s="116">
        <v>17.95</v>
      </c>
      <c r="F823" s="116">
        <v>17.100000000000001</v>
      </c>
      <c r="G823">
        <v>124472</v>
      </c>
      <c r="H823" s="116"/>
      <c r="I823" s="116"/>
      <c r="L823" s="169"/>
    </row>
    <row r="824" spans="1:12" x14ac:dyDescent="0.25">
      <c r="A824" s="169">
        <v>43224</v>
      </c>
      <c r="B824" s="116">
        <v>17.55</v>
      </c>
      <c r="C824" s="116">
        <v>16.75</v>
      </c>
      <c r="D824" s="116">
        <v>16.100000000000001</v>
      </c>
      <c r="E824" s="116">
        <v>17.5</v>
      </c>
      <c r="F824" s="116">
        <v>16.75</v>
      </c>
      <c r="G824">
        <v>114264</v>
      </c>
      <c r="H824" s="116"/>
      <c r="I824" s="116"/>
      <c r="L824" s="169"/>
    </row>
    <row r="825" spans="1:12" x14ac:dyDescent="0.25">
      <c r="A825" s="169">
        <v>43227</v>
      </c>
      <c r="B825" s="116">
        <v>17.2</v>
      </c>
      <c r="C825" s="116">
        <v>16.5</v>
      </c>
      <c r="D825" s="116">
        <v>16.2</v>
      </c>
      <c r="E825" s="116">
        <v>17.2</v>
      </c>
      <c r="F825" s="116">
        <v>16.5</v>
      </c>
      <c r="G825">
        <v>60972</v>
      </c>
      <c r="H825" s="116"/>
      <c r="I825" s="116"/>
      <c r="L825" s="169"/>
    </row>
    <row r="826" spans="1:12" x14ac:dyDescent="0.25">
      <c r="A826" s="169">
        <v>43228</v>
      </c>
      <c r="B826" s="116">
        <v>16.75</v>
      </c>
      <c r="C826" s="116">
        <v>16.149999999999999</v>
      </c>
      <c r="D826" s="116">
        <v>16</v>
      </c>
      <c r="E826" s="116">
        <v>16.55</v>
      </c>
      <c r="F826" s="116">
        <v>16.149999999999999</v>
      </c>
      <c r="G826">
        <v>51880</v>
      </c>
      <c r="H826" s="116"/>
      <c r="I826" s="116"/>
      <c r="L826" s="169"/>
    </row>
    <row r="827" spans="1:12" x14ac:dyDescent="0.25">
      <c r="A827" s="169">
        <v>43229</v>
      </c>
      <c r="B827" s="116">
        <v>16.55</v>
      </c>
      <c r="C827" s="116">
        <v>16.05</v>
      </c>
      <c r="D827" s="116">
        <v>15.65</v>
      </c>
      <c r="E827" s="116">
        <v>16.55</v>
      </c>
      <c r="F827" s="116">
        <v>16.05</v>
      </c>
      <c r="G827">
        <v>36422</v>
      </c>
      <c r="H827" s="116"/>
      <c r="I827" s="116"/>
      <c r="L827" s="169"/>
    </row>
    <row r="828" spans="1:12" x14ac:dyDescent="0.25">
      <c r="A828" s="169">
        <v>43230</v>
      </c>
      <c r="B828" s="116">
        <v>16.25</v>
      </c>
      <c r="C828" s="116">
        <v>15.9</v>
      </c>
      <c r="D828" s="116">
        <v>15.8</v>
      </c>
      <c r="E828" s="116">
        <v>16.25</v>
      </c>
      <c r="F828" s="116">
        <v>15.9</v>
      </c>
      <c r="G828">
        <v>51902</v>
      </c>
      <c r="H828" s="116"/>
      <c r="I828" s="116"/>
      <c r="L828" s="169"/>
    </row>
    <row r="829" spans="1:12" x14ac:dyDescent="0.25">
      <c r="A829" s="169">
        <v>43231</v>
      </c>
      <c r="B829" s="116">
        <v>16.5</v>
      </c>
      <c r="C829" s="116">
        <v>15.95</v>
      </c>
      <c r="D829" s="116">
        <v>15.6</v>
      </c>
      <c r="E829" s="116">
        <v>16.5</v>
      </c>
      <c r="F829" s="116">
        <v>15.95</v>
      </c>
      <c r="G829">
        <v>37220</v>
      </c>
      <c r="H829" s="116"/>
      <c r="I829" s="116"/>
      <c r="L829" s="169"/>
    </row>
    <row r="830" spans="1:12" x14ac:dyDescent="0.25">
      <c r="A830" s="169">
        <v>43234</v>
      </c>
      <c r="B830" s="116">
        <v>16.2</v>
      </c>
      <c r="C830" s="116">
        <v>15.9</v>
      </c>
      <c r="D830" s="116">
        <v>15.25</v>
      </c>
      <c r="E830" s="116">
        <v>15.8</v>
      </c>
      <c r="F830" s="116">
        <v>15.9</v>
      </c>
      <c r="G830">
        <v>124226</v>
      </c>
      <c r="H830" s="116"/>
      <c r="I830" s="116"/>
      <c r="L830" s="169"/>
    </row>
    <row r="831" spans="1:12" x14ac:dyDescent="0.25">
      <c r="A831" s="169">
        <v>43235</v>
      </c>
      <c r="B831" s="116">
        <v>16.5</v>
      </c>
      <c r="C831" s="116">
        <v>16</v>
      </c>
      <c r="D831" s="116">
        <v>15.4</v>
      </c>
      <c r="E831" s="116">
        <v>15.4</v>
      </c>
      <c r="F831" s="116">
        <v>16</v>
      </c>
      <c r="G831">
        <v>53929</v>
      </c>
      <c r="H831" s="116"/>
      <c r="I831" s="116"/>
      <c r="L831" s="169"/>
    </row>
    <row r="832" spans="1:12" x14ac:dyDescent="0.25">
      <c r="A832" s="169">
        <v>43236</v>
      </c>
      <c r="B832" s="116">
        <v>16</v>
      </c>
      <c r="C832" s="116">
        <v>15.9</v>
      </c>
      <c r="D832" s="116">
        <v>15.7</v>
      </c>
      <c r="E832" s="116">
        <v>16</v>
      </c>
      <c r="F832" s="116">
        <v>15.9</v>
      </c>
      <c r="G832">
        <v>9672</v>
      </c>
      <c r="H832" s="116"/>
      <c r="I832" s="116"/>
      <c r="L832" s="169"/>
    </row>
    <row r="833" spans="1:12" x14ac:dyDescent="0.25">
      <c r="A833" s="169">
        <v>43237</v>
      </c>
      <c r="B833" s="116">
        <v>16.3</v>
      </c>
      <c r="C833" s="116">
        <v>16.2</v>
      </c>
      <c r="D833" s="116">
        <v>15.7</v>
      </c>
      <c r="E833" s="116">
        <v>16.2</v>
      </c>
      <c r="F833" s="116">
        <v>16.2</v>
      </c>
      <c r="G833">
        <v>22196</v>
      </c>
      <c r="H833" s="116"/>
      <c r="I833" s="116"/>
      <c r="L833" s="169"/>
    </row>
    <row r="834" spans="1:12" x14ac:dyDescent="0.25">
      <c r="A834" s="169">
        <v>43238</v>
      </c>
      <c r="B834" s="116">
        <v>16.399999999999999</v>
      </c>
      <c r="C834" s="116">
        <v>15.9</v>
      </c>
      <c r="D834" s="116">
        <v>15.85</v>
      </c>
      <c r="E834" s="116">
        <v>16.399999999999999</v>
      </c>
      <c r="F834" s="116">
        <v>15.9</v>
      </c>
      <c r="G834">
        <v>18465</v>
      </c>
      <c r="H834" s="116"/>
      <c r="I834" s="116"/>
      <c r="L834" s="169"/>
    </row>
    <row r="835" spans="1:12" x14ac:dyDescent="0.25">
      <c r="A835" s="169">
        <v>43241</v>
      </c>
      <c r="B835" s="116">
        <v>16</v>
      </c>
      <c r="C835" s="116">
        <v>15.1</v>
      </c>
      <c r="D835" s="116">
        <v>14.95</v>
      </c>
      <c r="E835" s="116">
        <v>15.55</v>
      </c>
      <c r="F835" s="116">
        <v>15.1</v>
      </c>
      <c r="G835">
        <v>60814</v>
      </c>
      <c r="H835" s="116"/>
      <c r="I835" s="116"/>
      <c r="L835" s="169"/>
    </row>
    <row r="836" spans="1:12" x14ac:dyDescent="0.25">
      <c r="A836" s="169">
        <v>43242</v>
      </c>
      <c r="B836" s="116">
        <v>15.7</v>
      </c>
      <c r="C836" s="116">
        <v>15.2</v>
      </c>
      <c r="D836" s="116">
        <v>14.8</v>
      </c>
      <c r="E836" s="116">
        <v>15</v>
      </c>
      <c r="F836" s="116">
        <v>15.2</v>
      </c>
      <c r="G836">
        <v>16821</v>
      </c>
      <c r="H836" s="116"/>
      <c r="I836" s="116"/>
      <c r="L836" s="169"/>
    </row>
    <row r="837" spans="1:12" x14ac:dyDescent="0.25">
      <c r="A837" s="169">
        <v>43243</v>
      </c>
      <c r="B837" s="116">
        <v>15.45</v>
      </c>
      <c r="C837" s="116">
        <v>15</v>
      </c>
      <c r="D837" s="116">
        <v>14.95</v>
      </c>
      <c r="E837" s="116">
        <v>15.45</v>
      </c>
      <c r="F837" s="116">
        <v>15</v>
      </c>
      <c r="G837">
        <v>16295</v>
      </c>
      <c r="H837" s="116"/>
      <c r="I837" s="116"/>
      <c r="L837" s="169"/>
    </row>
    <row r="838" spans="1:12" x14ac:dyDescent="0.25">
      <c r="A838" s="169">
        <v>43244</v>
      </c>
      <c r="B838" s="116">
        <v>15.6</v>
      </c>
      <c r="C838" s="116">
        <v>15.1</v>
      </c>
      <c r="D838" s="116">
        <v>14.85</v>
      </c>
      <c r="E838" s="116">
        <v>15.6</v>
      </c>
      <c r="F838" s="116">
        <v>15.1</v>
      </c>
      <c r="G838">
        <v>18306</v>
      </c>
      <c r="H838" s="116"/>
      <c r="I838" s="116"/>
      <c r="L838" s="169"/>
    </row>
    <row r="839" spans="1:12" x14ac:dyDescent="0.25">
      <c r="A839" s="169">
        <v>43245</v>
      </c>
      <c r="B839" s="116">
        <v>16.149999999999999</v>
      </c>
      <c r="C839" s="116">
        <v>15.5</v>
      </c>
      <c r="D839" s="116">
        <v>14.95</v>
      </c>
      <c r="E839" s="116">
        <v>14.95</v>
      </c>
      <c r="F839" s="116">
        <v>15.5</v>
      </c>
      <c r="G839">
        <v>41850</v>
      </c>
      <c r="H839" s="116"/>
      <c r="I839" s="116"/>
      <c r="L839" s="169"/>
    </row>
    <row r="840" spans="1:12" x14ac:dyDescent="0.25">
      <c r="A840" s="169">
        <v>43248</v>
      </c>
      <c r="B840" s="116">
        <v>16.149999999999999</v>
      </c>
      <c r="C840" s="116">
        <v>15.55</v>
      </c>
      <c r="D840" s="116">
        <v>15.25</v>
      </c>
      <c r="E840" s="116">
        <v>15.55</v>
      </c>
      <c r="F840" s="116">
        <v>15.55</v>
      </c>
      <c r="G840">
        <v>14048</v>
      </c>
      <c r="H840" s="116"/>
      <c r="I840" s="116"/>
      <c r="L840" s="169"/>
    </row>
    <row r="841" spans="1:12" x14ac:dyDescent="0.25">
      <c r="A841" s="169">
        <v>43249</v>
      </c>
      <c r="B841" s="116">
        <v>15.95</v>
      </c>
      <c r="C841" s="116">
        <v>15.35</v>
      </c>
      <c r="D841" s="116">
        <v>15.1</v>
      </c>
      <c r="E841" s="116">
        <v>15.3</v>
      </c>
      <c r="F841" s="116">
        <v>15.35</v>
      </c>
      <c r="G841">
        <v>25297</v>
      </c>
      <c r="H841" s="116"/>
      <c r="I841" s="116"/>
      <c r="L841" s="169"/>
    </row>
    <row r="842" spans="1:12" x14ac:dyDescent="0.25">
      <c r="A842" s="169">
        <v>43250</v>
      </c>
      <c r="B842" s="116">
        <v>15.65</v>
      </c>
      <c r="C842" s="116">
        <v>15.35</v>
      </c>
      <c r="D842" s="116">
        <v>15.1</v>
      </c>
      <c r="E842" s="116">
        <v>15.5</v>
      </c>
      <c r="F842" s="116">
        <v>15.35</v>
      </c>
      <c r="G842">
        <v>15494</v>
      </c>
      <c r="H842" s="116"/>
      <c r="I842" s="116"/>
      <c r="L842" s="169"/>
    </row>
    <row r="843" spans="1:12" x14ac:dyDescent="0.25">
      <c r="A843" s="169">
        <v>43251</v>
      </c>
      <c r="B843" s="116">
        <v>15.75</v>
      </c>
      <c r="C843" s="116">
        <v>15.3</v>
      </c>
      <c r="D843" s="116">
        <v>15.15</v>
      </c>
      <c r="E843" s="116">
        <v>15.75</v>
      </c>
      <c r="F843" s="116">
        <v>15.3</v>
      </c>
      <c r="G843">
        <v>12023</v>
      </c>
      <c r="H843" s="116"/>
      <c r="I843" s="116"/>
      <c r="L843" s="169"/>
    </row>
    <row r="844" spans="1:12" x14ac:dyDescent="0.25">
      <c r="A844" s="169">
        <v>43252</v>
      </c>
      <c r="B844" s="116">
        <v>15.65</v>
      </c>
      <c r="C844" s="116">
        <v>14.9</v>
      </c>
      <c r="D844" s="116">
        <v>14.65</v>
      </c>
      <c r="E844" s="116">
        <v>15.65</v>
      </c>
      <c r="F844" s="116">
        <v>14.9</v>
      </c>
      <c r="G844">
        <v>33332</v>
      </c>
      <c r="H844" s="116"/>
      <c r="I844" s="116"/>
      <c r="L844" s="169"/>
    </row>
    <row r="845" spans="1:12" x14ac:dyDescent="0.25">
      <c r="A845" s="169">
        <v>43255</v>
      </c>
      <c r="B845" s="116">
        <v>14.95</v>
      </c>
      <c r="C845" s="116">
        <v>14.8</v>
      </c>
      <c r="D845" s="116">
        <v>14.6</v>
      </c>
      <c r="E845" s="116">
        <v>14.7</v>
      </c>
      <c r="F845" s="116">
        <v>14.8</v>
      </c>
      <c r="G845">
        <v>16509</v>
      </c>
      <c r="H845" s="116"/>
      <c r="I845" s="116"/>
      <c r="L845" s="169"/>
    </row>
    <row r="846" spans="1:12" x14ac:dyDescent="0.25">
      <c r="A846" s="169">
        <v>43256</v>
      </c>
      <c r="B846" s="116">
        <v>15.2</v>
      </c>
      <c r="C846" s="116">
        <v>13.85</v>
      </c>
      <c r="D846" s="116">
        <v>13.6</v>
      </c>
      <c r="E846" s="116">
        <v>15.2</v>
      </c>
      <c r="F846" s="116">
        <v>13.85</v>
      </c>
      <c r="G846">
        <v>50603</v>
      </c>
      <c r="H846" s="116"/>
      <c r="I846" s="116"/>
      <c r="L846" s="169"/>
    </row>
    <row r="847" spans="1:12" x14ac:dyDescent="0.25">
      <c r="A847" s="169">
        <v>43257</v>
      </c>
      <c r="B847" s="116">
        <v>14.3</v>
      </c>
      <c r="C847" s="116">
        <v>14.1</v>
      </c>
      <c r="D847" s="116">
        <v>13.25</v>
      </c>
      <c r="E847" s="116">
        <v>14.25</v>
      </c>
      <c r="F847" s="116">
        <v>14.1</v>
      </c>
      <c r="G847">
        <v>33091</v>
      </c>
      <c r="H847" s="116"/>
      <c r="I847" s="116"/>
      <c r="L847" s="169"/>
    </row>
    <row r="848" spans="1:12" x14ac:dyDescent="0.25">
      <c r="A848" s="169">
        <v>43258</v>
      </c>
      <c r="B848" s="116">
        <v>15</v>
      </c>
      <c r="C848" s="116">
        <v>14.65</v>
      </c>
      <c r="D848" s="116">
        <v>14.2</v>
      </c>
      <c r="E848" s="116">
        <v>15</v>
      </c>
      <c r="F848" s="116">
        <v>14.65</v>
      </c>
      <c r="G848">
        <v>17424</v>
      </c>
      <c r="H848" s="116"/>
      <c r="I848" s="116"/>
      <c r="L848" s="169"/>
    </row>
    <row r="849" spans="1:12" x14ac:dyDescent="0.25">
      <c r="A849" s="169">
        <v>43259</v>
      </c>
      <c r="B849" s="116">
        <v>14.95</v>
      </c>
      <c r="C849" s="116">
        <v>14.4</v>
      </c>
      <c r="D849" s="116">
        <v>14</v>
      </c>
      <c r="E849" s="116">
        <v>14.95</v>
      </c>
      <c r="F849" s="116">
        <v>14.4</v>
      </c>
      <c r="G849">
        <v>15314</v>
      </c>
      <c r="H849" s="116"/>
      <c r="I849" s="116"/>
      <c r="L849" s="169"/>
    </row>
    <row r="850" spans="1:12" x14ac:dyDescent="0.25">
      <c r="A850" s="169">
        <v>43262</v>
      </c>
      <c r="B850" s="116">
        <v>15.05</v>
      </c>
      <c r="C850" s="116">
        <v>14.95</v>
      </c>
      <c r="D850" s="116">
        <v>14.1</v>
      </c>
      <c r="E850" s="116">
        <v>14.95</v>
      </c>
      <c r="F850" s="116">
        <v>14.95</v>
      </c>
      <c r="G850">
        <v>13867</v>
      </c>
      <c r="H850" s="116"/>
      <c r="I850" s="116"/>
      <c r="L850" s="169"/>
    </row>
    <row r="851" spans="1:12" x14ac:dyDescent="0.25">
      <c r="A851" s="169">
        <v>43263</v>
      </c>
      <c r="B851" s="116">
        <v>15.7</v>
      </c>
      <c r="C851" s="116">
        <v>15.15</v>
      </c>
      <c r="D851" s="116">
        <v>14.4</v>
      </c>
      <c r="E851" s="116">
        <v>14.95</v>
      </c>
      <c r="F851" s="116">
        <v>15.15</v>
      </c>
      <c r="G851">
        <v>14996</v>
      </c>
      <c r="H851" s="116"/>
      <c r="I851" s="116"/>
      <c r="L851" s="169"/>
    </row>
    <row r="852" spans="1:12" x14ac:dyDescent="0.25">
      <c r="A852" s="169">
        <v>43264</v>
      </c>
      <c r="B852" s="116">
        <v>15.5</v>
      </c>
      <c r="C852" s="116">
        <v>15.1</v>
      </c>
      <c r="D852" s="116">
        <v>14.65</v>
      </c>
      <c r="E852" s="116">
        <v>15.5</v>
      </c>
      <c r="F852" s="116">
        <v>15.1</v>
      </c>
      <c r="G852">
        <v>10750</v>
      </c>
      <c r="H852" s="116"/>
      <c r="I852" s="116"/>
      <c r="L852" s="169"/>
    </row>
    <row r="853" spans="1:12" x14ac:dyDescent="0.25">
      <c r="A853" s="169">
        <v>43265</v>
      </c>
      <c r="B853" s="116">
        <v>14.95</v>
      </c>
      <c r="C853" s="116">
        <v>14.65</v>
      </c>
      <c r="D853" s="116">
        <v>14.5</v>
      </c>
      <c r="E853" s="116">
        <v>14.95</v>
      </c>
      <c r="F853" s="116">
        <v>14.65</v>
      </c>
      <c r="G853">
        <v>12639</v>
      </c>
      <c r="H853" s="116"/>
      <c r="I853" s="116"/>
      <c r="L853" s="169"/>
    </row>
    <row r="854" spans="1:12" x14ac:dyDescent="0.25">
      <c r="A854" s="169">
        <v>43266</v>
      </c>
      <c r="B854" s="116">
        <v>15.55</v>
      </c>
      <c r="C854" s="116">
        <v>15.15</v>
      </c>
      <c r="D854" s="116">
        <v>14.6</v>
      </c>
      <c r="E854" s="116">
        <v>14.6</v>
      </c>
      <c r="F854" s="116">
        <v>15.15</v>
      </c>
      <c r="G854">
        <v>26057</v>
      </c>
      <c r="H854" s="116"/>
      <c r="I854" s="116"/>
      <c r="L854" s="169"/>
    </row>
    <row r="855" spans="1:12" x14ac:dyDescent="0.25">
      <c r="A855" s="169">
        <v>43269</v>
      </c>
      <c r="B855" s="116">
        <v>15.3</v>
      </c>
      <c r="C855" s="116">
        <v>15.2</v>
      </c>
      <c r="D855" s="116">
        <v>14.8</v>
      </c>
      <c r="E855" s="116">
        <v>15.1</v>
      </c>
      <c r="F855" s="116">
        <v>15.2</v>
      </c>
      <c r="G855">
        <v>13808</v>
      </c>
      <c r="H855" s="116"/>
      <c r="I855" s="116"/>
      <c r="L855" s="169"/>
    </row>
    <row r="856" spans="1:12" x14ac:dyDescent="0.25">
      <c r="A856" s="169">
        <v>43270</v>
      </c>
      <c r="B856" s="116">
        <v>15.4</v>
      </c>
      <c r="C856" s="116">
        <v>14.95</v>
      </c>
      <c r="D856" s="116">
        <v>14.55</v>
      </c>
      <c r="E856" s="116">
        <v>15</v>
      </c>
      <c r="F856" s="116">
        <v>14.95</v>
      </c>
      <c r="G856">
        <v>4293</v>
      </c>
      <c r="H856" s="116"/>
      <c r="I856" s="116"/>
      <c r="L856" s="169"/>
    </row>
    <row r="857" spans="1:12" x14ac:dyDescent="0.25">
      <c r="A857" s="169">
        <v>43271</v>
      </c>
      <c r="B857" s="116">
        <v>15.3</v>
      </c>
      <c r="C857" s="116">
        <v>14.9</v>
      </c>
      <c r="D857" s="116">
        <v>14.55</v>
      </c>
      <c r="E857" s="116">
        <v>15.3</v>
      </c>
      <c r="F857" s="116">
        <v>14.9</v>
      </c>
      <c r="G857">
        <v>69426</v>
      </c>
      <c r="H857" s="116"/>
      <c r="I857" s="116"/>
      <c r="L857" s="169"/>
    </row>
    <row r="858" spans="1:12" x14ac:dyDescent="0.25">
      <c r="A858" s="169">
        <v>43272</v>
      </c>
      <c r="B858" s="116">
        <v>15.2</v>
      </c>
      <c r="C858" s="116">
        <v>14.95</v>
      </c>
      <c r="D858" s="116">
        <v>14.65</v>
      </c>
      <c r="E858" s="116">
        <v>15.2</v>
      </c>
      <c r="F858" s="116">
        <v>14.95</v>
      </c>
      <c r="G858">
        <v>18736</v>
      </c>
      <c r="H858" s="116"/>
      <c r="I858" s="116"/>
      <c r="L858" s="169"/>
    </row>
    <row r="859" spans="1:12" x14ac:dyDescent="0.25">
      <c r="A859" s="169">
        <v>43273</v>
      </c>
      <c r="B859" s="116">
        <v>15.3</v>
      </c>
      <c r="C859" s="116">
        <v>14.5</v>
      </c>
      <c r="D859" s="116">
        <v>14.1</v>
      </c>
      <c r="E859" s="116">
        <v>14.65</v>
      </c>
      <c r="F859" s="116">
        <v>14.5</v>
      </c>
      <c r="G859">
        <v>26709</v>
      </c>
      <c r="H859" s="116"/>
      <c r="I859" s="116"/>
      <c r="L859" s="169"/>
    </row>
    <row r="860" spans="1:12" x14ac:dyDescent="0.25">
      <c r="A860" s="169">
        <v>43276</v>
      </c>
      <c r="B860" s="116">
        <v>14.7</v>
      </c>
      <c r="C860" s="116">
        <v>14.15</v>
      </c>
      <c r="D860" s="116">
        <v>13.7</v>
      </c>
      <c r="E860" s="116">
        <v>14.15</v>
      </c>
      <c r="F860" s="116">
        <v>14.15</v>
      </c>
      <c r="G860">
        <v>11379</v>
      </c>
      <c r="H860" s="116"/>
      <c r="I860" s="116"/>
      <c r="L860" s="169"/>
    </row>
    <row r="861" spans="1:12" x14ac:dyDescent="0.25">
      <c r="A861" s="169">
        <v>43277</v>
      </c>
      <c r="B861" s="116">
        <v>14.65</v>
      </c>
      <c r="C861" s="116">
        <v>14.25</v>
      </c>
      <c r="D861" s="116">
        <v>13.8</v>
      </c>
      <c r="E861" s="116">
        <v>14.25</v>
      </c>
      <c r="F861" s="116">
        <v>14.25</v>
      </c>
      <c r="G861">
        <v>34315</v>
      </c>
      <c r="H861" s="116"/>
      <c r="I861" s="116"/>
      <c r="L861" s="169"/>
    </row>
    <row r="862" spans="1:12" x14ac:dyDescent="0.25">
      <c r="A862" s="169">
        <v>43278</v>
      </c>
      <c r="B862" s="116">
        <v>14.45</v>
      </c>
      <c r="C862" s="116">
        <v>13.15</v>
      </c>
      <c r="D862" s="116">
        <v>13.1</v>
      </c>
      <c r="E862" s="116">
        <v>13.85</v>
      </c>
      <c r="F862" s="116">
        <v>13.15</v>
      </c>
      <c r="G862">
        <v>45921</v>
      </c>
      <c r="H862" s="116"/>
      <c r="I862" s="116"/>
      <c r="L862" s="169"/>
    </row>
    <row r="863" spans="1:12" x14ac:dyDescent="0.25">
      <c r="A863" s="169">
        <v>43279</v>
      </c>
      <c r="B863" s="116">
        <v>13.65</v>
      </c>
      <c r="C863" s="116">
        <v>13</v>
      </c>
      <c r="D863" s="116">
        <v>11.5</v>
      </c>
      <c r="E863" s="116">
        <v>13.1</v>
      </c>
      <c r="F863" s="116">
        <v>13</v>
      </c>
      <c r="G863">
        <v>36858</v>
      </c>
      <c r="H863" s="116"/>
      <c r="I863" s="116"/>
      <c r="L863" s="169"/>
    </row>
    <row r="864" spans="1:12" x14ac:dyDescent="0.25">
      <c r="A864" s="169">
        <v>43280</v>
      </c>
      <c r="B864" s="116">
        <v>14</v>
      </c>
      <c r="C864" s="116">
        <v>13.3</v>
      </c>
      <c r="D864" s="116">
        <v>13</v>
      </c>
      <c r="E864" s="116">
        <v>13.25</v>
      </c>
      <c r="F864" s="116">
        <v>13.3</v>
      </c>
      <c r="G864">
        <v>64726</v>
      </c>
      <c r="H864" s="116"/>
      <c r="I864" s="116"/>
      <c r="L864" s="169"/>
    </row>
    <row r="865" spans="1:18" x14ac:dyDescent="0.25">
      <c r="A865" s="169">
        <v>43283</v>
      </c>
      <c r="B865" s="116">
        <v>13.6</v>
      </c>
      <c r="C865" s="116">
        <v>13.35</v>
      </c>
      <c r="D865" s="116">
        <v>13.2</v>
      </c>
      <c r="E865" s="116">
        <v>13.6</v>
      </c>
      <c r="F865" s="116">
        <v>13.35</v>
      </c>
      <c r="G865">
        <v>12218</v>
      </c>
      <c r="H865" s="116"/>
      <c r="I865" s="116"/>
      <c r="L865" s="169"/>
    </row>
    <row r="866" spans="1:18" x14ac:dyDescent="0.25">
      <c r="A866" s="169">
        <v>43284</v>
      </c>
      <c r="B866" s="116">
        <v>13.7</v>
      </c>
      <c r="C866" s="116">
        <v>13.19</v>
      </c>
      <c r="D866" s="116">
        <v>13.05</v>
      </c>
      <c r="E866" s="116">
        <v>13.5</v>
      </c>
      <c r="F866" s="116">
        <v>13.19</v>
      </c>
      <c r="G866">
        <v>33341</v>
      </c>
      <c r="H866" s="116"/>
      <c r="I866" s="116"/>
      <c r="L866" s="169"/>
    </row>
    <row r="867" spans="1:18" x14ac:dyDescent="0.25">
      <c r="A867" s="169">
        <v>43285</v>
      </c>
      <c r="B867" s="116">
        <v>13.95</v>
      </c>
      <c r="C867" s="116">
        <v>13.78</v>
      </c>
      <c r="D867" s="116">
        <v>13</v>
      </c>
      <c r="E867" s="116">
        <v>13</v>
      </c>
      <c r="F867" s="116">
        <v>13.78</v>
      </c>
      <c r="G867">
        <v>22399</v>
      </c>
      <c r="H867" s="116"/>
      <c r="I867" s="116"/>
      <c r="L867" s="169"/>
    </row>
    <row r="868" spans="1:18" x14ac:dyDescent="0.25">
      <c r="A868" s="169">
        <v>43286</v>
      </c>
      <c r="B868" s="116">
        <v>13.95</v>
      </c>
      <c r="C868" s="116">
        <v>13.45</v>
      </c>
      <c r="D868" s="116">
        <v>13.4</v>
      </c>
      <c r="E868" s="116">
        <v>13.95</v>
      </c>
      <c r="F868" s="116">
        <v>13.45</v>
      </c>
      <c r="G868">
        <v>1800</v>
      </c>
      <c r="H868" s="116"/>
      <c r="I868" s="116"/>
      <c r="L868" s="169"/>
    </row>
    <row r="869" spans="1:18" x14ac:dyDescent="0.25">
      <c r="A869" s="169">
        <v>43287</v>
      </c>
      <c r="B869" s="116">
        <v>13.75</v>
      </c>
      <c r="C869" s="116">
        <v>13.63</v>
      </c>
      <c r="D869" s="116">
        <v>13.4</v>
      </c>
      <c r="E869" s="116">
        <v>13.6</v>
      </c>
      <c r="F869" s="116">
        <v>13.63</v>
      </c>
      <c r="G869">
        <v>15458</v>
      </c>
      <c r="H869" s="116"/>
      <c r="I869" s="116"/>
      <c r="L869" s="169"/>
    </row>
    <row r="870" spans="1:18" x14ac:dyDescent="0.25">
      <c r="A870" s="169">
        <v>43290</v>
      </c>
      <c r="B870" s="116">
        <v>14</v>
      </c>
      <c r="C870" s="116">
        <v>13.97</v>
      </c>
      <c r="D870" s="116">
        <v>13.65</v>
      </c>
      <c r="E870" s="116">
        <v>13.85</v>
      </c>
      <c r="F870" s="116">
        <v>13.97</v>
      </c>
      <c r="G870">
        <v>20294</v>
      </c>
      <c r="H870" s="116"/>
      <c r="I870" s="116"/>
      <c r="L870" s="169"/>
    </row>
    <row r="871" spans="1:18" x14ac:dyDescent="0.25">
      <c r="A871" s="169">
        <v>43291</v>
      </c>
      <c r="B871" s="116">
        <v>15.9</v>
      </c>
      <c r="C871" s="116">
        <v>15.2</v>
      </c>
      <c r="D871" s="116">
        <v>13.95</v>
      </c>
      <c r="E871" s="116">
        <v>14.15</v>
      </c>
      <c r="F871" s="116">
        <v>15.2</v>
      </c>
      <c r="G871">
        <v>52833</v>
      </c>
      <c r="H871" s="116"/>
      <c r="I871" s="116"/>
      <c r="L871" s="169"/>
    </row>
    <row r="872" spans="1:18" x14ac:dyDescent="0.25">
      <c r="A872" s="169">
        <v>43292</v>
      </c>
      <c r="B872" s="116">
        <v>15.6</v>
      </c>
      <c r="C872" s="116">
        <v>15.13</v>
      </c>
      <c r="D872" s="116">
        <v>14.5</v>
      </c>
      <c r="E872" s="116">
        <v>15.6</v>
      </c>
      <c r="F872" s="116">
        <v>15.13</v>
      </c>
      <c r="G872">
        <v>15127</v>
      </c>
      <c r="H872" s="116"/>
      <c r="I872" s="116"/>
      <c r="L872" s="169"/>
    </row>
    <row r="873" spans="1:18" x14ac:dyDescent="0.25">
      <c r="A873" s="169">
        <v>43293</v>
      </c>
      <c r="B873" s="116">
        <v>15.5</v>
      </c>
      <c r="C873" s="116">
        <v>14.8</v>
      </c>
      <c r="D873" s="116">
        <v>14.75</v>
      </c>
      <c r="E873" s="116">
        <v>15.25</v>
      </c>
      <c r="F873" s="116">
        <v>14.8</v>
      </c>
      <c r="G873">
        <v>108145</v>
      </c>
      <c r="H873" s="116"/>
      <c r="I873" s="116"/>
      <c r="L873" s="169"/>
    </row>
    <row r="874" spans="1:18" x14ac:dyDescent="0.25">
      <c r="A874" s="169">
        <v>43294</v>
      </c>
      <c r="B874" s="116">
        <v>15.2</v>
      </c>
      <c r="C874" s="116">
        <v>14.67</v>
      </c>
      <c r="D874" s="116">
        <v>14.51</v>
      </c>
      <c r="E874" s="116">
        <v>15.2</v>
      </c>
      <c r="F874" s="116">
        <v>14.67</v>
      </c>
      <c r="G874">
        <v>15677</v>
      </c>
      <c r="H874" s="116"/>
      <c r="I874" s="116"/>
      <c r="L874" s="169"/>
    </row>
    <row r="875" spans="1:18" x14ac:dyDescent="0.25">
      <c r="A875" s="169">
        <v>43297</v>
      </c>
      <c r="B875" s="116">
        <v>14.85</v>
      </c>
      <c r="C875" s="116">
        <v>14.18</v>
      </c>
      <c r="D875" s="116">
        <v>14</v>
      </c>
      <c r="E875" s="116">
        <v>14.15</v>
      </c>
      <c r="F875" s="116">
        <v>14.18</v>
      </c>
      <c r="G875">
        <v>11956</v>
      </c>
      <c r="H875" s="116"/>
      <c r="I875" s="116"/>
      <c r="L875" s="169"/>
    </row>
    <row r="876" spans="1:18" x14ac:dyDescent="0.25">
      <c r="A876" s="169">
        <v>43298</v>
      </c>
      <c r="B876" s="116">
        <v>14.85</v>
      </c>
      <c r="C876" s="116">
        <v>14.7</v>
      </c>
      <c r="D876" s="116">
        <v>13.95</v>
      </c>
      <c r="E876" s="116">
        <v>14.4</v>
      </c>
      <c r="F876" s="116">
        <v>14.7</v>
      </c>
      <c r="G876">
        <v>25126</v>
      </c>
      <c r="H876" s="116"/>
      <c r="I876" s="116"/>
      <c r="L876" s="169"/>
    </row>
    <row r="877" spans="1:18" x14ac:dyDescent="0.25">
      <c r="A877" s="169">
        <v>43299</v>
      </c>
      <c r="B877" s="116">
        <v>15</v>
      </c>
      <c r="C877" s="116">
        <v>13.88</v>
      </c>
      <c r="D877" s="116">
        <v>13.7</v>
      </c>
      <c r="E877" s="116">
        <v>15</v>
      </c>
      <c r="F877" s="116">
        <v>13.88</v>
      </c>
      <c r="G877">
        <v>22689</v>
      </c>
      <c r="H877" s="116"/>
      <c r="I877" s="116"/>
      <c r="L877" s="169"/>
    </row>
    <row r="878" spans="1:18" x14ac:dyDescent="0.25">
      <c r="A878" s="169">
        <v>43300</v>
      </c>
      <c r="B878" s="116">
        <v>14.19</v>
      </c>
      <c r="C878" s="116">
        <v>13.56</v>
      </c>
      <c r="D878" s="116">
        <v>13.55</v>
      </c>
      <c r="E878" s="116">
        <v>13.65</v>
      </c>
      <c r="F878" s="116">
        <v>13.56</v>
      </c>
      <c r="G878">
        <v>14693</v>
      </c>
      <c r="H878" s="116"/>
      <c r="I878" s="116"/>
      <c r="L878" s="169">
        <v>43292</v>
      </c>
      <c r="M878" s="116">
        <v>336.15</v>
      </c>
      <c r="N878" s="116">
        <v>346.95</v>
      </c>
      <c r="O878" s="116">
        <v>335.1</v>
      </c>
      <c r="P878" s="116">
        <v>345.85</v>
      </c>
      <c r="Q878" s="116">
        <v>336.15</v>
      </c>
      <c r="R878">
        <v>447233</v>
      </c>
    </row>
    <row r="879" spans="1:18" x14ac:dyDescent="0.25">
      <c r="A879" s="169">
        <v>43301</v>
      </c>
      <c r="B879" s="116">
        <v>14</v>
      </c>
      <c r="C879" s="116">
        <v>13.94</v>
      </c>
      <c r="D879" s="116">
        <v>13.5</v>
      </c>
      <c r="E879" s="116">
        <v>13.84</v>
      </c>
      <c r="F879" s="116">
        <v>13.94</v>
      </c>
      <c r="G879">
        <v>7551</v>
      </c>
      <c r="H879" s="116"/>
      <c r="I879" s="116"/>
      <c r="L879" s="169">
        <v>43293</v>
      </c>
      <c r="M879" s="116">
        <v>332.55</v>
      </c>
      <c r="N879" s="116">
        <v>344</v>
      </c>
      <c r="O879" s="116">
        <v>331.15</v>
      </c>
      <c r="P879" s="116">
        <v>339.3</v>
      </c>
      <c r="Q879" s="116">
        <v>332.55</v>
      </c>
      <c r="R879">
        <v>622204</v>
      </c>
    </row>
    <row r="880" spans="1:18" x14ac:dyDescent="0.25">
      <c r="A880" s="169">
        <v>43304</v>
      </c>
      <c r="B880" s="116">
        <v>14</v>
      </c>
      <c r="C880" s="116">
        <v>13.8</v>
      </c>
      <c r="D880" s="116">
        <v>13.5</v>
      </c>
      <c r="E880" s="116">
        <v>13.5</v>
      </c>
      <c r="F880" s="116">
        <v>13.8</v>
      </c>
      <c r="G880">
        <v>57167</v>
      </c>
      <c r="H880" s="116"/>
      <c r="I880" s="116"/>
      <c r="L880" s="169">
        <v>43294</v>
      </c>
      <c r="M880" s="116">
        <v>330</v>
      </c>
      <c r="N880" s="116">
        <v>334.35</v>
      </c>
      <c r="O880" s="116">
        <v>325</v>
      </c>
      <c r="P880" s="116">
        <v>333</v>
      </c>
      <c r="Q880" s="116">
        <v>330</v>
      </c>
      <c r="R880">
        <v>405675</v>
      </c>
    </row>
    <row r="881" spans="1:18" x14ac:dyDescent="0.25">
      <c r="A881" s="169">
        <v>43305</v>
      </c>
      <c r="B881" s="116">
        <v>14.6</v>
      </c>
      <c r="C881" s="116">
        <v>14.41</v>
      </c>
      <c r="D881" s="116">
        <v>13.65</v>
      </c>
      <c r="E881" s="116">
        <v>13.65</v>
      </c>
      <c r="F881" s="116">
        <v>14.41</v>
      </c>
      <c r="G881">
        <v>40477</v>
      </c>
      <c r="H881" s="116"/>
      <c r="I881" s="116"/>
      <c r="L881" s="169">
        <v>43297</v>
      </c>
      <c r="M881" s="116">
        <v>324.2</v>
      </c>
      <c r="N881" s="116">
        <v>338</v>
      </c>
      <c r="O881" s="116">
        <v>320</v>
      </c>
      <c r="P881" s="116">
        <v>331</v>
      </c>
      <c r="Q881" s="116">
        <v>324.2</v>
      </c>
      <c r="R881">
        <v>903578</v>
      </c>
    </row>
    <row r="882" spans="1:18" x14ac:dyDescent="0.25">
      <c r="A882" s="169">
        <v>43306</v>
      </c>
      <c r="B882" s="116">
        <v>14.8</v>
      </c>
      <c r="C882" s="116">
        <v>14.77</v>
      </c>
      <c r="D882" s="116">
        <v>14.4</v>
      </c>
      <c r="E882" s="116">
        <v>14.45</v>
      </c>
      <c r="F882" s="116">
        <v>14.77</v>
      </c>
      <c r="G882">
        <v>19346</v>
      </c>
      <c r="H882" s="116"/>
      <c r="I882" s="116"/>
      <c r="L882" s="169">
        <v>43298</v>
      </c>
      <c r="M882" s="116">
        <v>331.15</v>
      </c>
      <c r="N882" s="116">
        <v>335</v>
      </c>
      <c r="O882" s="116">
        <v>321</v>
      </c>
      <c r="P882" s="116">
        <v>323.3</v>
      </c>
      <c r="Q882" s="116">
        <v>331.15</v>
      </c>
      <c r="R882">
        <v>629049</v>
      </c>
    </row>
    <row r="883" spans="1:18" x14ac:dyDescent="0.25">
      <c r="A883" s="169">
        <v>43307</v>
      </c>
      <c r="B883" s="116">
        <v>15.8</v>
      </c>
      <c r="C883" s="116">
        <v>14.45</v>
      </c>
      <c r="D883" s="116">
        <v>14.4</v>
      </c>
      <c r="E883" s="116">
        <v>14.99</v>
      </c>
      <c r="F883" s="116">
        <v>14.45</v>
      </c>
      <c r="G883">
        <v>92428</v>
      </c>
      <c r="H883" s="116"/>
      <c r="I883" s="116"/>
      <c r="L883" s="169">
        <v>43299</v>
      </c>
      <c r="M883" s="116">
        <v>329.65</v>
      </c>
      <c r="N883" s="116">
        <v>336.8</v>
      </c>
      <c r="O883" s="116">
        <v>323.75</v>
      </c>
      <c r="P883" s="116">
        <v>332.55</v>
      </c>
      <c r="Q883" s="116">
        <v>329.65</v>
      </c>
      <c r="R883">
        <v>435531</v>
      </c>
    </row>
    <row r="884" spans="1:18" x14ac:dyDescent="0.25">
      <c r="A884" s="169">
        <v>43308</v>
      </c>
      <c r="B884" s="116">
        <v>15</v>
      </c>
      <c r="C884" s="116">
        <v>14.6</v>
      </c>
      <c r="D884" s="116">
        <v>14.45</v>
      </c>
      <c r="E884" s="116">
        <v>14.45</v>
      </c>
      <c r="F884" s="116">
        <v>14.6</v>
      </c>
      <c r="G884">
        <v>52523</v>
      </c>
      <c r="H884" s="116"/>
      <c r="I884" s="116"/>
      <c r="L884" s="169">
        <v>43300</v>
      </c>
      <c r="M884" s="116">
        <v>328.05</v>
      </c>
      <c r="N884" s="116">
        <v>336.3</v>
      </c>
      <c r="O884" s="116">
        <v>324.7</v>
      </c>
      <c r="P884" s="116">
        <v>330.7</v>
      </c>
      <c r="Q884" s="116">
        <v>328.05</v>
      </c>
      <c r="R884">
        <v>345136</v>
      </c>
    </row>
    <row r="885" spans="1:18" x14ac:dyDescent="0.25">
      <c r="A885" s="169">
        <v>43311</v>
      </c>
      <c r="B885" s="116">
        <v>16.100000000000001</v>
      </c>
      <c r="C885" s="116">
        <v>15.44</v>
      </c>
      <c r="D885" s="116">
        <v>14.57</v>
      </c>
      <c r="E885" s="116">
        <v>14.9</v>
      </c>
      <c r="F885" s="116">
        <v>15.44</v>
      </c>
      <c r="G885">
        <v>170951</v>
      </c>
      <c r="H885" s="116"/>
      <c r="I885" s="116"/>
      <c r="L885" s="169">
        <v>43301</v>
      </c>
      <c r="M885" s="116">
        <v>325.8</v>
      </c>
      <c r="N885" s="116">
        <v>330.5</v>
      </c>
      <c r="O885" s="116">
        <v>324.39999999999998</v>
      </c>
      <c r="P885" s="116">
        <v>328.5</v>
      </c>
      <c r="Q885" s="116">
        <v>325.8</v>
      </c>
      <c r="R885">
        <v>342316</v>
      </c>
    </row>
    <row r="886" spans="1:18" x14ac:dyDescent="0.25">
      <c r="A886" s="169">
        <v>43312</v>
      </c>
      <c r="B886" s="116">
        <v>15.9</v>
      </c>
      <c r="C886" s="116">
        <v>15.33</v>
      </c>
      <c r="D886" s="116">
        <v>15</v>
      </c>
      <c r="E886" s="116">
        <v>15.9</v>
      </c>
      <c r="F886" s="116">
        <v>15.33</v>
      </c>
      <c r="G886">
        <v>39692</v>
      </c>
      <c r="H886" s="116"/>
      <c r="I886" s="116"/>
      <c r="L886" s="169">
        <v>43304</v>
      </c>
      <c r="M886" s="116">
        <v>330.9</v>
      </c>
      <c r="N886" s="116">
        <v>332</v>
      </c>
      <c r="O886" s="116">
        <v>320.10000000000002</v>
      </c>
      <c r="P886" s="116">
        <v>328</v>
      </c>
      <c r="Q886" s="116">
        <v>330.9</v>
      </c>
      <c r="R886">
        <v>531124</v>
      </c>
    </row>
    <row r="887" spans="1:18" x14ac:dyDescent="0.25">
      <c r="A887" s="169">
        <v>43313</v>
      </c>
      <c r="B887" s="116">
        <v>15.6</v>
      </c>
      <c r="C887" s="116">
        <v>15.2</v>
      </c>
      <c r="D887" s="116">
        <v>14.75</v>
      </c>
      <c r="E887" s="116">
        <v>15.6</v>
      </c>
      <c r="F887" s="116">
        <v>15.2</v>
      </c>
      <c r="G887">
        <v>44667</v>
      </c>
      <c r="H887" s="116"/>
      <c r="I887" s="116"/>
      <c r="L887" s="169">
        <v>43305</v>
      </c>
      <c r="M887" s="116">
        <v>345.3</v>
      </c>
      <c r="N887" s="116">
        <v>348</v>
      </c>
      <c r="O887" s="116">
        <v>328.35</v>
      </c>
      <c r="P887" s="116">
        <v>331.5</v>
      </c>
      <c r="Q887" s="116">
        <v>345.3</v>
      </c>
      <c r="R887">
        <v>801325</v>
      </c>
    </row>
    <row r="888" spans="1:18" x14ac:dyDescent="0.25">
      <c r="A888" s="169">
        <v>43314</v>
      </c>
      <c r="B888" s="116">
        <v>15.45</v>
      </c>
      <c r="C888" s="116">
        <v>15.3</v>
      </c>
      <c r="D888" s="116">
        <v>15</v>
      </c>
      <c r="E888" s="116">
        <v>15.05</v>
      </c>
      <c r="F888" s="116">
        <v>15.3</v>
      </c>
      <c r="G888">
        <v>29467</v>
      </c>
      <c r="H888" s="116"/>
      <c r="I888" s="116"/>
      <c r="L888" s="169">
        <v>43306</v>
      </c>
      <c r="M888" s="116">
        <v>355.7</v>
      </c>
      <c r="N888" s="116">
        <v>360</v>
      </c>
      <c r="O888" s="116">
        <v>345.3</v>
      </c>
      <c r="P888" s="116">
        <v>345.3</v>
      </c>
      <c r="Q888" s="116">
        <v>355.7</v>
      </c>
      <c r="R888">
        <v>975818</v>
      </c>
    </row>
    <row r="889" spans="1:18" x14ac:dyDescent="0.25">
      <c r="A889" s="169">
        <v>43315</v>
      </c>
      <c r="B889" s="116">
        <v>18.350000000000001</v>
      </c>
      <c r="C889" s="116">
        <v>18.2</v>
      </c>
      <c r="D889" s="116">
        <v>15.2</v>
      </c>
      <c r="E889" s="116">
        <v>15.2</v>
      </c>
      <c r="F889" s="116">
        <v>18.2</v>
      </c>
      <c r="G889">
        <v>469592</v>
      </c>
      <c r="H889" s="116"/>
      <c r="I889" s="116"/>
      <c r="L889" s="169">
        <v>43307</v>
      </c>
      <c r="M889" s="116">
        <v>352.7</v>
      </c>
      <c r="N889" s="116">
        <v>360.45</v>
      </c>
      <c r="O889" s="116">
        <v>349.4</v>
      </c>
      <c r="P889" s="116">
        <v>360</v>
      </c>
      <c r="Q889" s="116">
        <v>352.7</v>
      </c>
      <c r="R889">
        <v>773683</v>
      </c>
    </row>
    <row r="890" spans="1:18" x14ac:dyDescent="0.25">
      <c r="A890" s="169">
        <v>43318</v>
      </c>
      <c r="B890" s="116">
        <v>18.399999999999999</v>
      </c>
      <c r="C890" s="116">
        <v>16.850000000000001</v>
      </c>
      <c r="D890" s="116">
        <v>16.55</v>
      </c>
      <c r="E890" s="116">
        <v>18.399999999999999</v>
      </c>
      <c r="F890" s="116">
        <v>16.850000000000001</v>
      </c>
      <c r="G890">
        <v>131843</v>
      </c>
      <c r="H890" s="116"/>
      <c r="I890" s="116"/>
      <c r="L890" s="169">
        <v>43308</v>
      </c>
      <c r="M890" s="116">
        <v>369.15</v>
      </c>
      <c r="N890" s="116">
        <v>371.95</v>
      </c>
      <c r="O890" s="116">
        <v>354.8</v>
      </c>
      <c r="P890" s="116">
        <v>354.8</v>
      </c>
      <c r="Q890" s="116">
        <v>369.15</v>
      </c>
      <c r="R890">
        <v>1288015</v>
      </c>
    </row>
    <row r="891" spans="1:18" x14ac:dyDescent="0.25">
      <c r="A891" s="169">
        <v>43319</v>
      </c>
      <c r="B891" s="116">
        <v>17</v>
      </c>
      <c r="C891" s="116">
        <v>16.649999999999999</v>
      </c>
      <c r="D891" s="116">
        <v>16.3</v>
      </c>
      <c r="E891" s="116">
        <v>17</v>
      </c>
      <c r="F891" s="116">
        <v>16.649999999999999</v>
      </c>
      <c r="G891">
        <v>32225</v>
      </c>
      <c r="H891" s="116"/>
      <c r="I891" s="116"/>
      <c r="L891" s="169">
        <v>43311</v>
      </c>
      <c r="M891" s="116">
        <v>363.65</v>
      </c>
      <c r="N891" s="116">
        <v>377</v>
      </c>
      <c r="O891" s="116">
        <v>355.5</v>
      </c>
      <c r="P891" s="116">
        <v>369.5</v>
      </c>
      <c r="Q891" s="116">
        <v>363.65</v>
      </c>
      <c r="R891">
        <v>1940010</v>
      </c>
    </row>
    <row r="892" spans="1:18" x14ac:dyDescent="0.25">
      <c r="A892" s="169">
        <v>43320</v>
      </c>
      <c r="B892" s="116">
        <v>16.899999999999999</v>
      </c>
      <c r="C892" s="116">
        <v>16.350000000000001</v>
      </c>
      <c r="D892" s="116">
        <v>16.3</v>
      </c>
      <c r="E892" s="116">
        <v>16.899999999999999</v>
      </c>
      <c r="F892" s="116">
        <v>16.350000000000001</v>
      </c>
      <c r="G892">
        <v>31046</v>
      </c>
      <c r="H892" s="116"/>
      <c r="I892" s="116"/>
      <c r="L892" s="169">
        <v>43312</v>
      </c>
      <c r="M892" s="116">
        <v>334.65</v>
      </c>
      <c r="N892" s="116">
        <v>358</v>
      </c>
      <c r="O892" s="116">
        <v>328.9</v>
      </c>
      <c r="P892" s="116">
        <v>352</v>
      </c>
      <c r="Q892" s="116">
        <v>334.65</v>
      </c>
      <c r="R892">
        <v>3877856</v>
      </c>
    </row>
    <row r="893" spans="1:18" x14ac:dyDescent="0.25">
      <c r="A893" s="169">
        <v>43321</v>
      </c>
      <c r="B893" s="116">
        <v>16.899999999999999</v>
      </c>
      <c r="C893" s="116">
        <v>16.3</v>
      </c>
      <c r="D893" s="116">
        <v>16.25</v>
      </c>
      <c r="E893" s="116">
        <v>16.7</v>
      </c>
      <c r="F893" s="116">
        <v>16.3</v>
      </c>
      <c r="G893">
        <v>54663</v>
      </c>
      <c r="H893" s="116"/>
      <c r="I893" s="116"/>
      <c r="L893" s="169">
        <v>43313</v>
      </c>
      <c r="M893" s="116">
        <v>331.95</v>
      </c>
      <c r="N893" s="116">
        <v>336.9</v>
      </c>
      <c r="O893" s="116">
        <v>329.15</v>
      </c>
      <c r="P893" s="116">
        <v>334</v>
      </c>
      <c r="Q893" s="116">
        <v>331.95</v>
      </c>
      <c r="R893">
        <v>867516</v>
      </c>
    </row>
    <row r="894" spans="1:18" x14ac:dyDescent="0.25">
      <c r="A894" s="169">
        <v>43322</v>
      </c>
      <c r="B894" s="116">
        <v>16.8</v>
      </c>
      <c r="C894" s="116">
        <v>16.100000000000001</v>
      </c>
      <c r="D894" s="116">
        <v>16.100000000000001</v>
      </c>
      <c r="E894" s="116">
        <v>16.350000000000001</v>
      </c>
      <c r="F894" s="116">
        <v>16.100000000000001</v>
      </c>
      <c r="G894">
        <v>12694</v>
      </c>
      <c r="H894" s="116"/>
      <c r="I894" s="116"/>
      <c r="L894" s="169">
        <v>43314</v>
      </c>
      <c r="M894" s="116">
        <v>332.05</v>
      </c>
      <c r="N894" s="116">
        <v>336.35</v>
      </c>
      <c r="O894" s="116">
        <v>329.7</v>
      </c>
      <c r="P894" s="116">
        <v>331</v>
      </c>
      <c r="Q894" s="116">
        <v>332.05</v>
      </c>
      <c r="R894">
        <v>552662</v>
      </c>
    </row>
    <row r="895" spans="1:18" x14ac:dyDescent="0.25">
      <c r="A895" s="169">
        <v>43325</v>
      </c>
      <c r="B895" s="116">
        <v>16.600000000000001</v>
      </c>
      <c r="C895" s="116">
        <v>15.9</v>
      </c>
      <c r="D895" s="116">
        <v>15.15</v>
      </c>
      <c r="E895" s="116">
        <v>16.600000000000001</v>
      </c>
      <c r="F895" s="116">
        <v>15.9</v>
      </c>
      <c r="G895">
        <v>51437</v>
      </c>
      <c r="H895" s="116"/>
      <c r="I895" s="116"/>
      <c r="L895" s="169">
        <v>43315</v>
      </c>
      <c r="M895" s="116">
        <v>335.5</v>
      </c>
      <c r="N895" s="116">
        <v>341</v>
      </c>
      <c r="O895" s="116">
        <v>333.45</v>
      </c>
      <c r="P895" s="116">
        <v>333.45</v>
      </c>
      <c r="Q895" s="116">
        <v>335.5</v>
      </c>
      <c r="R895">
        <v>744285</v>
      </c>
    </row>
    <row r="896" spans="1:18" x14ac:dyDescent="0.25">
      <c r="A896" s="169">
        <v>43326</v>
      </c>
      <c r="B896" s="116">
        <v>16.2</v>
      </c>
      <c r="C896" s="116">
        <v>15.6</v>
      </c>
      <c r="D896" s="116">
        <v>15.5</v>
      </c>
      <c r="E896" s="116">
        <v>15.5</v>
      </c>
      <c r="F896" s="116">
        <v>15.6</v>
      </c>
      <c r="G896">
        <v>31085</v>
      </c>
      <c r="H896" s="116"/>
      <c r="I896" s="116"/>
      <c r="L896" s="169">
        <v>43318</v>
      </c>
      <c r="M896" s="116">
        <v>333.05</v>
      </c>
      <c r="N896" s="116">
        <v>342.9</v>
      </c>
      <c r="O896" s="116">
        <v>331.5</v>
      </c>
      <c r="P896" s="116">
        <v>338</v>
      </c>
      <c r="Q896" s="116">
        <v>333.05</v>
      </c>
      <c r="R896">
        <v>825602</v>
      </c>
    </row>
    <row r="897" spans="1:18" x14ac:dyDescent="0.25">
      <c r="A897" s="169">
        <v>43328</v>
      </c>
      <c r="B897" s="116">
        <v>15.85</v>
      </c>
      <c r="C897" s="116">
        <v>15.4</v>
      </c>
      <c r="D897" s="116">
        <v>15.35</v>
      </c>
      <c r="E897" s="116">
        <v>15.75</v>
      </c>
      <c r="F897" s="116">
        <v>15.4</v>
      </c>
      <c r="G897">
        <v>18203</v>
      </c>
      <c r="H897" s="116"/>
      <c r="I897" s="116"/>
      <c r="L897" s="169">
        <v>43319</v>
      </c>
      <c r="M897" s="116">
        <v>330.1</v>
      </c>
      <c r="N897" s="116">
        <v>335.5</v>
      </c>
      <c r="O897" s="116">
        <v>328.3</v>
      </c>
      <c r="P897" s="116">
        <v>334.05</v>
      </c>
      <c r="Q897" s="116">
        <v>330.1</v>
      </c>
      <c r="R897">
        <v>509705</v>
      </c>
    </row>
    <row r="898" spans="1:18" x14ac:dyDescent="0.25">
      <c r="A898" s="169">
        <v>43329</v>
      </c>
      <c r="B898" s="116">
        <v>16.3</v>
      </c>
      <c r="C898" s="116">
        <v>16.149999999999999</v>
      </c>
      <c r="D898" s="116">
        <v>15.6</v>
      </c>
      <c r="E898" s="116">
        <v>15.8</v>
      </c>
      <c r="F898" s="116">
        <v>16.149999999999999</v>
      </c>
      <c r="G898">
        <v>28724</v>
      </c>
      <c r="H898" s="116"/>
      <c r="I898" s="116"/>
      <c r="L898" s="169">
        <v>43320</v>
      </c>
      <c r="M898" s="116">
        <v>326.45</v>
      </c>
      <c r="N898" s="116">
        <v>333</v>
      </c>
      <c r="O898" s="116">
        <v>325.14999999999998</v>
      </c>
      <c r="P898" s="116">
        <v>333</v>
      </c>
      <c r="Q898" s="116">
        <v>326.45</v>
      </c>
      <c r="R898">
        <v>541478</v>
      </c>
    </row>
    <row r="899" spans="1:18" x14ac:dyDescent="0.25">
      <c r="A899" s="169">
        <v>43332</v>
      </c>
      <c r="B899" s="116">
        <v>16.399999999999999</v>
      </c>
      <c r="C899" s="116">
        <v>16.05</v>
      </c>
      <c r="D899" s="116">
        <v>15.85</v>
      </c>
      <c r="E899" s="116">
        <v>16.399999999999999</v>
      </c>
      <c r="F899" s="116">
        <v>16.05</v>
      </c>
      <c r="G899">
        <v>99946</v>
      </c>
      <c r="H899" s="116"/>
      <c r="I899" s="116"/>
      <c r="L899" s="169">
        <v>43321</v>
      </c>
      <c r="M899" s="116">
        <v>326.25</v>
      </c>
      <c r="N899" s="116">
        <v>332.15</v>
      </c>
      <c r="O899" s="116">
        <v>325</v>
      </c>
      <c r="P899" s="116">
        <v>328.3</v>
      </c>
      <c r="Q899" s="116">
        <v>326.25</v>
      </c>
      <c r="R899">
        <v>564901</v>
      </c>
    </row>
    <row r="900" spans="1:18" x14ac:dyDescent="0.25">
      <c r="A900" s="169">
        <v>43333</v>
      </c>
      <c r="B900" s="116">
        <v>16.649999999999999</v>
      </c>
      <c r="C900" s="116">
        <v>16.25</v>
      </c>
      <c r="D900" s="116">
        <v>16</v>
      </c>
      <c r="E900" s="116">
        <v>16.350000000000001</v>
      </c>
      <c r="F900" s="116">
        <v>16.25</v>
      </c>
      <c r="G900">
        <v>12834</v>
      </c>
      <c r="H900" s="116"/>
      <c r="I900" s="116"/>
      <c r="L900" s="169">
        <v>43322</v>
      </c>
      <c r="M900" s="116">
        <v>320.25</v>
      </c>
      <c r="N900" s="116">
        <v>328.65</v>
      </c>
      <c r="O900" s="116">
        <v>318</v>
      </c>
      <c r="P900" s="116">
        <v>328</v>
      </c>
      <c r="Q900" s="116">
        <v>320.25</v>
      </c>
      <c r="R900">
        <v>625441</v>
      </c>
    </row>
    <row r="901" spans="1:18" x14ac:dyDescent="0.25">
      <c r="A901" s="169">
        <v>43335</v>
      </c>
      <c r="B901" s="116">
        <v>17.05</v>
      </c>
      <c r="C901" s="116">
        <v>16.95</v>
      </c>
      <c r="D901" s="116">
        <v>15.75</v>
      </c>
      <c r="E901" s="116">
        <v>16</v>
      </c>
      <c r="F901" s="116">
        <v>16.95</v>
      </c>
      <c r="G901">
        <v>53446</v>
      </c>
      <c r="H901" s="116"/>
      <c r="I901" s="116"/>
      <c r="L901" s="169">
        <v>43325</v>
      </c>
      <c r="M901" s="116">
        <v>312.2</v>
      </c>
      <c r="N901" s="116">
        <v>318.5</v>
      </c>
      <c r="O901" s="116">
        <v>310.3</v>
      </c>
      <c r="P901" s="116">
        <v>318.5</v>
      </c>
      <c r="Q901" s="116">
        <v>312.2</v>
      </c>
      <c r="R901">
        <v>732007</v>
      </c>
    </row>
    <row r="902" spans="1:18" x14ac:dyDescent="0.25">
      <c r="A902" s="169">
        <v>43336</v>
      </c>
      <c r="B902" s="116">
        <v>17</v>
      </c>
      <c r="C902" s="116">
        <v>16.75</v>
      </c>
      <c r="D902" s="116">
        <v>16.3</v>
      </c>
      <c r="E902" s="116">
        <v>16.95</v>
      </c>
      <c r="F902" s="116">
        <v>16.75</v>
      </c>
      <c r="G902">
        <v>9933</v>
      </c>
      <c r="H902" s="116"/>
      <c r="I902" s="116"/>
      <c r="L902" s="169">
        <v>43326</v>
      </c>
      <c r="M902" s="116">
        <v>314.7</v>
      </c>
      <c r="N902" s="116">
        <v>317.39999999999998</v>
      </c>
      <c r="O902" s="116">
        <v>308.39999999999998</v>
      </c>
      <c r="P902" s="116">
        <v>311.7</v>
      </c>
      <c r="Q902" s="116">
        <v>314.7</v>
      </c>
      <c r="R902">
        <v>598656</v>
      </c>
    </row>
    <row r="903" spans="1:18" x14ac:dyDescent="0.25">
      <c r="A903" s="169">
        <v>43339</v>
      </c>
      <c r="B903" s="116">
        <v>17.2</v>
      </c>
      <c r="C903" s="116">
        <v>16.7</v>
      </c>
      <c r="D903" s="116">
        <v>16.399999999999999</v>
      </c>
      <c r="E903" s="116">
        <v>16.5</v>
      </c>
      <c r="F903" s="116">
        <v>16.7</v>
      </c>
      <c r="G903">
        <v>42212</v>
      </c>
      <c r="H903" s="116"/>
      <c r="I903" s="116"/>
      <c r="L903" s="169">
        <v>43328</v>
      </c>
      <c r="M903" s="116">
        <v>313.14999999999998</v>
      </c>
      <c r="N903" s="116">
        <v>318.7</v>
      </c>
      <c r="O903" s="116">
        <v>310.55</v>
      </c>
      <c r="P903" s="116">
        <v>314</v>
      </c>
      <c r="Q903" s="116">
        <v>313.14999999999998</v>
      </c>
      <c r="R903">
        <v>452622</v>
      </c>
    </row>
    <row r="904" spans="1:18" x14ac:dyDescent="0.25">
      <c r="A904" s="169">
        <v>43340</v>
      </c>
      <c r="B904" s="116">
        <v>16.899999999999999</v>
      </c>
      <c r="C904" s="116">
        <v>16.55</v>
      </c>
      <c r="D904" s="116">
        <v>16.25</v>
      </c>
      <c r="E904" s="116">
        <v>16.899999999999999</v>
      </c>
      <c r="F904" s="116">
        <v>16.55</v>
      </c>
      <c r="G904">
        <v>26081</v>
      </c>
      <c r="H904" s="116"/>
      <c r="I904" s="116"/>
      <c r="L904" s="169">
        <v>43329</v>
      </c>
      <c r="M904" s="116">
        <v>323.8</v>
      </c>
      <c r="N904" s="116">
        <v>327.75</v>
      </c>
      <c r="O904" s="116">
        <v>314</v>
      </c>
      <c r="P904" s="116">
        <v>314</v>
      </c>
      <c r="Q904" s="116">
        <v>323.8</v>
      </c>
      <c r="R904">
        <v>1285608</v>
      </c>
    </row>
    <row r="905" spans="1:18" x14ac:dyDescent="0.25">
      <c r="A905" s="169">
        <v>43341</v>
      </c>
      <c r="B905" s="116">
        <v>17.3</v>
      </c>
      <c r="C905" s="116">
        <v>16.8</v>
      </c>
      <c r="D905" s="116">
        <v>16.5</v>
      </c>
      <c r="E905" s="116">
        <v>16.899999999999999</v>
      </c>
      <c r="F905" s="116">
        <v>16.8</v>
      </c>
      <c r="G905">
        <v>69676</v>
      </c>
      <c r="H905" s="116"/>
      <c r="I905" s="116"/>
      <c r="L905" s="169">
        <v>43332</v>
      </c>
      <c r="M905" s="116">
        <v>326.35000000000002</v>
      </c>
      <c r="N905" s="116">
        <v>330</v>
      </c>
      <c r="O905" s="116">
        <v>324.3</v>
      </c>
      <c r="P905" s="116">
        <v>326.5</v>
      </c>
      <c r="Q905" s="116">
        <v>326.35000000000002</v>
      </c>
      <c r="R905">
        <v>901769</v>
      </c>
    </row>
    <row r="906" spans="1:18" x14ac:dyDescent="0.25">
      <c r="A906" s="169">
        <v>43342</v>
      </c>
      <c r="B906" s="116">
        <v>16.95</v>
      </c>
      <c r="C906" s="116">
        <v>16.75</v>
      </c>
      <c r="D906" s="116">
        <v>16.3</v>
      </c>
      <c r="E906" s="116">
        <v>16.899999999999999</v>
      </c>
      <c r="F906" s="116">
        <v>16.75</v>
      </c>
      <c r="G906">
        <v>18277</v>
      </c>
      <c r="H906" s="116"/>
      <c r="I906" s="116"/>
      <c r="L906" s="169">
        <v>43333</v>
      </c>
      <c r="M906" s="116">
        <v>339.6</v>
      </c>
      <c r="N906" s="116">
        <v>345</v>
      </c>
      <c r="O906" s="116">
        <v>327.39999999999998</v>
      </c>
      <c r="P906" s="116">
        <v>328</v>
      </c>
      <c r="Q906" s="116">
        <v>339.6</v>
      </c>
      <c r="R906">
        <v>2541789</v>
      </c>
    </row>
    <row r="907" spans="1:18" x14ac:dyDescent="0.25">
      <c r="A907" s="169">
        <v>43343</v>
      </c>
      <c r="B907" s="116">
        <v>16.899999999999999</v>
      </c>
      <c r="C907" s="116">
        <v>16.75</v>
      </c>
      <c r="D907" s="116">
        <v>16.5</v>
      </c>
      <c r="E907" s="116">
        <v>16.899999999999999</v>
      </c>
      <c r="F907" s="116">
        <v>16.75</v>
      </c>
      <c r="G907">
        <v>30667</v>
      </c>
      <c r="H907" s="116"/>
      <c r="I907" s="116"/>
      <c r="L907" s="169">
        <v>43335</v>
      </c>
      <c r="M907" s="116">
        <v>330.15</v>
      </c>
      <c r="N907" s="116">
        <v>341.95</v>
      </c>
      <c r="O907" s="116">
        <v>328.65</v>
      </c>
      <c r="P907" s="116">
        <v>340.7</v>
      </c>
      <c r="Q907" s="116">
        <v>330.15</v>
      </c>
      <c r="R907">
        <v>635816</v>
      </c>
    </row>
    <row r="908" spans="1:18" x14ac:dyDescent="0.25">
      <c r="A908" s="169">
        <v>43346</v>
      </c>
      <c r="B908" s="116">
        <v>17</v>
      </c>
      <c r="C908" s="116">
        <v>16.649999999999999</v>
      </c>
      <c r="D908" s="116">
        <v>16.55</v>
      </c>
      <c r="E908" s="116">
        <v>16.55</v>
      </c>
      <c r="F908" s="116">
        <v>16.649999999999999</v>
      </c>
      <c r="G908">
        <v>55633</v>
      </c>
      <c r="H908" s="116"/>
      <c r="I908" s="116"/>
      <c r="L908" s="169">
        <v>43336</v>
      </c>
      <c r="M908" s="116">
        <v>319.5</v>
      </c>
      <c r="N908" s="116">
        <v>327.85</v>
      </c>
      <c r="O908" s="116">
        <v>317</v>
      </c>
      <c r="P908" s="116">
        <v>326.95</v>
      </c>
      <c r="Q908" s="116">
        <v>319.5</v>
      </c>
      <c r="R908">
        <v>837168</v>
      </c>
    </row>
    <row r="909" spans="1:18" x14ac:dyDescent="0.25">
      <c r="A909" s="169">
        <v>43347</v>
      </c>
      <c r="B909" s="116">
        <v>16.8</v>
      </c>
      <c r="C909" s="116">
        <v>15.65</v>
      </c>
      <c r="D909" s="116">
        <v>15.1</v>
      </c>
      <c r="E909" s="116">
        <v>16.8</v>
      </c>
      <c r="F909" s="116">
        <v>15.65</v>
      </c>
      <c r="G909">
        <v>73004</v>
      </c>
      <c r="H909" s="116"/>
      <c r="I909" s="116"/>
      <c r="L909" s="169">
        <v>43339</v>
      </c>
      <c r="M909" s="116">
        <v>320.95</v>
      </c>
      <c r="N909" s="116">
        <v>325.5</v>
      </c>
      <c r="O909" s="116">
        <v>317.75</v>
      </c>
      <c r="P909" s="116">
        <v>320</v>
      </c>
      <c r="Q909" s="116">
        <v>320.95</v>
      </c>
      <c r="R909">
        <v>842626</v>
      </c>
    </row>
    <row r="910" spans="1:18" x14ac:dyDescent="0.25">
      <c r="A910" s="169">
        <v>43348</v>
      </c>
      <c r="B910" s="116">
        <v>16</v>
      </c>
      <c r="C910" s="116">
        <v>15.5</v>
      </c>
      <c r="D910" s="116">
        <v>15.15</v>
      </c>
      <c r="E910" s="116">
        <v>15.5</v>
      </c>
      <c r="F910" s="116">
        <v>15.5</v>
      </c>
      <c r="G910">
        <v>51482</v>
      </c>
      <c r="H910" s="116"/>
      <c r="I910" s="116"/>
      <c r="L910" s="169">
        <v>43340</v>
      </c>
      <c r="M910" s="116">
        <v>319.5</v>
      </c>
      <c r="N910" s="116">
        <v>323.95</v>
      </c>
      <c r="O910" s="116">
        <v>317.35000000000002</v>
      </c>
      <c r="P910" s="116">
        <v>323.60000000000002</v>
      </c>
      <c r="Q910" s="116">
        <v>319.5</v>
      </c>
      <c r="R910">
        <v>423113</v>
      </c>
    </row>
    <row r="911" spans="1:18" x14ac:dyDescent="0.25">
      <c r="A911" s="169">
        <v>43349</v>
      </c>
      <c r="B911" s="116">
        <v>15.9</v>
      </c>
      <c r="C911" s="116">
        <v>15.65</v>
      </c>
      <c r="D911" s="116">
        <v>15.1</v>
      </c>
      <c r="E911" s="116">
        <v>15.85</v>
      </c>
      <c r="F911" s="116">
        <v>15.65</v>
      </c>
      <c r="G911">
        <v>18837</v>
      </c>
      <c r="H911" s="116"/>
      <c r="I911" s="116"/>
      <c r="L911" s="169">
        <v>43341</v>
      </c>
      <c r="M911" s="116">
        <v>318.14999999999998</v>
      </c>
      <c r="N911" s="116">
        <v>322.60000000000002</v>
      </c>
      <c r="O911" s="116">
        <v>317.10000000000002</v>
      </c>
      <c r="P911" s="116">
        <v>321</v>
      </c>
      <c r="Q911" s="116">
        <v>318.14999999999998</v>
      </c>
      <c r="R911">
        <v>636032</v>
      </c>
    </row>
    <row r="912" spans="1:18" x14ac:dyDescent="0.25">
      <c r="A912" s="169">
        <v>43350</v>
      </c>
      <c r="B912" s="116">
        <v>15.85</v>
      </c>
      <c r="C912" s="116">
        <v>15.35</v>
      </c>
      <c r="D912" s="116">
        <v>15.2</v>
      </c>
      <c r="E912" s="116">
        <v>15.85</v>
      </c>
      <c r="F912" s="116">
        <v>15.35</v>
      </c>
      <c r="G912">
        <v>11920</v>
      </c>
      <c r="H912" s="116"/>
      <c r="I912" s="116"/>
      <c r="L912" s="169">
        <v>43342</v>
      </c>
      <c r="M912" s="116">
        <v>317.64999999999998</v>
      </c>
      <c r="N912" s="116">
        <v>319.2</v>
      </c>
      <c r="O912" s="116">
        <v>315</v>
      </c>
      <c r="P912" s="116">
        <v>316.55</v>
      </c>
      <c r="Q912" s="116">
        <v>317.64999999999998</v>
      </c>
      <c r="R912">
        <v>666237</v>
      </c>
    </row>
    <row r="913" spans="1:18" x14ac:dyDescent="0.25">
      <c r="A913" s="169">
        <v>43353</v>
      </c>
      <c r="B913" s="116">
        <v>15.7</v>
      </c>
      <c r="C913" s="116">
        <v>15.2</v>
      </c>
      <c r="D913" s="116">
        <v>15.2</v>
      </c>
      <c r="E913" s="116">
        <v>15.7</v>
      </c>
      <c r="F913" s="116">
        <v>15.2</v>
      </c>
      <c r="G913">
        <v>29655</v>
      </c>
      <c r="H913" s="116"/>
      <c r="I913" s="116"/>
      <c r="L913" s="169">
        <v>43343</v>
      </c>
      <c r="M913" s="116">
        <v>319.89999999999998</v>
      </c>
      <c r="N913" s="116">
        <v>323.89999999999998</v>
      </c>
      <c r="O913" s="116">
        <v>317.45</v>
      </c>
      <c r="P913" s="116">
        <v>319</v>
      </c>
      <c r="Q913" s="116">
        <v>319.89999999999998</v>
      </c>
      <c r="R913">
        <v>683956</v>
      </c>
    </row>
    <row r="914" spans="1:18" x14ac:dyDescent="0.25">
      <c r="A914" s="169">
        <v>43354</v>
      </c>
      <c r="B914" s="116">
        <v>15.75</v>
      </c>
      <c r="C914" s="116">
        <v>15.4</v>
      </c>
      <c r="D914" s="116">
        <v>15.3</v>
      </c>
      <c r="E914" s="116">
        <v>15.35</v>
      </c>
      <c r="F914" s="116">
        <v>15.4</v>
      </c>
      <c r="G914">
        <v>21584</v>
      </c>
      <c r="H914" s="116"/>
      <c r="I914" s="116"/>
      <c r="L914" s="169">
        <v>43346</v>
      </c>
      <c r="M914" s="116">
        <v>321.14999999999998</v>
      </c>
      <c r="N914" s="116">
        <v>330.9</v>
      </c>
      <c r="O914" s="116">
        <v>318.2</v>
      </c>
      <c r="P914" s="116">
        <v>319</v>
      </c>
      <c r="Q914" s="116">
        <v>321.14999999999998</v>
      </c>
      <c r="R914">
        <v>1738538</v>
      </c>
    </row>
    <row r="915" spans="1:18" x14ac:dyDescent="0.25">
      <c r="A915" s="169">
        <v>43355</v>
      </c>
      <c r="B915" s="116">
        <v>15.55</v>
      </c>
      <c r="C915" s="116">
        <v>15.55</v>
      </c>
      <c r="D915" s="116">
        <v>14.9</v>
      </c>
      <c r="E915" s="116">
        <v>15.45</v>
      </c>
      <c r="F915" s="116">
        <v>15.55</v>
      </c>
      <c r="G915">
        <v>61535</v>
      </c>
      <c r="H915" s="116"/>
      <c r="I915" s="116"/>
      <c r="L915" s="169">
        <v>43347</v>
      </c>
      <c r="M915" s="116">
        <v>315.89999999999998</v>
      </c>
      <c r="N915" s="116">
        <v>323.55</v>
      </c>
      <c r="O915" s="116">
        <v>315.3</v>
      </c>
      <c r="P915" s="116">
        <v>322.39999999999998</v>
      </c>
      <c r="Q915" s="116">
        <v>315.89999999999998</v>
      </c>
      <c r="R915">
        <v>825212</v>
      </c>
    </row>
    <row r="916" spans="1:18" x14ac:dyDescent="0.25">
      <c r="A916" s="169">
        <v>43357</v>
      </c>
      <c r="B916" s="116">
        <v>16.5</v>
      </c>
      <c r="C916" s="116">
        <v>16.350000000000001</v>
      </c>
      <c r="D916" s="116">
        <v>15.5</v>
      </c>
      <c r="E916" s="116">
        <v>15.55</v>
      </c>
      <c r="F916" s="116">
        <v>16.350000000000001</v>
      </c>
      <c r="G916">
        <v>23949</v>
      </c>
      <c r="H916" s="116"/>
      <c r="I916" s="116"/>
      <c r="L916" s="169">
        <v>43348</v>
      </c>
      <c r="M916" s="116">
        <v>311.75</v>
      </c>
      <c r="N916" s="116">
        <v>318.05</v>
      </c>
      <c r="O916" s="116">
        <v>305.25</v>
      </c>
      <c r="P916" s="116">
        <v>316.95</v>
      </c>
      <c r="Q916" s="116">
        <v>311.75</v>
      </c>
      <c r="R916">
        <v>1192942</v>
      </c>
    </row>
    <row r="917" spans="1:18" x14ac:dyDescent="0.25">
      <c r="A917" s="169">
        <v>43360</v>
      </c>
      <c r="B917" s="116">
        <v>16.350000000000001</v>
      </c>
      <c r="C917" s="116">
        <v>16.05</v>
      </c>
      <c r="D917" s="116">
        <v>15.35</v>
      </c>
      <c r="E917" s="116">
        <v>16.350000000000001</v>
      </c>
      <c r="F917" s="116">
        <v>16.05</v>
      </c>
      <c r="G917">
        <v>22891</v>
      </c>
      <c r="H917" s="116"/>
      <c r="I917" s="116"/>
      <c r="L917" s="169">
        <v>43349</v>
      </c>
      <c r="M917" s="116">
        <v>310.7</v>
      </c>
      <c r="N917" s="116">
        <v>314.8</v>
      </c>
      <c r="O917" s="116">
        <v>309.10000000000002</v>
      </c>
      <c r="P917" s="116">
        <v>312</v>
      </c>
      <c r="Q917" s="116">
        <v>310.7</v>
      </c>
      <c r="R917">
        <v>911910</v>
      </c>
    </row>
    <row r="918" spans="1:18" x14ac:dyDescent="0.25">
      <c r="A918" s="169">
        <v>43361</v>
      </c>
      <c r="B918" s="116">
        <v>16.149999999999999</v>
      </c>
      <c r="C918" s="116">
        <v>15.9</v>
      </c>
      <c r="D918" s="116">
        <v>15.8</v>
      </c>
      <c r="E918" s="116">
        <v>16</v>
      </c>
      <c r="F918" s="116">
        <v>15.9</v>
      </c>
      <c r="G918">
        <v>17144</v>
      </c>
      <c r="H918" s="116"/>
      <c r="I918" s="116"/>
      <c r="L918" s="169">
        <v>43350</v>
      </c>
      <c r="M918" s="116">
        <v>310.8</v>
      </c>
      <c r="N918" s="116">
        <v>313</v>
      </c>
      <c r="O918" s="116">
        <v>308</v>
      </c>
      <c r="P918" s="116">
        <v>311</v>
      </c>
      <c r="Q918" s="116">
        <v>310.8</v>
      </c>
      <c r="R918">
        <v>525441</v>
      </c>
    </row>
    <row r="919" spans="1:18" x14ac:dyDescent="0.25">
      <c r="A919" s="169">
        <v>43362</v>
      </c>
      <c r="B919" s="116">
        <v>16.5</v>
      </c>
      <c r="C919" s="116">
        <v>16.149999999999999</v>
      </c>
      <c r="D919" s="116">
        <v>16</v>
      </c>
      <c r="E919" s="116">
        <v>16.149999999999999</v>
      </c>
      <c r="F919" s="116">
        <v>16.149999999999999</v>
      </c>
      <c r="G919">
        <v>39122</v>
      </c>
      <c r="H919" s="116"/>
      <c r="I919" s="116"/>
      <c r="L919" s="169">
        <v>43353</v>
      </c>
      <c r="M919" s="116">
        <v>312.60000000000002</v>
      </c>
      <c r="N919" s="116">
        <v>316.39999999999998</v>
      </c>
      <c r="O919" s="116">
        <v>309.3</v>
      </c>
      <c r="P919" s="116">
        <v>311</v>
      </c>
      <c r="Q919" s="116">
        <v>312.60000000000002</v>
      </c>
      <c r="R919">
        <v>548200</v>
      </c>
    </row>
    <row r="920" spans="1:18" x14ac:dyDescent="0.25">
      <c r="A920" s="169">
        <v>43364</v>
      </c>
      <c r="B920" s="116">
        <v>16.149999999999999</v>
      </c>
      <c r="C920" s="116">
        <v>15.5</v>
      </c>
      <c r="D920" s="116">
        <v>15.3</v>
      </c>
      <c r="E920" s="116">
        <v>16.149999999999999</v>
      </c>
      <c r="F920" s="116">
        <v>15.5</v>
      </c>
      <c r="G920">
        <v>23724</v>
      </c>
      <c r="H920" s="116"/>
      <c r="I920" s="116"/>
      <c r="L920" s="169">
        <v>43354</v>
      </c>
      <c r="M920" s="116">
        <v>309.10000000000002</v>
      </c>
      <c r="N920" s="116">
        <v>313.39999999999998</v>
      </c>
      <c r="O920" s="116">
        <v>307.7</v>
      </c>
      <c r="P920" s="116">
        <v>312.10000000000002</v>
      </c>
      <c r="Q920" s="116">
        <v>309.10000000000002</v>
      </c>
      <c r="R920">
        <v>489001</v>
      </c>
    </row>
    <row r="921" spans="1:18" x14ac:dyDescent="0.25">
      <c r="A921" s="169">
        <v>43367</v>
      </c>
      <c r="B921" s="116">
        <v>15.8</v>
      </c>
      <c r="C921" s="116">
        <v>14.65</v>
      </c>
      <c r="D921" s="116">
        <v>14.15</v>
      </c>
      <c r="E921" s="116">
        <v>15.5</v>
      </c>
      <c r="F921" s="116">
        <v>14.65</v>
      </c>
      <c r="G921">
        <v>62879</v>
      </c>
      <c r="H921" s="116"/>
      <c r="I921" s="116"/>
      <c r="L921" s="169">
        <v>43355</v>
      </c>
      <c r="M921" s="116">
        <v>303.14999999999998</v>
      </c>
      <c r="N921" s="116">
        <v>310.05</v>
      </c>
      <c r="O921" s="116">
        <v>297.95</v>
      </c>
      <c r="P921" s="116">
        <v>308.7</v>
      </c>
      <c r="Q921" s="116">
        <v>303.14999999999998</v>
      </c>
      <c r="R921">
        <v>802880</v>
      </c>
    </row>
    <row r="922" spans="1:18" x14ac:dyDescent="0.25">
      <c r="A922" s="169">
        <v>43368</v>
      </c>
      <c r="B922" s="116">
        <v>15</v>
      </c>
      <c r="C922" s="116">
        <v>14.8</v>
      </c>
      <c r="D922" s="116">
        <v>14.15</v>
      </c>
      <c r="E922" s="116">
        <v>14.75</v>
      </c>
      <c r="F922" s="116">
        <v>14.8</v>
      </c>
      <c r="G922">
        <v>27299</v>
      </c>
      <c r="H922" s="116"/>
      <c r="I922" s="116"/>
      <c r="L922" s="169">
        <v>43357</v>
      </c>
      <c r="M922" s="116">
        <v>309.89999999999998</v>
      </c>
      <c r="N922" s="116">
        <v>313.35000000000002</v>
      </c>
      <c r="O922" s="116">
        <v>303</v>
      </c>
      <c r="P922" s="116">
        <v>303</v>
      </c>
      <c r="Q922" s="116">
        <v>309.89999999999998</v>
      </c>
      <c r="R922">
        <v>593195</v>
      </c>
    </row>
    <row r="923" spans="1:18" x14ac:dyDescent="0.25">
      <c r="A923" s="169">
        <v>43369</v>
      </c>
      <c r="B923" s="116">
        <v>15.15</v>
      </c>
      <c r="C923" s="116">
        <v>14.65</v>
      </c>
      <c r="D923" s="116">
        <v>14.5</v>
      </c>
      <c r="E923" s="116">
        <v>15.15</v>
      </c>
      <c r="F923" s="116">
        <v>14.65</v>
      </c>
      <c r="G923">
        <v>235158</v>
      </c>
      <c r="H923" s="116"/>
      <c r="I923" s="116"/>
      <c r="L923" s="169">
        <v>43360</v>
      </c>
      <c r="M923" s="116">
        <v>324.25</v>
      </c>
      <c r="N923" s="116">
        <v>328.8</v>
      </c>
      <c r="O923" s="116">
        <v>306.5</v>
      </c>
      <c r="P923" s="116">
        <v>306.5</v>
      </c>
      <c r="Q923" s="116">
        <v>324.25</v>
      </c>
      <c r="R923">
        <v>2193321</v>
      </c>
    </row>
    <row r="924" spans="1:18" x14ac:dyDescent="0.25">
      <c r="A924" s="169">
        <v>43370</v>
      </c>
      <c r="B924" s="116">
        <v>14.95</v>
      </c>
      <c r="C924" s="116">
        <v>14.5</v>
      </c>
      <c r="D924" s="116">
        <v>14.15</v>
      </c>
      <c r="E924" s="116">
        <v>14.65</v>
      </c>
      <c r="F924" s="116">
        <v>14.5</v>
      </c>
      <c r="G924">
        <v>923299</v>
      </c>
      <c r="H924" s="116"/>
      <c r="I924" s="116"/>
      <c r="L924" s="169">
        <v>43361</v>
      </c>
      <c r="M924" s="116">
        <v>311.60000000000002</v>
      </c>
      <c r="N924" s="116">
        <v>325.05</v>
      </c>
      <c r="O924" s="116">
        <v>310</v>
      </c>
      <c r="P924" s="116">
        <v>323.25</v>
      </c>
      <c r="Q924" s="116">
        <v>311.60000000000002</v>
      </c>
      <c r="R924">
        <v>726984</v>
      </c>
    </row>
    <row r="925" spans="1:18" x14ac:dyDescent="0.25">
      <c r="A925" s="169">
        <v>43371</v>
      </c>
      <c r="B925" s="116">
        <v>14.65</v>
      </c>
      <c r="C925" s="116">
        <v>13.55</v>
      </c>
      <c r="D925" s="116">
        <v>13.45</v>
      </c>
      <c r="E925" s="116">
        <v>14.3</v>
      </c>
      <c r="F925" s="116">
        <v>13.55</v>
      </c>
      <c r="G925">
        <v>102078</v>
      </c>
      <c r="H925" s="116"/>
      <c r="I925" s="116"/>
      <c r="L925" s="169">
        <v>43362</v>
      </c>
      <c r="M925" s="116">
        <v>308.85000000000002</v>
      </c>
      <c r="N925" s="116">
        <v>313.89999999999998</v>
      </c>
      <c r="O925" s="116">
        <v>306.25</v>
      </c>
      <c r="P925" s="116">
        <v>313</v>
      </c>
      <c r="Q925" s="116">
        <v>308.85000000000002</v>
      </c>
      <c r="R925">
        <v>475858</v>
      </c>
    </row>
    <row r="926" spans="1:18" x14ac:dyDescent="0.25">
      <c r="A926" s="169">
        <v>43374</v>
      </c>
      <c r="B926" s="116">
        <v>14.15</v>
      </c>
      <c r="C926" s="116">
        <v>13.48</v>
      </c>
      <c r="D926" s="116">
        <v>12.75</v>
      </c>
      <c r="E926" s="116">
        <v>14</v>
      </c>
      <c r="F926" s="116">
        <v>13.48</v>
      </c>
      <c r="G926">
        <v>112841</v>
      </c>
      <c r="H926" s="116"/>
      <c r="I926" s="116"/>
      <c r="L926" s="169">
        <v>43364</v>
      </c>
      <c r="M926" s="116">
        <v>292.55</v>
      </c>
      <c r="N926" s="116">
        <v>312.10000000000002</v>
      </c>
      <c r="O926" s="116">
        <v>263.25</v>
      </c>
      <c r="P926" s="116">
        <v>309</v>
      </c>
      <c r="Q926" s="116">
        <v>292.55</v>
      </c>
      <c r="R926">
        <v>2113853</v>
      </c>
    </row>
    <row r="927" spans="1:18" x14ac:dyDescent="0.25">
      <c r="A927" s="169">
        <v>43376</v>
      </c>
      <c r="B927" s="116">
        <v>14</v>
      </c>
      <c r="C927" s="116">
        <v>13.5</v>
      </c>
      <c r="D927" s="116">
        <v>13.15</v>
      </c>
      <c r="E927" s="116">
        <v>13.2</v>
      </c>
      <c r="F927" s="116">
        <v>13.5</v>
      </c>
      <c r="G927">
        <v>34805</v>
      </c>
      <c r="H927" s="116"/>
      <c r="I927" s="116"/>
      <c r="L927" s="169">
        <v>43367</v>
      </c>
      <c r="M927" s="116">
        <v>268.60000000000002</v>
      </c>
      <c r="N927" s="116">
        <v>299.8</v>
      </c>
      <c r="O927" s="116">
        <v>266.5</v>
      </c>
      <c r="P927" s="116">
        <v>295</v>
      </c>
      <c r="Q927" s="116">
        <v>268.60000000000002</v>
      </c>
      <c r="R927">
        <v>1641904</v>
      </c>
    </row>
    <row r="928" spans="1:18" x14ac:dyDescent="0.25">
      <c r="A928" s="169">
        <v>43377</v>
      </c>
      <c r="B928" s="116">
        <v>14.1</v>
      </c>
      <c r="C928" s="116">
        <v>13.61</v>
      </c>
      <c r="D928" s="116">
        <v>13.35</v>
      </c>
      <c r="E928" s="116">
        <v>13.35</v>
      </c>
      <c r="F928" s="116">
        <v>13.61</v>
      </c>
      <c r="G928">
        <v>64866</v>
      </c>
      <c r="H928" s="116"/>
      <c r="I928" s="116"/>
      <c r="L928" s="169">
        <v>43368</v>
      </c>
      <c r="M928" s="116">
        <v>253.8</v>
      </c>
      <c r="N928" s="116">
        <v>268.5</v>
      </c>
      <c r="O928" s="116">
        <v>232.65</v>
      </c>
      <c r="P928" s="116">
        <v>266.5</v>
      </c>
      <c r="Q928" s="116">
        <v>253.8</v>
      </c>
      <c r="R928">
        <v>3615362</v>
      </c>
    </row>
    <row r="929" spans="1:18" x14ac:dyDescent="0.25">
      <c r="A929" s="169">
        <v>43378</v>
      </c>
      <c r="B929" s="116">
        <v>14.2</v>
      </c>
      <c r="C929" s="116">
        <v>13.95</v>
      </c>
      <c r="D929" s="116">
        <v>13.61</v>
      </c>
      <c r="E929" s="116">
        <v>13.79</v>
      </c>
      <c r="F929" s="116">
        <v>13.95</v>
      </c>
      <c r="G929">
        <v>141109</v>
      </c>
      <c r="H929" s="116"/>
      <c r="I929" s="116"/>
      <c r="L929" s="169">
        <v>43369</v>
      </c>
      <c r="M929" s="116">
        <v>248.65</v>
      </c>
      <c r="N929" s="116">
        <v>260.35000000000002</v>
      </c>
      <c r="O929" s="116">
        <v>246.05</v>
      </c>
      <c r="P929" s="116">
        <v>255.55</v>
      </c>
      <c r="Q929" s="116">
        <v>248.65</v>
      </c>
      <c r="R929">
        <v>2245941</v>
      </c>
    </row>
    <row r="930" spans="1:18" x14ac:dyDescent="0.25">
      <c r="A930" s="169">
        <v>43381</v>
      </c>
      <c r="B930" s="116">
        <v>13.95</v>
      </c>
      <c r="C930" s="116">
        <v>13</v>
      </c>
      <c r="D930" s="116">
        <v>12.8</v>
      </c>
      <c r="E930" s="116">
        <v>13.5</v>
      </c>
      <c r="F930" s="116">
        <v>13</v>
      </c>
      <c r="G930">
        <v>24631</v>
      </c>
      <c r="H930" s="116"/>
      <c r="I930" s="116"/>
      <c r="L930" s="169">
        <v>43370</v>
      </c>
      <c r="M930" s="116">
        <v>227.3</v>
      </c>
      <c r="N930" s="116">
        <v>251</v>
      </c>
      <c r="O930" s="116">
        <v>225</v>
      </c>
      <c r="P930" s="116">
        <v>248</v>
      </c>
      <c r="Q930" s="116">
        <v>227.3</v>
      </c>
      <c r="R930">
        <v>2530915</v>
      </c>
    </row>
    <row r="931" spans="1:18" x14ac:dyDescent="0.25">
      <c r="A931" s="169">
        <v>43382</v>
      </c>
      <c r="B931" s="116">
        <v>13.35</v>
      </c>
      <c r="C931" s="116">
        <v>13.02</v>
      </c>
      <c r="D931" s="116">
        <v>13</v>
      </c>
      <c r="E931" s="116">
        <v>13.3</v>
      </c>
      <c r="F931" s="116">
        <v>13.02</v>
      </c>
      <c r="G931">
        <v>74624</v>
      </c>
      <c r="H931" s="116"/>
      <c r="I931" s="116"/>
      <c r="L931" s="169">
        <v>43371</v>
      </c>
      <c r="M931" s="116">
        <v>237.6</v>
      </c>
      <c r="N931" s="116">
        <v>246.65</v>
      </c>
      <c r="O931" s="116">
        <v>223</v>
      </c>
      <c r="P931" s="116">
        <v>231</v>
      </c>
      <c r="Q931" s="116">
        <v>237.6</v>
      </c>
      <c r="R931">
        <v>5205383</v>
      </c>
    </row>
    <row r="932" spans="1:18" x14ac:dyDescent="0.25">
      <c r="A932" s="169">
        <v>43383</v>
      </c>
      <c r="B932" s="116">
        <v>13.45</v>
      </c>
      <c r="C932" s="116">
        <v>13.23</v>
      </c>
      <c r="D932" s="116">
        <v>13.1</v>
      </c>
      <c r="E932" s="116">
        <v>13.4</v>
      </c>
      <c r="F932" s="116">
        <v>13.23</v>
      </c>
      <c r="G932">
        <v>18540</v>
      </c>
      <c r="H932" s="116"/>
      <c r="I932" s="116"/>
      <c r="L932" s="169">
        <v>43374</v>
      </c>
      <c r="M932" s="116">
        <v>261.7</v>
      </c>
      <c r="N932" s="116">
        <v>266.64999999999998</v>
      </c>
      <c r="O932" s="116">
        <v>229.4</v>
      </c>
      <c r="P932" s="116">
        <v>237</v>
      </c>
      <c r="Q932" s="116">
        <v>261.7</v>
      </c>
      <c r="R932">
        <v>4532697</v>
      </c>
    </row>
    <row r="933" spans="1:18" x14ac:dyDescent="0.25">
      <c r="A933" s="169">
        <v>43384</v>
      </c>
      <c r="B933" s="116">
        <v>13.25</v>
      </c>
      <c r="C933" s="116">
        <v>13.1</v>
      </c>
      <c r="D933" s="116">
        <v>12.6</v>
      </c>
      <c r="E933" s="116">
        <v>12.9</v>
      </c>
      <c r="F933" s="116">
        <v>13.1</v>
      </c>
      <c r="G933">
        <v>42667</v>
      </c>
      <c r="H933" s="116"/>
      <c r="I933" s="116"/>
      <c r="L933" s="169">
        <v>43376</v>
      </c>
      <c r="M933" s="116">
        <v>251.9</v>
      </c>
      <c r="N933" s="116">
        <v>264.3</v>
      </c>
      <c r="O933" s="116">
        <v>248.3</v>
      </c>
      <c r="P933" s="116">
        <v>257.75</v>
      </c>
      <c r="Q933" s="116">
        <v>251.9</v>
      </c>
      <c r="R933">
        <v>1707752</v>
      </c>
    </row>
    <row r="934" spans="1:18" x14ac:dyDescent="0.25">
      <c r="A934" s="169">
        <v>43385</v>
      </c>
      <c r="B934" s="116">
        <v>13.6</v>
      </c>
      <c r="C934" s="116">
        <v>13.43</v>
      </c>
      <c r="D934" s="116">
        <v>13.25</v>
      </c>
      <c r="E934" s="116">
        <v>13.4</v>
      </c>
      <c r="F934" s="116">
        <v>13.43</v>
      </c>
      <c r="G934">
        <v>10806</v>
      </c>
      <c r="H934" s="116"/>
      <c r="I934" s="116"/>
      <c r="L934" s="169">
        <v>43377</v>
      </c>
      <c r="M934" s="116">
        <v>246.2</v>
      </c>
      <c r="N934" s="116">
        <v>250.4</v>
      </c>
      <c r="O934" s="116">
        <v>235.9</v>
      </c>
      <c r="P934" s="116">
        <v>245</v>
      </c>
      <c r="Q934" s="116">
        <v>246.2</v>
      </c>
      <c r="R934">
        <v>1681325</v>
      </c>
    </row>
    <row r="935" spans="1:18" x14ac:dyDescent="0.25">
      <c r="A935" s="169">
        <v>43388</v>
      </c>
      <c r="B935" s="116">
        <v>13.8</v>
      </c>
      <c r="C935" s="116">
        <v>13.37</v>
      </c>
      <c r="D935" s="116">
        <v>13.25</v>
      </c>
      <c r="E935" s="116">
        <v>13.8</v>
      </c>
      <c r="F935" s="116">
        <v>13.37</v>
      </c>
      <c r="G935">
        <v>2817</v>
      </c>
      <c r="H935" s="116"/>
      <c r="I935" s="116"/>
      <c r="L935" s="169">
        <v>43378</v>
      </c>
      <c r="M935" s="116">
        <v>236.95</v>
      </c>
      <c r="N935" s="116">
        <v>251.85</v>
      </c>
      <c r="O935" s="116">
        <v>231.6</v>
      </c>
      <c r="P935" s="116">
        <v>244.7</v>
      </c>
      <c r="Q935" s="116">
        <v>236.95</v>
      </c>
      <c r="R935">
        <v>1195049</v>
      </c>
    </row>
    <row r="936" spans="1:18" x14ac:dyDescent="0.25">
      <c r="A936" s="169">
        <v>43389</v>
      </c>
      <c r="B936" s="116">
        <v>13.8</v>
      </c>
      <c r="C936" s="116">
        <v>13.53</v>
      </c>
      <c r="D936" s="116">
        <v>13.31</v>
      </c>
      <c r="E936" s="116">
        <v>13.8</v>
      </c>
      <c r="F936" s="116">
        <v>13.53</v>
      </c>
      <c r="G936">
        <v>10283</v>
      </c>
      <c r="H936" s="116"/>
      <c r="I936" s="116"/>
      <c r="L936" s="169">
        <v>43381</v>
      </c>
      <c r="M936" s="116">
        <v>225.3</v>
      </c>
      <c r="N936" s="116">
        <v>238.8</v>
      </c>
      <c r="O936" s="116">
        <v>218.25</v>
      </c>
      <c r="P936" s="116">
        <v>235</v>
      </c>
      <c r="Q936" s="116">
        <v>225.3</v>
      </c>
      <c r="R936">
        <v>1769943</v>
      </c>
    </row>
    <row r="937" spans="1:18" x14ac:dyDescent="0.25">
      <c r="A937" s="169">
        <v>43390</v>
      </c>
      <c r="B937" s="116">
        <v>13.9</v>
      </c>
      <c r="C937" s="116">
        <v>13.31</v>
      </c>
      <c r="D937" s="116">
        <v>13.22</v>
      </c>
      <c r="E937" s="116">
        <v>13.9</v>
      </c>
      <c r="F937" s="116">
        <v>13.31</v>
      </c>
      <c r="G937">
        <v>7341</v>
      </c>
      <c r="H937" s="116"/>
      <c r="I937" s="116"/>
      <c r="L937" s="169">
        <v>43382</v>
      </c>
      <c r="M937" s="116">
        <v>234.25</v>
      </c>
      <c r="N937" s="116">
        <v>247</v>
      </c>
      <c r="O937" s="116">
        <v>220.05</v>
      </c>
      <c r="P937" s="116">
        <v>226.3</v>
      </c>
      <c r="Q937" s="116">
        <v>234.25</v>
      </c>
      <c r="R937">
        <v>2766301</v>
      </c>
    </row>
    <row r="938" spans="1:18" x14ac:dyDescent="0.25">
      <c r="A938" s="169">
        <v>43392</v>
      </c>
      <c r="B938" s="116">
        <v>13.3</v>
      </c>
      <c r="C938" s="116">
        <v>13</v>
      </c>
      <c r="D938" s="116">
        <v>12.8</v>
      </c>
      <c r="E938" s="116">
        <v>13.3</v>
      </c>
      <c r="F938" s="116">
        <v>13</v>
      </c>
      <c r="G938">
        <v>19916</v>
      </c>
      <c r="H938" s="116"/>
      <c r="I938" s="116"/>
      <c r="L938" s="169">
        <v>43383</v>
      </c>
      <c r="M938" s="116">
        <v>252.3</v>
      </c>
      <c r="N938" s="116">
        <v>256</v>
      </c>
      <c r="O938" s="116">
        <v>236.5</v>
      </c>
      <c r="P938" s="116">
        <v>236.5</v>
      </c>
      <c r="Q938" s="116">
        <v>252.3</v>
      </c>
      <c r="R938">
        <v>2530297</v>
      </c>
    </row>
    <row r="939" spans="1:18" x14ac:dyDescent="0.25">
      <c r="A939" s="169">
        <v>43395</v>
      </c>
      <c r="B939" s="116">
        <v>13.49</v>
      </c>
      <c r="C939" s="116">
        <v>12.82</v>
      </c>
      <c r="D939" s="116">
        <v>12.6</v>
      </c>
      <c r="E939" s="116">
        <v>13.49</v>
      </c>
      <c r="F939" s="116">
        <v>12.82</v>
      </c>
      <c r="G939">
        <v>5886</v>
      </c>
      <c r="H939" s="116"/>
      <c r="I939" s="116"/>
      <c r="L939" s="169">
        <v>43384</v>
      </c>
      <c r="M939" s="116">
        <v>238.8</v>
      </c>
      <c r="N939" s="116">
        <v>249.3</v>
      </c>
      <c r="O939" s="116">
        <v>231.4</v>
      </c>
      <c r="P939" s="116">
        <v>240</v>
      </c>
      <c r="Q939" s="116">
        <v>238.8</v>
      </c>
      <c r="R939">
        <v>1580911</v>
      </c>
    </row>
    <row r="940" spans="1:18" x14ac:dyDescent="0.25">
      <c r="A940" s="169">
        <v>43396</v>
      </c>
      <c r="B940" s="116">
        <v>13</v>
      </c>
      <c r="C940" s="116">
        <v>12.55</v>
      </c>
      <c r="D940" s="116">
        <v>12.25</v>
      </c>
      <c r="E940" s="116">
        <v>12.55</v>
      </c>
      <c r="F940" s="116">
        <v>12.55</v>
      </c>
      <c r="G940">
        <v>23184</v>
      </c>
      <c r="H940" s="116"/>
      <c r="I940" s="116"/>
      <c r="L940" s="169">
        <v>43385</v>
      </c>
      <c r="M940" s="116">
        <v>245.15</v>
      </c>
      <c r="N940" s="116">
        <v>259</v>
      </c>
      <c r="O940" s="116">
        <v>240</v>
      </c>
      <c r="P940" s="116">
        <v>241.9</v>
      </c>
      <c r="Q940" s="116">
        <v>245.15</v>
      </c>
      <c r="R940">
        <v>2803952</v>
      </c>
    </row>
    <row r="941" spans="1:18" x14ac:dyDescent="0.25">
      <c r="A941" s="169">
        <v>43397</v>
      </c>
      <c r="B941" s="116">
        <v>13</v>
      </c>
      <c r="C941" s="116">
        <v>12.9</v>
      </c>
      <c r="D941" s="116">
        <v>12.65</v>
      </c>
      <c r="E941" s="116">
        <v>13</v>
      </c>
      <c r="F941" s="116">
        <v>12.9</v>
      </c>
      <c r="G941">
        <v>4885</v>
      </c>
      <c r="H941" s="116"/>
      <c r="I941" s="116"/>
      <c r="L941" s="169">
        <v>43388</v>
      </c>
      <c r="M941" s="116">
        <v>245.95</v>
      </c>
      <c r="N941" s="116">
        <v>248</v>
      </c>
      <c r="O941" s="116">
        <v>240.3</v>
      </c>
      <c r="P941" s="116">
        <v>245</v>
      </c>
      <c r="Q941" s="116">
        <v>245.95</v>
      </c>
      <c r="R941">
        <v>807029</v>
      </c>
    </row>
    <row r="942" spans="1:18" x14ac:dyDescent="0.25">
      <c r="A942" s="169">
        <v>43398</v>
      </c>
      <c r="B942" s="116">
        <v>12.9</v>
      </c>
      <c r="C942" s="116">
        <v>12.35</v>
      </c>
      <c r="D942" s="116">
        <v>12.25</v>
      </c>
      <c r="E942" s="116">
        <v>12.9</v>
      </c>
      <c r="F942" s="116">
        <v>12.35</v>
      </c>
      <c r="G942">
        <v>1083</v>
      </c>
      <c r="H942" s="116"/>
      <c r="I942" s="116"/>
      <c r="L942" s="169">
        <v>43389</v>
      </c>
      <c r="M942" s="116">
        <v>241.7</v>
      </c>
      <c r="N942" s="116">
        <v>251.9</v>
      </c>
      <c r="O942" s="116">
        <v>238.6</v>
      </c>
      <c r="P942" s="116">
        <v>247.95</v>
      </c>
      <c r="Q942" s="116">
        <v>241.7</v>
      </c>
      <c r="R942">
        <v>1519162</v>
      </c>
    </row>
    <row r="943" spans="1:18" x14ac:dyDescent="0.25">
      <c r="A943" s="169">
        <v>43399</v>
      </c>
      <c r="B943" s="116">
        <v>12.89</v>
      </c>
      <c r="C943" s="116">
        <v>12.52</v>
      </c>
      <c r="D943" s="116">
        <v>12.25</v>
      </c>
      <c r="E943" s="116">
        <v>12.35</v>
      </c>
      <c r="F943" s="116">
        <v>12.52</v>
      </c>
      <c r="G943">
        <v>10637</v>
      </c>
      <c r="H943" s="116"/>
      <c r="I943" s="116"/>
      <c r="L943" s="169">
        <v>43390</v>
      </c>
      <c r="M943" s="116">
        <v>231.8</v>
      </c>
      <c r="N943" s="116">
        <v>246.95</v>
      </c>
      <c r="O943" s="116">
        <v>228.1</v>
      </c>
      <c r="P943" s="116">
        <v>243.9</v>
      </c>
      <c r="Q943" s="116">
        <v>231.8</v>
      </c>
      <c r="R943">
        <v>2200201</v>
      </c>
    </row>
    <row r="944" spans="1:18" x14ac:dyDescent="0.25">
      <c r="A944" s="169">
        <v>43402</v>
      </c>
      <c r="B944" s="116">
        <v>13.39</v>
      </c>
      <c r="C944" s="116">
        <v>13.09</v>
      </c>
      <c r="D944" s="116">
        <v>12.21</v>
      </c>
      <c r="E944" s="116">
        <v>12.85</v>
      </c>
      <c r="F944" s="116">
        <v>13.09</v>
      </c>
      <c r="G944">
        <v>5600</v>
      </c>
      <c r="H944" s="116"/>
      <c r="I944" s="116"/>
      <c r="L944" s="169">
        <v>43392</v>
      </c>
      <c r="M944" s="116">
        <v>230.65</v>
      </c>
      <c r="N944" s="116">
        <v>239.15</v>
      </c>
      <c r="O944" s="116">
        <v>226.55</v>
      </c>
      <c r="P944" s="116">
        <v>231.9</v>
      </c>
      <c r="Q944" s="116">
        <v>230.65</v>
      </c>
      <c r="R944">
        <v>1698583</v>
      </c>
    </row>
    <row r="945" spans="1:18" x14ac:dyDescent="0.25">
      <c r="A945" s="169">
        <v>43403</v>
      </c>
      <c r="B945" s="116">
        <v>13.5</v>
      </c>
      <c r="C945" s="116">
        <v>13.01</v>
      </c>
      <c r="D945" s="116">
        <v>12.75</v>
      </c>
      <c r="E945" s="116">
        <v>13.5</v>
      </c>
      <c r="F945" s="116">
        <v>13.01</v>
      </c>
      <c r="G945">
        <v>5597</v>
      </c>
      <c r="H945" s="116"/>
      <c r="I945" s="116"/>
      <c r="L945" s="169">
        <v>43395</v>
      </c>
      <c r="M945" s="116">
        <v>225.7</v>
      </c>
      <c r="N945" s="116">
        <v>233.75</v>
      </c>
      <c r="O945" s="116">
        <v>223</v>
      </c>
      <c r="P945" s="116">
        <v>232</v>
      </c>
      <c r="Q945" s="116">
        <v>225.7</v>
      </c>
      <c r="R945">
        <v>1576606</v>
      </c>
    </row>
    <row r="946" spans="1:18" x14ac:dyDescent="0.25">
      <c r="A946" s="169">
        <v>43404</v>
      </c>
      <c r="B946" s="116">
        <v>13.99</v>
      </c>
      <c r="C946" s="116">
        <v>12.67</v>
      </c>
      <c r="D946" s="116">
        <v>12.6</v>
      </c>
      <c r="E946" s="116">
        <v>13.3</v>
      </c>
      <c r="F946" s="116">
        <v>12.67</v>
      </c>
      <c r="G946">
        <v>68796</v>
      </c>
      <c r="H946" s="116"/>
      <c r="I946" s="116"/>
      <c r="L946" s="169">
        <v>43396</v>
      </c>
      <c r="M946" s="116">
        <v>222.25</v>
      </c>
      <c r="N946" s="116">
        <v>241.5</v>
      </c>
      <c r="O946" s="116">
        <v>216.5</v>
      </c>
      <c r="P946" s="116">
        <v>221.1</v>
      </c>
      <c r="Q946" s="116">
        <v>222.25</v>
      </c>
      <c r="R946">
        <v>4207402</v>
      </c>
    </row>
    <row r="947" spans="1:18" x14ac:dyDescent="0.25">
      <c r="A947" s="169">
        <v>43405</v>
      </c>
      <c r="B947" s="116">
        <v>12.94</v>
      </c>
      <c r="C947" s="116">
        <v>12.3</v>
      </c>
      <c r="D947" s="116">
        <v>12.02</v>
      </c>
      <c r="E947" s="116">
        <v>12.94</v>
      </c>
      <c r="F947" s="116">
        <v>12.3</v>
      </c>
      <c r="G947">
        <v>12426</v>
      </c>
      <c r="H947" s="116"/>
      <c r="I947" s="116"/>
      <c r="L947" s="169">
        <v>43397</v>
      </c>
      <c r="M947" s="116">
        <v>249.8</v>
      </c>
      <c r="N947" s="116">
        <v>253.3</v>
      </c>
      <c r="O947" s="116">
        <v>226.7</v>
      </c>
      <c r="P947" s="116">
        <v>226.7</v>
      </c>
      <c r="Q947" s="116">
        <v>249.8</v>
      </c>
      <c r="R947">
        <v>5508544</v>
      </c>
    </row>
    <row r="948" spans="1:18" x14ac:dyDescent="0.25">
      <c r="A948" s="169">
        <v>43406</v>
      </c>
      <c r="B948" s="116">
        <v>13.3</v>
      </c>
      <c r="C948" s="116">
        <v>12.97</v>
      </c>
      <c r="D948" s="116">
        <v>12.1</v>
      </c>
      <c r="E948" s="116">
        <v>12.5</v>
      </c>
      <c r="F948" s="116">
        <v>12.97</v>
      </c>
      <c r="G948">
        <v>31823</v>
      </c>
      <c r="H948" s="116"/>
      <c r="I948" s="116"/>
      <c r="L948" s="169">
        <v>43398</v>
      </c>
      <c r="M948" s="116">
        <v>256.95</v>
      </c>
      <c r="N948" s="116">
        <v>259.39999999999998</v>
      </c>
      <c r="O948" s="116">
        <v>241.4</v>
      </c>
      <c r="P948" s="116">
        <v>243.6</v>
      </c>
      <c r="Q948" s="116">
        <v>256.95</v>
      </c>
      <c r="R948">
        <v>3997399</v>
      </c>
    </row>
    <row r="949" spans="1:18" x14ac:dyDescent="0.25">
      <c r="A949" s="169">
        <v>43409</v>
      </c>
      <c r="B949" s="116">
        <v>13.65</v>
      </c>
      <c r="C949" s="116">
        <v>13.36</v>
      </c>
      <c r="D949" s="116">
        <v>13.2</v>
      </c>
      <c r="E949" s="116">
        <v>13.2</v>
      </c>
      <c r="F949" s="116">
        <v>13.36</v>
      </c>
      <c r="G949">
        <v>15034</v>
      </c>
      <c r="H949" s="116"/>
      <c r="I949" s="116"/>
      <c r="L949" s="169">
        <v>43399</v>
      </c>
      <c r="M949" s="116">
        <v>255.2</v>
      </c>
      <c r="N949" s="116">
        <v>263.2</v>
      </c>
      <c r="O949" s="116">
        <v>246</v>
      </c>
      <c r="P949" s="116">
        <v>255.3</v>
      </c>
      <c r="Q949" s="116">
        <v>255.2</v>
      </c>
      <c r="R949">
        <v>2228229</v>
      </c>
    </row>
    <row r="950" spans="1:18" x14ac:dyDescent="0.25">
      <c r="A950" s="169">
        <v>43410</v>
      </c>
      <c r="B950" s="116">
        <v>14.1</v>
      </c>
      <c r="C950" s="116">
        <v>13.95</v>
      </c>
      <c r="D950" s="116">
        <v>13.4</v>
      </c>
      <c r="E950" s="116">
        <v>13.45</v>
      </c>
      <c r="F950" s="116">
        <v>13.95</v>
      </c>
      <c r="G950">
        <v>25958</v>
      </c>
      <c r="H950" s="116"/>
      <c r="I950" s="116"/>
      <c r="L950" s="169">
        <v>43402</v>
      </c>
      <c r="M950" s="116">
        <v>267.60000000000002</v>
      </c>
      <c r="N950" s="116">
        <v>272.64999999999998</v>
      </c>
      <c r="O950" s="116">
        <v>247.8</v>
      </c>
      <c r="P950" s="116">
        <v>254.95</v>
      </c>
      <c r="Q950" s="116">
        <v>267.60000000000002</v>
      </c>
      <c r="R950">
        <v>2021125</v>
      </c>
    </row>
    <row r="951" spans="1:18" x14ac:dyDescent="0.25">
      <c r="A951" s="169">
        <v>43411</v>
      </c>
      <c r="B951" s="116">
        <v>14.75</v>
      </c>
      <c r="C951" s="116">
        <v>13.51</v>
      </c>
      <c r="D951" s="116">
        <v>13.01</v>
      </c>
      <c r="E951" s="116">
        <v>14.75</v>
      </c>
      <c r="F951" s="116">
        <v>13.51</v>
      </c>
      <c r="G951">
        <v>30929</v>
      </c>
      <c r="H951" s="116"/>
      <c r="I951" s="116"/>
      <c r="L951" s="169">
        <v>43403</v>
      </c>
      <c r="M951" s="116">
        <v>265.05</v>
      </c>
      <c r="N951" s="116">
        <v>274</v>
      </c>
      <c r="O951" s="116">
        <v>263.10000000000002</v>
      </c>
      <c r="P951" s="116">
        <v>264.8</v>
      </c>
      <c r="Q951" s="116">
        <v>265.05</v>
      </c>
      <c r="R951">
        <v>1308018</v>
      </c>
    </row>
    <row r="952" spans="1:18" x14ac:dyDescent="0.25">
      <c r="A952" s="169">
        <v>43413</v>
      </c>
      <c r="B952" s="116">
        <v>14.19</v>
      </c>
      <c r="C952" s="116">
        <v>14.01</v>
      </c>
      <c r="D952" s="116">
        <v>13.4</v>
      </c>
      <c r="E952" s="116">
        <v>13.75</v>
      </c>
      <c r="F952" s="116">
        <v>14.01</v>
      </c>
      <c r="G952">
        <v>19667</v>
      </c>
      <c r="H952" s="116"/>
      <c r="I952" s="116"/>
      <c r="L952" s="169">
        <v>43404</v>
      </c>
      <c r="M952" s="116">
        <v>275.8</v>
      </c>
      <c r="N952" s="116">
        <v>279.8</v>
      </c>
      <c r="O952" s="116">
        <v>246.05</v>
      </c>
      <c r="P952" s="116">
        <v>265</v>
      </c>
      <c r="Q952" s="116">
        <v>275.8</v>
      </c>
      <c r="R952">
        <v>3102508</v>
      </c>
    </row>
    <row r="953" spans="1:18" x14ac:dyDescent="0.25">
      <c r="A953" s="169">
        <v>43416</v>
      </c>
      <c r="B953" s="116">
        <v>14.65</v>
      </c>
      <c r="C953" s="116">
        <v>13.82</v>
      </c>
      <c r="D953" s="116">
        <v>13.7</v>
      </c>
      <c r="E953" s="116">
        <v>14.2</v>
      </c>
      <c r="F953" s="116">
        <v>13.82</v>
      </c>
      <c r="G953">
        <v>20361</v>
      </c>
      <c r="H953" s="116"/>
      <c r="I953" s="116"/>
      <c r="L953" s="169">
        <v>43405</v>
      </c>
      <c r="M953" s="116">
        <v>275.95</v>
      </c>
      <c r="N953" s="116">
        <v>282.5</v>
      </c>
      <c r="O953" s="116">
        <v>274.25</v>
      </c>
      <c r="P953" s="116">
        <v>277</v>
      </c>
      <c r="Q953" s="116">
        <v>275.95</v>
      </c>
      <c r="R953">
        <v>1291590</v>
      </c>
    </row>
    <row r="954" spans="1:18" x14ac:dyDescent="0.25">
      <c r="A954" s="169">
        <v>43417</v>
      </c>
      <c r="B954" s="116">
        <v>14.2</v>
      </c>
      <c r="C954" s="116">
        <v>13.5</v>
      </c>
      <c r="D954" s="116">
        <v>13.25</v>
      </c>
      <c r="E954" s="116">
        <v>14.2</v>
      </c>
      <c r="F954" s="116">
        <v>13.5</v>
      </c>
      <c r="G954">
        <v>9933</v>
      </c>
      <c r="H954" s="116"/>
      <c r="I954" s="116"/>
      <c r="L954" s="169">
        <v>43406</v>
      </c>
      <c r="M954" s="116">
        <v>274.64999999999998</v>
      </c>
      <c r="N954" s="116">
        <v>285</v>
      </c>
      <c r="O954" s="116">
        <v>272.55</v>
      </c>
      <c r="P954" s="116">
        <v>279</v>
      </c>
      <c r="Q954" s="116">
        <v>274.64999999999998</v>
      </c>
      <c r="R954">
        <v>1551343</v>
      </c>
    </row>
    <row r="955" spans="1:18" x14ac:dyDescent="0.25">
      <c r="A955" s="169">
        <v>43418</v>
      </c>
      <c r="B955" s="116">
        <v>13.85</v>
      </c>
      <c r="C955" s="116">
        <v>13.09</v>
      </c>
      <c r="D955" s="116">
        <v>13.08</v>
      </c>
      <c r="E955" s="116">
        <v>13.85</v>
      </c>
      <c r="F955" s="116">
        <v>13.09</v>
      </c>
      <c r="G955">
        <v>5932</v>
      </c>
      <c r="H955" s="116"/>
      <c r="I955" s="116"/>
      <c r="L955" s="169">
        <v>43409</v>
      </c>
      <c r="M955" s="116">
        <v>273.85000000000002</v>
      </c>
      <c r="N955" s="116">
        <v>280.8</v>
      </c>
      <c r="O955" s="116">
        <v>264</v>
      </c>
      <c r="P955" s="116">
        <v>277.55</v>
      </c>
      <c r="Q955" s="116">
        <v>273.85000000000002</v>
      </c>
      <c r="R955">
        <v>1293130</v>
      </c>
    </row>
    <row r="956" spans="1:18" x14ac:dyDescent="0.25">
      <c r="A956" s="169">
        <v>43419</v>
      </c>
      <c r="B956" s="116">
        <v>13.4</v>
      </c>
      <c r="C956" s="116">
        <v>13.27</v>
      </c>
      <c r="D956" s="116">
        <v>13</v>
      </c>
      <c r="E956" s="116">
        <v>13.02</v>
      </c>
      <c r="F956" s="116">
        <v>13.27</v>
      </c>
      <c r="G956">
        <v>9348</v>
      </c>
      <c r="H956" s="116"/>
      <c r="I956" s="116"/>
      <c r="L956" s="169">
        <v>43410</v>
      </c>
      <c r="M956" s="116">
        <v>277</v>
      </c>
      <c r="N956" s="116">
        <v>288.75</v>
      </c>
      <c r="O956" s="116">
        <v>274.75</v>
      </c>
      <c r="P956" s="116">
        <v>275</v>
      </c>
      <c r="Q956" s="116">
        <v>277</v>
      </c>
      <c r="R956">
        <v>1521755</v>
      </c>
    </row>
    <row r="957" spans="1:18" x14ac:dyDescent="0.25">
      <c r="A957" s="169">
        <v>43420</v>
      </c>
      <c r="B957" s="116">
        <v>13.88</v>
      </c>
      <c r="C957" s="116">
        <v>13.61</v>
      </c>
      <c r="D957" s="116">
        <v>12.8</v>
      </c>
      <c r="E957" s="116">
        <v>13.32</v>
      </c>
      <c r="F957" s="116">
        <v>13.61</v>
      </c>
      <c r="G957">
        <v>1016423</v>
      </c>
      <c r="H957" s="116"/>
      <c r="I957" s="116"/>
      <c r="L957" s="169">
        <v>43411</v>
      </c>
      <c r="M957" s="116">
        <v>280.2</v>
      </c>
      <c r="N957" s="116">
        <v>282.3</v>
      </c>
      <c r="O957" s="116">
        <v>276.7</v>
      </c>
      <c r="P957" s="116">
        <v>276.7</v>
      </c>
      <c r="Q957" s="116">
        <v>280.2</v>
      </c>
      <c r="R957">
        <v>163908</v>
      </c>
    </row>
    <row r="958" spans="1:18" x14ac:dyDescent="0.25">
      <c r="A958" s="169">
        <v>43423</v>
      </c>
      <c r="B958" s="116">
        <v>14</v>
      </c>
      <c r="C958" s="116">
        <v>13.81</v>
      </c>
      <c r="D958" s="116">
        <v>13.45</v>
      </c>
      <c r="E958" s="116">
        <v>13.62</v>
      </c>
      <c r="F958" s="116">
        <v>13.81</v>
      </c>
      <c r="G958">
        <v>51127</v>
      </c>
      <c r="H958" s="116"/>
      <c r="I958" s="116"/>
      <c r="L958" s="169">
        <v>43413</v>
      </c>
      <c r="M958" s="116">
        <v>281.3</v>
      </c>
      <c r="N958" s="116">
        <v>285.75</v>
      </c>
      <c r="O958" s="116">
        <v>276</v>
      </c>
      <c r="P958" s="116">
        <v>280.10000000000002</v>
      </c>
      <c r="Q958" s="116">
        <v>281.3</v>
      </c>
      <c r="R958">
        <v>711075</v>
      </c>
    </row>
    <row r="959" spans="1:18" x14ac:dyDescent="0.25">
      <c r="A959" s="169">
        <v>43424</v>
      </c>
      <c r="B959" s="116">
        <v>14</v>
      </c>
      <c r="C959" s="116">
        <v>13.74</v>
      </c>
      <c r="D959" s="116">
        <v>13.65</v>
      </c>
      <c r="E959" s="116">
        <v>14</v>
      </c>
      <c r="F959" s="116">
        <v>13.74</v>
      </c>
      <c r="G959">
        <v>15454</v>
      </c>
      <c r="H959" s="116"/>
      <c r="I959" s="116"/>
      <c r="L959" s="169">
        <v>43416</v>
      </c>
      <c r="M959" s="116">
        <v>275.89999999999998</v>
      </c>
      <c r="N959" s="116">
        <v>283.5</v>
      </c>
      <c r="O959" s="116">
        <v>273</v>
      </c>
      <c r="P959" s="116">
        <v>282</v>
      </c>
      <c r="Q959" s="116">
        <v>275.89999999999998</v>
      </c>
      <c r="R959">
        <v>641248</v>
      </c>
    </row>
    <row r="960" spans="1:18" x14ac:dyDescent="0.25">
      <c r="A960" s="169">
        <v>43425</v>
      </c>
      <c r="B960" s="116">
        <v>13.98</v>
      </c>
      <c r="C960" s="116">
        <v>13.59</v>
      </c>
      <c r="D960" s="116">
        <v>13.5</v>
      </c>
      <c r="E960" s="116">
        <v>13.98</v>
      </c>
      <c r="F960" s="116">
        <v>13.59</v>
      </c>
      <c r="G960">
        <v>969</v>
      </c>
      <c r="H960" s="116"/>
      <c r="I960" s="116"/>
      <c r="L960" s="169">
        <v>43417</v>
      </c>
      <c r="M960" s="116">
        <v>282.2</v>
      </c>
      <c r="N960" s="116">
        <v>283.45</v>
      </c>
      <c r="O960" s="116">
        <v>270.55</v>
      </c>
      <c r="P960" s="116">
        <v>276.95</v>
      </c>
      <c r="Q960" s="116">
        <v>282.2</v>
      </c>
      <c r="R960">
        <v>708468</v>
      </c>
    </row>
    <row r="961" spans="1:18" x14ac:dyDescent="0.25">
      <c r="A961" s="169">
        <v>43426</v>
      </c>
      <c r="B961" s="116">
        <v>14</v>
      </c>
      <c r="C961" s="116">
        <v>13.65</v>
      </c>
      <c r="D961" s="116">
        <v>13.56</v>
      </c>
      <c r="E961" s="116">
        <v>14</v>
      </c>
      <c r="F961" s="116">
        <v>13.65</v>
      </c>
      <c r="G961">
        <v>33450</v>
      </c>
      <c r="H961" s="116"/>
      <c r="I961" s="116"/>
      <c r="L961" s="169">
        <v>43418</v>
      </c>
      <c r="M961" s="116">
        <v>278.3</v>
      </c>
      <c r="N961" s="116">
        <v>284.5</v>
      </c>
      <c r="O961" s="116">
        <v>276.05</v>
      </c>
      <c r="P961" s="116">
        <v>284</v>
      </c>
      <c r="Q961" s="116">
        <v>278.3</v>
      </c>
      <c r="R961">
        <v>416738</v>
      </c>
    </row>
    <row r="962" spans="1:18" x14ac:dyDescent="0.25">
      <c r="A962" s="169">
        <v>43430</v>
      </c>
      <c r="B962" s="116">
        <v>13.94</v>
      </c>
      <c r="C962" s="116">
        <v>13.85</v>
      </c>
      <c r="D962" s="116">
        <v>13.15</v>
      </c>
      <c r="E962" s="116">
        <v>13.88</v>
      </c>
      <c r="F962" s="116">
        <v>13.85</v>
      </c>
      <c r="G962">
        <v>547822</v>
      </c>
      <c r="H962" s="116"/>
      <c r="I962" s="116"/>
      <c r="L962" s="169">
        <v>43419</v>
      </c>
      <c r="M962" s="116">
        <v>277.7</v>
      </c>
      <c r="N962" s="116">
        <v>285.75</v>
      </c>
      <c r="O962" s="116">
        <v>268.5</v>
      </c>
      <c r="P962" s="116">
        <v>278</v>
      </c>
      <c r="Q962" s="116">
        <v>277.7</v>
      </c>
      <c r="R962">
        <v>1321100</v>
      </c>
    </row>
    <row r="963" spans="1:18" x14ac:dyDescent="0.25">
      <c r="A963" s="169">
        <v>43431</v>
      </c>
      <c r="B963" s="116">
        <v>14.95</v>
      </c>
      <c r="C963" s="116">
        <v>14.74</v>
      </c>
      <c r="D963" s="116">
        <v>13.7</v>
      </c>
      <c r="E963" s="116">
        <v>13.7</v>
      </c>
      <c r="F963" s="116">
        <v>14.74</v>
      </c>
      <c r="G963">
        <v>152720</v>
      </c>
      <c r="H963" s="116"/>
      <c r="I963" s="116"/>
      <c r="L963" s="169">
        <v>43420</v>
      </c>
      <c r="M963" s="116">
        <v>265.60000000000002</v>
      </c>
      <c r="N963" s="116">
        <v>281.5</v>
      </c>
      <c r="O963" s="116">
        <v>257.85000000000002</v>
      </c>
      <c r="P963" s="116">
        <v>277.7</v>
      </c>
      <c r="Q963" s="116">
        <v>265.60000000000002</v>
      </c>
      <c r="R963">
        <v>1221311</v>
      </c>
    </row>
    <row r="964" spans="1:18" x14ac:dyDescent="0.25">
      <c r="A964" s="169">
        <v>43432</v>
      </c>
      <c r="B964" s="116">
        <v>14.99</v>
      </c>
      <c r="C964" s="116">
        <v>14.63</v>
      </c>
      <c r="D964" s="116">
        <v>14.4</v>
      </c>
      <c r="E964" s="116">
        <v>14.85</v>
      </c>
      <c r="F964" s="116">
        <v>14.63</v>
      </c>
      <c r="G964">
        <v>30676</v>
      </c>
      <c r="H964" s="116"/>
      <c r="I964" s="116"/>
      <c r="L964" s="169">
        <v>43423</v>
      </c>
      <c r="M964" s="116">
        <v>266.55</v>
      </c>
      <c r="N964" s="116">
        <v>270.60000000000002</v>
      </c>
      <c r="O964" s="116">
        <v>262.39999999999998</v>
      </c>
      <c r="P964" s="116">
        <v>269.05</v>
      </c>
      <c r="Q964" s="116">
        <v>266.55</v>
      </c>
      <c r="R964">
        <v>564058</v>
      </c>
    </row>
    <row r="965" spans="1:18" x14ac:dyDescent="0.25">
      <c r="A965" s="169">
        <v>43433</v>
      </c>
      <c r="B965" s="116">
        <v>14.8</v>
      </c>
      <c r="C965" s="116">
        <v>14</v>
      </c>
      <c r="D965" s="116">
        <v>13.01</v>
      </c>
      <c r="E965" s="116">
        <v>14.8</v>
      </c>
      <c r="F965" s="116">
        <v>14</v>
      </c>
      <c r="G965">
        <v>35001</v>
      </c>
      <c r="H965" s="116"/>
      <c r="I965" s="116"/>
      <c r="L965" s="169">
        <v>43424</v>
      </c>
      <c r="M965" s="116">
        <v>257.64999999999998</v>
      </c>
      <c r="N965" s="116">
        <v>266.8</v>
      </c>
      <c r="O965" s="116">
        <v>254.4</v>
      </c>
      <c r="P965" s="116">
        <v>266</v>
      </c>
      <c r="Q965" s="116">
        <v>257.64999999999998</v>
      </c>
      <c r="R965">
        <v>1032154</v>
      </c>
    </row>
    <row r="966" spans="1:18" x14ac:dyDescent="0.25">
      <c r="A966" s="169">
        <v>43434</v>
      </c>
      <c r="B966" s="116">
        <v>14.2</v>
      </c>
      <c r="C966" s="116">
        <v>13.42</v>
      </c>
      <c r="D966" s="116">
        <v>13.03</v>
      </c>
      <c r="E966" s="116">
        <v>14.2</v>
      </c>
      <c r="F966" s="116">
        <v>13.42</v>
      </c>
      <c r="G966">
        <v>36160</v>
      </c>
      <c r="H966" s="116"/>
      <c r="I966" s="116"/>
      <c r="L966" s="169">
        <v>43425</v>
      </c>
      <c r="M966" s="116">
        <v>264.55</v>
      </c>
      <c r="N966" s="116">
        <v>268.10000000000002</v>
      </c>
      <c r="O966" s="116">
        <v>256.3</v>
      </c>
      <c r="P966" s="116">
        <v>257.05</v>
      </c>
      <c r="Q966" s="116">
        <v>264.55</v>
      </c>
      <c r="R966">
        <v>675117</v>
      </c>
    </row>
    <row r="967" spans="1:18" x14ac:dyDescent="0.25">
      <c r="A967" s="169">
        <v>43437</v>
      </c>
      <c r="B967" s="116">
        <v>13.8</v>
      </c>
      <c r="C967" s="116">
        <v>13.58</v>
      </c>
      <c r="D967" s="116">
        <v>13.3</v>
      </c>
      <c r="E967" s="116">
        <v>13.47</v>
      </c>
      <c r="F967" s="116">
        <v>13.58</v>
      </c>
      <c r="G967">
        <v>15108</v>
      </c>
      <c r="H967" s="116"/>
      <c r="I967" s="116"/>
      <c r="L967" s="169">
        <v>43426</v>
      </c>
      <c r="M967" s="116">
        <v>259.64999999999998</v>
      </c>
      <c r="N967" s="116">
        <v>266.89999999999998</v>
      </c>
      <c r="O967" s="116">
        <v>258.05</v>
      </c>
      <c r="P967" s="116">
        <v>266.2</v>
      </c>
      <c r="Q967" s="116">
        <v>259.64999999999998</v>
      </c>
      <c r="R967">
        <v>564021</v>
      </c>
    </row>
    <row r="968" spans="1:18" x14ac:dyDescent="0.25">
      <c r="A968" s="169">
        <v>43438</v>
      </c>
      <c r="B968" s="116">
        <v>14.74</v>
      </c>
      <c r="C968" s="116">
        <v>14.15</v>
      </c>
      <c r="D968" s="116">
        <v>13.5</v>
      </c>
      <c r="E968" s="116">
        <v>13.75</v>
      </c>
      <c r="F968" s="116">
        <v>14.15</v>
      </c>
      <c r="G968">
        <v>1059435</v>
      </c>
      <c r="H968" s="116"/>
      <c r="I968" s="116"/>
      <c r="L968" s="169">
        <v>43430</v>
      </c>
      <c r="M968" s="116">
        <v>253.85</v>
      </c>
      <c r="N968" s="116">
        <v>262</v>
      </c>
      <c r="O968" s="116">
        <v>247.45</v>
      </c>
      <c r="P968" s="116">
        <v>261.8</v>
      </c>
      <c r="Q968" s="116">
        <v>253.85</v>
      </c>
      <c r="R968">
        <v>714344</v>
      </c>
    </row>
    <row r="969" spans="1:18" x14ac:dyDescent="0.25">
      <c r="A969" s="169">
        <v>43439</v>
      </c>
      <c r="B969" s="116">
        <v>14.25</v>
      </c>
      <c r="C969" s="116">
        <v>13.81</v>
      </c>
      <c r="D969" s="116">
        <v>13.75</v>
      </c>
      <c r="E969" s="116">
        <v>14.25</v>
      </c>
      <c r="F969" s="116">
        <v>13.81</v>
      </c>
      <c r="G969">
        <v>19854</v>
      </c>
      <c r="H969" s="116"/>
      <c r="I969" s="116"/>
      <c r="L969" s="169">
        <v>43431</v>
      </c>
      <c r="M969" s="116">
        <v>257.64999999999998</v>
      </c>
      <c r="N969" s="116">
        <v>259.25</v>
      </c>
      <c r="O969" s="116">
        <v>250.65</v>
      </c>
      <c r="P969" s="116">
        <v>253.85</v>
      </c>
      <c r="Q969" s="116">
        <v>257.64999999999998</v>
      </c>
      <c r="R969">
        <v>643563</v>
      </c>
    </row>
    <row r="970" spans="1:18" x14ac:dyDescent="0.25">
      <c r="A970" s="169">
        <v>43440</v>
      </c>
      <c r="B970" s="116">
        <v>14.25</v>
      </c>
      <c r="C970" s="116">
        <v>13.83</v>
      </c>
      <c r="D970" s="116">
        <v>13.79</v>
      </c>
      <c r="E970" s="116">
        <v>13.79</v>
      </c>
      <c r="F970" s="116">
        <v>13.83</v>
      </c>
      <c r="G970">
        <v>9213</v>
      </c>
      <c r="H970" s="116"/>
      <c r="I970" s="116"/>
      <c r="L970" s="169">
        <v>43432</v>
      </c>
      <c r="M970" s="116">
        <v>257.75</v>
      </c>
      <c r="N970" s="116">
        <v>266.14999999999998</v>
      </c>
      <c r="O970" s="116">
        <v>253.65</v>
      </c>
      <c r="P970" s="116">
        <v>257</v>
      </c>
      <c r="Q970" s="116">
        <v>257.75</v>
      </c>
      <c r="R970">
        <v>687407</v>
      </c>
    </row>
    <row r="971" spans="1:18" x14ac:dyDescent="0.25">
      <c r="A971" s="169">
        <v>43441</v>
      </c>
      <c r="B971" s="116">
        <v>14.25</v>
      </c>
      <c r="C971" s="116">
        <v>13.48</v>
      </c>
      <c r="D971" s="116">
        <v>13.2</v>
      </c>
      <c r="E971" s="116">
        <v>13.65</v>
      </c>
      <c r="F971" s="116">
        <v>13.48</v>
      </c>
      <c r="G971">
        <v>108465</v>
      </c>
      <c r="H971" s="116"/>
      <c r="I971" s="116"/>
      <c r="L971" s="169">
        <v>43433</v>
      </c>
      <c r="M971" s="116">
        <v>267.45</v>
      </c>
      <c r="N971" s="116">
        <v>269.8</v>
      </c>
      <c r="O971" s="116">
        <v>255.3</v>
      </c>
      <c r="P971" s="116">
        <v>259.35000000000002</v>
      </c>
      <c r="Q971" s="116">
        <v>267.45</v>
      </c>
      <c r="R971">
        <v>927302</v>
      </c>
    </row>
    <row r="972" spans="1:18" x14ac:dyDescent="0.25">
      <c r="A972" s="169">
        <v>43444</v>
      </c>
      <c r="B972" s="116">
        <v>13.65</v>
      </c>
      <c r="C972" s="116">
        <v>13.37</v>
      </c>
      <c r="D972" s="116">
        <v>12.5</v>
      </c>
      <c r="E972" s="116">
        <v>13</v>
      </c>
      <c r="F972" s="116">
        <v>13.37</v>
      </c>
      <c r="G972">
        <v>14424</v>
      </c>
      <c r="H972" s="116"/>
      <c r="I972" s="116"/>
      <c r="L972" s="169">
        <v>43434</v>
      </c>
      <c r="M972" s="116">
        <v>269.85000000000002</v>
      </c>
      <c r="N972" s="116">
        <v>279.7</v>
      </c>
      <c r="O972" s="116">
        <v>265.8</v>
      </c>
      <c r="P972" s="116">
        <v>270</v>
      </c>
      <c r="Q972" s="116">
        <v>269.85000000000002</v>
      </c>
      <c r="R972">
        <v>1538831</v>
      </c>
    </row>
    <row r="973" spans="1:18" x14ac:dyDescent="0.25">
      <c r="A973" s="169">
        <v>43445</v>
      </c>
      <c r="B973" s="116">
        <v>13.99</v>
      </c>
      <c r="C973" s="116">
        <v>13.85</v>
      </c>
      <c r="D973" s="116">
        <v>13.25</v>
      </c>
      <c r="E973" s="116">
        <v>13.25</v>
      </c>
      <c r="F973" s="116">
        <v>13.85</v>
      </c>
      <c r="G973">
        <v>9549</v>
      </c>
      <c r="H973" s="116"/>
      <c r="I973" s="116"/>
      <c r="L973" s="169">
        <v>43437</v>
      </c>
      <c r="M973" s="116">
        <v>267.55</v>
      </c>
      <c r="N973" s="116">
        <v>272.8</v>
      </c>
      <c r="O973" s="116">
        <v>264.39999999999998</v>
      </c>
      <c r="P973" s="116">
        <v>270.10000000000002</v>
      </c>
      <c r="Q973" s="116">
        <v>267.55</v>
      </c>
      <c r="R973">
        <v>471044</v>
      </c>
    </row>
    <row r="974" spans="1:18" x14ac:dyDescent="0.25">
      <c r="A974" s="169">
        <v>43446</v>
      </c>
      <c r="B974" s="116">
        <v>14</v>
      </c>
      <c r="C974" s="116">
        <v>13.98</v>
      </c>
      <c r="D974" s="116">
        <v>13.65</v>
      </c>
      <c r="E974" s="116">
        <v>13.75</v>
      </c>
      <c r="F974" s="116">
        <v>13.98</v>
      </c>
      <c r="G974">
        <v>13586</v>
      </c>
      <c r="H974" s="116"/>
      <c r="I974" s="116"/>
      <c r="L974" s="169">
        <v>43438</v>
      </c>
      <c r="M974" s="116">
        <v>261.5</v>
      </c>
      <c r="N974" s="116">
        <v>270</v>
      </c>
      <c r="O974" s="116">
        <v>259.2</v>
      </c>
      <c r="P974" s="116">
        <v>268</v>
      </c>
      <c r="Q974" s="116">
        <v>261.5</v>
      </c>
      <c r="R974">
        <v>667633</v>
      </c>
    </row>
    <row r="975" spans="1:18" x14ac:dyDescent="0.25">
      <c r="A975" s="169">
        <v>43447</v>
      </c>
      <c r="B975" s="116">
        <v>14</v>
      </c>
      <c r="C975" s="116">
        <v>13.92</v>
      </c>
      <c r="D975" s="116">
        <v>13.51</v>
      </c>
      <c r="E975" s="116">
        <v>14</v>
      </c>
      <c r="F975" s="116">
        <v>13.92</v>
      </c>
      <c r="G975">
        <v>15441</v>
      </c>
      <c r="H975" s="116"/>
      <c r="I975" s="116"/>
      <c r="L975" s="169">
        <v>43439</v>
      </c>
      <c r="M975" s="116">
        <v>249.6</v>
      </c>
      <c r="N975" s="116">
        <v>265.95</v>
      </c>
      <c r="O975" s="116">
        <v>246.4</v>
      </c>
      <c r="P975" s="116">
        <v>262</v>
      </c>
      <c r="Q975" s="116">
        <v>249.6</v>
      </c>
      <c r="R975">
        <v>1269752</v>
      </c>
    </row>
    <row r="976" spans="1:18" x14ac:dyDescent="0.25">
      <c r="A976" s="169">
        <v>43448</v>
      </c>
      <c r="B976" s="116">
        <v>15.4</v>
      </c>
      <c r="C976" s="116">
        <v>15</v>
      </c>
      <c r="D976" s="116">
        <v>13.93</v>
      </c>
      <c r="E976" s="116">
        <v>13.95</v>
      </c>
      <c r="F976" s="116">
        <v>15</v>
      </c>
      <c r="G976">
        <v>778392</v>
      </c>
      <c r="H976" s="116"/>
      <c r="I976" s="116"/>
      <c r="L976" s="169">
        <v>43440</v>
      </c>
      <c r="M976" s="116">
        <v>240.75</v>
      </c>
      <c r="N976" s="116">
        <v>248.65</v>
      </c>
      <c r="O976" s="116">
        <v>238.6</v>
      </c>
      <c r="P976" s="116">
        <v>247</v>
      </c>
      <c r="Q976" s="116">
        <v>240.75</v>
      </c>
      <c r="R976">
        <v>941560</v>
      </c>
    </row>
    <row r="977" spans="1:18" x14ac:dyDescent="0.25">
      <c r="A977" s="169">
        <v>43451</v>
      </c>
      <c r="B977" s="116">
        <v>15.14</v>
      </c>
      <c r="C977" s="116">
        <v>14.32</v>
      </c>
      <c r="D977" s="116">
        <v>13.5</v>
      </c>
      <c r="E977" s="116">
        <v>15</v>
      </c>
      <c r="F977" s="116">
        <v>14.32</v>
      </c>
      <c r="G977">
        <v>35064</v>
      </c>
      <c r="H977" s="116"/>
      <c r="I977" s="116"/>
      <c r="L977" s="169">
        <v>43441</v>
      </c>
      <c r="M977" s="116">
        <v>239.7</v>
      </c>
      <c r="N977" s="116">
        <v>245.05</v>
      </c>
      <c r="O977" s="116">
        <v>232.65</v>
      </c>
      <c r="P977" s="116">
        <v>242</v>
      </c>
      <c r="Q977" s="116">
        <v>239.7</v>
      </c>
      <c r="R977">
        <v>724994</v>
      </c>
    </row>
    <row r="978" spans="1:18" x14ac:dyDescent="0.25">
      <c r="A978" s="169">
        <v>43452</v>
      </c>
      <c r="B978" s="116">
        <v>14.7</v>
      </c>
      <c r="C978" s="116">
        <v>14.51</v>
      </c>
      <c r="D978" s="116">
        <v>14.2</v>
      </c>
      <c r="E978" s="116">
        <v>14.5</v>
      </c>
      <c r="F978" s="116">
        <v>14.51</v>
      </c>
      <c r="G978">
        <v>7126</v>
      </c>
      <c r="H978" s="116"/>
      <c r="I978" s="116"/>
      <c r="L978" s="169">
        <v>43444</v>
      </c>
      <c r="M978" s="116">
        <v>234.15</v>
      </c>
      <c r="N978" s="116">
        <v>236.5</v>
      </c>
      <c r="O978" s="116">
        <v>231.35</v>
      </c>
      <c r="P978" s="116">
        <v>233</v>
      </c>
      <c r="Q978" s="116">
        <v>234.15</v>
      </c>
      <c r="R978">
        <v>382131</v>
      </c>
    </row>
    <row r="979" spans="1:18" x14ac:dyDescent="0.25">
      <c r="A979" s="169">
        <v>43453</v>
      </c>
      <c r="B979" s="116">
        <v>14.75</v>
      </c>
      <c r="C979" s="116">
        <v>14.44</v>
      </c>
      <c r="D979" s="116">
        <v>14.21</v>
      </c>
      <c r="E979" s="116">
        <v>14.51</v>
      </c>
      <c r="F979" s="116">
        <v>14.44</v>
      </c>
      <c r="G979">
        <v>979595</v>
      </c>
      <c r="H979" s="116"/>
      <c r="I979" s="116"/>
      <c r="L979" s="169">
        <v>43445</v>
      </c>
      <c r="M979" s="116">
        <v>235.15</v>
      </c>
      <c r="N979" s="116">
        <v>244.8</v>
      </c>
      <c r="O979" s="116">
        <v>226.4</v>
      </c>
      <c r="P979" s="116">
        <v>226.4</v>
      </c>
      <c r="Q979" s="116">
        <v>235.15</v>
      </c>
      <c r="R979">
        <v>1109419</v>
      </c>
    </row>
    <row r="980" spans="1:18" x14ac:dyDescent="0.25">
      <c r="A980" s="169">
        <v>43454</v>
      </c>
      <c r="B980" s="116">
        <v>14.48</v>
      </c>
      <c r="C980" s="116">
        <v>14.3</v>
      </c>
      <c r="D980" s="116">
        <v>13.86</v>
      </c>
      <c r="E980" s="116">
        <v>14.4</v>
      </c>
      <c r="F980" s="116">
        <v>14.3</v>
      </c>
      <c r="G980">
        <v>10109</v>
      </c>
      <c r="H980" s="116"/>
      <c r="I980" s="116"/>
      <c r="L980" s="169">
        <v>43446</v>
      </c>
      <c r="M980" s="116">
        <v>254.45</v>
      </c>
      <c r="N980" s="116">
        <v>255.9</v>
      </c>
      <c r="O980" s="116">
        <v>236.15</v>
      </c>
      <c r="P980" s="116">
        <v>236.15</v>
      </c>
      <c r="Q980" s="116">
        <v>254.45</v>
      </c>
      <c r="R980">
        <v>2492996</v>
      </c>
    </row>
    <row r="981" spans="1:18" x14ac:dyDescent="0.25">
      <c r="A981" s="169">
        <v>43455</v>
      </c>
      <c r="B981" s="116">
        <v>14.49</v>
      </c>
      <c r="C981" s="116">
        <v>13.75</v>
      </c>
      <c r="D981" s="116">
        <v>13.7</v>
      </c>
      <c r="E981" s="116">
        <v>14.25</v>
      </c>
      <c r="F981" s="116">
        <v>13.75</v>
      </c>
      <c r="G981">
        <v>54572</v>
      </c>
      <c r="H981" s="116"/>
      <c r="I981" s="116"/>
      <c r="L981" s="169">
        <v>43447</v>
      </c>
      <c r="M981" s="116">
        <v>266.5</v>
      </c>
      <c r="N981" s="116">
        <v>275</v>
      </c>
      <c r="O981" s="116">
        <v>254.45</v>
      </c>
      <c r="P981" s="116">
        <v>255</v>
      </c>
      <c r="Q981" s="116">
        <v>266.5</v>
      </c>
      <c r="R981">
        <v>3014335</v>
      </c>
    </row>
    <row r="982" spans="1:18" x14ac:dyDescent="0.25">
      <c r="A982" s="169">
        <v>43458</v>
      </c>
      <c r="B982" s="116">
        <v>13.95</v>
      </c>
      <c r="C982" s="116">
        <v>13.55</v>
      </c>
      <c r="D982" s="116">
        <v>13.5</v>
      </c>
      <c r="E982" s="116">
        <v>13.9</v>
      </c>
      <c r="F982" s="116">
        <v>13.55</v>
      </c>
      <c r="G982">
        <v>25521</v>
      </c>
      <c r="H982" s="116"/>
      <c r="I982" s="116"/>
      <c r="L982" s="169">
        <v>43448</v>
      </c>
      <c r="M982" s="116">
        <v>278.60000000000002</v>
      </c>
      <c r="N982" s="116">
        <v>281.95</v>
      </c>
      <c r="O982" s="116">
        <v>260.2</v>
      </c>
      <c r="P982" s="116">
        <v>265.8</v>
      </c>
      <c r="Q982" s="116">
        <v>278.60000000000002</v>
      </c>
      <c r="R982">
        <v>2961622</v>
      </c>
    </row>
    <row r="983" spans="1:18" x14ac:dyDescent="0.25">
      <c r="A983" s="169">
        <v>43460</v>
      </c>
      <c r="B983" s="116">
        <v>13.61</v>
      </c>
      <c r="C983" s="116">
        <v>13.51</v>
      </c>
      <c r="D983" s="116">
        <v>13.11</v>
      </c>
      <c r="E983" s="116">
        <v>13.11</v>
      </c>
      <c r="F983" s="116">
        <v>13.51</v>
      </c>
      <c r="G983">
        <v>7769</v>
      </c>
      <c r="H983" s="116"/>
      <c r="I983" s="116"/>
      <c r="L983" s="169">
        <v>43451</v>
      </c>
      <c r="M983" s="116">
        <v>275.60000000000002</v>
      </c>
      <c r="N983" s="116">
        <v>280.14999999999998</v>
      </c>
      <c r="O983" s="116">
        <v>272.8</v>
      </c>
      <c r="P983" s="116">
        <v>276.10000000000002</v>
      </c>
      <c r="Q983" s="116">
        <v>275.60000000000002</v>
      </c>
      <c r="R983">
        <v>685591</v>
      </c>
    </row>
    <row r="984" spans="1:18" x14ac:dyDescent="0.25">
      <c r="A984" s="169">
        <v>43461</v>
      </c>
      <c r="B984" s="116">
        <v>13.8</v>
      </c>
      <c r="C984" s="116">
        <v>13.44</v>
      </c>
      <c r="D984" s="116">
        <v>13.3</v>
      </c>
      <c r="E984" s="116">
        <v>13.7</v>
      </c>
      <c r="F984" s="116">
        <v>13.44</v>
      </c>
      <c r="G984">
        <v>15096</v>
      </c>
      <c r="H984" s="116"/>
      <c r="I984" s="116"/>
      <c r="L984" s="169">
        <v>43452</v>
      </c>
      <c r="M984" s="116">
        <v>278.05</v>
      </c>
      <c r="N984" s="116">
        <v>281</v>
      </c>
      <c r="O984" s="116">
        <v>271.89999999999998</v>
      </c>
      <c r="P984" s="116">
        <v>272</v>
      </c>
      <c r="Q984" s="116">
        <v>278.05</v>
      </c>
      <c r="R984">
        <v>965727</v>
      </c>
    </row>
    <row r="985" spans="1:18" x14ac:dyDescent="0.25">
      <c r="A985" s="169">
        <v>43462</v>
      </c>
      <c r="B985" s="116">
        <v>13.67</v>
      </c>
      <c r="C985" s="116">
        <v>13.55</v>
      </c>
      <c r="D985" s="116">
        <v>13.37</v>
      </c>
      <c r="E985" s="116">
        <v>13.55</v>
      </c>
      <c r="F985" s="116">
        <v>13.55</v>
      </c>
      <c r="G985">
        <v>4000</v>
      </c>
      <c r="H985" s="116"/>
      <c r="I985" s="116"/>
      <c r="L985" s="169">
        <v>43453</v>
      </c>
      <c r="M985" s="116">
        <v>286.64999999999998</v>
      </c>
      <c r="N985" s="116">
        <v>289</v>
      </c>
      <c r="O985" s="116">
        <v>280.45</v>
      </c>
      <c r="P985" s="116">
        <v>280.55</v>
      </c>
      <c r="Q985" s="116">
        <v>286.64999999999998</v>
      </c>
      <c r="R985">
        <v>2678955</v>
      </c>
    </row>
    <row r="986" spans="1:18" x14ac:dyDescent="0.25">
      <c r="A986" s="169">
        <v>43465</v>
      </c>
      <c r="B986" s="116">
        <v>14.8</v>
      </c>
      <c r="C986" s="116">
        <v>14.25</v>
      </c>
      <c r="D986" s="116">
        <v>13.42</v>
      </c>
      <c r="E986" s="116">
        <v>13.6</v>
      </c>
      <c r="F986" s="116">
        <v>14.25</v>
      </c>
      <c r="G986">
        <v>10066348</v>
      </c>
      <c r="H986" s="116"/>
      <c r="I986" s="116"/>
      <c r="L986" s="169">
        <v>43454</v>
      </c>
      <c r="M986" s="116">
        <v>289.39999999999998</v>
      </c>
      <c r="N986" s="116">
        <v>293.25</v>
      </c>
      <c r="O986" s="116">
        <v>283</v>
      </c>
      <c r="P986" s="116">
        <v>284.2</v>
      </c>
      <c r="Q986" s="116">
        <v>289.39999999999998</v>
      </c>
      <c r="R986">
        <v>1973626</v>
      </c>
    </row>
    <row r="987" spans="1:18" x14ac:dyDescent="0.25">
      <c r="A987" s="169">
        <v>43466</v>
      </c>
      <c r="B987" s="116">
        <v>14.6</v>
      </c>
      <c r="C987" s="116">
        <v>14.25</v>
      </c>
      <c r="D987" s="116">
        <v>13.8</v>
      </c>
      <c r="E987" s="116">
        <v>14.6</v>
      </c>
      <c r="F987" s="116">
        <v>14.25</v>
      </c>
      <c r="G987">
        <v>17235</v>
      </c>
      <c r="H987" s="116"/>
      <c r="I987" s="116"/>
      <c r="L987" s="169">
        <v>43455</v>
      </c>
      <c r="M987" s="116">
        <v>278.14999999999998</v>
      </c>
      <c r="N987" s="116">
        <v>297</v>
      </c>
      <c r="O987" s="116">
        <v>276</v>
      </c>
      <c r="P987" s="116">
        <v>290.05</v>
      </c>
      <c r="Q987" s="116">
        <v>278.14999999999998</v>
      </c>
      <c r="R987">
        <v>2472656</v>
      </c>
    </row>
    <row r="988" spans="1:18" x14ac:dyDescent="0.25">
      <c r="A988" s="169">
        <v>43467</v>
      </c>
      <c r="B988" s="116">
        <v>14.35</v>
      </c>
      <c r="C988" s="116">
        <v>13.87</v>
      </c>
      <c r="D988" s="116">
        <v>13.82</v>
      </c>
      <c r="E988" s="116">
        <v>14.13</v>
      </c>
      <c r="F988" s="116">
        <v>13.87</v>
      </c>
      <c r="G988">
        <v>19792</v>
      </c>
      <c r="H988" s="116"/>
      <c r="I988" s="116"/>
      <c r="L988" s="169">
        <v>43458</v>
      </c>
      <c r="M988" s="116">
        <v>276.39999999999998</v>
      </c>
      <c r="N988" s="116">
        <v>284.75</v>
      </c>
      <c r="O988" s="116">
        <v>275.14999999999998</v>
      </c>
      <c r="P988" s="116">
        <v>278.75</v>
      </c>
      <c r="Q988" s="116">
        <v>276.39999999999998</v>
      </c>
      <c r="R988">
        <v>1113170</v>
      </c>
    </row>
    <row r="989" spans="1:18" x14ac:dyDescent="0.25">
      <c r="A989" s="169">
        <v>43468</v>
      </c>
      <c r="B989" s="116">
        <v>14.1</v>
      </c>
      <c r="C989" s="116">
        <v>13.76</v>
      </c>
      <c r="D989" s="116">
        <v>13.76</v>
      </c>
      <c r="E989" s="116">
        <v>14</v>
      </c>
      <c r="F989" s="116">
        <v>13.76</v>
      </c>
      <c r="G989">
        <v>9033</v>
      </c>
      <c r="H989" s="116"/>
      <c r="I989" s="116"/>
      <c r="L989" s="169">
        <v>43460</v>
      </c>
      <c r="M989" s="116">
        <v>288.95</v>
      </c>
      <c r="N989" s="116">
        <v>292.5</v>
      </c>
      <c r="O989" s="116">
        <v>268</v>
      </c>
      <c r="P989" s="116">
        <v>276</v>
      </c>
      <c r="Q989" s="116">
        <v>288.95</v>
      </c>
      <c r="R989">
        <v>2140115</v>
      </c>
    </row>
    <row r="990" spans="1:18" x14ac:dyDescent="0.25">
      <c r="A990" s="169">
        <v>43469</v>
      </c>
      <c r="B990" s="116">
        <v>15.1</v>
      </c>
      <c r="C990" s="116">
        <v>14.22</v>
      </c>
      <c r="D990" s="116">
        <v>13.73</v>
      </c>
      <c r="E990" s="116">
        <v>14</v>
      </c>
      <c r="F990" s="116">
        <v>14.22</v>
      </c>
      <c r="G990">
        <v>143819</v>
      </c>
      <c r="H990" s="116"/>
      <c r="I990" s="116"/>
      <c r="L990" s="169">
        <v>43461</v>
      </c>
      <c r="M990" s="116">
        <v>288.89999999999998</v>
      </c>
      <c r="N990" s="116">
        <v>294</v>
      </c>
      <c r="O990" s="116">
        <v>281.35000000000002</v>
      </c>
      <c r="P990" s="116">
        <v>294</v>
      </c>
      <c r="Q990" s="116">
        <v>288.89999999999998</v>
      </c>
      <c r="R990">
        <v>2531457</v>
      </c>
    </row>
    <row r="991" spans="1:18" x14ac:dyDescent="0.25">
      <c r="A991" s="169">
        <v>43472</v>
      </c>
      <c r="B991" s="116">
        <v>14.4</v>
      </c>
      <c r="C991" s="116">
        <v>13.9</v>
      </c>
      <c r="D991" s="116">
        <v>13.9</v>
      </c>
      <c r="E991" s="116">
        <v>14</v>
      </c>
      <c r="F991" s="116">
        <v>13.9</v>
      </c>
      <c r="G991">
        <v>4588</v>
      </c>
      <c r="H991" s="116"/>
      <c r="I991" s="116"/>
      <c r="L991" s="169">
        <v>43462</v>
      </c>
      <c r="M991" s="116">
        <v>292.55</v>
      </c>
      <c r="N991" s="116">
        <v>293.7</v>
      </c>
      <c r="O991" s="116">
        <v>286.25</v>
      </c>
      <c r="P991" s="116">
        <v>290</v>
      </c>
      <c r="Q991" s="116">
        <v>292.55</v>
      </c>
      <c r="R991">
        <v>1032473</v>
      </c>
    </row>
    <row r="992" spans="1:18" x14ac:dyDescent="0.25">
      <c r="A992" s="169">
        <v>43473</v>
      </c>
      <c r="B992" s="116">
        <v>13.9</v>
      </c>
      <c r="C992" s="116">
        <v>13.52</v>
      </c>
      <c r="D992" s="116">
        <v>13.5</v>
      </c>
      <c r="E992" s="116">
        <v>13.85</v>
      </c>
      <c r="F992" s="116">
        <v>13.52</v>
      </c>
      <c r="G992">
        <v>93138</v>
      </c>
      <c r="H992" s="116"/>
      <c r="I992" s="116"/>
      <c r="L992" s="169">
        <v>43465</v>
      </c>
      <c r="M992" s="116">
        <v>288.89999999999998</v>
      </c>
      <c r="N992" s="116">
        <v>297.39999999999998</v>
      </c>
      <c r="O992" s="116">
        <v>286</v>
      </c>
      <c r="P992" s="116">
        <v>294.10000000000002</v>
      </c>
      <c r="Q992" s="116">
        <v>288.89999999999998</v>
      </c>
      <c r="R992">
        <v>2055035</v>
      </c>
    </row>
    <row r="993" spans="1:18" x14ac:dyDescent="0.25">
      <c r="A993" s="169">
        <v>43474</v>
      </c>
      <c r="B993" s="116">
        <v>13.75</v>
      </c>
      <c r="C993" s="116">
        <v>13.61</v>
      </c>
      <c r="D993" s="116">
        <v>13.5</v>
      </c>
      <c r="E993" s="116">
        <v>13.5</v>
      </c>
      <c r="F993" s="116">
        <v>13.61</v>
      </c>
      <c r="G993">
        <v>7855</v>
      </c>
      <c r="H993" s="116"/>
      <c r="I993" s="116"/>
      <c r="L993" s="169">
        <v>43466</v>
      </c>
      <c r="M993" s="116">
        <v>286.8</v>
      </c>
      <c r="N993" s="116">
        <v>289.75</v>
      </c>
      <c r="O993" s="116">
        <v>283.35000000000002</v>
      </c>
      <c r="P993" s="116">
        <v>285.55</v>
      </c>
      <c r="Q993" s="116">
        <v>286.8</v>
      </c>
      <c r="R993">
        <v>797818</v>
      </c>
    </row>
    <row r="994" spans="1:18" x14ac:dyDescent="0.25">
      <c r="A994" s="169">
        <v>43475</v>
      </c>
      <c r="B994" s="116">
        <v>13.75</v>
      </c>
      <c r="C994" s="116">
        <v>13.61</v>
      </c>
      <c r="D994" s="116">
        <v>13.6</v>
      </c>
      <c r="E994" s="116">
        <v>13.75</v>
      </c>
      <c r="F994" s="116">
        <v>13.61</v>
      </c>
      <c r="G994">
        <v>3515</v>
      </c>
      <c r="H994" s="116"/>
      <c r="I994" s="116"/>
      <c r="L994" s="169">
        <v>43467</v>
      </c>
      <c r="M994" s="116">
        <v>280.89999999999998</v>
      </c>
      <c r="N994" s="116">
        <v>290.35000000000002</v>
      </c>
      <c r="O994" s="116">
        <v>278</v>
      </c>
      <c r="P994" s="116">
        <v>286.5</v>
      </c>
      <c r="Q994" s="116">
        <v>280.89999999999998</v>
      </c>
      <c r="R994">
        <v>878757</v>
      </c>
    </row>
    <row r="995" spans="1:18" x14ac:dyDescent="0.25">
      <c r="A995" s="169">
        <v>43476</v>
      </c>
      <c r="B995" s="116">
        <v>13.91</v>
      </c>
      <c r="C995" s="116">
        <v>13.79</v>
      </c>
      <c r="D995" s="116">
        <v>13.25</v>
      </c>
      <c r="E995" s="116">
        <v>13.6</v>
      </c>
      <c r="F995" s="116">
        <v>13.79</v>
      </c>
      <c r="G995">
        <v>133928</v>
      </c>
      <c r="H995" s="116"/>
      <c r="I995" s="116"/>
      <c r="L995" s="169">
        <v>43468</v>
      </c>
      <c r="M995" s="116">
        <v>276.89999999999998</v>
      </c>
      <c r="N995" s="116">
        <v>284.5</v>
      </c>
      <c r="O995" s="116">
        <v>275.8</v>
      </c>
      <c r="P995" s="116">
        <v>281.05</v>
      </c>
      <c r="Q995" s="116">
        <v>276.89999999999998</v>
      </c>
      <c r="R995">
        <v>595191</v>
      </c>
    </row>
    <row r="996" spans="1:18" x14ac:dyDescent="0.25">
      <c r="A996" s="169">
        <v>43479</v>
      </c>
      <c r="B996" s="116">
        <v>13.6</v>
      </c>
      <c r="C996" s="116">
        <v>13.26</v>
      </c>
      <c r="D996" s="116">
        <v>13.25</v>
      </c>
      <c r="E996" s="116">
        <v>13.5</v>
      </c>
      <c r="F996" s="116">
        <v>13.26</v>
      </c>
      <c r="G996">
        <v>25963</v>
      </c>
      <c r="H996" s="116"/>
      <c r="I996" s="116"/>
      <c r="L996" s="169">
        <v>43469</v>
      </c>
      <c r="M996" s="116">
        <v>280.5</v>
      </c>
      <c r="N996" s="116">
        <v>281.75</v>
      </c>
      <c r="O996" s="116">
        <v>273.75</v>
      </c>
      <c r="P996" s="116">
        <v>277.25</v>
      </c>
      <c r="Q996" s="116">
        <v>280.5</v>
      </c>
      <c r="R996">
        <v>856596</v>
      </c>
    </row>
    <row r="997" spans="1:18" x14ac:dyDescent="0.25">
      <c r="A997" s="169">
        <v>43480</v>
      </c>
      <c r="B997" s="116">
        <v>13.69</v>
      </c>
      <c r="C997" s="116">
        <v>13.54</v>
      </c>
      <c r="D997" s="116">
        <v>13.26</v>
      </c>
      <c r="E997" s="116">
        <v>13.26</v>
      </c>
      <c r="F997" s="116">
        <v>13.54</v>
      </c>
      <c r="G997">
        <v>4602</v>
      </c>
      <c r="H997" s="116"/>
      <c r="I997" s="116"/>
      <c r="L997" s="169">
        <v>43472</v>
      </c>
      <c r="M997" s="116">
        <v>283.2</v>
      </c>
      <c r="N997" s="116">
        <v>288.95</v>
      </c>
      <c r="O997" s="116">
        <v>279.8</v>
      </c>
      <c r="P997" s="116">
        <v>286.60000000000002</v>
      </c>
      <c r="Q997" s="116">
        <v>283.2</v>
      </c>
      <c r="R997">
        <v>1570668</v>
      </c>
    </row>
    <row r="998" spans="1:18" x14ac:dyDescent="0.25">
      <c r="A998" s="169">
        <v>43481</v>
      </c>
      <c r="B998" s="116">
        <v>13.75</v>
      </c>
      <c r="C998" s="116">
        <v>13.5</v>
      </c>
      <c r="D998" s="116">
        <v>13.05</v>
      </c>
      <c r="E998" s="116">
        <v>13.55</v>
      </c>
      <c r="F998" s="116">
        <v>13.5</v>
      </c>
      <c r="G998">
        <v>137437</v>
      </c>
      <c r="H998" s="116"/>
      <c r="I998" s="116"/>
      <c r="L998" s="169">
        <v>43473</v>
      </c>
      <c r="M998" s="116">
        <v>284.55</v>
      </c>
      <c r="N998" s="116">
        <v>286.3</v>
      </c>
      <c r="O998" s="116">
        <v>279.5</v>
      </c>
      <c r="P998" s="116">
        <v>284.2</v>
      </c>
      <c r="Q998" s="116">
        <v>284.55</v>
      </c>
      <c r="R998">
        <v>821351</v>
      </c>
    </row>
    <row r="999" spans="1:18" x14ac:dyDescent="0.25">
      <c r="A999" s="169">
        <v>43482</v>
      </c>
      <c r="B999" s="116">
        <v>13.65</v>
      </c>
      <c r="C999" s="116">
        <v>13.39</v>
      </c>
      <c r="D999" s="116">
        <v>13.31</v>
      </c>
      <c r="E999" s="116">
        <v>13.5</v>
      </c>
      <c r="F999" s="116">
        <v>13.39</v>
      </c>
      <c r="G999">
        <v>3930</v>
      </c>
      <c r="H999" s="116"/>
      <c r="I999" s="116"/>
      <c r="L999" s="169">
        <v>43474</v>
      </c>
      <c r="M999" s="116">
        <v>273.75</v>
      </c>
      <c r="N999" s="116">
        <v>286</v>
      </c>
      <c r="O999" s="116">
        <v>272.60000000000002</v>
      </c>
      <c r="P999" s="116">
        <v>286</v>
      </c>
      <c r="Q999" s="116">
        <v>273.75</v>
      </c>
      <c r="R999">
        <v>1092119</v>
      </c>
    </row>
    <row r="1000" spans="1:18" x14ac:dyDescent="0.25">
      <c r="A1000" s="169">
        <v>43483</v>
      </c>
      <c r="B1000" s="116">
        <v>13.64</v>
      </c>
      <c r="C1000" s="116">
        <v>13.04</v>
      </c>
      <c r="D1000" s="116">
        <v>13</v>
      </c>
      <c r="E1000" s="116">
        <v>13.32</v>
      </c>
      <c r="F1000" s="116">
        <v>13.04</v>
      </c>
      <c r="G1000">
        <v>109674</v>
      </c>
      <c r="H1000" s="116"/>
      <c r="I1000" s="116"/>
      <c r="L1000" s="169">
        <v>43475</v>
      </c>
      <c r="M1000" s="116">
        <v>275.8</v>
      </c>
      <c r="N1000" s="116">
        <v>277.60000000000002</v>
      </c>
      <c r="O1000" s="116">
        <v>273.35000000000002</v>
      </c>
      <c r="P1000" s="116">
        <v>275</v>
      </c>
      <c r="Q1000" s="116">
        <v>275.8</v>
      </c>
      <c r="R1000">
        <v>486829</v>
      </c>
    </row>
    <row r="1001" spans="1:18" x14ac:dyDescent="0.25">
      <c r="A1001" s="169">
        <v>43486</v>
      </c>
      <c r="B1001" s="116">
        <v>13.31</v>
      </c>
      <c r="C1001" s="116">
        <v>13.01</v>
      </c>
      <c r="D1001" s="116">
        <v>12.75</v>
      </c>
      <c r="E1001" s="116">
        <v>13.05</v>
      </c>
      <c r="F1001" s="116">
        <v>13.01</v>
      </c>
      <c r="G1001">
        <v>7961</v>
      </c>
      <c r="H1001" s="116"/>
      <c r="I1001" s="116"/>
      <c r="L1001" s="169">
        <v>43476</v>
      </c>
      <c r="M1001" s="116">
        <v>272.95</v>
      </c>
      <c r="N1001" s="116">
        <v>277.85000000000002</v>
      </c>
      <c r="O1001" s="116">
        <v>271.2</v>
      </c>
      <c r="P1001" s="116">
        <v>276</v>
      </c>
      <c r="Q1001" s="116">
        <v>272.95</v>
      </c>
      <c r="R1001">
        <v>480905</v>
      </c>
    </row>
    <row r="1002" spans="1:18" x14ac:dyDescent="0.25">
      <c r="A1002" s="169">
        <v>43487</v>
      </c>
      <c r="B1002" s="116">
        <v>13.2</v>
      </c>
      <c r="C1002" s="116">
        <v>13.01</v>
      </c>
      <c r="D1002" s="116">
        <v>12.75</v>
      </c>
      <c r="E1002" s="116">
        <v>13.02</v>
      </c>
      <c r="F1002" s="116">
        <v>13.01</v>
      </c>
      <c r="G1002">
        <v>10496</v>
      </c>
      <c r="H1002" s="116"/>
      <c r="I1002" s="116"/>
      <c r="L1002" s="169">
        <v>43479</v>
      </c>
      <c r="M1002" s="116">
        <v>274.25</v>
      </c>
      <c r="N1002" s="116">
        <v>277.7</v>
      </c>
      <c r="O1002" s="116">
        <v>269.45</v>
      </c>
      <c r="P1002" s="116">
        <v>271.5</v>
      </c>
      <c r="Q1002" s="116">
        <v>274.25</v>
      </c>
      <c r="R1002">
        <v>545315</v>
      </c>
    </row>
    <row r="1003" spans="1:18" x14ac:dyDescent="0.25">
      <c r="A1003" s="169">
        <v>43488</v>
      </c>
      <c r="B1003" s="116">
        <v>13.19</v>
      </c>
      <c r="C1003" s="116">
        <v>12.97</v>
      </c>
      <c r="D1003" s="116">
        <v>12.87</v>
      </c>
      <c r="E1003" s="116">
        <v>13.19</v>
      </c>
      <c r="F1003" s="116">
        <v>12.97</v>
      </c>
      <c r="G1003">
        <v>3785</v>
      </c>
      <c r="H1003" s="116"/>
      <c r="I1003" s="116"/>
      <c r="L1003" s="169">
        <v>43480</v>
      </c>
      <c r="M1003" s="116">
        <v>276.64999999999998</v>
      </c>
      <c r="N1003" s="116">
        <v>278</v>
      </c>
      <c r="O1003" s="116">
        <v>273.85000000000002</v>
      </c>
      <c r="P1003" s="116">
        <v>274.25</v>
      </c>
      <c r="Q1003" s="116">
        <v>276.64999999999998</v>
      </c>
      <c r="R1003">
        <v>397020</v>
      </c>
    </row>
    <row r="1004" spans="1:18" x14ac:dyDescent="0.25">
      <c r="A1004" s="169">
        <v>43489</v>
      </c>
      <c r="B1004" s="116">
        <v>12.99</v>
      </c>
      <c r="C1004" s="116">
        <v>12.85</v>
      </c>
      <c r="D1004" s="116">
        <v>12.75</v>
      </c>
      <c r="E1004" s="116">
        <v>12.8</v>
      </c>
      <c r="F1004" s="116">
        <v>12.85</v>
      </c>
      <c r="G1004">
        <v>10330</v>
      </c>
      <c r="H1004" s="116"/>
      <c r="I1004" s="116"/>
      <c r="L1004" s="169">
        <v>43481</v>
      </c>
      <c r="M1004" s="116">
        <v>277.3</v>
      </c>
      <c r="N1004" s="116">
        <v>282.7</v>
      </c>
      <c r="O1004" s="116">
        <v>276</v>
      </c>
      <c r="P1004" s="116">
        <v>278</v>
      </c>
      <c r="Q1004" s="116">
        <v>277.3</v>
      </c>
      <c r="R1004">
        <v>425297</v>
      </c>
    </row>
    <row r="1005" spans="1:18" x14ac:dyDescent="0.25">
      <c r="A1005" s="169">
        <v>43490</v>
      </c>
      <c r="B1005" s="116">
        <v>13.45</v>
      </c>
      <c r="C1005" s="116">
        <v>12.87</v>
      </c>
      <c r="D1005" s="116">
        <v>12.75</v>
      </c>
      <c r="E1005" s="116">
        <v>12.76</v>
      </c>
      <c r="F1005" s="116">
        <v>12.87</v>
      </c>
      <c r="G1005">
        <v>23480</v>
      </c>
      <c r="H1005" s="116"/>
      <c r="I1005" s="116"/>
      <c r="L1005" s="169">
        <v>43482</v>
      </c>
      <c r="M1005" s="116">
        <v>276.10000000000002</v>
      </c>
      <c r="N1005" s="116">
        <v>282.2</v>
      </c>
      <c r="O1005" s="116">
        <v>273</v>
      </c>
      <c r="P1005" s="116">
        <v>277.3</v>
      </c>
      <c r="Q1005" s="116">
        <v>276.10000000000002</v>
      </c>
      <c r="R1005">
        <v>675184</v>
      </c>
    </row>
    <row r="1006" spans="1:18" x14ac:dyDescent="0.25">
      <c r="A1006" s="169">
        <v>43493</v>
      </c>
      <c r="B1006" s="116">
        <v>13</v>
      </c>
      <c r="C1006" s="116">
        <v>12.31</v>
      </c>
      <c r="D1006" s="116">
        <v>11.8</v>
      </c>
      <c r="E1006" s="116">
        <v>13</v>
      </c>
      <c r="F1006" s="116">
        <v>12.31</v>
      </c>
      <c r="G1006">
        <v>32495</v>
      </c>
      <c r="H1006" s="116"/>
      <c r="I1006" s="116"/>
      <c r="L1006" s="169">
        <v>43483</v>
      </c>
      <c r="M1006" s="116">
        <v>268.95</v>
      </c>
      <c r="N1006" s="116">
        <v>278.14999999999998</v>
      </c>
      <c r="O1006" s="116">
        <v>267.45</v>
      </c>
      <c r="P1006" s="116">
        <v>277</v>
      </c>
      <c r="Q1006" s="116">
        <v>268.95</v>
      </c>
      <c r="R1006">
        <v>853929</v>
      </c>
    </row>
    <row r="1007" spans="1:18" x14ac:dyDescent="0.25">
      <c r="A1007" s="169">
        <v>43494</v>
      </c>
      <c r="B1007" s="116">
        <v>12.5</v>
      </c>
      <c r="C1007" s="116">
        <v>12.34</v>
      </c>
      <c r="D1007" s="116">
        <v>12.1</v>
      </c>
      <c r="E1007" s="116">
        <v>12.1</v>
      </c>
      <c r="F1007" s="116">
        <v>12.34</v>
      </c>
      <c r="G1007">
        <v>1256</v>
      </c>
      <c r="H1007" s="116"/>
      <c r="I1007" s="116"/>
      <c r="L1007" s="169">
        <v>43486</v>
      </c>
      <c r="M1007" s="116">
        <v>264.25</v>
      </c>
      <c r="N1007" s="116">
        <v>270.95</v>
      </c>
      <c r="O1007" s="116">
        <v>262</v>
      </c>
      <c r="P1007" s="116">
        <v>270.10000000000002</v>
      </c>
      <c r="Q1007" s="116">
        <v>264.25</v>
      </c>
      <c r="R1007">
        <v>745460</v>
      </c>
    </row>
    <row r="1008" spans="1:18" x14ac:dyDescent="0.25">
      <c r="A1008" s="169">
        <v>43495</v>
      </c>
      <c r="B1008" s="116">
        <v>13</v>
      </c>
      <c r="C1008" s="116">
        <v>12.96</v>
      </c>
      <c r="D1008" s="116">
        <v>11.5</v>
      </c>
      <c r="E1008" s="116">
        <v>12.5</v>
      </c>
      <c r="F1008" s="116">
        <v>12.96</v>
      </c>
      <c r="G1008">
        <v>1080603</v>
      </c>
      <c r="H1008" s="116"/>
      <c r="I1008" s="116"/>
      <c r="L1008" s="169">
        <v>43487</v>
      </c>
      <c r="M1008" s="116">
        <v>265.39999999999998</v>
      </c>
      <c r="N1008" s="116">
        <v>267.85000000000002</v>
      </c>
      <c r="O1008" s="116">
        <v>262.14999999999998</v>
      </c>
      <c r="P1008" s="116">
        <v>262.39999999999998</v>
      </c>
      <c r="Q1008" s="116">
        <v>265.39999999999998</v>
      </c>
      <c r="R1008">
        <v>604048</v>
      </c>
    </row>
    <row r="1009" spans="1:18" x14ac:dyDescent="0.25">
      <c r="A1009" s="169">
        <v>43496</v>
      </c>
      <c r="B1009" s="116">
        <v>13.19</v>
      </c>
      <c r="C1009" s="116">
        <v>13</v>
      </c>
      <c r="D1009" s="116">
        <v>12.62</v>
      </c>
      <c r="E1009" s="116">
        <v>13</v>
      </c>
      <c r="F1009" s="116">
        <v>13</v>
      </c>
      <c r="G1009">
        <v>69346</v>
      </c>
      <c r="H1009" s="116"/>
      <c r="I1009" s="116"/>
      <c r="L1009" s="169">
        <v>43488</v>
      </c>
      <c r="M1009" s="116">
        <v>265.39999999999998</v>
      </c>
      <c r="N1009" s="116">
        <v>270</v>
      </c>
      <c r="O1009" s="116">
        <v>259.35000000000002</v>
      </c>
      <c r="P1009" s="116">
        <v>266</v>
      </c>
      <c r="Q1009" s="116">
        <v>265.39999999999998</v>
      </c>
      <c r="R1009">
        <v>2312792</v>
      </c>
    </row>
    <row r="1010" spans="1:18" x14ac:dyDescent="0.25">
      <c r="A1010" s="169">
        <v>43497</v>
      </c>
      <c r="B1010" s="116">
        <v>13</v>
      </c>
      <c r="C1010" s="116">
        <v>12.65</v>
      </c>
      <c r="D1010" s="116">
        <v>12.51</v>
      </c>
      <c r="E1010" s="116">
        <v>13</v>
      </c>
      <c r="F1010" s="116">
        <v>12.65</v>
      </c>
      <c r="G1010">
        <v>54472</v>
      </c>
      <c r="H1010" s="116"/>
      <c r="I1010" s="116"/>
      <c r="L1010" s="169">
        <v>43489</v>
      </c>
      <c r="M1010" s="116">
        <v>254.6</v>
      </c>
      <c r="N1010" s="116">
        <v>266.75</v>
      </c>
      <c r="O1010" s="116">
        <v>252.2</v>
      </c>
      <c r="P1010" s="116">
        <v>264</v>
      </c>
      <c r="Q1010" s="116">
        <v>254.6</v>
      </c>
      <c r="R1010">
        <v>1505981</v>
      </c>
    </row>
    <row r="1011" spans="1:18" x14ac:dyDescent="0.25">
      <c r="A1011" s="169">
        <v>43500</v>
      </c>
      <c r="B1011" s="116">
        <v>12.87</v>
      </c>
      <c r="C1011" s="116">
        <v>12.7</v>
      </c>
      <c r="D1011" s="116">
        <v>12.6</v>
      </c>
      <c r="E1011" s="116">
        <v>12.8</v>
      </c>
      <c r="F1011" s="116">
        <v>12.7</v>
      </c>
      <c r="G1011">
        <v>50947</v>
      </c>
      <c r="H1011" s="116"/>
      <c r="I1011" s="116"/>
      <c r="L1011" s="169">
        <v>43490</v>
      </c>
      <c r="M1011" s="116">
        <v>252.3</v>
      </c>
      <c r="N1011" s="116">
        <v>262</v>
      </c>
      <c r="O1011" s="116">
        <v>250.45</v>
      </c>
      <c r="P1011" s="116">
        <v>254</v>
      </c>
      <c r="Q1011" s="116">
        <v>252.3</v>
      </c>
      <c r="R1011">
        <v>1040487</v>
      </c>
    </row>
    <row r="1012" spans="1:18" x14ac:dyDescent="0.25">
      <c r="A1012" s="169">
        <v>43501</v>
      </c>
      <c r="B1012" s="116">
        <v>12.84</v>
      </c>
      <c r="C1012" s="116">
        <v>12.73</v>
      </c>
      <c r="D1012" s="116">
        <v>12.69</v>
      </c>
      <c r="E1012" s="116">
        <v>12.81</v>
      </c>
      <c r="F1012" s="116">
        <v>12.73</v>
      </c>
      <c r="G1012">
        <v>43647</v>
      </c>
      <c r="H1012" s="116"/>
      <c r="I1012" s="116"/>
      <c r="L1012" s="169">
        <v>43493</v>
      </c>
      <c r="M1012" s="116">
        <v>244.1</v>
      </c>
      <c r="N1012" s="116">
        <v>253.65</v>
      </c>
      <c r="O1012" s="116">
        <v>242</v>
      </c>
      <c r="P1012" s="116">
        <v>251.05</v>
      </c>
      <c r="Q1012" s="116">
        <v>244.1</v>
      </c>
      <c r="R1012">
        <v>1070964</v>
      </c>
    </row>
    <row r="1013" spans="1:18" x14ac:dyDescent="0.25">
      <c r="A1013" s="169">
        <v>43502</v>
      </c>
      <c r="B1013" s="116">
        <v>12.87</v>
      </c>
      <c r="C1013" s="116">
        <v>12.71</v>
      </c>
      <c r="D1013" s="116">
        <v>11.52</v>
      </c>
      <c r="E1013" s="116">
        <v>12.85</v>
      </c>
      <c r="F1013" s="116">
        <v>12.71</v>
      </c>
      <c r="G1013">
        <v>41153</v>
      </c>
      <c r="H1013" s="116"/>
      <c r="I1013" s="116"/>
      <c r="L1013" s="169">
        <v>43494</v>
      </c>
      <c r="M1013" s="116">
        <v>247.1</v>
      </c>
      <c r="N1013" s="116">
        <v>252.2</v>
      </c>
      <c r="O1013" s="116">
        <v>240.7</v>
      </c>
      <c r="P1013" s="116">
        <v>242.05</v>
      </c>
      <c r="Q1013" s="116">
        <v>247.1</v>
      </c>
      <c r="R1013">
        <v>779409</v>
      </c>
    </row>
    <row r="1014" spans="1:18" x14ac:dyDescent="0.25">
      <c r="A1014" s="169">
        <v>43503</v>
      </c>
      <c r="B1014" s="116">
        <v>12.83</v>
      </c>
      <c r="C1014" s="116">
        <v>12.31</v>
      </c>
      <c r="D1014" s="116">
        <v>12.25</v>
      </c>
      <c r="E1014" s="116">
        <v>12.83</v>
      </c>
      <c r="F1014" s="116">
        <v>12.31</v>
      </c>
      <c r="G1014">
        <v>4611</v>
      </c>
      <c r="H1014" s="116"/>
      <c r="I1014" s="116"/>
      <c r="L1014" s="169">
        <v>43495</v>
      </c>
      <c r="M1014" s="116">
        <v>252.1</v>
      </c>
      <c r="N1014" s="116">
        <v>256.95</v>
      </c>
      <c r="O1014" s="116">
        <v>246.75</v>
      </c>
      <c r="P1014" s="116">
        <v>248</v>
      </c>
      <c r="Q1014" s="116">
        <v>252.1</v>
      </c>
      <c r="R1014">
        <v>418383</v>
      </c>
    </row>
    <row r="1015" spans="1:18" x14ac:dyDescent="0.25">
      <c r="A1015" s="169">
        <v>43504</v>
      </c>
      <c r="B1015" s="116">
        <v>12.75</v>
      </c>
      <c r="C1015" s="116">
        <v>12.49</v>
      </c>
      <c r="D1015" s="116">
        <v>12.25</v>
      </c>
      <c r="E1015" s="116">
        <v>12.65</v>
      </c>
      <c r="F1015" s="116">
        <v>12.49</v>
      </c>
      <c r="G1015">
        <v>463</v>
      </c>
      <c r="H1015" s="116"/>
      <c r="I1015" s="116"/>
      <c r="L1015" s="169">
        <v>43496</v>
      </c>
      <c r="M1015" s="116">
        <v>250.7</v>
      </c>
      <c r="N1015" s="116">
        <v>254.55</v>
      </c>
      <c r="O1015" s="116">
        <v>244.7</v>
      </c>
      <c r="P1015" s="116">
        <v>254.1</v>
      </c>
      <c r="Q1015" s="116">
        <v>250.7</v>
      </c>
      <c r="R1015">
        <v>737326</v>
      </c>
    </row>
    <row r="1016" spans="1:18" x14ac:dyDescent="0.25">
      <c r="A1016" s="169">
        <v>43507</v>
      </c>
      <c r="B1016" s="116">
        <v>12.75</v>
      </c>
      <c r="C1016" s="116">
        <v>12.1</v>
      </c>
      <c r="D1016" s="116">
        <v>11.35</v>
      </c>
      <c r="E1016" s="116">
        <v>12.7</v>
      </c>
      <c r="F1016" s="116">
        <v>12.1</v>
      </c>
      <c r="G1016">
        <v>47458</v>
      </c>
      <c r="H1016" s="116"/>
      <c r="I1016" s="116"/>
      <c r="L1016" s="169">
        <v>43497</v>
      </c>
      <c r="M1016" s="116">
        <v>259</v>
      </c>
      <c r="N1016" s="116">
        <v>262</v>
      </c>
      <c r="O1016" s="116">
        <v>246.1</v>
      </c>
      <c r="P1016" s="116">
        <v>252</v>
      </c>
      <c r="Q1016" s="116">
        <v>259</v>
      </c>
      <c r="R1016">
        <v>1578799</v>
      </c>
    </row>
    <row r="1017" spans="1:18" x14ac:dyDescent="0.25">
      <c r="A1017" s="169">
        <v>43508</v>
      </c>
      <c r="B1017" s="116">
        <v>12.3</v>
      </c>
      <c r="C1017" s="116">
        <v>11.76</v>
      </c>
      <c r="D1017" s="116">
        <v>11.75</v>
      </c>
      <c r="E1017" s="116">
        <v>12</v>
      </c>
      <c r="F1017" s="116">
        <v>11.76</v>
      </c>
      <c r="G1017">
        <v>23162</v>
      </c>
      <c r="H1017" s="116"/>
      <c r="I1017" s="116"/>
      <c r="L1017" s="169">
        <v>43500</v>
      </c>
      <c r="M1017" s="116">
        <v>247.4</v>
      </c>
      <c r="N1017" s="116">
        <v>257.39999999999998</v>
      </c>
      <c r="O1017" s="116">
        <v>244.15</v>
      </c>
      <c r="P1017" s="116">
        <v>257.39999999999998</v>
      </c>
      <c r="Q1017" s="116">
        <v>247.4</v>
      </c>
      <c r="R1017">
        <v>786527</v>
      </c>
    </row>
    <row r="1018" spans="1:18" x14ac:dyDescent="0.25">
      <c r="A1018" s="169">
        <v>43509</v>
      </c>
      <c r="B1018" s="116">
        <v>12.4</v>
      </c>
      <c r="C1018" s="116">
        <v>11.58</v>
      </c>
      <c r="D1018" s="116">
        <v>11.4</v>
      </c>
      <c r="E1018" s="116">
        <v>12.4</v>
      </c>
      <c r="F1018" s="116">
        <v>11.58</v>
      </c>
      <c r="G1018">
        <v>3580</v>
      </c>
      <c r="H1018" s="116"/>
      <c r="I1018" s="116"/>
      <c r="L1018" s="169">
        <v>43501</v>
      </c>
      <c r="M1018" s="116">
        <v>245.85</v>
      </c>
      <c r="N1018" s="116">
        <v>252.2</v>
      </c>
      <c r="O1018" s="116">
        <v>245</v>
      </c>
      <c r="P1018" s="116">
        <v>245.4</v>
      </c>
      <c r="Q1018" s="116">
        <v>245.85</v>
      </c>
      <c r="R1018">
        <v>556021</v>
      </c>
    </row>
    <row r="1019" spans="1:18" x14ac:dyDescent="0.25">
      <c r="A1019" s="169">
        <v>43510</v>
      </c>
      <c r="B1019" s="116">
        <v>11.8</v>
      </c>
      <c r="C1019" s="116">
        <v>11.29</v>
      </c>
      <c r="D1019" s="116">
        <v>10.87</v>
      </c>
      <c r="E1019" s="116">
        <v>11.8</v>
      </c>
      <c r="F1019" s="116">
        <v>11.29</v>
      </c>
      <c r="G1019">
        <v>85831</v>
      </c>
      <c r="H1019" s="116"/>
      <c r="I1019" s="116"/>
      <c r="L1019" s="169">
        <v>43502</v>
      </c>
      <c r="M1019" s="116">
        <v>244.9</v>
      </c>
      <c r="N1019" s="116">
        <v>248.35</v>
      </c>
      <c r="O1019" s="116">
        <v>240.25</v>
      </c>
      <c r="P1019" s="116">
        <v>247.65</v>
      </c>
      <c r="Q1019" s="116">
        <v>244.9</v>
      </c>
      <c r="R1019">
        <v>583430</v>
      </c>
    </row>
    <row r="1020" spans="1:18" x14ac:dyDescent="0.25">
      <c r="A1020" s="169">
        <v>43511</v>
      </c>
      <c r="B1020" s="116">
        <v>11.55</v>
      </c>
      <c r="C1020" s="116">
        <v>10.85</v>
      </c>
      <c r="D1020" s="116">
        <v>10.75</v>
      </c>
      <c r="E1020" s="116">
        <v>11.55</v>
      </c>
      <c r="F1020" s="116">
        <v>10.85</v>
      </c>
      <c r="G1020">
        <v>112610</v>
      </c>
      <c r="H1020" s="116"/>
      <c r="I1020" s="116"/>
      <c r="L1020" s="169">
        <v>43503</v>
      </c>
      <c r="M1020" s="116">
        <v>254.45</v>
      </c>
      <c r="N1020" s="116">
        <v>258.75</v>
      </c>
      <c r="O1020" s="116">
        <v>243.95</v>
      </c>
      <c r="P1020" s="116">
        <v>245.5</v>
      </c>
      <c r="Q1020" s="116">
        <v>254.45</v>
      </c>
      <c r="R1020">
        <v>1491642</v>
      </c>
    </row>
    <row r="1021" spans="1:18" x14ac:dyDescent="0.25">
      <c r="A1021" s="169">
        <v>43514</v>
      </c>
      <c r="B1021" s="116">
        <v>11.23</v>
      </c>
      <c r="C1021" s="116">
        <v>10.71</v>
      </c>
      <c r="D1021" s="116">
        <v>10.7</v>
      </c>
      <c r="E1021" s="116">
        <v>11</v>
      </c>
      <c r="F1021" s="116">
        <v>10.71</v>
      </c>
      <c r="G1021">
        <v>52621</v>
      </c>
      <c r="H1021" s="116"/>
      <c r="I1021" s="116"/>
      <c r="L1021" s="169">
        <v>43504</v>
      </c>
      <c r="M1021" s="116">
        <v>247.8</v>
      </c>
      <c r="N1021" s="116">
        <v>254.95</v>
      </c>
      <c r="O1021" s="116">
        <v>246.55</v>
      </c>
      <c r="P1021" s="116">
        <v>253.75</v>
      </c>
      <c r="Q1021" s="116">
        <v>247.8</v>
      </c>
      <c r="R1021">
        <v>491254</v>
      </c>
    </row>
    <row r="1022" spans="1:18" x14ac:dyDescent="0.25">
      <c r="A1022" s="169">
        <v>43515</v>
      </c>
      <c r="B1022" s="116">
        <v>11.19</v>
      </c>
      <c r="C1022" s="116">
        <v>11.01</v>
      </c>
      <c r="D1022" s="116">
        <v>10.5</v>
      </c>
      <c r="E1022" s="116">
        <v>10.71</v>
      </c>
      <c r="F1022" s="116">
        <v>11.01</v>
      </c>
      <c r="G1022">
        <v>45899</v>
      </c>
      <c r="H1022" s="116"/>
      <c r="I1022" s="116"/>
      <c r="L1022" s="169">
        <v>43507</v>
      </c>
      <c r="M1022" s="116">
        <v>239.6</v>
      </c>
      <c r="N1022" s="116">
        <v>246.2</v>
      </c>
      <c r="O1022" s="116">
        <v>235.55</v>
      </c>
      <c r="P1022" s="116">
        <v>245.25</v>
      </c>
      <c r="Q1022" s="116">
        <v>239.6</v>
      </c>
      <c r="R1022">
        <v>1094166</v>
      </c>
    </row>
    <row r="1023" spans="1:18" x14ac:dyDescent="0.25">
      <c r="A1023" s="169">
        <v>43516</v>
      </c>
      <c r="B1023" s="116">
        <v>12.35</v>
      </c>
      <c r="C1023" s="116">
        <v>12.09</v>
      </c>
      <c r="D1023" s="116">
        <v>10.75</v>
      </c>
      <c r="E1023" s="116">
        <v>10.75</v>
      </c>
      <c r="F1023" s="116">
        <v>12.09</v>
      </c>
      <c r="G1023">
        <v>55787</v>
      </c>
      <c r="H1023" s="116"/>
      <c r="I1023" s="116"/>
      <c r="L1023" s="169">
        <v>43508</v>
      </c>
      <c r="M1023" s="116">
        <v>264.75</v>
      </c>
      <c r="N1023" s="116">
        <v>269.85000000000002</v>
      </c>
      <c r="O1023" s="116">
        <v>239</v>
      </c>
      <c r="P1023" s="116">
        <v>239.6</v>
      </c>
      <c r="Q1023" s="116">
        <v>264.75</v>
      </c>
      <c r="R1023">
        <v>5413985</v>
      </c>
    </row>
    <row r="1024" spans="1:18" x14ac:dyDescent="0.25">
      <c r="A1024" s="169">
        <v>43517</v>
      </c>
      <c r="B1024" s="116">
        <v>13</v>
      </c>
      <c r="C1024" s="116">
        <v>12.38</v>
      </c>
      <c r="D1024" s="116">
        <v>11.51</v>
      </c>
      <c r="E1024" s="116">
        <v>12.25</v>
      </c>
      <c r="F1024" s="116">
        <v>12.38</v>
      </c>
      <c r="G1024">
        <v>1025430</v>
      </c>
      <c r="H1024" s="116"/>
      <c r="I1024" s="116"/>
      <c r="L1024" s="169">
        <v>43509</v>
      </c>
      <c r="M1024" s="116">
        <v>255.7</v>
      </c>
      <c r="N1024" s="116">
        <v>266.64999999999998</v>
      </c>
      <c r="O1024" s="116">
        <v>254.05</v>
      </c>
      <c r="P1024" s="116">
        <v>263.35000000000002</v>
      </c>
      <c r="Q1024" s="116">
        <v>255.7</v>
      </c>
      <c r="R1024">
        <v>1120854</v>
      </c>
    </row>
    <row r="1025" spans="1:18" x14ac:dyDescent="0.25">
      <c r="A1025" s="169">
        <v>43518</v>
      </c>
      <c r="B1025" s="116">
        <v>12.65</v>
      </c>
      <c r="C1025" s="116">
        <v>12.44</v>
      </c>
      <c r="D1025" s="116">
        <v>12.15</v>
      </c>
      <c r="E1025" s="116">
        <v>12.15</v>
      </c>
      <c r="F1025" s="116">
        <v>12.44</v>
      </c>
      <c r="G1025">
        <v>1513</v>
      </c>
      <c r="H1025" s="116"/>
      <c r="I1025" s="116"/>
      <c r="L1025" s="169">
        <v>43510</v>
      </c>
      <c r="M1025" s="116">
        <v>266.05</v>
      </c>
      <c r="N1025" s="116">
        <v>268.85000000000002</v>
      </c>
      <c r="O1025" s="116">
        <v>247.25</v>
      </c>
      <c r="P1025" s="116">
        <v>255.7</v>
      </c>
      <c r="Q1025" s="116">
        <v>266.05</v>
      </c>
      <c r="R1025">
        <v>1509966</v>
      </c>
    </row>
    <row r="1026" spans="1:18" x14ac:dyDescent="0.25">
      <c r="A1026" s="169">
        <v>43521</v>
      </c>
      <c r="B1026" s="116">
        <v>13</v>
      </c>
      <c r="C1026" s="116">
        <v>12.87</v>
      </c>
      <c r="D1026" s="116">
        <v>12.05</v>
      </c>
      <c r="E1026" s="116">
        <v>12.9</v>
      </c>
      <c r="F1026" s="116">
        <v>12.87</v>
      </c>
      <c r="G1026">
        <v>26176</v>
      </c>
      <c r="H1026" s="116"/>
      <c r="I1026" s="116"/>
      <c r="L1026" s="169">
        <v>43511</v>
      </c>
      <c r="M1026" s="116">
        <v>248.9</v>
      </c>
      <c r="N1026" s="116">
        <v>266.39999999999998</v>
      </c>
      <c r="O1026" s="116">
        <v>244.3</v>
      </c>
      <c r="P1026" s="116">
        <v>266</v>
      </c>
      <c r="Q1026" s="116">
        <v>248.9</v>
      </c>
      <c r="R1026">
        <v>1931996</v>
      </c>
    </row>
    <row r="1027" spans="1:18" x14ac:dyDescent="0.25">
      <c r="A1027" s="169">
        <v>43522</v>
      </c>
      <c r="B1027" s="116">
        <v>12.96</v>
      </c>
      <c r="C1027" s="116">
        <v>12.74</v>
      </c>
      <c r="D1027" s="116">
        <v>12.3</v>
      </c>
      <c r="E1027" s="116">
        <v>12.45</v>
      </c>
      <c r="F1027" s="116">
        <v>12.74</v>
      </c>
      <c r="G1027">
        <v>1809</v>
      </c>
      <c r="H1027" s="116"/>
      <c r="I1027" s="116"/>
      <c r="L1027" s="169">
        <v>43514</v>
      </c>
      <c r="M1027" s="116">
        <v>246.9</v>
      </c>
      <c r="N1027" s="116">
        <v>254.2</v>
      </c>
      <c r="O1027" s="116">
        <v>245.9</v>
      </c>
      <c r="P1027" s="116">
        <v>249.5</v>
      </c>
      <c r="Q1027" s="116">
        <v>246.9</v>
      </c>
      <c r="R1027">
        <v>848217</v>
      </c>
    </row>
    <row r="1028" spans="1:18" x14ac:dyDescent="0.25">
      <c r="A1028" s="169">
        <v>43523</v>
      </c>
      <c r="B1028" s="116">
        <v>12.9</v>
      </c>
      <c r="C1028" s="116">
        <v>12.15</v>
      </c>
      <c r="D1028" s="116">
        <v>12.15</v>
      </c>
      <c r="E1028" s="116">
        <v>12.8</v>
      </c>
      <c r="F1028" s="116">
        <v>12.15</v>
      </c>
      <c r="G1028">
        <v>1585</v>
      </c>
      <c r="H1028" s="116"/>
      <c r="I1028" s="116"/>
      <c r="L1028" s="169">
        <v>43515</v>
      </c>
      <c r="M1028" s="116">
        <v>242.95</v>
      </c>
      <c r="N1028" s="116">
        <v>252.9</v>
      </c>
      <c r="O1028" s="116">
        <v>241.5</v>
      </c>
      <c r="P1028" s="116">
        <v>248.4</v>
      </c>
      <c r="Q1028" s="116">
        <v>242.95</v>
      </c>
      <c r="R1028">
        <v>916621</v>
      </c>
    </row>
    <row r="1029" spans="1:18" x14ac:dyDescent="0.25">
      <c r="A1029" s="169">
        <v>43524</v>
      </c>
      <c r="B1029" s="116">
        <v>12.87</v>
      </c>
      <c r="C1029" s="116">
        <v>12.59</v>
      </c>
      <c r="D1029" s="116">
        <v>12.24</v>
      </c>
      <c r="E1029" s="116">
        <v>12.87</v>
      </c>
      <c r="F1029" s="116">
        <v>12.59</v>
      </c>
      <c r="G1029">
        <v>2295</v>
      </c>
      <c r="H1029" s="116"/>
      <c r="I1029" s="116"/>
      <c r="L1029" s="169">
        <v>43516</v>
      </c>
      <c r="M1029" s="116">
        <v>253.3</v>
      </c>
      <c r="N1029" s="116">
        <v>254.7</v>
      </c>
      <c r="O1029" s="116">
        <v>243.55</v>
      </c>
      <c r="P1029" s="116">
        <v>245.65</v>
      </c>
      <c r="Q1029" s="116">
        <v>253.3</v>
      </c>
      <c r="R1029">
        <v>1041990</v>
      </c>
    </row>
    <row r="1030" spans="1:18" x14ac:dyDescent="0.25">
      <c r="A1030" s="169">
        <v>43525</v>
      </c>
      <c r="B1030" s="116">
        <v>12.89</v>
      </c>
      <c r="C1030" s="116">
        <v>12.23</v>
      </c>
      <c r="D1030" s="116">
        <v>12.21</v>
      </c>
      <c r="E1030" s="116">
        <v>12.89</v>
      </c>
      <c r="F1030" s="116">
        <v>12.23</v>
      </c>
      <c r="G1030">
        <v>8890</v>
      </c>
      <c r="H1030" s="116"/>
      <c r="I1030" s="116"/>
      <c r="L1030" s="169">
        <v>43517</v>
      </c>
      <c r="M1030" s="116">
        <v>271</v>
      </c>
      <c r="N1030" s="116">
        <v>277.05</v>
      </c>
      <c r="O1030" s="116">
        <v>250</v>
      </c>
      <c r="P1030" s="116">
        <v>250.6</v>
      </c>
      <c r="Q1030" s="116">
        <v>271</v>
      </c>
      <c r="R1030">
        <v>4491541</v>
      </c>
    </row>
    <row r="1031" spans="1:18" x14ac:dyDescent="0.25">
      <c r="A1031" s="169">
        <v>43529</v>
      </c>
      <c r="B1031" s="116">
        <v>12.94</v>
      </c>
      <c r="C1031" s="116">
        <v>12.39</v>
      </c>
      <c r="D1031" s="116">
        <v>12.3</v>
      </c>
      <c r="E1031" s="116">
        <v>12.94</v>
      </c>
      <c r="F1031" s="116">
        <v>12.39</v>
      </c>
      <c r="G1031">
        <v>5318</v>
      </c>
      <c r="H1031" s="116"/>
      <c r="I1031" s="116"/>
      <c r="L1031" s="169">
        <v>43518</v>
      </c>
      <c r="M1031" s="116">
        <v>269.85000000000002</v>
      </c>
      <c r="N1031" s="116">
        <v>273.5</v>
      </c>
      <c r="O1031" s="116">
        <v>268.05</v>
      </c>
      <c r="P1031" s="116">
        <v>271.7</v>
      </c>
      <c r="Q1031" s="116">
        <v>269.85000000000002</v>
      </c>
      <c r="R1031">
        <v>1346370</v>
      </c>
    </row>
    <row r="1032" spans="1:18" x14ac:dyDescent="0.25">
      <c r="A1032" s="169">
        <v>43530</v>
      </c>
      <c r="B1032" s="116">
        <v>13</v>
      </c>
      <c r="C1032" s="116">
        <v>12.7</v>
      </c>
      <c r="D1032" s="116">
        <v>12.5</v>
      </c>
      <c r="E1032" s="116">
        <v>12.88</v>
      </c>
      <c r="F1032" s="116">
        <v>12.7</v>
      </c>
      <c r="G1032">
        <v>24689</v>
      </c>
      <c r="H1032" s="116"/>
      <c r="I1032" s="116"/>
      <c r="L1032" s="169">
        <v>43521</v>
      </c>
      <c r="M1032" s="116">
        <v>267.95</v>
      </c>
      <c r="N1032" s="116">
        <v>279.25</v>
      </c>
      <c r="O1032" s="116">
        <v>266.55</v>
      </c>
      <c r="P1032" s="116">
        <v>272.55</v>
      </c>
      <c r="Q1032" s="116">
        <v>267.95</v>
      </c>
      <c r="R1032">
        <v>1854471</v>
      </c>
    </row>
    <row r="1033" spans="1:18" x14ac:dyDescent="0.25">
      <c r="A1033" s="169">
        <v>43531</v>
      </c>
      <c r="B1033" s="116">
        <v>12.85</v>
      </c>
      <c r="C1033" s="116">
        <v>12.19</v>
      </c>
      <c r="D1033" s="116">
        <v>11.95</v>
      </c>
      <c r="E1033" s="116">
        <v>12.65</v>
      </c>
      <c r="F1033" s="116">
        <v>12.19</v>
      </c>
      <c r="G1033">
        <v>58729</v>
      </c>
      <c r="H1033" s="116"/>
      <c r="I1033" s="116"/>
      <c r="L1033" s="169">
        <v>43522</v>
      </c>
      <c r="M1033" s="116">
        <v>262.25</v>
      </c>
      <c r="N1033" s="116">
        <v>267.75</v>
      </c>
      <c r="O1033" s="116">
        <v>256.60000000000002</v>
      </c>
      <c r="P1033" s="116">
        <v>264</v>
      </c>
      <c r="Q1033" s="116">
        <v>262.25</v>
      </c>
      <c r="R1033">
        <v>1114519</v>
      </c>
    </row>
    <row r="1034" spans="1:18" x14ac:dyDescent="0.25">
      <c r="A1034" s="169">
        <v>43532</v>
      </c>
      <c r="B1034" s="116">
        <v>13.45</v>
      </c>
      <c r="C1034" s="116">
        <v>12.41</v>
      </c>
      <c r="D1034" s="116">
        <v>12.27</v>
      </c>
      <c r="E1034" s="116">
        <v>12.35</v>
      </c>
      <c r="F1034" s="116">
        <v>12.41</v>
      </c>
      <c r="G1034">
        <v>74553</v>
      </c>
      <c r="H1034" s="116"/>
      <c r="I1034" s="116"/>
      <c r="L1034" s="169">
        <v>43523</v>
      </c>
      <c r="M1034" s="116">
        <v>260.7</v>
      </c>
      <c r="N1034" s="116">
        <v>273.35000000000002</v>
      </c>
      <c r="O1034" s="116">
        <v>257.25</v>
      </c>
      <c r="P1034" s="116">
        <v>264.89999999999998</v>
      </c>
      <c r="Q1034" s="116">
        <v>260.7</v>
      </c>
      <c r="R1034">
        <v>1345898</v>
      </c>
    </row>
    <row r="1035" spans="1:18" x14ac:dyDescent="0.25">
      <c r="A1035" s="169">
        <v>43535</v>
      </c>
      <c r="B1035" s="116">
        <v>12.5</v>
      </c>
      <c r="C1035" s="116">
        <v>12.35</v>
      </c>
      <c r="D1035" s="116">
        <v>12.05</v>
      </c>
      <c r="E1035" s="116">
        <v>12.5</v>
      </c>
      <c r="F1035" s="116">
        <v>12.35</v>
      </c>
      <c r="G1035">
        <v>671342</v>
      </c>
      <c r="H1035" s="116"/>
      <c r="I1035" s="116"/>
      <c r="L1035" s="169">
        <v>43524</v>
      </c>
      <c r="M1035" s="116">
        <v>266.2</v>
      </c>
      <c r="N1035" s="116">
        <v>270</v>
      </c>
      <c r="O1035" s="116">
        <v>261.2</v>
      </c>
      <c r="P1035" s="116">
        <v>262.3</v>
      </c>
      <c r="Q1035" s="116">
        <v>266.2</v>
      </c>
      <c r="R1035">
        <v>1432989</v>
      </c>
    </row>
    <row r="1036" spans="1:18" x14ac:dyDescent="0.25">
      <c r="A1036" s="169">
        <v>43536</v>
      </c>
      <c r="B1036" s="116">
        <v>13.05</v>
      </c>
      <c r="C1036" s="116">
        <v>12.04</v>
      </c>
      <c r="D1036" s="116">
        <v>11.81</v>
      </c>
      <c r="E1036" s="116">
        <v>12.1</v>
      </c>
      <c r="F1036" s="116">
        <v>12.04</v>
      </c>
      <c r="G1036">
        <v>26740</v>
      </c>
      <c r="H1036" s="116"/>
      <c r="I1036" s="116"/>
      <c r="L1036" s="169">
        <v>43525</v>
      </c>
      <c r="M1036" s="116">
        <v>275.8</v>
      </c>
      <c r="N1036" s="116">
        <v>278.05</v>
      </c>
      <c r="O1036" s="116">
        <v>267.2</v>
      </c>
      <c r="P1036" s="116">
        <v>267.85000000000002</v>
      </c>
      <c r="Q1036" s="116">
        <v>275.8</v>
      </c>
      <c r="R1036">
        <v>1267073</v>
      </c>
    </row>
    <row r="1037" spans="1:18" x14ac:dyDescent="0.25">
      <c r="A1037" s="169">
        <v>43537</v>
      </c>
      <c r="B1037" s="116">
        <v>12.28</v>
      </c>
      <c r="C1037" s="116">
        <v>11.72</v>
      </c>
      <c r="D1037" s="116">
        <v>11.69</v>
      </c>
      <c r="E1037" s="116">
        <v>12.28</v>
      </c>
      <c r="F1037" s="116">
        <v>11.72</v>
      </c>
      <c r="G1037">
        <v>38398</v>
      </c>
      <c r="H1037" s="116"/>
      <c r="I1037" s="116"/>
      <c r="L1037" s="169">
        <v>43529</v>
      </c>
      <c r="M1037" s="116">
        <v>293.64999999999998</v>
      </c>
      <c r="N1037" s="116">
        <v>296.7</v>
      </c>
      <c r="O1037" s="116">
        <v>276.39999999999998</v>
      </c>
      <c r="P1037" s="116">
        <v>276.55</v>
      </c>
      <c r="Q1037" s="116">
        <v>293.64999999999998</v>
      </c>
      <c r="R1037">
        <v>2196314</v>
      </c>
    </row>
    <row r="1038" spans="1:18" x14ac:dyDescent="0.25">
      <c r="A1038" s="169">
        <v>43538</v>
      </c>
      <c r="B1038" s="116">
        <v>12.1</v>
      </c>
      <c r="C1038" s="116">
        <v>11.98</v>
      </c>
      <c r="D1038" s="116">
        <v>11.83</v>
      </c>
      <c r="E1038" s="116">
        <v>11.95</v>
      </c>
      <c r="F1038" s="116">
        <v>11.98</v>
      </c>
      <c r="G1038">
        <v>7130</v>
      </c>
      <c r="H1038" s="116"/>
      <c r="I1038" s="116"/>
      <c r="L1038" s="169">
        <v>43530</v>
      </c>
      <c r="M1038" s="116">
        <v>289.5</v>
      </c>
      <c r="N1038" s="116">
        <v>306.25</v>
      </c>
      <c r="O1038" s="116">
        <v>287.64999999999998</v>
      </c>
      <c r="P1038" s="116">
        <v>299</v>
      </c>
      <c r="Q1038" s="116">
        <v>289.5</v>
      </c>
      <c r="R1038">
        <v>2880739</v>
      </c>
    </row>
    <row r="1039" spans="1:18" x14ac:dyDescent="0.25">
      <c r="A1039" s="169">
        <v>43539</v>
      </c>
      <c r="B1039" s="116">
        <v>12.1</v>
      </c>
      <c r="C1039" s="116">
        <v>11.9</v>
      </c>
      <c r="D1039" s="116">
        <v>11.8</v>
      </c>
      <c r="E1039" s="116">
        <v>12.1</v>
      </c>
      <c r="F1039" s="116">
        <v>11.9</v>
      </c>
      <c r="G1039">
        <v>7076</v>
      </c>
      <c r="H1039" s="116"/>
      <c r="I1039" s="116"/>
      <c r="L1039" s="169">
        <v>43531</v>
      </c>
      <c r="M1039" s="116">
        <v>291.55</v>
      </c>
      <c r="N1039" s="116">
        <v>296</v>
      </c>
      <c r="O1039" s="116">
        <v>285</v>
      </c>
      <c r="P1039" s="116">
        <v>291</v>
      </c>
      <c r="Q1039" s="116">
        <v>291.55</v>
      </c>
      <c r="R1039">
        <v>1533516</v>
      </c>
    </row>
    <row r="1040" spans="1:18" x14ac:dyDescent="0.25">
      <c r="A1040" s="169">
        <v>43542</v>
      </c>
      <c r="B1040" s="116">
        <v>12.15</v>
      </c>
      <c r="C1040" s="116">
        <v>12.1</v>
      </c>
      <c r="D1040" s="116">
        <v>11.56</v>
      </c>
      <c r="E1040" s="116">
        <v>11.8</v>
      </c>
      <c r="F1040" s="116">
        <v>12.1</v>
      </c>
      <c r="G1040">
        <v>18762</v>
      </c>
      <c r="H1040" s="116"/>
      <c r="I1040" s="116"/>
      <c r="L1040" s="169">
        <v>43532</v>
      </c>
      <c r="M1040" s="116">
        <v>287.45</v>
      </c>
      <c r="N1040" s="116">
        <v>294.60000000000002</v>
      </c>
      <c r="O1040" s="116">
        <v>285.39999999999998</v>
      </c>
      <c r="P1040" s="116">
        <v>287</v>
      </c>
      <c r="Q1040" s="116">
        <v>287.45</v>
      </c>
      <c r="R1040">
        <v>926130</v>
      </c>
    </row>
    <row r="1041" spans="1:18" x14ac:dyDescent="0.25">
      <c r="A1041" s="169">
        <v>43543</v>
      </c>
      <c r="B1041" s="116">
        <v>12.25</v>
      </c>
      <c r="C1041" s="116">
        <v>12.01</v>
      </c>
      <c r="D1041" s="116">
        <v>11.71</v>
      </c>
      <c r="E1041" s="116">
        <v>12.25</v>
      </c>
      <c r="F1041" s="116">
        <v>12.01</v>
      </c>
      <c r="G1041">
        <v>74343</v>
      </c>
      <c r="H1041" s="116"/>
      <c r="I1041" s="116"/>
      <c r="L1041" s="169">
        <v>43535</v>
      </c>
      <c r="M1041" s="116">
        <v>307.35000000000002</v>
      </c>
      <c r="N1041" s="116">
        <v>309.45</v>
      </c>
      <c r="O1041" s="116">
        <v>289</v>
      </c>
      <c r="P1041" s="116">
        <v>289</v>
      </c>
      <c r="Q1041" s="116">
        <v>307.35000000000002</v>
      </c>
      <c r="R1041">
        <v>3545379</v>
      </c>
    </row>
    <row r="1042" spans="1:18" x14ac:dyDescent="0.25">
      <c r="A1042" s="169">
        <v>43544</v>
      </c>
      <c r="B1042" s="116">
        <v>12.45</v>
      </c>
      <c r="C1042" s="116">
        <v>12.14</v>
      </c>
      <c r="D1042" s="116">
        <v>11.62</v>
      </c>
      <c r="E1042" s="116">
        <v>12</v>
      </c>
      <c r="F1042" s="116">
        <v>12.14</v>
      </c>
      <c r="G1042">
        <v>962955</v>
      </c>
      <c r="H1042" s="116"/>
      <c r="I1042" s="116"/>
      <c r="L1042" s="169">
        <v>43536</v>
      </c>
      <c r="M1042" s="116">
        <v>316.64999999999998</v>
      </c>
      <c r="N1042" s="116">
        <v>325.45</v>
      </c>
      <c r="O1042" s="116">
        <v>310</v>
      </c>
      <c r="P1042" s="116">
        <v>310</v>
      </c>
      <c r="Q1042" s="116">
        <v>316.64999999999998</v>
      </c>
      <c r="R1042">
        <v>5011049</v>
      </c>
    </row>
    <row r="1043" spans="1:18" x14ac:dyDescent="0.25">
      <c r="A1043" s="169">
        <v>43546</v>
      </c>
      <c r="B1043" s="116">
        <v>12.2</v>
      </c>
      <c r="C1043" s="116">
        <v>11.9</v>
      </c>
      <c r="D1043" s="116">
        <v>11.7</v>
      </c>
      <c r="E1043" s="116">
        <v>11.7</v>
      </c>
      <c r="F1043" s="116">
        <v>11.9</v>
      </c>
      <c r="G1043">
        <v>4964</v>
      </c>
      <c r="H1043" s="116"/>
      <c r="I1043" s="116"/>
      <c r="L1043" s="169">
        <v>43537</v>
      </c>
      <c r="M1043" s="116">
        <v>321.25</v>
      </c>
      <c r="N1043" s="116">
        <v>326.8</v>
      </c>
      <c r="O1043" s="116">
        <v>310.14999999999998</v>
      </c>
      <c r="P1043" s="116">
        <v>318.60000000000002</v>
      </c>
      <c r="Q1043" s="116">
        <v>321.25</v>
      </c>
      <c r="R1043">
        <v>2490517</v>
      </c>
    </row>
    <row r="1044" spans="1:18" x14ac:dyDescent="0.25">
      <c r="A1044" s="169">
        <v>43549</v>
      </c>
      <c r="B1044" s="116">
        <v>12.4</v>
      </c>
      <c r="C1044" s="116">
        <v>11.71</v>
      </c>
      <c r="D1044" s="116">
        <v>11.51</v>
      </c>
      <c r="E1044" s="116">
        <v>12.4</v>
      </c>
      <c r="F1044" s="116">
        <v>11.71</v>
      </c>
      <c r="G1044">
        <v>62644</v>
      </c>
      <c r="H1044" s="116"/>
      <c r="I1044" s="116"/>
      <c r="L1044" s="169">
        <v>43538</v>
      </c>
      <c r="M1044" s="116">
        <v>320.55</v>
      </c>
      <c r="N1044" s="116">
        <v>324.7</v>
      </c>
      <c r="O1044" s="116">
        <v>315.14999999999998</v>
      </c>
      <c r="P1044" s="116">
        <v>321.25</v>
      </c>
      <c r="Q1044" s="116">
        <v>320.55</v>
      </c>
      <c r="R1044">
        <v>1889983</v>
      </c>
    </row>
    <row r="1045" spans="1:18" x14ac:dyDescent="0.25">
      <c r="A1045" s="169">
        <v>43550</v>
      </c>
      <c r="B1045" s="116">
        <v>11.95</v>
      </c>
      <c r="C1045" s="116">
        <v>11.81</v>
      </c>
      <c r="D1045" s="116">
        <v>11.6</v>
      </c>
      <c r="E1045" s="116">
        <v>11.6</v>
      </c>
      <c r="F1045" s="116">
        <v>11.81</v>
      </c>
      <c r="G1045">
        <v>869276</v>
      </c>
      <c r="H1045" s="116"/>
      <c r="I1045" s="116"/>
      <c r="L1045" s="169">
        <v>43539</v>
      </c>
      <c r="M1045" s="116">
        <v>314.95</v>
      </c>
      <c r="N1045" s="116">
        <v>324.60000000000002</v>
      </c>
      <c r="O1045" s="116">
        <v>311.2</v>
      </c>
      <c r="P1045" s="116">
        <v>321.60000000000002</v>
      </c>
      <c r="Q1045" s="116">
        <v>314.95</v>
      </c>
      <c r="R1045">
        <v>1547006</v>
      </c>
    </row>
    <row r="1046" spans="1:18" x14ac:dyDescent="0.25">
      <c r="A1046" s="169">
        <v>43551</v>
      </c>
      <c r="B1046" s="116">
        <v>12.1</v>
      </c>
      <c r="C1046" s="116">
        <v>11.92</v>
      </c>
      <c r="D1046" s="116">
        <v>11.7</v>
      </c>
      <c r="E1046" s="116">
        <v>12</v>
      </c>
      <c r="F1046" s="116">
        <v>11.92</v>
      </c>
      <c r="G1046">
        <v>70698</v>
      </c>
      <c r="H1046" s="116"/>
      <c r="I1046" s="116"/>
      <c r="L1046" s="169">
        <v>43542</v>
      </c>
      <c r="M1046" s="116">
        <v>316.35000000000002</v>
      </c>
      <c r="N1046" s="116">
        <v>321.55</v>
      </c>
      <c r="O1046" s="116">
        <v>308.2</v>
      </c>
      <c r="P1046" s="116">
        <v>313</v>
      </c>
      <c r="Q1046" s="116">
        <v>316.35000000000002</v>
      </c>
      <c r="R1046">
        <v>1546715</v>
      </c>
    </row>
    <row r="1047" spans="1:18" x14ac:dyDescent="0.25">
      <c r="A1047" s="169">
        <v>43552</v>
      </c>
      <c r="B1047" s="116">
        <v>12.9</v>
      </c>
      <c r="C1047" s="116">
        <v>12.32</v>
      </c>
      <c r="D1047" s="116">
        <v>12.2</v>
      </c>
      <c r="E1047" s="116">
        <v>12.65</v>
      </c>
      <c r="F1047" s="116">
        <v>12.32</v>
      </c>
      <c r="G1047">
        <v>33557</v>
      </c>
      <c r="H1047" s="116"/>
      <c r="I1047" s="116"/>
      <c r="L1047" s="169">
        <v>43543</v>
      </c>
      <c r="M1047" s="116">
        <v>319.7</v>
      </c>
      <c r="N1047" s="116">
        <v>328.95</v>
      </c>
      <c r="O1047" s="116">
        <v>313.64999999999998</v>
      </c>
      <c r="P1047" s="116">
        <v>316.45</v>
      </c>
      <c r="Q1047" s="116">
        <v>319.7</v>
      </c>
      <c r="R1047">
        <v>2442317</v>
      </c>
    </row>
    <row r="1048" spans="1:18" x14ac:dyDescent="0.25">
      <c r="A1048" s="169">
        <v>43553</v>
      </c>
      <c r="B1048" s="116">
        <v>12.65</v>
      </c>
      <c r="C1048" s="116">
        <v>12.46</v>
      </c>
      <c r="D1048" s="116">
        <v>12.12</v>
      </c>
      <c r="E1048" s="116">
        <v>12.64</v>
      </c>
      <c r="F1048" s="116">
        <v>12.46</v>
      </c>
      <c r="G1048">
        <v>21473</v>
      </c>
      <c r="H1048" s="116"/>
      <c r="I1048" s="116"/>
      <c r="L1048" s="169">
        <v>43544</v>
      </c>
      <c r="M1048" s="116">
        <v>326.35000000000002</v>
      </c>
      <c r="N1048" s="116">
        <v>328</v>
      </c>
      <c r="O1048" s="116">
        <v>320.35000000000002</v>
      </c>
      <c r="P1048" s="116">
        <v>320.85000000000002</v>
      </c>
      <c r="Q1048" s="116">
        <v>326.35000000000002</v>
      </c>
      <c r="R1048">
        <v>1986364</v>
      </c>
    </row>
    <row r="1049" spans="1:18" x14ac:dyDescent="0.25">
      <c r="A1049" s="169">
        <v>43556</v>
      </c>
      <c r="B1049" s="116">
        <v>12.88</v>
      </c>
      <c r="C1049" s="116">
        <v>12.75</v>
      </c>
      <c r="D1049" s="116">
        <v>12.5</v>
      </c>
      <c r="E1049" s="116">
        <v>12.5</v>
      </c>
      <c r="F1049" s="116">
        <v>12.75</v>
      </c>
      <c r="G1049">
        <v>11163</v>
      </c>
      <c r="H1049" s="116"/>
      <c r="I1049" s="116"/>
      <c r="L1049" s="169">
        <v>43546</v>
      </c>
      <c r="M1049" s="116">
        <v>323.60000000000002</v>
      </c>
      <c r="N1049" s="116">
        <v>333.9</v>
      </c>
      <c r="O1049" s="116">
        <v>322.75</v>
      </c>
      <c r="P1049" s="116">
        <v>328.35</v>
      </c>
      <c r="Q1049" s="116">
        <v>323.60000000000002</v>
      </c>
      <c r="R1049">
        <v>3418006</v>
      </c>
    </row>
    <row r="1050" spans="1:18" x14ac:dyDescent="0.25">
      <c r="A1050" s="169">
        <v>43557</v>
      </c>
      <c r="B1050" s="116">
        <v>12.75</v>
      </c>
      <c r="C1050" s="116">
        <v>12.5</v>
      </c>
      <c r="D1050" s="116">
        <v>12.4</v>
      </c>
      <c r="E1050" s="116">
        <v>12.5</v>
      </c>
      <c r="F1050" s="116">
        <v>12.5</v>
      </c>
      <c r="G1050">
        <v>7644</v>
      </c>
      <c r="H1050" s="116"/>
      <c r="I1050" s="116"/>
      <c r="L1050" s="169">
        <v>43549</v>
      </c>
      <c r="M1050" s="116">
        <v>328.2</v>
      </c>
      <c r="N1050" s="116">
        <v>330.5</v>
      </c>
      <c r="O1050" s="116">
        <v>316.45</v>
      </c>
      <c r="P1050" s="116">
        <v>317.5</v>
      </c>
      <c r="Q1050" s="116">
        <v>328.2</v>
      </c>
      <c r="R1050">
        <v>1609493</v>
      </c>
    </row>
    <row r="1051" spans="1:18" x14ac:dyDescent="0.25">
      <c r="A1051" s="169">
        <v>43558</v>
      </c>
      <c r="B1051" s="116">
        <v>12.75</v>
      </c>
      <c r="C1051" s="116">
        <v>12.08</v>
      </c>
      <c r="D1051" s="116">
        <v>12</v>
      </c>
      <c r="E1051" s="116">
        <v>12.5</v>
      </c>
      <c r="F1051" s="116">
        <v>12.08</v>
      </c>
      <c r="G1051">
        <v>14240</v>
      </c>
      <c r="H1051" s="116"/>
      <c r="I1051" s="116"/>
      <c r="L1051" s="169">
        <v>43550</v>
      </c>
      <c r="M1051" s="116">
        <v>335.35</v>
      </c>
      <c r="N1051" s="116">
        <v>336.95</v>
      </c>
      <c r="O1051" s="116">
        <v>329.55</v>
      </c>
      <c r="P1051" s="116">
        <v>330.9</v>
      </c>
      <c r="Q1051" s="116">
        <v>335.35</v>
      </c>
      <c r="R1051">
        <v>2949263</v>
      </c>
    </row>
    <row r="1052" spans="1:18" x14ac:dyDescent="0.25">
      <c r="A1052" s="169">
        <v>43559</v>
      </c>
      <c r="B1052" s="116">
        <v>12.5</v>
      </c>
      <c r="C1052" s="116">
        <v>12.21</v>
      </c>
      <c r="D1052" s="116">
        <v>12</v>
      </c>
      <c r="E1052" s="116">
        <v>12.38</v>
      </c>
      <c r="F1052" s="116">
        <v>12.21</v>
      </c>
      <c r="G1052">
        <v>4617</v>
      </c>
      <c r="H1052" s="116"/>
      <c r="I1052" s="116"/>
      <c r="L1052" s="169">
        <v>43551</v>
      </c>
      <c r="M1052" s="116">
        <v>335.7</v>
      </c>
      <c r="N1052" s="116">
        <v>344.9</v>
      </c>
      <c r="O1052" s="116">
        <v>331.8</v>
      </c>
      <c r="P1052" s="116">
        <v>335.45</v>
      </c>
      <c r="Q1052" s="116">
        <v>335.7</v>
      </c>
      <c r="R1052">
        <v>2110512</v>
      </c>
    </row>
    <row r="1053" spans="1:18" x14ac:dyDescent="0.25">
      <c r="A1053" s="169">
        <v>43560</v>
      </c>
      <c r="B1053" s="116">
        <v>12.65</v>
      </c>
      <c r="C1053" s="116">
        <v>12.5</v>
      </c>
      <c r="D1053" s="116">
        <v>12.21</v>
      </c>
      <c r="E1053" s="116">
        <v>12.3</v>
      </c>
      <c r="F1053" s="116">
        <v>12.5</v>
      </c>
      <c r="G1053">
        <v>1510324</v>
      </c>
      <c r="H1053" s="116"/>
      <c r="I1053" s="116"/>
      <c r="L1053" s="169">
        <v>43552</v>
      </c>
      <c r="M1053" s="116">
        <v>345.9</v>
      </c>
      <c r="N1053" s="116">
        <v>347.5</v>
      </c>
      <c r="O1053" s="116">
        <v>337</v>
      </c>
      <c r="P1053" s="116">
        <v>338.4</v>
      </c>
      <c r="Q1053" s="116">
        <v>345.9</v>
      </c>
      <c r="R1053">
        <v>1566025</v>
      </c>
    </row>
    <row r="1054" spans="1:18" x14ac:dyDescent="0.25">
      <c r="A1054" s="169">
        <v>43563</v>
      </c>
      <c r="B1054" s="116">
        <v>12.74</v>
      </c>
      <c r="C1054" s="116">
        <v>12.18</v>
      </c>
      <c r="D1054" s="116">
        <v>12.06</v>
      </c>
      <c r="E1054" s="116">
        <v>12.51</v>
      </c>
      <c r="F1054" s="116">
        <v>12.18</v>
      </c>
      <c r="G1054">
        <v>731721</v>
      </c>
      <c r="H1054" s="116"/>
      <c r="I1054" s="116"/>
      <c r="L1054" s="169">
        <v>43553</v>
      </c>
      <c r="M1054" s="116">
        <v>348.85</v>
      </c>
      <c r="N1054" s="116">
        <v>356.8</v>
      </c>
      <c r="O1054" s="116">
        <v>345.95</v>
      </c>
      <c r="P1054" s="116">
        <v>347</v>
      </c>
      <c r="Q1054" s="116">
        <v>348.85</v>
      </c>
      <c r="R1054">
        <v>1958143</v>
      </c>
    </row>
    <row r="1055" spans="1:18" x14ac:dyDescent="0.25">
      <c r="A1055" s="169">
        <v>43564</v>
      </c>
      <c r="B1055" s="116">
        <v>12.95</v>
      </c>
      <c r="C1055" s="116">
        <v>12.57</v>
      </c>
      <c r="D1055" s="116">
        <v>11.51</v>
      </c>
      <c r="E1055" s="116">
        <v>12.05</v>
      </c>
      <c r="F1055" s="116">
        <v>12.57</v>
      </c>
      <c r="G1055">
        <v>1732585</v>
      </c>
      <c r="H1055" s="116"/>
      <c r="I1055" s="116"/>
      <c r="L1055" s="169">
        <v>43556</v>
      </c>
      <c r="M1055" s="116">
        <v>354.25</v>
      </c>
      <c r="N1055" s="116">
        <v>361.45</v>
      </c>
      <c r="O1055" s="116">
        <v>349</v>
      </c>
      <c r="P1055" s="116">
        <v>350.25</v>
      </c>
      <c r="Q1055" s="116">
        <v>354.25</v>
      </c>
      <c r="R1055">
        <v>2206271</v>
      </c>
    </row>
    <row r="1056" spans="1:18" x14ac:dyDescent="0.25">
      <c r="A1056" s="169">
        <v>43565</v>
      </c>
      <c r="B1056" s="116">
        <v>13.42</v>
      </c>
      <c r="C1056" s="116">
        <v>12.54</v>
      </c>
      <c r="D1056" s="116">
        <v>12.3</v>
      </c>
      <c r="E1056" s="116">
        <v>12.35</v>
      </c>
      <c r="F1056" s="116">
        <v>12.54</v>
      </c>
      <c r="G1056">
        <v>87604</v>
      </c>
      <c r="H1056" s="116"/>
      <c r="I1056" s="116"/>
      <c r="L1056" s="169">
        <v>43557</v>
      </c>
      <c r="M1056" s="116">
        <v>349.7</v>
      </c>
      <c r="N1056" s="116">
        <v>357.25</v>
      </c>
      <c r="O1056" s="116">
        <v>347.45</v>
      </c>
      <c r="P1056" s="116">
        <v>356.7</v>
      </c>
      <c r="Q1056" s="116">
        <v>349.7</v>
      </c>
      <c r="R1056">
        <v>1101143</v>
      </c>
    </row>
    <row r="1057" spans="1:18" x14ac:dyDescent="0.25">
      <c r="A1057" s="169">
        <v>43566</v>
      </c>
      <c r="B1057" s="116">
        <v>12.74</v>
      </c>
      <c r="C1057" s="116">
        <v>12.28</v>
      </c>
      <c r="D1057" s="116">
        <v>12.2</v>
      </c>
      <c r="E1057" s="116">
        <v>12.5</v>
      </c>
      <c r="F1057" s="116">
        <v>12.28</v>
      </c>
      <c r="G1057">
        <v>36269</v>
      </c>
      <c r="H1057" s="116"/>
      <c r="I1057" s="116"/>
      <c r="L1057" s="169">
        <v>43558</v>
      </c>
      <c r="M1057" s="116">
        <v>352.5</v>
      </c>
      <c r="N1057" s="116">
        <v>361</v>
      </c>
      <c r="O1057" s="116">
        <v>349</v>
      </c>
      <c r="P1057" s="116">
        <v>350</v>
      </c>
      <c r="Q1057" s="116">
        <v>352.5</v>
      </c>
      <c r="R1057">
        <v>1696747</v>
      </c>
    </row>
    <row r="1058" spans="1:18" x14ac:dyDescent="0.25">
      <c r="A1058" s="169">
        <v>43567</v>
      </c>
      <c r="B1058" s="116">
        <v>12.45</v>
      </c>
      <c r="C1058" s="116">
        <v>12.24</v>
      </c>
      <c r="D1058" s="116">
        <v>12.2</v>
      </c>
      <c r="E1058" s="116">
        <v>12.45</v>
      </c>
      <c r="F1058" s="116">
        <v>12.24</v>
      </c>
      <c r="G1058">
        <v>1948</v>
      </c>
      <c r="H1058" s="116"/>
      <c r="I1058" s="116"/>
      <c r="L1058" s="169">
        <v>43559</v>
      </c>
      <c r="M1058" s="116">
        <v>347.1</v>
      </c>
      <c r="N1058" s="116">
        <v>356.6</v>
      </c>
      <c r="O1058" s="116">
        <v>343.05</v>
      </c>
      <c r="P1058" s="116">
        <v>351.7</v>
      </c>
      <c r="Q1058" s="116">
        <v>347.1</v>
      </c>
      <c r="R1058">
        <v>2328290</v>
      </c>
    </row>
    <row r="1059" spans="1:18" x14ac:dyDescent="0.25">
      <c r="A1059" s="169">
        <v>43570</v>
      </c>
      <c r="B1059" s="116">
        <v>12.99</v>
      </c>
      <c r="C1059" s="116">
        <v>12.85</v>
      </c>
      <c r="D1059" s="116">
        <v>12.4</v>
      </c>
      <c r="E1059" s="116">
        <v>12.4</v>
      </c>
      <c r="F1059" s="116">
        <v>12.85</v>
      </c>
      <c r="G1059">
        <v>59959</v>
      </c>
      <c r="H1059" s="116"/>
      <c r="I1059" s="116"/>
      <c r="L1059" s="169">
        <v>43560</v>
      </c>
      <c r="M1059" s="116">
        <v>360.1</v>
      </c>
      <c r="N1059" s="116">
        <v>363.5</v>
      </c>
      <c r="O1059" s="116">
        <v>348.45</v>
      </c>
      <c r="P1059" s="116">
        <v>348.9</v>
      </c>
      <c r="Q1059" s="116">
        <v>360.1</v>
      </c>
      <c r="R1059">
        <v>2898665</v>
      </c>
    </row>
    <row r="1060" spans="1:18" x14ac:dyDescent="0.25">
      <c r="A1060" s="169">
        <v>43571</v>
      </c>
      <c r="B1060" s="116">
        <v>12.99</v>
      </c>
      <c r="C1060" s="116">
        <v>12.85</v>
      </c>
      <c r="D1060" s="116">
        <v>12.75</v>
      </c>
      <c r="E1060" s="116">
        <v>12.85</v>
      </c>
      <c r="F1060" s="116">
        <v>12.85</v>
      </c>
      <c r="G1060">
        <v>13365</v>
      </c>
      <c r="H1060" s="116"/>
      <c r="I1060" s="116"/>
      <c r="L1060" s="169">
        <v>43563</v>
      </c>
      <c r="M1060" s="116">
        <v>361.8</v>
      </c>
      <c r="N1060" s="116">
        <v>368.7</v>
      </c>
      <c r="O1060" s="116">
        <v>359.85</v>
      </c>
      <c r="P1060" s="116">
        <v>361.1</v>
      </c>
      <c r="Q1060" s="116">
        <v>361.8</v>
      </c>
      <c r="R1060">
        <v>2206838</v>
      </c>
    </row>
    <row r="1061" spans="1:18" x14ac:dyDescent="0.25">
      <c r="A1061" s="169">
        <v>43573</v>
      </c>
      <c r="B1061" s="116">
        <v>13.1</v>
      </c>
      <c r="C1061" s="116">
        <v>12.87</v>
      </c>
      <c r="D1061" s="116">
        <v>12.7</v>
      </c>
      <c r="E1061" s="116">
        <v>12.7</v>
      </c>
      <c r="F1061" s="116">
        <v>12.87</v>
      </c>
      <c r="G1061">
        <v>24223</v>
      </c>
      <c r="H1061" s="116"/>
      <c r="I1061" s="116"/>
      <c r="L1061" s="169">
        <v>43564</v>
      </c>
      <c r="M1061" s="116">
        <v>354.3</v>
      </c>
      <c r="N1061" s="116">
        <v>364.05</v>
      </c>
      <c r="O1061" s="116">
        <v>349.15</v>
      </c>
      <c r="P1061" s="116">
        <v>363</v>
      </c>
      <c r="Q1061" s="116">
        <v>354.3</v>
      </c>
      <c r="R1061">
        <v>1647653</v>
      </c>
    </row>
    <row r="1062" spans="1:18" x14ac:dyDescent="0.25">
      <c r="A1062" s="169">
        <v>43577</v>
      </c>
      <c r="B1062" s="116">
        <v>12.87</v>
      </c>
      <c r="C1062" s="116">
        <v>12.7</v>
      </c>
      <c r="D1062" s="116">
        <v>12</v>
      </c>
      <c r="E1062" s="116">
        <v>12.85</v>
      </c>
      <c r="F1062" s="116">
        <v>12.7</v>
      </c>
      <c r="G1062">
        <v>23192</v>
      </c>
      <c r="H1062" s="116"/>
      <c r="I1062" s="116"/>
      <c r="L1062" s="169">
        <v>43565</v>
      </c>
      <c r="M1062" s="116">
        <v>347.4</v>
      </c>
      <c r="N1062" s="116">
        <v>359.3</v>
      </c>
      <c r="O1062" s="116">
        <v>346.25</v>
      </c>
      <c r="P1062" s="116">
        <v>354</v>
      </c>
      <c r="Q1062" s="116">
        <v>347.4</v>
      </c>
      <c r="R1062">
        <v>1223167</v>
      </c>
    </row>
    <row r="1063" spans="1:18" x14ac:dyDescent="0.25">
      <c r="A1063" s="169">
        <v>43578</v>
      </c>
      <c r="B1063" s="116">
        <v>13</v>
      </c>
      <c r="C1063" s="116">
        <v>12.93</v>
      </c>
      <c r="D1063" s="116">
        <v>12.5</v>
      </c>
      <c r="E1063" s="116">
        <v>12.56</v>
      </c>
      <c r="F1063" s="116">
        <v>12.93</v>
      </c>
      <c r="G1063">
        <v>13044</v>
      </c>
      <c r="H1063" s="116"/>
      <c r="I1063" s="116"/>
      <c r="L1063" s="169">
        <v>43566</v>
      </c>
      <c r="M1063" s="116">
        <v>349.6</v>
      </c>
      <c r="N1063" s="116">
        <v>351.35</v>
      </c>
      <c r="O1063" s="116">
        <v>343.65</v>
      </c>
      <c r="P1063" s="116">
        <v>346.9</v>
      </c>
      <c r="Q1063" s="116">
        <v>349.6</v>
      </c>
      <c r="R1063">
        <v>799829</v>
      </c>
    </row>
    <row r="1064" spans="1:18" x14ac:dyDescent="0.25">
      <c r="A1064" s="169">
        <v>43579</v>
      </c>
      <c r="B1064" s="116">
        <v>12.95</v>
      </c>
      <c r="C1064" s="116">
        <v>12.9</v>
      </c>
      <c r="D1064" s="116">
        <v>12.5</v>
      </c>
      <c r="E1064" s="116">
        <v>12.9</v>
      </c>
      <c r="F1064" s="116">
        <v>12.9</v>
      </c>
      <c r="G1064">
        <v>23359</v>
      </c>
      <c r="H1064" s="116"/>
      <c r="I1064" s="116"/>
      <c r="L1064" s="169">
        <v>43567</v>
      </c>
      <c r="M1064" s="116">
        <v>352.8</v>
      </c>
      <c r="N1064" s="116">
        <v>353.95</v>
      </c>
      <c r="O1064" s="116">
        <v>348</v>
      </c>
      <c r="P1064" s="116">
        <v>348.1</v>
      </c>
      <c r="Q1064" s="116">
        <v>352.8</v>
      </c>
      <c r="R1064">
        <v>593965</v>
      </c>
    </row>
    <row r="1065" spans="1:18" x14ac:dyDescent="0.25">
      <c r="A1065" s="169">
        <v>43580</v>
      </c>
      <c r="B1065" s="116">
        <v>12.98</v>
      </c>
      <c r="C1065" s="116">
        <v>12.62</v>
      </c>
      <c r="D1065" s="116">
        <v>12.6</v>
      </c>
      <c r="E1065" s="116">
        <v>12.91</v>
      </c>
      <c r="F1065" s="116">
        <v>12.62</v>
      </c>
      <c r="G1065">
        <v>13954</v>
      </c>
      <c r="H1065" s="116"/>
      <c r="I1065" s="116"/>
      <c r="L1065" s="169">
        <v>43570</v>
      </c>
      <c r="M1065" s="116">
        <v>346.75</v>
      </c>
      <c r="N1065" s="116">
        <v>356</v>
      </c>
      <c r="O1065" s="116">
        <v>345.5</v>
      </c>
      <c r="P1065" s="116">
        <v>353.5</v>
      </c>
      <c r="Q1065" s="116">
        <v>346.75</v>
      </c>
      <c r="R1065">
        <v>480853</v>
      </c>
    </row>
    <row r="1066" spans="1:18" x14ac:dyDescent="0.25">
      <c r="A1066" s="169">
        <v>43581</v>
      </c>
      <c r="B1066" s="116">
        <v>13</v>
      </c>
      <c r="C1066" s="116">
        <v>12.76</v>
      </c>
      <c r="D1066" s="116">
        <v>12.7</v>
      </c>
      <c r="E1066" s="116">
        <v>13</v>
      </c>
      <c r="F1066" s="116">
        <v>12.76</v>
      </c>
      <c r="G1066">
        <v>20709</v>
      </c>
      <c r="H1066" s="116"/>
      <c r="I1066" s="116"/>
      <c r="L1066" s="169">
        <v>43571</v>
      </c>
      <c r="M1066" s="116">
        <v>345</v>
      </c>
      <c r="N1066" s="116">
        <v>348.9</v>
      </c>
      <c r="O1066" s="116">
        <v>342.05</v>
      </c>
      <c r="P1066" s="116">
        <v>346</v>
      </c>
      <c r="Q1066" s="116">
        <v>345</v>
      </c>
      <c r="R1066">
        <v>672454</v>
      </c>
    </row>
    <row r="1067" spans="1:18" x14ac:dyDescent="0.25">
      <c r="A1067" s="169">
        <v>43585</v>
      </c>
      <c r="B1067" s="116">
        <v>12.85</v>
      </c>
      <c r="C1067" s="116">
        <v>11.9</v>
      </c>
      <c r="D1067" s="116">
        <v>11.56</v>
      </c>
      <c r="E1067" s="116">
        <v>12.65</v>
      </c>
      <c r="F1067" s="116">
        <v>11.9</v>
      </c>
      <c r="G1067">
        <v>50120</v>
      </c>
      <c r="H1067" s="116"/>
      <c r="I1067" s="116"/>
      <c r="L1067" s="169">
        <v>43573</v>
      </c>
      <c r="M1067" s="116">
        <v>337.2</v>
      </c>
      <c r="N1067" s="116">
        <v>346.9</v>
      </c>
      <c r="O1067" s="116">
        <v>335.7</v>
      </c>
      <c r="P1067" s="116">
        <v>343</v>
      </c>
      <c r="Q1067" s="116">
        <v>337.2</v>
      </c>
      <c r="R1067">
        <v>967633</v>
      </c>
    </row>
    <row r="1068" spans="1:18" x14ac:dyDescent="0.25">
      <c r="A1068" s="169">
        <v>43587</v>
      </c>
      <c r="B1068" s="116">
        <v>12.4</v>
      </c>
      <c r="C1068" s="116">
        <v>11.94</v>
      </c>
      <c r="D1068" s="116">
        <v>11.75</v>
      </c>
      <c r="E1068" s="116">
        <v>12.4</v>
      </c>
      <c r="F1068" s="116">
        <v>11.94</v>
      </c>
      <c r="G1068">
        <v>17141</v>
      </c>
      <c r="H1068" s="116"/>
      <c r="I1068" s="116"/>
      <c r="L1068" s="169">
        <v>43577</v>
      </c>
      <c r="M1068" s="116">
        <v>319.3</v>
      </c>
      <c r="N1068" s="116">
        <v>335.85</v>
      </c>
      <c r="O1068" s="116">
        <v>317.14999999999998</v>
      </c>
      <c r="P1068" s="116">
        <v>335</v>
      </c>
      <c r="Q1068" s="116">
        <v>319.3</v>
      </c>
      <c r="R1068">
        <v>1159638</v>
      </c>
    </row>
    <row r="1069" spans="1:18" x14ac:dyDescent="0.25">
      <c r="A1069" s="169">
        <v>43588</v>
      </c>
      <c r="B1069" s="116">
        <v>12</v>
      </c>
      <c r="C1069" s="116">
        <v>11.68</v>
      </c>
      <c r="D1069" s="116">
        <v>11.55</v>
      </c>
      <c r="E1069" s="116">
        <v>12</v>
      </c>
      <c r="F1069" s="116">
        <v>11.68</v>
      </c>
      <c r="G1069">
        <v>11544</v>
      </c>
      <c r="H1069" s="116"/>
      <c r="I1069" s="116"/>
      <c r="L1069" s="169">
        <v>43578</v>
      </c>
      <c r="M1069" s="116">
        <v>317.3</v>
      </c>
      <c r="N1069" s="116">
        <v>322.14999999999998</v>
      </c>
      <c r="O1069" s="116">
        <v>311.05</v>
      </c>
      <c r="P1069" s="116">
        <v>322.14999999999998</v>
      </c>
      <c r="Q1069" s="116">
        <v>317.3</v>
      </c>
      <c r="R1069">
        <v>1770616</v>
      </c>
    </row>
    <row r="1070" spans="1:18" x14ac:dyDescent="0.25">
      <c r="A1070" s="169">
        <v>43591</v>
      </c>
      <c r="B1070" s="116">
        <v>11.95</v>
      </c>
      <c r="C1070" s="116">
        <v>11.53</v>
      </c>
      <c r="D1070" s="116">
        <v>11.5</v>
      </c>
      <c r="E1070" s="116">
        <v>11.95</v>
      </c>
      <c r="F1070" s="116">
        <v>11.53</v>
      </c>
      <c r="G1070">
        <v>3122</v>
      </c>
      <c r="H1070" s="116"/>
      <c r="I1070" s="116"/>
      <c r="L1070" s="169">
        <v>43579</v>
      </c>
      <c r="M1070" s="116">
        <v>317.05</v>
      </c>
      <c r="N1070" s="116">
        <v>321.7</v>
      </c>
      <c r="O1070" s="116">
        <v>312.5</v>
      </c>
      <c r="P1070" s="116">
        <v>318</v>
      </c>
      <c r="Q1070" s="116">
        <v>317.05</v>
      </c>
      <c r="R1070">
        <v>1354590</v>
      </c>
    </row>
    <row r="1071" spans="1:18" x14ac:dyDescent="0.25">
      <c r="A1071" s="169">
        <v>43592</v>
      </c>
      <c r="B1071" s="116">
        <v>11.75</v>
      </c>
      <c r="C1071" s="116">
        <v>11.25</v>
      </c>
      <c r="D1071" s="116">
        <v>11.06</v>
      </c>
      <c r="E1071" s="116">
        <v>11.75</v>
      </c>
      <c r="F1071" s="116">
        <v>11.25</v>
      </c>
      <c r="G1071">
        <v>32493</v>
      </c>
      <c r="H1071" s="116"/>
      <c r="I1071" s="116"/>
      <c r="L1071" s="169">
        <v>43580</v>
      </c>
      <c r="M1071" s="116">
        <v>319.8</v>
      </c>
      <c r="N1071" s="116">
        <v>324.39999999999998</v>
      </c>
      <c r="O1071" s="116">
        <v>316.7</v>
      </c>
      <c r="P1071" s="116">
        <v>320.39999999999998</v>
      </c>
      <c r="Q1071" s="116">
        <v>319.8</v>
      </c>
      <c r="R1071">
        <v>1347648</v>
      </c>
    </row>
    <row r="1072" spans="1:18" x14ac:dyDescent="0.25">
      <c r="A1072" s="169">
        <v>43593</v>
      </c>
      <c r="B1072" s="116">
        <v>11.45</v>
      </c>
      <c r="C1072" s="116">
        <v>11.26</v>
      </c>
      <c r="D1072" s="116">
        <v>11.18</v>
      </c>
      <c r="E1072" s="116">
        <v>11.26</v>
      </c>
      <c r="F1072" s="116">
        <v>11.26</v>
      </c>
      <c r="G1072">
        <v>7905</v>
      </c>
      <c r="H1072" s="116"/>
      <c r="I1072" s="116"/>
      <c r="L1072" s="169">
        <v>43581</v>
      </c>
      <c r="M1072" s="116">
        <v>322.39999999999998</v>
      </c>
      <c r="N1072" s="116">
        <v>324.64999999999998</v>
      </c>
      <c r="O1072" s="116">
        <v>317.8</v>
      </c>
      <c r="P1072" s="116">
        <v>320.89999999999998</v>
      </c>
      <c r="Q1072" s="116">
        <v>322.39999999999998</v>
      </c>
      <c r="R1072">
        <v>499361</v>
      </c>
    </row>
    <row r="1073" spans="1:18" x14ac:dyDescent="0.25">
      <c r="A1073" s="169">
        <v>43594</v>
      </c>
      <c r="B1073" s="116">
        <v>11.3</v>
      </c>
      <c r="C1073" s="116">
        <v>11.04</v>
      </c>
      <c r="D1073" s="116">
        <v>10.75</v>
      </c>
      <c r="E1073" s="116">
        <v>11.2</v>
      </c>
      <c r="F1073" s="116">
        <v>11.04</v>
      </c>
      <c r="G1073">
        <v>12113</v>
      </c>
      <c r="H1073" s="116"/>
      <c r="I1073" s="116"/>
      <c r="L1073" s="169">
        <v>43585</v>
      </c>
      <c r="M1073" s="116">
        <v>318.64999999999998</v>
      </c>
      <c r="N1073" s="116">
        <v>323.45</v>
      </c>
      <c r="O1073" s="116">
        <v>313.2</v>
      </c>
      <c r="P1073" s="116">
        <v>321.05</v>
      </c>
      <c r="Q1073" s="116">
        <v>318.64999999999998</v>
      </c>
      <c r="R1073">
        <v>1138445</v>
      </c>
    </row>
    <row r="1074" spans="1:18" x14ac:dyDescent="0.25">
      <c r="A1074" s="169">
        <v>43595</v>
      </c>
      <c r="B1074" s="116">
        <v>11.65</v>
      </c>
      <c r="C1074" s="116">
        <v>11.28</v>
      </c>
      <c r="D1074" s="116">
        <v>11.17</v>
      </c>
      <c r="E1074" s="116">
        <v>11.39</v>
      </c>
      <c r="F1074" s="116">
        <v>11.28</v>
      </c>
      <c r="G1074">
        <v>3392</v>
      </c>
      <c r="H1074" s="116"/>
      <c r="I1074" s="116"/>
      <c r="L1074" s="169">
        <v>43587</v>
      </c>
      <c r="M1074" s="116">
        <v>342.5</v>
      </c>
      <c r="N1074" s="116">
        <v>346</v>
      </c>
      <c r="O1074" s="116">
        <v>311.8</v>
      </c>
      <c r="P1074" s="116">
        <v>312</v>
      </c>
      <c r="Q1074" s="116">
        <v>342.5</v>
      </c>
      <c r="R1074">
        <v>4207333</v>
      </c>
    </row>
    <row r="1075" spans="1:18" x14ac:dyDescent="0.25">
      <c r="A1075" s="169">
        <v>43598</v>
      </c>
      <c r="B1075" s="116">
        <v>11.28</v>
      </c>
      <c r="C1075" s="116">
        <v>10.9</v>
      </c>
      <c r="D1075" s="116">
        <v>10.9</v>
      </c>
      <c r="E1075" s="116">
        <v>11.07</v>
      </c>
      <c r="F1075" s="116">
        <v>10.9</v>
      </c>
      <c r="G1075">
        <v>1409</v>
      </c>
      <c r="H1075" s="116"/>
      <c r="I1075" s="116"/>
      <c r="L1075" s="169">
        <v>43588</v>
      </c>
      <c r="M1075" s="116">
        <v>332.75</v>
      </c>
      <c r="N1075" s="116">
        <v>344.65</v>
      </c>
      <c r="O1075" s="116">
        <v>330.4</v>
      </c>
      <c r="P1075" s="116">
        <v>341.65</v>
      </c>
      <c r="Q1075" s="116">
        <v>332.75</v>
      </c>
      <c r="R1075">
        <v>1506224</v>
      </c>
    </row>
    <row r="1076" spans="1:18" x14ac:dyDescent="0.25">
      <c r="A1076" s="169">
        <v>43599</v>
      </c>
      <c r="B1076" s="116">
        <v>11.05</v>
      </c>
      <c r="C1076" s="116">
        <v>11</v>
      </c>
      <c r="D1076" s="116">
        <v>10.7</v>
      </c>
      <c r="E1076" s="116">
        <v>10.7</v>
      </c>
      <c r="F1076" s="116">
        <v>11</v>
      </c>
      <c r="G1076">
        <v>1380</v>
      </c>
      <c r="H1076" s="116"/>
      <c r="I1076" s="116"/>
      <c r="L1076" s="169">
        <v>43591</v>
      </c>
      <c r="M1076" s="116">
        <v>323.5</v>
      </c>
      <c r="N1076" s="116">
        <v>332.3</v>
      </c>
      <c r="O1076" s="116">
        <v>321.45</v>
      </c>
      <c r="P1076" s="116">
        <v>327</v>
      </c>
      <c r="Q1076" s="116">
        <v>323.5</v>
      </c>
      <c r="R1076">
        <v>706867</v>
      </c>
    </row>
    <row r="1077" spans="1:18" x14ac:dyDescent="0.25">
      <c r="A1077" s="169">
        <v>43600</v>
      </c>
      <c r="B1077" s="116">
        <v>11.09</v>
      </c>
      <c r="C1077" s="116">
        <v>11.02</v>
      </c>
      <c r="D1077" s="116">
        <v>11.02</v>
      </c>
      <c r="E1077" s="116">
        <v>11.09</v>
      </c>
      <c r="F1077" s="116">
        <v>11.02</v>
      </c>
      <c r="G1077">
        <v>9660</v>
      </c>
      <c r="H1077" s="116"/>
      <c r="I1077" s="116"/>
      <c r="L1077" s="169">
        <v>43592</v>
      </c>
      <c r="M1077" s="116">
        <v>315.89999999999998</v>
      </c>
      <c r="N1077" s="116">
        <v>329.75</v>
      </c>
      <c r="O1077" s="116">
        <v>314.25</v>
      </c>
      <c r="P1077" s="116">
        <v>325.10000000000002</v>
      </c>
      <c r="Q1077" s="116">
        <v>315.89999999999998</v>
      </c>
      <c r="R1077">
        <v>649421</v>
      </c>
    </row>
    <row r="1078" spans="1:18" x14ac:dyDescent="0.25">
      <c r="A1078" s="169">
        <v>43601</v>
      </c>
      <c r="B1078" s="116">
        <v>11.15</v>
      </c>
      <c r="C1078" s="116">
        <v>10.83</v>
      </c>
      <c r="D1078" s="116">
        <v>10.7</v>
      </c>
      <c r="E1078" s="116">
        <v>11.1</v>
      </c>
      <c r="F1078" s="116">
        <v>10.83</v>
      </c>
      <c r="G1078">
        <v>18286</v>
      </c>
      <c r="H1078" s="116"/>
      <c r="I1078" s="116"/>
      <c r="L1078" s="169">
        <v>43593</v>
      </c>
      <c r="M1078" s="116">
        <v>321.10000000000002</v>
      </c>
      <c r="N1078" s="116">
        <v>326.39999999999998</v>
      </c>
      <c r="O1078" s="116">
        <v>311.05</v>
      </c>
      <c r="P1078" s="116">
        <v>312.25</v>
      </c>
      <c r="Q1078" s="116">
        <v>321.10000000000002</v>
      </c>
      <c r="R1078">
        <v>1230045</v>
      </c>
    </row>
    <row r="1079" spans="1:18" x14ac:dyDescent="0.25">
      <c r="A1079" s="169">
        <v>43602</v>
      </c>
      <c r="B1079" s="116">
        <v>11.15</v>
      </c>
      <c r="C1079" s="116">
        <v>11.09</v>
      </c>
      <c r="D1079" s="116">
        <v>10.75</v>
      </c>
      <c r="E1079" s="116">
        <v>10.75</v>
      </c>
      <c r="F1079" s="116">
        <v>11.09</v>
      </c>
      <c r="G1079">
        <v>10018</v>
      </c>
      <c r="H1079" s="116"/>
      <c r="I1079" s="116"/>
      <c r="L1079" s="169">
        <v>43594</v>
      </c>
      <c r="M1079" s="116">
        <v>317.75</v>
      </c>
      <c r="N1079" s="116">
        <v>326.10000000000002</v>
      </c>
      <c r="O1079" s="116">
        <v>315.7</v>
      </c>
      <c r="P1079" s="116">
        <v>321.85000000000002</v>
      </c>
      <c r="Q1079" s="116">
        <v>317.75</v>
      </c>
      <c r="R1079">
        <v>889335</v>
      </c>
    </row>
    <row r="1080" spans="1:18" x14ac:dyDescent="0.25">
      <c r="A1080" s="169">
        <v>43605</v>
      </c>
      <c r="B1080" s="116">
        <v>11.4</v>
      </c>
      <c r="C1080" s="116">
        <v>11.15</v>
      </c>
      <c r="D1080" s="116">
        <v>10.85</v>
      </c>
      <c r="E1080" s="116">
        <v>11.2</v>
      </c>
      <c r="F1080" s="116">
        <v>11.15</v>
      </c>
      <c r="G1080">
        <v>3986</v>
      </c>
      <c r="H1080" s="116"/>
      <c r="I1080" s="116"/>
      <c r="L1080" s="169">
        <v>43595</v>
      </c>
      <c r="M1080" s="116">
        <v>318.25</v>
      </c>
      <c r="N1080" s="116">
        <v>323.89999999999998</v>
      </c>
      <c r="O1080" s="116">
        <v>314</v>
      </c>
      <c r="P1080" s="116">
        <v>317.7</v>
      </c>
      <c r="Q1080" s="116">
        <v>318.25</v>
      </c>
      <c r="R1080">
        <v>895291</v>
      </c>
    </row>
    <row r="1081" spans="1:18" x14ac:dyDescent="0.25">
      <c r="A1081" s="169">
        <v>43606</v>
      </c>
      <c r="B1081" s="116">
        <v>11.24</v>
      </c>
      <c r="C1081" s="116">
        <v>11.2</v>
      </c>
      <c r="D1081" s="116">
        <v>11</v>
      </c>
      <c r="E1081" s="116">
        <v>11.15</v>
      </c>
      <c r="F1081" s="116">
        <v>11.2</v>
      </c>
      <c r="G1081">
        <v>5425</v>
      </c>
      <c r="H1081" s="116"/>
      <c r="I1081" s="116"/>
      <c r="L1081" s="169">
        <v>43598</v>
      </c>
      <c r="M1081" s="116">
        <v>309.2</v>
      </c>
      <c r="N1081" s="116">
        <v>319.85000000000002</v>
      </c>
      <c r="O1081" s="116">
        <v>305.85000000000002</v>
      </c>
      <c r="P1081" s="116">
        <v>319.3</v>
      </c>
      <c r="Q1081" s="116">
        <v>309.2</v>
      </c>
      <c r="R1081">
        <v>477911</v>
      </c>
    </row>
    <row r="1082" spans="1:18" x14ac:dyDescent="0.25">
      <c r="A1082" s="169">
        <v>43607</v>
      </c>
      <c r="B1082" s="116">
        <v>11.22</v>
      </c>
      <c r="C1082" s="116">
        <v>11.21</v>
      </c>
      <c r="D1082" s="116">
        <v>11</v>
      </c>
      <c r="E1082" s="116">
        <v>11</v>
      </c>
      <c r="F1082" s="116">
        <v>11.21</v>
      </c>
      <c r="G1082">
        <v>3025</v>
      </c>
      <c r="H1082" s="116"/>
      <c r="I1082" s="116"/>
      <c r="L1082" s="169">
        <v>43599</v>
      </c>
      <c r="M1082" s="116">
        <v>314.5</v>
      </c>
      <c r="N1082" s="116">
        <v>316.7</v>
      </c>
      <c r="O1082" s="116">
        <v>305.14999999999998</v>
      </c>
      <c r="P1082" s="116">
        <v>306.5</v>
      </c>
      <c r="Q1082" s="116">
        <v>314.5</v>
      </c>
      <c r="R1082">
        <v>743993</v>
      </c>
    </row>
    <row r="1083" spans="1:18" x14ac:dyDescent="0.25">
      <c r="A1083" s="169">
        <v>43608</v>
      </c>
      <c r="B1083" s="116">
        <v>11.1</v>
      </c>
      <c r="C1083" s="116">
        <v>11.06</v>
      </c>
      <c r="D1083" s="116">
        <v>10.8</v>
      </c>
      <c r="E1083" s="116">
        <v>10.9</v>
      </c>
      <c r="F1083" s="116">
        <v>11.06</v>
      </c>
      <c r="G1083">
        <v>8325</v>
      </c>
      <c r="H1083" s="116"/>
      <c r="I1083" s="116"/>
      <c r="L1083" s="169">
        <v>43600</v>
      </c>
      <c r="M1083" s="116">
        <v>305.7</v>
      </c>
      <c r="N1083" s="116">
        <v>319.8</v>
      </c>
      <c r="O1083" s="116">
        <v>304.75</v>
      </c>
      <c r="P1083" s="116">
        <v>314.5</v>
      </c>
      <c r="Q1083" s="116">
        <v>305.7</v>
      </c>
      <c r="R1083">
        <v>719149</v>
      </c>
    </row>
    <row r="1084" spans="1:18" x14ac:dyDescent="0.25">
      <c r="A1084" s="169">
        <v>43609</v>
      </c>
      <c r="B1084" s="116">
        <v>11.25</v>
      </c>
      <c r="C1084" s="116">
        <v>11.2</v>
      </c>
      <c r="D1084" s="116">
        <v>10.9</v>
      </c>
      <c r="E1084" s="116">
        <v>11.15</v>
      </c>
      <c r="F1084" s="116">
        <v>11.2</v>
      </c>
      <c r="G1084">
        <v>7447</v>
      </c>
      <c r="H1084" s="116"/>
      <c r="I1084" s="116"/>
      <c r="L1084" s="169">
        <v>43601</v>
      </c>
      <c r="M1084" s="116">
        <v>312.45</v>
      </c>
      <c r="N1084" s="116">
        <v>314.2</v>
      </c>
      <c r="O1084" s="116">
        <v>304.25</v>
      </c>
      <c r="P1084" s="116">
        <v>305.7</v>
      </c>
      <c r="Q1084" s="116">
        <v>312.45</v>
      </c>
      <c r="R1084">
        <v>715203</v>
      </c>
    </row>
    <row r="1085" spans="1:18" x14ac:dyDescent="0.25">
      <c r="A1085" s="169">
        <v>43612</v>
      </c>
      <c r="B1085" s="116">
        <v>11.49</v>
      </c>
      <c r="C1085" s="116">
        <v>11.2</v>
      </c>
      <c r="D1085" s="116">
        <v>11.15</v>
      </c>
      <c r="E1085" s="116">
        <v>11.2</v>
      </c>
      <c r="F1085" s="116">
        <v>11.2</v>
      </c>
      <c r="G1085">
        <v>6196</v>
      </c>
      <c r="H1085" s="116"/>
      <c r="I1085" s="116"/>
      <c r="L1085" s="169">
        <v>43602</v>
      </c>
      <c r="M1085" s="116">
        <v>319.95</v>
      </c>
      <c r="N1085" s="116">
        <v>322.45</v>
      </c>
      <c r="O1085" s="116">
        <v>310.89999999999998</v>
      </c>
      <c r="P1085" s="116">
        <v>313.5</v>
      </c>
      <c r="Q1085" s="116">
        <v>319.95</v>
      </c>
      <c r="R1085">
        <v>611539</v>
      </c>
    </row>
    <row r="1086" spans="1:18" x14ac:dyDescent="0.25">
      <c r="A1086" s="169">
        <v>43613</v>
      </c>
      <c r="B1086" s="116">
        <v>11.4</v>
      </c>
      <c r="C1086" s="116">
        <v>11.01</v>
      </c>
      <c r="D1086" s="116">
        <v>10.75</v>
      </c>
      <c r="E1086" s="116">
        <v>11.4</v>
      </c>
      <c r="F1086" s="116">
        <v>11.01</v>
      </c>
      <c r="G1086">
        <v>9470</v>
      </c>
      <c r="H1086" s="116"/>
      <c r="I1086" s="116"/>
      <c r="L1086" s="169">
        <v>43605</v>
      </c>
      <c r="M1086" s="116">
        <v>355.1</v>
      </c>
      <c r="N1086" s="116">
        <v>362.35</v>
      </c>
      <c r="O1086" s="116">
        <v>325.60000000000002</v>
      </c>
      <c r="P1086" s="116">
        <v>325.60000000000002</v>
      </c>
      <c r="Q1086" s="116">
        <v>355.1</v>
      </c>
      <c r="R1086">
        <v>2507528</v>
      </c>
    </row>
    <row r="1087" spans="1:18" x14ac:dyDescent="0.25">
      <c r="A1087" s="169">
        <v>43614</v>
      </c>
      <c r="B1087" s="116">
        <v>11.1</v>
      </c>
      <c r="C1087" s="116">
        <v>11.01</v>
      </c>
      <c r="D1087" s="116">
        <v>10.9</v>
      </c>
      <c r="E1087" s="116">
        <v>11</v>
      </c>
      <c r="F1087" s="116">
        <v>11.01</v>
      </c>
      <c r="G1087">
        <v>2139</v>
      </c>
      <c r="H1087" s="116"/>
      <c r="I1087" s="116"/>
      <c r="L1087" s="169">
        <v>43606</v>
      </c>
      <c r="M1087" s="116">
        <v>345.2</v>
      </c>
      <c r="N1087" s="116">
        <v>355</v>
      </c>
      <c r="O1087" s="116">
        <v>341.6</v>
      </c>
      <c r="P1087" s="116">
        <v>355</v>
      </c>
      <c r="Q1087" s="116">
        <v>345.2</v>
      </c>
      <c r="R1087">
        <v>850989</v>
      </c>
    </row>
    <row r="1088" spans="1:18" x14ac:dyDescent="0.25">
      <c r="A1088" s="169">
        <v>43615</v>
      </c>
      <c r="B1088" s="116">
        <v>11.1</v>
      </c>
      <c r="C1088" s="116">
        <v>11.01</v>
      </c>
      <c r="D1088" s="116">
        <v>10.85</v>
      </c>
      <c r="E1088" s="116">
        <v>10.91</v>
      </c>
      <c r="F1088" s="116">
        <v>11.01</v>
      </c>
      <c r="G1088">
        <v>2661</v>
      </c>
      <c r="H1088" s="116"/>
      <c r="I1088" s="116"/>
      <c r="L1088" s="169">
        <v>43607</v>
      </c>
      <c r="M1088" s="116">
        <v>343.05</v>
      </c>
      <c r="N1088" s="116">
        <v>347.95</v>
      </c>
      <c r="O1088" s="116">
        <v>335.5</v>
      </c>
      <c r="P1088" s="116">
        <v>344.25</v>
      </c>
      <c r="Q1088" s="116">
        <v>343.05</v>
      </c>
      <c r="R1088">
        <v>1008127</v>
      </c>
    </row>
    <row r="1089" spans="1:18" x14ac:dyDescent="0.25">
      <c r="A1089" s="169">
        <v>43616</v>
      </c>
      <c r="B1089" s="116">
        <v>11.5</v>
      </c>
      <c r="C1089" s="116">
        <v>10.88</v>
      </c>
      <c r="D1089" s="116">
        <v>10</v>
      </c>
      <c r="E1089" s="116">
        <v>11</v>
      </c>
      <c r="F1089" s="116">
        <v>10.88</v>
      </c>
      <c r="G1089">
        <v>102918</v>
      </c>
      <c r="H1089" s="116"/>
      <c r="I1089" s="116"/>
      <c r="L1089" s="169">
        <v>43608</v>
      </c>
      <c r="M1089" s="116">
        <v>340.45</v>
      </c>
      <c r="N1089" s="116">
        <v>361</v>
      </c>
      <c r="O1089" s="116">
        <v>338.1</v>
      </c>
      <c r="P1089" s="116">
        <v>354.9</v>
      </c>
      <c r="Q1089" s="116">
        <v>340.45</v>
      </c>
      <c r="R1089">
        <v>1159909</v>
      </c>
    </row>
    <row r="1090" spans="1:18" x14ac:dyDescent="0.25">
      <c r="A1090" s="169">
        <v>43619</v>
      </c>
      <c r="B1090" s="116">
        <v>11.5</v>
      </c>
      <c r="C1090" s="116">
        <v>10.5</v>
      </c>
      <c r="D1090" s="116">
        <v>10.5</v>
      </c>
      <c r="E1090" s="116">
        <v>11.5</v>
      </c>
      <c r="F1090" s="116">
        <v>10.5</v>
      </c>
      <c r="G1090">
        <v>9798</v>
      </c>
      <c r="H1090" s="116"/>
      <c r="I1090" s="116"/>
      <c r="L1090" s="169">
        <v>43609</v>
      </c>
      <c r="M1090" s="116">
        <v>357.7</v>
      </c>
      <c r="N1090" s="116">
        <v>359.35</v>
      </c>
      <c r="O1090" s="116">
        <v>340.45</v>
      </c>
      <c r="P1090" s="116">
        <v>340.45</v>
      </c>
      <c r="Q1090" s="116">
        <v>357.7</v>
      </c>
      <c r="R1090">
        <v>1326201</v>
      </c>
    </row>
    <row r="1091" spans="1:18" x14ac:dyDescent="0.25">
      <c r="A1091" s="169">
        <v>43620</v>
      </c>
      <c r="B1091" s="116">
        <v>11</v>
      </c>
      <c r="C1091" s="116">
        <v>10.97</v>
      </c>
      <c r="D1091" s="116">
        <v>10.65</v>
      </c>
      <c r="E1091" s="116">
        <v>10.65</v>
      </c>
      <c r="F1091" s="116">
        <v>10.97</v>
      </c>
      <c r="G1091">
        <v>3265</v>
      </c>
      <c r="H1091" s="116"/>
      <c r="I1091" s="116"/>
      <c r="L1091" s="169">
        <v>43612</v>
      </c>
      <c r="M1091" s="116">
        <v>354.7</v>
      </c>
      <c r="N1091" s="116">
        <v>357.05</v>
      </c>
      <c r="O1091" s="116">
        <v>348.8</v>
      </c>
      <c r="P1091" s="116">
        <v>357</v>
      </c>
      <c r="Q1091" s="116">
        <v>354.7</v>
      </c>
      <c r="R1091">
        <v>583212</v>
      </c>
    </row>
    <row r="1092" spans="1:18" x14ac:dyDescent="0.25">
      <c r="A1092" s="169">
        <v>43622</v>
      </c>
      <c r="B1092" s="116">
        <v>11</v>
      </c>
      <c r="C1092" s="116">
        <v>10.95</v>
      </c>
      <c r="D1092" s="116">
        <v>10.45</v>
      </c>
      <c r="E1092" s="116">
        <v>10.5</v>
      </c>
      <c r="F1092" s="116">
        <v>10.95</v>
      </c>
      <c r="G1092">
        <v>7218</v>
      </c>
      <c r="H1092" s="116"/>
      <c r="I1092" s="116"/>
      <c r="L1092" s="169">
        <v>43613</v>
      </c>
      <c r="M1092" s="116">
        <v>347.7</v>
      </c>
      <c r="N1092" s="116">
        <v>354.9</v>
      </c>
      <c r="O1092" s="116">
        <v>343.05</v>
      </c>
      <c r="P1092" s="116">
        <v>354.9</v>
      </c>
      <c r="Q1092" s="116">
        <v>347.7</v>
      </c>
      <c r="R1092">
        <v>823842</v>
      </c>
    </row>
    <row r="1093" spans="1:18" x14ac:dyDescent="0.25">
      <c r="A1093" s="169">
        <v>43623</v>
      </c>
      <c r="B1093" s="116">
        <v>10.89</v>
      </c>
      <c r="C1093" s="116">
        <v>10.11</v>
      </c>
      <c r="D1093" s="116">
        <v>10.01</v>
      </c>
      <c r="E1093" s="116">
        <v>10.55</v>
      </c>
      <c r="F1093" s="116">
        <v>10.11</v>
      </c>
      <c r="G1093">
        <v>11622</v>
      </c>
      <c r="H1093" s="116"/>
      <c r="I1093" s="116"/>
      <c r="L1093" s="169">
        <v>43614</v>
      </c>
      <c r="M1093" s="116">
        <v>353.95</v>
      </c>
      <c r="N1093" s="116">
        <v>361</v>
      </c>
      <c r="O1093" s="116">
        <v>342</v>
      </c>
      <c r="P1093" s="116">
        <v>346</v>
      </c>
      <c r="Q1093" s="116">
        <v>353.95</v>
      </c>
      <c r="R1093">
        <v>1501308</v>
      </c>
    </row>
    <row r="1094" spans="1:18" x14ac:dyDescent="0.25">
      <c r="A1094" s="169">
        <v>43626</v>
      </c>
      <c r="B1094" s="116">
        <v>10.25</v>
      </c>
      <c r="C1094" s="116">
        <v>9.59</v>
      </c>
      <c r="D1094" s="116">
        <v>9.3000000000000007</v>
      </c>
      <c r="E1094" s="116">
        <v>10.01</v>
      </c>
      <c r="F1094" s="116">
        <v>9.59</v>
      </c>
      <c r="G1094">
        <v>49467</v>
      </c>
      <c r="H1094" s="116"/>
      <c r="I1094" s="116"/>
      <c r="L1094" s="169">
        <v>43615</v>
      </c>
      <c r="M1094" s="116">
        <v>356.55</v>
      </c>
      <c r="N1094" s="116">
        <v>358.9</v>
      </c>
      <c r="O1094" s="116">
        <v>353.1</v>
      </c>
      <c r="P1094" s="116">
        <v>355.3</v>
      </c>
      <c r="Q1094" s="116">
        <v>356.55</v>
      </c>
      <c r="R1094">
        <v>1149519</v>
      </c>
    </row>
    <row r="1095" spans="1:18" x14ac:dyDescent="0.25">
      <c r="A1095" s="169">
        <v>43627</v>
      </c>
      <c r="B1095" s="116">
        <v>10.5</v>
      </c>
      <c r="C1095" s="116">
        <v>9.9</v>
      </c>
      <c r="D1095" s="116">
        <v>9.06</v>
      </c>
      <c r="E1095" s="116">
        <v>10.5</v>
      </c>
      <c r="F1095" s="116">
        <v>9.9</v>
      </c>
      <c r="G1095">
        <v>159310</v>
      </c>
      <c r="H1095" s="116"/>
      <c r="I1095" s="116"/>
      <c r="L1095" s="169">
        <v>43616</v>
      </c>
      <c r="M1095" s="116">
        <v>352.35</v>
      </c>
      <c r="N1095" s="116">
        <v>370</v>
      </c>
      <c r="O1095" s="116">
        <v>348.25</v>
      </c>
      <c r="P1095" s="116">
        <v>358</v>
      </c>
      <c r="Q1095" s="116">
        <v>352.35</v>
      </c>
      <c r="R1095">
        <v>2482261</v>
      </c>
    </row>
    <row r="1096" spans="1:18" x14ac:dyDescent="0.25">
      <c r="A1096" s="169">
        <v>43628</v>
      </c>
      <c r="B1096" s="116">
        <v>10.4</v>
      </c>
      <c r="C1096" s="116">
        <v>9.75</v>
      </c>
      <c r="D1096" s="116">
        <v>9.4</v>
      </c>
      <c r="E1096" s="116">
        <v>10.4</v>
      </c>
      <c r="F1096" s="116">
        <v>9.75</v>
      </c>
      <c r="G1096">
        <v>62585</v>
      </c>
      <c r="H1096" s="116"/>
      <c r="I1096" s="116"/>
      <c r="L1096" s="169">
        <v>43619</v>
      </c>
      <c r="M1096" s="116">
        <v>361.3</v>
      </c>
      <c r="N1096" s="116">
        <v>363</v>
      </c>
      <c r="O1096" s="116">
        <v>352.3</v>
      </c>
      <c r="P1096" s="116">
        <v>354.55</v>
      </c>
      <c r="Q1096" s="116">
        <v>361.3</v>
      </c>
      <c r="R1096">
        <v>906620</v>
      </c>
    </row>
    <row r="1097" spans="1:18" x14ac:dyDescent="0.25">
      <c r="A1097" s="169">
        <v>43629</v>
      </c>
      <c r="B1097" s="116">
        <v>9.98</v>
      </c>
      <c r="C1097" s="116">
        <v>9.25</v>
      </c>
      <c r="D1097" s="116">
        <v>9.15</v>
      </c>
      <c r="E1097" s="116">
        <v>9.98</v>
      </c>
      <c r="F1097" s="116">
        <v>9.25</v>
      </c>
      <c r="G1097">
        <v>32595</v>
      </c>
      <c r="H1097" s="116"/>
      <c r="I1097" s="116"/>
      <c r="L1097" s="169">
        <v>43620</v>
      </c>
      <c r="M1097" s="116">
        <v>364.85</v>
      </c>
      <c r="N1097" s="116">
        <v>369.15</v>
      </c>
      <c r="O1097" s="116">
        <v>360</v>
      </c>
      <c r="P1097" s="116">
        <v>362</v>
      </c>
      <c r="Q1097" s="116">
        <v>364.85</v>
      </c>
      <c r="R1097">
        <v>1013913</v>
      </c>
    </row>
    <row r="1098" spans="1:18" x14ac:dyDescent="0.25">
      <c r="A1098" s="169">
        <v>43630</v>
      </c>
      <c r="B1098" s="116">
        <v>9.49</v>
      </c>
      <c r="C1098" s="116">
        <v>8.7100000000000009</v>
      </c>
      <c r="D1098" s="116">
        <v>8.1</v>
      </c>
      <c r="E1098" s="116">
        <v>9.25</v>
      </c>
      <c r="F1098" s="116">
        <v>8.7100000000000009</v>
      </c>
      <c r="G1098">
        <v>18022</v>
      </c>
      <c r="H1098" s="116"/>
      <c r="I1098" s="116"/>
      <c r="L1098" s="169">
        <v>43622</v>
      </c>
      <c r="M1098" s="116">
        <v>353.6</v>
      </c>
      <c r="N1098" s="116">
        <v>372.45</v>
      </c>
      <c r="O1098" s="116">
        <v>351.05</v>
      </c>
      <c r="P1098" s="116">
        <v>365</v>
      </c>
      <c r="Q1098" s="116">
        <v>353.6</v>
      </c>
      <c r="R1098">
        <v>1509393</v>
      </c>
    </row>
    <row r="1099" spans="1:18" x14ac:dyDescent="0.25">
      <c r="A1099" s="169">
        <v>43633</v>
      </c>
      <c r="B1099" s="116">
        <v>9</v>
      </c>
      <c r="C1099" s="116">
        <v>8.25</v>
      </c>
      <c r="D1099" s="116">
        <v>8</v>
      </c>
      <c r="E1099" s="116">
        <v>8.7100000000000009</v>
      </c>
      <c r="F1099" s="116">
        <v>8.25</v>
      </c>
      <c r="G1099">
        <v>4456</v>
      </c>
      <c r="H1099" s="116"/>
      <c r="I1099" s="116"/>
      <c r="L1099" s="169">
        <v>43623</v>
      </c>
      <c r="M1099" s="116">
        <v>354.1</v>
      </c>
      <c r="N1099" s="116">
        <v>356.9</v>
      </c>
      <c r="O1099" s="116">
        <v>343</v>
      </c>
      <c r="P1099" s="116">
        <v>354.5</v>
      </c>
      <c r="Q1099" s="116">
        <v>354.1</v>
      </c>
      <c r="R1099">
        <v>1119444</v>
      </c>
    </row>
    <row r="1100" spans="1:18" x14ac:dyDescent="0.25">
      <c r="A1100" s="169">
        <v>43634</v>
      </c>
      <c r="B1100" s="116">
        <v>8.5</v>
      </c>
      <c r="C1100" s="116">
        <v>8.2100000000000009</v>
      </c>
      <c r="D1100" s="116">
        <v>8.1999999999999993</v>
      </c>
      <c r="E1100" s="116">
        <v>8.1999999999999993</v>
      </c>
      <c r="F1100" s="116">
        <v>8.2100000000000009</v>
      </c>
      <c r="G1100">
        <v>9882</v>
      </c>
      <c r="H1100" s="116"/>
      <c r="I1100" s="116"/>
      <c r="L1100" s="169">
        <v>43626</v>
      </c>
      <c r="M1100" s="116">
        <v>349.8</v>
      </c>
      <c r="N1100" s="116">
        <v>359.05</v>
      </c>
      <c r="O1100" s="116">
        <v>347.7</v>
      </c>
      <c r="P1100" s="116">
        <v>355</v>
      </c>
      <c r="Q1100" s="116">
        <v>349.8</v>
      </c>
      <c r="R1100">
        <v>553332</v>
      </c>
    </row>
    <row r="1101" spans="1:18" x14ac:dyDescent="0.25">
      <c r="A1101" s="169">
        <v>43635</v>
      </c>
      <c r="B1101" s="116">
        <v>8.26</v>
      </c>
      <c r="C1101" s="116">
        <v>7.66</v>
      </c>
      <c r="D1101" s="116">
        <v>7.03</v>
      </c>
      <c r="E1101" s="116">
        <v>8.1999999999999993</v>
      </c>
      <c r="F1101" s="116">
        <v>7.66</v>
      </c>
      <c r="G1101">
        <v>20872</v>
      </c>
      <c r="H1101" s="116"/>
      <c r="I1101" s="116"/>
      <c r="L1101" s="169">
        <v>43627</v>
      </c>
      <c r="M1101" s="116">
        <v>346.6</v>
      </c>
      <c r="N1101" s="116">
        <v>349.7</v>
      </c>
      <c r="O1101" s="116">
        <v>336.15</v>
      </c>
      <c r="P1101" s="116">
        <v>349.2</v>
      </c>
      <c r="Q1101" s="116">
        <v>346.6</v>
      </c>
      <c r="R1101">
        <v>1073256</v>
      </c>
    </row>
    <row r="1102" spans="1:18" x14ac:dyDescent="0.25">
      <c r="A1102" s="169">
        <v>43636</v>
      </c>
      <c r="B1102" s="116">
        <v>8.7899999999999991</v>
      </c>
      <c r="C1102" s="116">
        <v>8.68</v>
      </c>
      <c r="D1102" s="116">
        <v>7.2</v>
      </c>
      <c r="E1102" s="116">
        <v>7.95</v>
      </c>
      <c r="F1102" s="116">
        <v>8.68</v>
      </c>
      <c r="G1102">
        <v>26828</v>
      </c>
      <c r="H1102" s="116"/>
      <c r="I1102" s="116"/>
      <c r="L1102" s="169">
        <v>43628</v>
      </c>
      <c r="M1102" s="116">
        <v>345.8</v>
      </c>
      <c r="N1102" s="116">
        <v>351.9</v>
      </c>
      <c r="O1102" s="116">
        <v>341.1</v>
      </c>
      <c r="P1102" s="116">
        <v>345.8</v>
      </c>
      <c r="Q1102" s="116">
        <v>345.8</v>
      </c>
      <c r="R1102">
        <v>664225</v>
      </c>
    </row>
    <row r="1103" spans="1:18" x14ac:dyDescent="0.25">
      <c r="A1103" s="169">
        <v>43637</v>
      </c>
      <c r="B1103" s="116">
        <v>8.5</v>
      </c>
      <c r="C1103" s="116">
        <v>8.3000000000000007</v>
      </c>
      <c r="D1103" s="116">
        <v>7.5</v>
      </c>
      <c r="E1103" s="116">
        <v>8.4</v>
      </c>
      <c r="F1103" s="116">
        <v>8.3000000000000007</v>
      </c>
      <c r="G1103">
        <v>198937</v>
      </c>
      <c r="H1103" s="116"/>
      <c r="I1103" s="116"/>
      <c r="L1103" s="169">
        <v>43629</v>
      </c>
      <c r="M1103" s="116">
        <v>350.8</v>
      </c>
      <c r="N1103" s="116">
        <v>353</v>
      </c>
      <c r="O1103" s="116">
        <v>339.3</v>
      </c>
      <c r="P1103" s="116">
        <v>345.8</v>
      </c>
      <c r="Q1103" s="116">
        <v>350.8</v>
      </c>
      <c r="R1103">
        <v>798856</v>
      </c>
    </row>
    <row r="1104" spans="1:18" x14ac:dyDescent="0.25">
      <c r="A1104" s="169">
        <v>43640</v>
      </c>
      <c r="B1104" s="116">
        <v>8.9</v>
      </c>
      <c r="C1104" s="116">
        <v>8.75</v>
      </c>
      <c r="D1104" s="116">
        <v>8.4499999999999993</v>
      </c>
      <c r="E1104" s="116">
        <v>8.4499999999999993</v>
      </c>
      <c r="F1104" s="116">
        <v>8.75</v>
      </c>
      <c r="G1104">
        <v>12116</v>
      </c>
      <c r="H1104" s="116"/>
      <c r="I1104" s="116"/>
      <c r="L1104" s="169">
        <v>43630</v>
      </c>
      <c r="M1104" s="116">
        <v>345.55</v>
      </c>
      <c r="N1104" s="116">
        <v>353.95</v>
      </c>
      <c r="O1104" s="116">
        <v>343.05</v>
      </c>
      <c r="P1104" s="116">
        <v>352</v>
      </c>
      <c r="Q1104" s="116">
        <v>345.55</v>
      </c>
      <c r="R1104">
        <v>570975</v>
      </c>
    </row>
    <row r="1105" spans="1:18" x14ac:dyDescent="0.25">
      <c r="A1105" s="169">
        <v>43641</v>
      </c>
      <c r="B1105" s="116">
        <v>9.35</v>
      </c>
      <c r="C1105" s="116">
        <v>8.75</v>
      </c>
      <c r="D1105" s="116">
        <v>8.6</v>
      </c>
      <c r="E1105" s="116">
        <v>8.6</v>
      </c>
      <c r="F1105" s="116">
        <v>8.75</v>
      </c>
      <c r="G1105">
        <v>5191</v>
      </c>
      <c r="H1105" s="116"/>
      <c r="I1105" s="116"/>
      <c r="L1105" s="169">
        <v>43633</v>
      </c>
      <c r="M1105" s="116">
        <v>337</v>
      </c>
      <c r="N1105" s="116">
        <v>345.05</v>
      </c>
      <c r="O1105" s="116">
        <v>335.6</v>
      </c>
      <c r="P1105" s="116">
        <v>343.5</v>
      </c>
      <c r="Q1105" s="116">
        <v>337</v>
      </c>
      <c r="R1105">
        <v>506952</v>
      </c>
    </row>
    <row r="1106" spans="1:18" x14ac:dyDescent="0.25">
      <c r="A1106" s="169">
        <v>43642</v>
      </c>
      <c r="B1106" s="116">
        <v>9.35</v>
      </c>
      <c r="C1106" s="116">
        <v>8.6199999999999992</v>
      </c>
      <c r="D1106" s="116">
        <v>8.5500000000000007</v>
      </c>
      <c r="E1106" s="116">
        <v>9.1999999999999993</v>
      </c>
      <c r="F1106" s="116">
        <v>8.6199999999999992</v>
      </c>
      <c r="G1106">
        <v>25478</v>
      </c>
      <c r="H1106" s="116"/>
      <c r="I1106" s="116"/>
      <c r="L1106" s="169">
        <v>43634</v>
      </c>
      <c r="M1106" s="116">
        <v>343.8</v>
      </c>
      <c r="N1106" s="116">
        <v>348</v>
      </c>
      <c r="O1106" s="116">
        <v>334.5</v>
      </c>
      <c r="P1106" s="116">
        <v>335</v>
      </c>
      <c r="Q1106" s="116">
        <v>343.8</v>
      </c>
      <c r="R1106">
        <v>985373</v>
      </c>
    </row>
    <row r="1107" spans="1:18" x14ac:dyDescent="0.25">
      <c r="A1107" s="169">
        <v>43643</v>
      </c>
      <c r="B1107" s="116">
        <v>9.24</v>
      </c>
      <c r="C1107" s="116">
        <v>9</v>
      </c>
      <c r="D1107" s="116">
        <v>8.25</v>
      </c>
      <c r="E1107" s="116">
        <v>8.25</v>
      </c>
      <c r="F1107" s="116">
        <v>9</v>
      </c>
      <c r="G1107">
        <v>13059</v>
      </c>
      <c r="H1107" s="116"/>
      <c r="I1107" s="116"/>
      <c r="L1107" s="169">
        <v>43635</v>
      </c>
      <c r="M1107" s="116">
        <v>347.8</v>
      </c>
      <c r="N1107" s="116">
        <v>363</v>
      </c>
      <c r="O1107" s="116">
        <v>346</v>
      </c>
      <c r="P1107" s="116">
        <v>347.3</v>
      </c>
      <c r="Q1107" s="116">
        <v>347.8</v>
      </c>
      <c r="R1107">
        <v>2450732</v>
      </c>
    </row>
    <row r="1108" spans="1:18" x14ac:dyDescent="0.25">
      <c r="A1108" s="169">
        <v>43644</v>
      </c>
      <c r="B1108" s="116">
        <v>9.3000000000000007</v>
      </c>
      <c r="C1108" s="116">
        <v>8.8699999999999992</v>
      </c>
      <c r="D1108" s="116">
        <v>8.15</v>
      </c>
      <c r="E1108" s="116">
        <v>8.76</v>
      </c>
      <c r="F1108" s="116">
        <v>8.8699999999999992</v>
      </c>
      <c r="G1108">
        <v>59912</v>
      </c>
      <c r="H1108" s="116"/>
      <c r="I1108" s="116"/>
      <c r="L1108" s="169">
        <v>43636</v>
      </c>
      <c r="M1108" s="116">
        <v>355.4</v>
      </c>
      <c r="N1108" s="116">
        <v>356.75</v>
      </c>
      <c r="O1108" s="116">
        <v>340.5</v>
      </c>
      <c r="P1108" s="116">
        <v>349.95</v>
      </c>
      <c r="Q1108" s="116">
        <v>355.4</v>
      </c>
      <c r="R1108">
        <v>867287</v>
      </c>
    </row>
    <row r="1109" spans="1:18" x14ac:dyDescent="0.25">
      <c r="A1109" s="169">
        <v>43647</v>
      </c>
      <c r="B1109" s="116">
        <v>8.75</v>
      </c>
      <c r="C1109" s="116">
        <v>8.5299999999999994</v>
      </c>
      <c r="D1109" s="116">
        <v>8</v>
      </c>
      <c r="E1109" s="116">
        <v>8.5</v>
      </c>
      <c r="F1109" s="116">
        <v>8.5299999999999994</v>
      </c>
      <c r="G1109">
        <v>95781</v>
      </c>
      <c r="H1109" s="116"/>
      <c r="I1109" s="116"/>
      <c r="L1109" s="169">
        <v>43637</v>
      </c>
      <c r="M1109" s="116">
        <v>348.85</v>
      </c>
      <c r="N1109" s="116">
        <v>356.5</v>
      </c>
      <c r="O1109" s="116">
        <v>343.6</v>
      </c>
      <c r="P1109" s="116">
        <v>353.1</v>
      </c>
      <c r="Q1109" s="116">
        <v>348.85</v>
      </c>
      <c r="R1109">
        <v>829524</v>
      </c>
    </row>
    <row r="1110" spans="1:18" x14ac:dyDescent="0.25">
      <c r="A1110" s="169">
        <v>43648</v>
      </c>
      <c r="B1110" s="116">
        <v>10.199999999999999</v>
      </c>
      <c r="C1110" s="116">
        <v>9.34</v>
      </c>
      <c r="D1110" s="116">
        <v>8.25</v>
      </c>
      <c r="E1110" s="116">
        <v>8.26</v>
      </c>
      <c r="F1110" s="116">
        <v>9.34</v>
      </c>
      <c r="G1110">
        <v>111702</v>
      </c>
      <c r="H1110" s="116"/>
      <c r="I1110" s="116"/>
      <c r="L1110" s="169">
        <v>43640</v>
      </c>
      <c r="M1110" s="116">
        <v>348.6</v>
      </c>
      <c r="N1110" s="116">
        <v>352.7</v>
      </c>
      <c r="O1110" s="116">
        <v>345.2</v>
      </c>
      <c r="P1110" s="116">
        <v>348.85</v>
      </c>
      <c r="Q1110" s="116">
        <v>348.6</v>
      </c>
      <c r="R1110">
        <v>422602</v>
      </c>
    </row>
    <row r="1111" spans="1:18" x14ac:dyDescent="0.25">
      <c r="A1111" s="169">
        <v>43649</v>
      </c>
      <c r="B1111" s="116">
        <v>10.09</v>
      </c>
      <c r="C1111" s="116">
        <v>9.49</v>
      </c>
      <c r="D1111" s="116">
        <v>9.49</v>
      </c>
      <c r="E1111" s="116">
        <v>10</v>
      </c>
      <c r="F1111" s="116">
        <v>9.49</v>
      </c>
      <c r="G1111">
        <v>17941</v>
      </c>
      <c r="H1111" s="116"/>
      <c r="I1111" s="116"/>
      <c r="L1111" s="169">
        <v>43641</v>
      </c>
      <c r="M1111" s="116">
        <v>356.05</v>
      </c>
      <c r="N1111" s="116">
        <v>359.4</v>
      </c>
      <c r="O1111" s="116">
        <v>345.5</v>
      </c>
      <c r="P1111" s="116">
        <v>345.7</v>
      </c>
      <c r="Q1111" s="116">
        <v>356.05</v>
      </c>
      <c r="R1111">
        <v>840845</v>
      </c>
    </row>
    <row r="1112" spans="1:18" x14ac:dyDescent="0.25">
      <c r="A1112" s="169">
        <v>43650</v>
      </c>
      <c r="B1112" s="116">
        <v>9.9</v>
      </c>
      <c r="C1112" s="116">
        <v>9.5</v>
      </c>
      <c r="D1112" s="116">
        <v>8.7100000000000009</v>
      </c>
      <c r="E1112" s="116">
        <v>8.7100000000000009</v>
      </c>
      <c r="F1112" s="116">
        <v>9.5</v>
      </c>
      <c r="G1112">
        <v>33568</v>
      </c>
      <c r="H1112" s="116"/>
      <c r="I1112" s="116"/>
      <c r="L1112" s="169">
        <v>43642</v>
      </c>
      <c r="M1112" s="116">
        <v>355.25</v>
      </c>
      <c r="N1112" s="116">
        <v>360.5</v>
      </c>
      <c r="O1112" s="116">
        <v>351.6</v>
      </c>
      <c r="P1112" s="116">
        <v>354.4</v>
      </c>
      <c r="Q1112" s="116">
        <v>355.25</v>
      </c>
      <c r="R1112">
        <v>776305</v>
      </c>
    </row>
    <row r="1113" spans="1:18" x14ac:dyDescent="0.25">
      <c r="A1113" s="169">
        <v>43651</v>
      </c>
      <c r="B1113" s="116">
        <v>9.5</v>
      </c>
      <c r="C1113" s="116">
        <v>9.5</v>
      </c>
      <c r="D1113" s="116">
        <v>9.25</v>
      </c>
      <c r="E1113" s="116">
        <v>9.5</v>
      </c>
      <c r="F1113" s="116">
        <v>9.5</v>
      </c>
      <c r="G1113">
        <v>41437</v>
      </c>
      <c r="H1113" s="116"/>
      <c r="I1113" s="116"/>
      <c r="L1113" s="169">
        <v>43643</v>
      </c>
      <c r="M1113" s="116">
        <v>347.45</v>
      </c>
      <c r="N1113" s="116">
        <v>366.2</v>
      </c>
      <c r="O1113" s="116">
        <v>345.15</v>
      </c>
      <c r="P1113" s="116">
        <v>355</v>
      </c>
      <c r="Q1113" s="116">
        <v>347.45</v>
      </c>
      <c r="R1113">
        <v>1938934</v>
      </c>
    </row>
    <row r="1114" spans="1:18" x14ac:dyDescent="0.25">
      <c r="A1114" s="169">
        <v>43654</v>
      </c>
      <c r="B1114" s="116">
        <v>9.4</v>
      </c>
      <c r="C1114" s="116">
        <v>9</v>
      </c>
      <c r="D1114" s="116">
        <v>8.61</v>
      </c>
      <c r="E1114" s="116">
        <v>9</v>
      </c>
      <c r="F1114" s="116">
        <v>9</v>
      </c>
      <c r="G1114">
        <v>2570</v>
      </c>
      <c r="H1114" s="116"/>
      <c r="I1114" s="116"/>
      <c r="L1114" s="169">
        <v>43644</v>
      </c>
      <c r="M1114" s="116">
        <v>356.45</v>
      </c>
      <c r="N1114" s="116">
        <v>359.95</v>
      </c>
      <c r="O1114" s="116">
        <v>342.5</v>
      </c>
      <c r="P1114" s="116">
        <v>345</v>
      </c>
      <c r="Q1114" s="116">
        <v>356.45</v>
      </c>
      <c r="R1114">
        <v>773392</v>
      </c>
    </row>
    <row r="1115" spans="1:18" x14ac:dyDescent="0.25">
      <c r="A1115" s="169">
        <v>43655</v>
      </c>
      <c r="B1115" s="116">
        <v>9.1999999999999993</v>
      </c>
      <c r="C1115" s="116">
        <v>8.9700000000000006</v>
      </c>
      <c r="D1115" s="116">
        <v>8.3000000000000007</v>
      </c>
      <c r="E1115" s="116">
        <v>8.3000000000000007</v>
      </c>
      <c r="F1115" s="116">
        <v>8.9700000000000006</v>
      </c>
      <c r="G1115">
        <v>21789</v>
      </c>
      <c r="H1115" s="116"/>
      <c r="I1115" s="116"/>
      <c r="L1115" s="169">
        <v>43647</v>
      </c>
      <c r="M1115" s="116">
        <v>355.8</v>
      </c>
      <c r="N1115" s="116">
        <v>360.4</v>
      </c>
      <c r="O1115" s="116">
        <v>354</v>
      </c>
      <c r="P1115" s="116">
        <v>358</v>
      </c>
      <c r="Q1115" s="116">
        <v>355.8</v>
      </c>
      <c r="R1115">
        <v>274101</v>
      </c>
    </row>
    <row r="1116" spans="1:18" x14ac:dyDescent="0.25">
      <c r="A1116" s="169">
        <v>43656</v>
      </c>
      <c r="B1116" s="116">
        <v>9.25</v>
      </c>
      <c r="C1116" s="116">
        <v>8.5500000000000007</v>
      </c>
      <c r="D1116" s="116">
        <v>8.23</v>
      </c>
      <c r="E1116" s="116">
        <v>8.23</v>
      </c>
      <c r="F1116" s="116">
        <v>8.5500000000000007</v>
      </c>
      <c r="G1116">
        <v>198685</v>
      </c>
      <c r="H1116" s="116"/>
      <c r="I1116" s="116"/>
      <c r="L1116" s="169">
        <v>43648</v>
      </c>
      <c r="M1116" s="116">
        <v>358.3</v>
      </c>
      <c r="N1116" s="116">
        <v>359.9</v>
      </c>
      <c r="O1116" s="116">
        <v>355</v>
      </c>
      <c r="P1116" s="116">
        <v>356</v>
      </c>
      <c r="Q1116" s="116">
        <v>358.3</v>
      </c>
      <c r="R1116">
        <v>248652</v>
      </c>
    </row>
    <row r="1117" spans="1:18" x14ac:dyDescent="0.25">
      <c r="A1117" s="169">
        <v>43657</v>
      </c>
      <c r="B1117" s="116">
        <v>8.9</v>
      </c>
      <c r="C1117" s="116">
        <v>8.56</v>
      </c>
      <c r="D1117" s="116">
        <v>8.5500000000000007</v>
      </c>
      <c r="E1117" s="116">
        <v>8.9</v>
      </c>
      <c r="F1117" s="116">
        <v>8.56</v>
      </c>
      <c r="G1117">
        <v>2721</v>
      </c>
      <c r="H1117" s="116"/>
      <c r="I1117" s="116"/>
      <c r="L1117" s="169">
        <v>43649</v>
      </c>
      <c r="M1117" s="116">
        <v>357.95</v>
      </c>
      <c r="N1117" s="116">
        <v>358.95</v>
      </c>
      <c r="O1117" s="116">
        <v>354</v>
      </c>
      <c r="P1117" s="116">
        <v>358.95</v>
      </c>
      <c r="Q1117" s="116">
        <v>357.95</v>
      </c>
      <c r="R1117">
        <v>169692</v>
      </c>
    </row>
    <row r="1118" spans="1:18" x14ac:dyDescent="0.25">
      <c r="A1118" s="169">
        <v>43658</v>
      </c>
      <c r="B1118" s="116">
        <v>9.0500000000000007</v>
      </c>
      <c r="C1118" s="116">
        <v>9.0500000000000007</v>
      </c>
      <c r="D1118" s="116">
        <v>8.56</v>
      </c>
      <c r="E1118" s="116">
        <v>8.56</v>
      </c>
      <c r="F1118" s="116">
        <v>9.0500000000000007</v>
      </c>
      <c r="G1118">
        <v>7100</v>
      </c>
      <c r="H1118" s="116"/>
      <c r="I1118" s="116"/>
      <c r="L1118" s="169">
        <v>43650</v>
      </c>
      <c r="M1118" s="116">
        <v>357.95</v>
      </c>
      <c r="N1118" s="116">
        <v>362.95</v>
      </c>
      <c r="O1118" s="116">
        <v>356</v>
      </c>
      <c r="P1118" s="116">
        <v>356.65</v>
      </c>
      <c r="Q1118" s="116">
        <v>357.95</v>
      </c>
      <c r="R1118">
        <v>225800</v>
      </c>
    </row>
    <row r="1119" spans="1:18" x14ac:dyDescent="0.25">
      <c r="A1119" s="169">
        <v>43661</v>
      </c>
      <c r="B1119" s="116">
        <v>9.7899999999999991</v>
      </c>
      <c r="C1119" s="116">
        <v>9.6199999999999992</v>
      </c>
      <c r="D1119" s="116">
        <v>8.8000000000000007</v>
      </c>
      <c r="E1119" s="116">
        <v>9.1</v>
      </c>
      <c r="F1119" s="116">
        <v>9.6199999999999992</v>
      </c>
      <c r="G1119">
        <v>13209</v>
      </c>
      <c r="H1119" s="116"/>
      <c r="I1119" s="116"/>
      <c r="L1119" s="169">
        <v>43651</v>
      </c>
      <c r="M1119" s="116">
        <v>360.45</v>
      </c>
      <c r="N1119" s="116">
        <v>378</v>
      </c>
      <c r="O1119" s="116">
        <v>356.1</v>
      </c>
      <c r="P1119" s="116">
        <v>359.95</v>
      </c>
      <c r="Q1119" s="116">
        <v>360.45</v>
      </c>
      <c r="R1119">
        <v>1483248</v>
      </c>
    </row>
    <row r="1120" spans="1:18" x14ac:dyDescent="0.25">
      <c r="A1120" s="169">
        <v>43662</v>
      </c>
      <c r="B1120" s="116">
        <v>9.3000000000000007</v>
      </c>
      <c r="C1120" s="116">
        <v>9.19</v>
      </c>
      <c r="D1120" s="116">
        <v>9.01</v>
      </c>
      <c r="E1120" s="116">
        <v>9.1999999999999993</v>
      </c>
      <c r="F1120" s="116">
        <v>9.19</v>
      </c>
      <c r="G1120">
        <v>4256</v>
      </c>
      <c r="H1120" s="116"/>
      <c r="I1120" s="116"/>
      <c r="L1120" s="169">
        <v>43654</v>
      </c>
      <c r="M1120" s="116">
        <v>362.25</v>
      </c>
      <c r="N1120" s="116">
        <v>365.95</v>
      </c>
      <c r="O1120" s="116">
        <v>358.4</v>
      </c>
      <c r="P1120" s="116">
        <v>361.75</v>
      </c>
      <c r="Q1120" s="116">
        <v>362.25</v>
      </c>
      <c r="R1120">
        <v>675374</v>
      </c>
    </row>
    <row r="1121" spans="1:18" x14ac:dyDescent="0.25">
      <c r="A1121" s="169">
        <v>43663</v>
      </c>
      <c r="B1121" s="116">
        <v>9.0299999999999994</v>
      </c>
      <c r="C1121" s="116">
        <v>9.02</v>
      </c>
      <c r="D1121" s="116">
        <v>8.9</v>
      </c>
      <c r="E1121" s="116">
        <v>8.9</v>
      </c>
      <c r="F1121" s="116">
        <v>9.02</v>
      </c>
      <c r="G1121">
        <v>2438</v>
      </c>
      <c r="H1121" s="116"/>
      <c r="I1121" s="116"/>
      <c r="L1121" s="169">
        <v>43655</v>
      </c>
      <c r="M1121" s="116">
        <v>366</v>
      </c>
      <c r="N1121" s="116">
        <v>368.25</v>
      </c>
      <c r="O1121" s="116">
        <v>357.8</v>
      </c>
      <c r="P1121" s="116">
        <v>361.3</v>
      </c>
      <c r="Q1121" s="116">
        <v>366</v>
      </c>
      <c r="R1121">
        <v>411505</v>
      </c>
    </row>
    <row r="1122" spans="1:18" x14ac:dyDescent="0.25">
      <c r="A1122" s="169">
        <v>43664</v>
      </c>
      <c r="B1122" s="116">
        <v>9.07</v>
      </c>
      <c r="C1122" s="116">
        <v>9.01</v>
      </c>
      <c r="D1122" s="116">
        <v>9</v>
      </c>
      <c r="E1122" s="116">
        <v>9.01</v>
      </c>
      <c r="F1122" s="116">
        <v>9.01</v>
      </c>
      <c r="G1122">
        <v>6978</v>
      </c>
      <c r="H1122" s="116"/>
      <c r="I1122" s="116"/>
      <c r="L1122" s="169">
        <v>43656</v>
      </c>
      <c r="M1122" s="116">
        <v>365.8</v>
      </c>
      <c r="N1122" s="116">
        <v>369.9</v>
      </c>
      <c r="O1122" s="116">
        <v>362.1</v>
      </c>
      <c r="P1122" s="116">
        <v>366.45</v>
      </c>
      <c r="Q1122" s="116">
        <v>365.8</v>
      </c>
      <c r="R1122">
        <v>361638</v>
      </c>
    </row>
    <row r="1123" spans="1:18" x14ac:dyDescent="0.25">
      <c r="A1123" s="169">
        <v>43665</v>
      </c>
      <c r="B1123" s="116">
        <v>10.25</v>
      </c>
      <c r="C1123" s="116">
        <v>9.02</v>
      </c>
      <c r="D1123" s="116">
        <v>9.01</v>
      </c>
      <c r="E1123" s="116">
        <v>10.25</v>
      </c>
      <c r="F1123" s="116">
        <v>9.02</v>
      </c>
      <c r="G1123">
        <v>1770</v>
      </c>
      <c r="H1123" s="116"/>
      <c r="I1123" s="116"/>
      <c r="L1123" s="169">
        <v>43657</v>
      </c>
      <c r="M1123" s="116">
        <v>374</v>
      </c>
      <c r="N1123" s="116">
        <v>377</v>
      </c>
      <c r="O1123" s="116">
        <v>366.15</v>
      </c>
      <c r="P1123" s="116">
        <v>369.8</v>
      </c>
      <c r="Q1123" s="116">
        <v>374</v>
      </c>
      <c r="R1123">
        <v>611809</v>
      </c>
    </row>
    <row r="1124" spans="1:18" x14ac:dyDescent="0.25">
      <c r="A1124" s="169">
        <v>43668</v>
      </c>
      <c r="B1124" s="116">
        <v>9.25</v>
      </c>
      <c r="C1124" s="116">
        <v>8.99</v>
      </c>
      <c r="D1124" s="116">
        <v>8.73</v>
      </c>
      <c r="E1124" s="116">
        <v>9.02</v>
      </c>
      <c r="F1124" s="116">
        <v>8.99</v>
      </c>
      <c r="G1124">
        <v>12882</v>
      </c>
      <c r="H1124" s="116"/>
      <c r="I1124" s="116"/>
      <c r="L1124" s="169">
        <v>43658</v>
      </c>
      <c r="M1124" s="116">
        <v>372.85</v>
      </c>
      <c r="N1124" s="116">
        <v>377</v>
      </c>
      <c r="O1124" s="116">
        <v>370</v>
      </c>
      <c r="P1124" s="116">
        <v>374</v>
      </c>
      <c r="Q1124" s="116">
        <v>372.85</v>
      </c>
      <c r="R1124">
        <v>267060</v>
      </c>
    </row>
    <row r="1125" spans="1:18" x14ac:dyDescent="0.25">
      <c r="A1125" s="169">
        <v>43669</v>
      </c>
      <c r="B1125" s="116">
        <v>8.8000000000000007</v>
      </c>
      <c r="C1125" s="116">
        <v>8.7899999999999991</v>
      </c>
      <c r="D1125" s="116">
        <v>8.6999999999999993</v>
      </c>
      <c r="E1125" s="116">
        <v>8.76</v>
      </c>
      <c r="F1125" s="116">
        <v>8.7899999999999991</v>
      </c>
      <c r="G1125">
        <v>11279</v>
      </c>
      <c r="H1125" s="116"/>
      <c r="I1125" s="116"/>
      <c r="L1125" s="169">
        <v>43661</v>
      </c>
      <c r="M1125" s="116">
        <v>370.1</v>
      </c>
      <c r="N1125" s="116">
        <v>374.95</v>
      </c>
      <c r="O1125" s="116">
        <v>368.8</v>
      </c>
      <c r="P1125" s="116">
        <v>374.95</v>
      </c>
      <c r="Q1125" s="116">
        <v>370.1</v>
      </c>
      <c r="R1125">
        <v>272914</v>
      </c>
    </row>
    <row r="1126" spans="1:18" x14ac:dyDescent="0.25">
      <c r="A1126" s="169">
        <v>43670</v>
      </c>
      <c r="B1126" s="116">
        <v>8.8000000000000007</v>
      </c>
      <c r="C1126" s="116">
        <v>8.7100000000000009</v>
      </c>
      <c r="D1126" s="116">
        <v>8.6999999999999993</v>
      </c>
      <c r="E1126" s="116">
        <v>8.7100000000000009</v>
      </c>
      <c r="F1126" s="116">
        <v>8.7100000000000009</v>
      </c>
      <c r="G1126">
        <v>11641</v>
      </c>
      <c r="H1126" s="116"/>
      <c r="I1126" s="116"/>
      <c r="L1126" s="169">
        <v>43662</v>
      </c>
      <c r="M1126" s="116">
        <v>373.25</v>
      </c>
      <c r="N1126" s="116">
        <v>374</v>
      </c>
      <c r="O1126" s="116">
        <v>370.15</v>
      </c>
      <c r="P1126" s="116">
        <v>372.6</v>
      </c>
      <c r="Q1126" s="116">
        <v>373.25</v>
      </c>
      <c r="R1126">
        <v>230769</v>
      </c>
    </row>
    <row r="1127" spans="1:18" x14ac:dyDescent="0.25">
      <c r="A1127" s="169">
        <v>43671</v>
      </c>
      <c r="B1127" s="116">
        <v>9</v>
      </c>
      <c r="C1127" s="116">
        <v>8.6999999999999993</v>
      </c>
      <c r="D1127" s="116">
        <v>8.5</v>
      </c>
      <c r="E1127" s="116">
        <v>9</v>
      </c>
      <c r="F1127" s="116">
        <v>8.6999999999999993</v>
      </c>
      <c r="G1127">
        <v>47715</v>
      </c>
      <c r="H1127" s="116"/>
      <c r="I1127" s="116"/>
      <c r="L1127" s="169">
        <v>43663</v>
      </c>
      <c r="M1127" s="116">
        <v>382.15</v>
      </c>
      <c r="N1127" s="116">
        <v>388</v>
      </c>
      <c r="O1127" s="116">
        <v>371.9</v>
      </c>
      <c r="P1127" s="116">
        <v>371.9</v>
      </c>
      <c r="Q1127" s="116">
        <v>382.15</v>
      </c>
      <c r="R1127">
        <v>955276</v>
      </c>
    </row>
    <row r="1128" spans="1:18" x14ac:dyDescent="0.25">
      <c r="A1128" s="169">
        <v>43672</v>
      </c>
      <c r="B1128" s="116">
        <v>8.7899999999999991</v>
      </c>
      <c r="C1128" s="116">
        <v>8.6999999999999993</v>
      </c>
      <c r="D1128" s="116">
        <v>8.5</v>
      </c>
      <c r="E1128" s="116">
        <v>8.6999999999999993</v>
      </c>
      <c r="F1128" s="116">
        <v>8.6999999999999993</v>
      </c>
      <c r="G1128">
        <v>38101</v>
      </c>
      <c r="H1128" s="116"/>
      <c r="I1128" s="116"/>
      <c r="L1128" s="169">
        <v>43664</v>
      </c>
      <c r="M1128" s="116">
        <v>390.25</v>
      </c>
      <c r="N1128" s="116">
        <v>392.4</v>
      </c>
      <c r="O1128" s="116">
        <v>379.1</v>
      </c>
      <c r="P1128" s="116">
        <v>383</v>
      </c>
      <c r="Q1128" s="116">
        <v>390.25</v>
      </c>
      <c r="R1128">
        <v>525388</v>
      </c>
    </row>
    <row r="1129" spans="1:18" x14ac:dyDescent="0.25">
      <c r="A1129" s="169">
        <v>43675</v>
      </c>
      <c r="B1129" s="116">
        <v>9</v>
      </c>
      <c r="C1129" s="116">
        <v>8.5</v>
      </c>
      <c r="D1129" s="116">
        <v>8.42</v>
      </c>
      <c r="E1129" s="116">
        <v>8.42</v>
      </c>
      <c r="F1129" s="116">
        <v>8.5</v>
      </c>
      <c r="G1129">
        <v>18394</v>
      </c>
      <c r="H1129" s="116"/>
      <c r="I1129" s="116"/>
      <c r="L1129" s="169">
        <v>43665</v>
      </c>
      <c r="M1129" s="116">
        <v>388.15</v>
      </c>
      <c r="N1129" s="116">
        <v>398</v>
      </c>
      <c r="O1129" s="116">
        <v>384</v>
      </c>
      <c r="P1129" s="116">
        <v>391.9</v>
      </c>
      <c r="Q1129" s="116">
        <v>388.15</v>
      </c>
      <c r="R1129">
        <v>705818</v>
      </c>
    </row>
    <row r="1130" spans="1:18" x14ac:dyDescent="0.25">
      <c r="A1130" s="169">
        <v>43676</v>
      </c>
      <c r="B1130" s="116">
        <v>9</v>
      </c>
      <c r="C1130" s="116">
        <v>8.5</v>
      </c>
      <c r="D1130" s="116">
        <v>8.31</v>
      </c>
      <c r="E1130" s="116">
        <v>9</v>
      </c>
      <c r="F1130" s="116">
        <v>8.5</v>
      </c>
      <c r="G1130">
        <v>15571</v>
      </c>
      <c r="H1130" s="116"/>
      <c r="I1130" s="116"/>
      <c r="L1130" s="169">
        <v>43668</v>
      </c>
      <c r="M1130" s="116">
        <v>375.55</v>
      </c>
      <c r="N1130" s="116">
        <v>386.2</v>
      </c>
      <c r="O1130" s="116">
        <v>372.75</v>
      </c>
      <c r="P1130" s="116">
        <v>385.7</v>
      </c>
      <c r="Q1130" s="116">
        <v>375.55</v>
      </c>
      <c r="R1130">
        <v>452725</v>
      </c>
    </row>
    <row r="1131" spans="1:18" x14ac:dyDescent="0.25">
      <c r="A1131" s="169">
        <v>43677</v>
      </c>
      <c r="B1131" s="116">
        <v>9</v>
      </c>
      <c r="C1131" s="116">
        <v>8.9499999999999993</v>
      </c>
      <c r="D1131" s="116">
        <v>8.33</v>
      </c>
      <c r="E1131" s="116">
        <v>8.33</v>
      </c>
      <c r="F1131" s="116">
        <v>8.9499999999999993</v>
      </c>
      <c r="G1131">
        <v>6628</v>
      </c>
      <c r="H1131" s="116"/>
      <c r="I1131" s="116"/>
      <c r="L1131" s="169">
        <v>43669</v>
      </c>
      <c r="M1131" s="116">
        <v>406.1</v>
      </c>
      <c r="N1131" s="116">
        <v>417.7</v>
      </c>
      <c r="O1131" s="116">
        <v>380.2</v>
      </c>
      <c r="P1131" s="116">
        <v>387.25</v>
      </c>
      <c r="Q1131" s="116">
        <v>406.1</v>
      </c>
      <c r="R1131">
        <v>1861211</v>
      </c>
    </row>
    <row r="1132" spans="1:18" x14ac:dyDescent="0.25">
      <c r="A1132" s="169">
        <v>43678</v>
      </c>
      <c r="B1132" s="116">
        <v>8.9499999999999993</v>
      </c>
      <c r="C1132" s="116">
        <v>8.9499999999999993</v>
      </c>
      <c r="D1132" s="116">
        <v>8.6300000000000008</v>
      </c>
      <c r="E1132" s="116">
        <v>8.66</v>
      </c>
      <c r="F1132" s="116">
        <v>8.9499999999999993</v>
      </c>
      <c r="G1132">
        <v>1510</v>
      </c>
      <c r="H1132" s="116"/>
      <c r="I1132" s="116"/>
      <c r="L1132" s="169">
        <v>43670</v>
      </c>
      <c r="M1132" s="116">
        <v>389</v>
      </c>
      <c r="N1132" s="116">
        <v>409.8</v>
      </c>
      <c r="O1132" s="116">
        <v>384.1</v>
      </c>
      <c r="P1132" s="116">
        <v>409</v>
      </c>
      <c r="Q1132" s="116">
        <v>389</v>
      </c>
      <c r="R1132">
        <v>839335</v>
      </c>
    </row>
    <row r="1133" spans="1:18" x14ac:dyDescent="0.25">
      <c r="A1133" s="169">
        <v>43679</v>
      </c>
      <c r="B1133" s="116">
        <v>8.99</v>
      </c>
      <c r="C1133" s="116">
        <v>8.51</v>
      </c>
      <c r="D1133" s="116">
        <v>8.5</v>
      </c>
      <c r="E1133" s="116">
        <v>8.56</v>
      </c>
      <c r="F1133" s="116">
        <v>8.51</v>
      </c>
      <c r="G1133">
        <v>26900</v>
      </c>
      <c r="H1133" s="116"/>
      <c r="I1133" s="116"/>
      <c r="L1133" s="169">
        <v>43671</v>
      </c>
      <c r="M1133" s="116">
        <v>384.05</v>
      </c>
      <c r="N1133" s="116">
        <v>395.9</v>
      </c>
      <c r="O1133" s="116">
        <v>382.5</v>
      </c>
      <c r="P1133" s="116">
        <v>391.4</v>
      </c>
      <c r="Q1133" s="116">
        <v>384.05</v>
      </c>
      <c r="R1133">
        <v>452668</v>
      </c>
    </row>
    <row r="1134" spans="1:18" x14ac:dyDescent="0.25">
      <c r="A1134" s="169">
        <v>43682</v>
      </c>
      <c r="B1134" s="116">
        <v>8.9499999999999993</v>
      </c>
      <c r="C1134" s="116">
        <v>8.5</v>
      </c>
      <c r="D1134" s="116">
        <v>8.3000000000000007</v>
      </c>
      <c r="E1134" s="116">
        <v>8.9499999999999993</v>
      </c>
      <c r="F1134" s="116">
        <v>8.5</v>
      </c>
      <c r="G1134">
        <v>16219</v>
      </c>
      <c r="H1134" s="116"/>
      <c r="I1134" s="116"/>
      <c r="L1134" s="169">
        <v>43672</v>
      </c>
      <c r="M1134" s="116">
        <v>386.7</v>
      </c>
      <c r="N1134" s="116">
        <v>395</v>
      </c>
      <c r="O1134" s="116">
        <v>384.55</v>
      </c>
      <c r="P1134" s="116">
        <v>385.7</v>
      </c>
      <c r="Q1134" s="116">
        <v>386.7</v>
      </c>
      <c r="R1134">
        <v>302893</v>
      </c>
    </row>
    <row r="1135" spans="1:18" x14ac:dyDescent="0.25">
      <c r="A1135" s="169">
        <v>43683</v>
      </c>
      <c r="B1135" s="116">
        <v>8.75</v>
      </c>
      <c r="C1135" s="116">
        <v>8.75</v>
      </c>
      <c r="D1135" s="116">
        <v>8.32</v>
      </c>
      <c r="E1135" s="116">
        <v>8.32</v>
      </c>
      <c r="F1135" s="116">
        <v>8.75</v>
      </c>
      <c r="G1135">
        <v>22973</v>
      </c>
      <c r="H1135" s="116"/>
      <c r="I1135" s="116"/>
      <c r="L1135" s="169">
        <v>43675</v>
      </c>
      <c r="M1135" s="116">
        <v>390.15</v>
      </c>
      <c r="N1135" s="116">
        <v>395</v>
      </c>
      <c r="O1135" s="116">
        <v>385.65</v>
      </c>
      <c r="P1135" s="116">
        <v>388</v>
      </c>
      <c r="Q1135" s="116">
        <v>390.15</v>
      </c>
      <c r="R1135">
        <v>428950</v>
      </c>
    </row>
    <row r="1136" spans="1:18" x14ac:dyDescent="0.25">
      <c r="A1136" s="169">
        <v>43684</v>
      </c>
      <c r="B1136" s="116">
        <v>8.75</v>
      </c>
      <c r="C1136" s="116">
        <v>8.66</v>
      </c>
      <c r="D1136" s="116">
        <v>8.42</v>
      </c>
      <c r="E1136" s="116">
        <v>8.5</v>
      </c>
      <c r="F1136" s="116">
        <v>8.66</v>
      </c>
      <c r="G1136">
        <v>17830</v>
      </c>
      <c r="H1136" s="116"/>
      <c r="I1136" s="116"/>
      <c r="L1136" s="169">
        <v>43676</v>
      </c>
      <c r="M1136" s="116">
        <v>388.85</v>
      </c>
      <c r="N1136" s="116">
        <v>394.8</v>
      </c>
      <c r="O1136" s="116">
        <v>386.5</v>
      </c>
      <c r="P1136" s="116">
        <v>389.05</v>
      </c>
      <c r="Q1136" s="116">
        <v>388.85</v>
      </c>
      <c r="R1136">
        <v>371700</v>
      </c>
    </row>
    <row r="1137" spans="1:18" x14ac:dyDescent="0.25">
      <c r="A1137" s="169">
        <v>43685</v>
      </c>
      <c r="B1137" s="116">
        <v>8.64</v>
      </c>
      <c r="C1137" s="116">
        <v>8.6</v>
      </c>
      <c r="D1137" s="116">
        <v>8.56</v>
      </c>
      <c r="E1137" s="116">
        <v>8.64</v>
      </c>
      <c r="F1137" s="116">
        <v>8.6</v>
      </c>
      <c r="G1137">
        <v>25905</v>
      </c>
      <c r="H1137" s="116"/>
      <c r="I1137" s="116"/>
      <c r="L1137" s="169">
        <v>43677</v>
      </c>
      <c r="M1137" s="116">
        <v>387.85</v>
      </c>
      <c r="N1137" s="116">
        <v>391.9</v>
      </c>
      <c r="O1137" s="116">
        <v>378.7</v>
      </c>
      <c r="P1137" s="116">
        <v>386.2</v>
      </c>
      <c r="Q1137" s="116">
        <v>387.85</v>
      </c>
      <c r="R1137">
        <v>311327</v>
      </c>
    </row>
    <row r="1138" spans="1:18" x14ac:dyDescent="0.25">
      <c r="A1138" s="169">
        <v>43686</v>
      </c>
      <c r="B1138" s="116">
        <v>10.3</v>
      </c>
      <c r="C1138" s="116">
        <v>9.84</v>
      </c>
      <c r="D1138" s="116">
        <v>8.6</v>
      </c>
      <c r="E1138" s="116">
        <v>8.61</v>
      </c>
      <c r="F1138" s="116">
        <v>9.84</v>
      </c>
      <c r="G1138">
        <v>322413</v>
      </c>
      <c r="H1138" s="116"/>
      <c r="I1138" s="116"/>
      <c r="L1138" s="169">
        <v>43678</v>
      </c>
      <c r="M1138" s="116">
        <v>374.3</v>
      </c>
      <c r="N1138" s="116">
        <v>388.9</v>
      </c>
      <c r="O1138" s="116">
        <v>371.25</v>
      </c>
      <c r="P1138" s="116">
        <v>385</v>
      </c>
      <c r="Q1138" s="116">
        <v>374.3</v>
      </c>
      <c r="R1138">
        <v>319711</v>
      </c>
    </row>
    <row r="1139" spans="1:18" x14ac:dyDescent="0.25">
      <c r="A1139" s="169">
        <v>43690</v>
      </c>
      <c r="B1139" s="116">
        <v>9.84</v>
      </c>
      <c r="C1139" s="116">
        <v>9.32</v>
      </c>
      <c r="D1139" s="116">
        <v>9.25</v>
      </c>
      <c r="E1139" s="116">
        <v>9.25</v>
      </c>
      <c r="F1139" s="116">
        <v>9.32</v>
      </c>
      <c r="G1139">
        <v>10127</v>
      </c>
      <c r="H1139" s="116"/>
      <c r="I1139" s="116"/>
      <c r="L1139" s="169">
        <v>43679</v>
      </c>
      <c r="M1139" s="116">
        <v>379.15</v>
      </c>
      <c r="N1139" s="116">
        <v>382.8</v>
      </c>
      <c r="O1139" s="116">
        <v>368.5</v>
      </c>
      <c r="P1139" s="116">
        <v>369.1</v>
      </c>
      <c r="Q1139" s="116">
        <v>379.15</v>
      </c>
      <c r="R1139">
        <v>266991</v>
      </c>
    </row>
    <row r="1140" spans="1:18" x14ac:dyDescent="0.25">
      <c r="A1140" s="169">
        <v>43691</v>
      </c>
      <c r="B1140" s="116">
        <v>9.5</v>
      </c>
      <c r="C1140" s="116">
        <v>9.02</v>
      </c>
      <c r="D1140" s="116">
        <v>9</v>
      </c>
      <c r="E1140" s="116">
        <v>9.25</v>
      </c>
      <c r="F1140" s="116">
        <v>9.02</v>
      </c>
      <c r="G1140">
        <v>22086</v>
      </c>
      <c r="H1140" s="116"/>
      <c r="I1140" s="116"/>
      <c r="L1140" s="169">
        <v>43682</v>
      </c>
      <c r="M1140" s="116">
        <v>373.9</v>
      </c>
      <c r="N1140" s="116">
        <v>376.95</v>
      </c>
      <c r="O1140" s="116">
        <v>365.5</v>
      </c>
      <c r="P1140" s="116">
        <v>375.75</v>
      </c>
      <c r="Q1140" s="116">
        <v>373.9</v>
      </c>
      <c r="R1140">
        <v>219310</v>
      </c>
    </row>
    <row r="1141" spans="1:18" x14ac:dyDescent="0.25">
      <c r="A1141" s="169">
        <v>43693</v>
      </c>
      <c r="B1141" s="116">
        <v>9.5</v>
      </c>
      <c r="C1141" s="116">
        <v>9.31</v>
      </c>
      <c r="D1141" s="116">
        <v>9.3000000000000007</v>
      </c>
      <c r="E1141" s="116">
        <v>9.4499999999999993</v>
      </c>
      <c r="F1141" s="116">
        <v>9.31</v>
      </c>
      <c r="G1141">
        <v>11550</v>
      </c>
      <c r="H1141" s="116"/>
      <c r="I1141" s="116"/>
      <c r="L1141" s="169">
        <v>43683</v>
      </c>
      <c r="M1141" s="116">
        <v>385.95</v>
      </c>
      <c r="N1141" s="116">
        <v>389.2</v>
      </c>
      <c r="O1141" s="116">
        <v>369</v>
      </c>
      <c r="P1141" s="116">
        <v>369</v>
      </c>
      <c r="Q1141" s="116">
        <v>385.95</v>
      </c>
      <c r="R1141">
        <v>249258</v>
      </c>
    </row>
    <row r="1142" spans="1:18" x14ac:dyDescent="0.25">
      <c r="A1142" s="169">
        <v>43696</v>
      </c>
      <c r="B1142" s="116">
        <v>9.89</v>
      </c>
      <c r="C1142" s="116">
        <v>9.61</v>
      </c>
      <c r="D1142" s="116">
        <v>9.18</v>
      </c>
      <c r="E1142" s="116">
        <v>9.18</v>
      </c>
      <c r="F1142" s="116">
        <v>9.61</v>
      </c>
      <c r="G1142">
        <v>30952</v>
      </c>
      <c r="H1142" s="116"/>
      <c r="I1142" s="116"/>
      <c r="L1142" s="169">
        <v>43684</v>
      </c>
      <c r="M1142" s="116">
        <v>386.2</v>
      </c>
      <c r="N1142" s="116">
        <v>393.7</v>
      </c>
      <c r="O1142" s="116">
        <v>383.5</v>
      </c>
      <c r="P1142" s="116">
        <v>384.9</v>
      </c>
      <c r="Q1142" s="116">
        <v>386.2</v>
      </c>
      <c r="R1142">
        <v>261500</v>
      </c>
    </row>
    <row r="1143" spans="1:18" x14ac:dyDescent="0.25">
      <c r="A1143" s="169">
        <v>43697</v>
      </c>
      <c r="B1143" s="116">
        <v>9.7899999999999991</v>
      </c>
      <c r="C1143" s="116">
        <v>9.35</v>
      </c>
      <c r="D1143" s="116">
        <v>9.2100000000000009</v>
      </c>
      <c r="E1143" s="116">
        <v>9.5</v>
      </c>
      <c r="F1143" s="116">
        <v>9.35</v>
      </c>
      <c r="G1143">
        <v>12078</v>
      </c>
      <c r="H1143" s="116"/>
      <c r="I1143" s="116"/>
      <c r="L1143" s="169">
        <v>43685</v>
      </c>
      <c r="M1143" s="116">
        <v>382.6</v>
      </c>
      <c r="N1143" s="116">
        <v>391.8</v>
      </c>
      <c r="O1143" s="116">
        <v>380.85</v>
      </c>
      <c r="P1143" s="116">
        <v>386.2</v>
      </c>
      <c r="Q1143" s="116">
        <v>382.6</v>
      </c>
      <c r="R1143">
        <v>127109</v>
      </c>
    </row>
    <row r="1144" spans="1:18" x14ac:dyDescent="0.25">
      <c r="A1144" s="169">
        <v>43698</v>
      </c>
      <c r="B1144" s="116">
        <v>9.44</v>
      </c>
      <c r="C1144" s="116">
        <v>9.1</v>
      </c>
      <c r="D1144" s="116">
        <v>9.06</v>
      </c>
      <c r="E1144" s="116">
        <v>9.44</v>
      </c>
      <c r="F1144" s="116">
        <v>9.1</v>
      </c>
      <c r="G1144">
        <v>10510</v>
      </c>
      <c r="H1144" s="116"/>
      <c r="I1144" s="116"/>
      <c r="L1144" s="169">
        <v>43686</v>
      </c>
      <c r="M1144" s="116">
        <v>386.55</v>
      </c>
      <c r="N1144" s="116">
        <v>392.9</v>
      </c>
      <c r="O1144" s="116">
        <v>384</v>
      </c>
      <c r="P1144" s="116">
        <v>388.2</v>
      </c>
      <c r="Q1144" s="116">
        <v>386.55</v>
      </c>
      <c r="R1144">
        <v>238847</v>
      </c>
    </row>
    <row r="1145" spans="1:18" x14ac:dyDescent="0.25">
      <c r="A1145" s="169">
        <v>43699</v>
      </c>
      <c r="B1145" s="116">
        <v>9.15</v>
      </c>
      <c r="C1145" s="116">
        <v>8.91</v>
      </c>
      <c r="D1145" s="116">
        <v>8.91</v>
      </c>
      <c r="E1145" s="116">
        <v>9.0299999999999994</v>
      </c>
      <c r="F1145" s="116">
        <v>8.91</v>
      </c>
      <c r="G1145">
        <v>10355</v>
      </c>
      <c r="H1145" s="116"/>
      <c r="I1145" s="116"/>
      <c r="L1145" s="169">
        <v>43690</v>
      </c>
      <c r="M1145" s="116">
        <v>371.8</v>
      </c>
      <c r="N1145" s="116">
        <v>390.8</v>
      </c>
      <c r="O1145" s="116">
        <v>367.55</v>
      </c>
      <c r="P1145" s="116">
        <v>387</v>
      </c>
      <c r="Q1145" s="116">
        <v>371.8</v>
      </c>
      <c r="R1145">
        <v>197577</v>
      </c>
    </row>
    <row r="1146" spans="1:18" x14ac:dyDescent="0.25">
      <c r="A1146" s="169">
        <v>43700</v>
      </c>
      <c r="B1146" s="116">
        <v>9.75</v>
      </c>
      <c r="C1146" s="116">
        <v>9.35</v>
      </c>
      <c r="D1146" s="116">
        <v>8.7200000000000006</v>
      </c>
      <c r="E1146" s="116">
        <v>8.84</v>
      </c>
      <c r="F1146" s="116">
        <v>9.35</v>
      </c>
      <c r="G1146">
        <v>22180</v>
      </c>
      <c r="H1146" s="116"/>
      <c r="I1146" s="116"/>
      <c r="L1146" s="169">
        <v>43691</v>
      </c>
      <c r="M1146" s="116">
        <v>372.35</v>
      </c>
      <c r="N1146" s="116">
        <v>383.95</v>
      </c>
      <c r="O1146" s="116">
        <v>370.1</v>
      </c>
      <c r="P1146" s="116">
        <v>376.3</v>
      </c>
      <c r="Q1146" s="116">
        <v>372.35</v>
      </c>
      <c r="R1146">
        <v>139069</v>
      </c>
    </row>
    <row r="1147" spans="1:18" x14ac:dyDescent="0.25">
      <c r="A1147" s="169">
        <v>43703</v>
      </c>
      <c r="B1147" s="116">
        <v>9.4499999999999993</v>
      </c>
      <c r="C1147" s="116">
        <v>9.06</v>
      </c>
      <c r="D1147" s="116">
        <v>9</v>
      </c>
      <c r="E1147" s="116">
        <v>9.4499999999999993</v>
      </c>
      <c r="F1147" s="116">
        <v>9.06</v>
      </c>
      <c r="G1147">
        <v>35971</v>
      </c>
      <c r="H1147" s="116"/>
      <c r="I1147" s="116"/>
      <c r="L1147" s="169">
        <v>43693</v>
      </c>
      <c r="M1147" s="116">
        <v>375.4</v>
      </c>
      <c r="N1147" s="116">
        <v>379.1</v>
      </c>
      <c r="O1147" s="116">
        <v>372.1</v>
      </c>
      <c r="P1147" s="116">
        <v>376</v>
      </c>
      <c r="Q1147" s="116">
        <v>375.4</v>
      </c>
      <c r="R1147">
        <v>140329</v>
      </c>
    </row>
    <row r="1148" spans="1:18" x14ac:dyDescent="0.25">
      <c r="A1148" s="169">
        <v>43704</v>
      </c>
      <c r="B1148" s="116">
        <v>9.1999999999999993</v>
      </c>
      <c r="C1148" s="116">
        <v>9.0299999999999994</v>
      </c>
      <c r="D1148" s="116">
        <v>8.9600000000000009</v>
      </c>
      <c r="E1148" s="116">
        <v>9.07</v>
      </c>
      <c r="F1148" s="116">
        <v>9.0299999999999994</v>
      </c>
      <c r="G1148">
        <v>12957</v>
      </c>
      <c r="H1148" s="116"/>
      <c r="I1148" s="116"/>
      <c r="L1148" s="169">
        <v>43696</v>
      </c>
      <c r="M1148" s="116">
        <v>381.9</v>
      </c>
      <c r="N1148" s="116">
        <v>382.9</v>
      </c>
      <c r="O1148" s="116">
        <v>374.7</v>
      </c>
      <c r="P1148" s="116">
        <v>375</v>
      </c>
      <c r="Q1148" s="116">
        <v>381.9</v>
      </c>
      <c r="R1148">
        <v>123504</v>
      </c>
    </row>
    <row r="1149" spans="1:18" x14ac:dyDescent="0.25">
      <c r="A1149" s="169">
        <v>43705</v>
      </c>
      <c r="B1149" s="116">
        <v>9.44</v>
      </c>
      <c r="C1149" s="116">
        <v>9.14</v>
      </c>
      <c r="D1149" s="116">
        <v>8.81</v>
      </c>
      <c r="E1149" s="116">
        <v>9</v>
      </c>
      <c r="F1149" s="116">
        <v>9.14</v>
      </c>
      <c r="G1149">
        <v>14425</v>
      </c>
      <c r="H1149" s="116"/>
      <c r="I1149" s="116"/>
      <c r="L1149" s="169">
        <v>43697</v>
      </c>
      <c r="M1149" s="116">
        <v>377.25</v>
      </c>
      <c r="N1149" s="116">
        <v>385.95</v>
      </c>
      <c r="O1149" s="116">
        <v>372.5</v>
      </c>
      <c r="P1149" s="116">
        <v>378.15</v>
      </c>
      <c r="Q1149" s="116">
        <v>377.25</v>
      </c>
      <c r="R1149">
        <v>170461</v>
      </c>
    </row>
    <row r="1150" spans="1:18" x14ac:dyDescent="0.25">
      <c r="A1150" s="169">
        <v>43706</v>
      </c>
      <c r="B1150" s="116">
        <v>9.44</v>
      </c>
      <c r="C1150" s="116">
        <v>9</v>
      </c>
      <c r="D1150" s="116">
        <v>9</v>
      </c>
      <c r="E1150" s="116">
        <v>9.01</v>
      </c>
      <c r="F1150" s="116">
        <v>9</v>
      </c>
      <c r="G1150">
        <v>21347</v>
      </c>
      <c r="H1150" s="116"/>
      <c r="I1150" s="116"/>
      <c r="L1150" s="169">
        <v>43698</v>
      </c>
      <c r="M1150" s="116">
        <v>379.1</v>
      </c>
      <c r="N1150" s="116">
        <v>380</v>
      </c>
      <c r="O1150" s="116">
        <v>375.05</v>
      </c>
      <c r="P1150" s="116">
        <v>375.05</v>
      </c>
      <c r="Q1150" s="116">
        <v>379.1</v>
      </c>
      <c r="R1150">
        <v>122585</v>
      </c>
    </row>
    <row r="1151" spans="1:18" x14ac:dyDescent="0.25">
      <c r="A1151" s="169">
        <v>43707</v>
      </c>
      <c r="B1151" s="116">
        <v>9.24</v>
      </c>
      <c r="C1151" s="116">
        <v>9.01</v>
      </c>
      <c r="D1151" s="116">
        <v>9</v>
      </c>
      <c r="E1151" s="116">
        <v>9.24</v>
      </c>
      <c r="F1151" s="116">
        <v>9.01</v>
      </c>
      <c r="G1151">
        <v>21205</v>
      </c>
      <c r="H1151" s="116"/>
      <c r="I1151" s="116"/>
      <c r="L1151" s="169">
        <v>43699</v>
      </c>
      <c r="M1151" s="116">
        <v>368.65</v>
      </c>
      <c r="N1151" s="116">
        <v>381.55</v>
      </c>
      <c r="O1151" s="116">
        <v>356.4</v>
      </c>
      <c r="P1151" s="116">
        <v>377.5</v>
      </c>
      <c r="Q1151" s="116">
        <v>368.65</v>
      </c>
      <c r="R1151">
        <v>167603</v>
      </c>
    </row>
    <row r="1152" spans="1:18" x14ac:dyDescent="0.25">
      <c r="A1152" s="169">
        <v>43711</v>
      </c>
      <c r="B1152" s="116">
        <v>9.01</v>
      </c>
      <c r="C1152" s="116">
        <v>8.7799999999999994</v>
      </c>
      <c r="D1152" s="116">
        <v>8.76</v>
      </c>
      <c r="E1152" s="116">
        <v>9.01</v>
      </c>
      <c r="F1152" s="116">
        <v>8.7799999999999994</v>
      </c>
      <c r="G1152">
        <v>18717</v>
      </c>
      <c r="H1152" s="116"/>
      <c r="I1152" s="116"/>
      <c r="L1152" s="169">
        <v>43700</v>
      </c>
      <c r="M1152" s="116">
        <v>370.75</v>
      </c>
      <c r="N1152" s="116">
        <v>378</v>
      </c>
      <c r="O1152" s="116">
        <v>360.05</v>
      </c>
      <c r="P1152" s="116">
        <v>368.75</v>
      </c>
      <c r="Q1152" s="116">
        <v>370.75</v>
      </c>
      <c r="R1152">
        <v>540390</v>
      </c>
    </row>
    <row r="1153" spans="1:18" x14ac:dyDescent="0.25">
      <c r="A1153" s="169">
        <v>43712</v>
      </c>
      <c r="B1153" s="116">
        <v>9.1999999999999993</v>
      </c>
      <c r="C1153" s="116">
        <v>9.1999999999999993</v>
      </c>
      <c r="D1153" s="116">
        <v>8.77</v>
      </c>
      <c r="E1153" s="116">
        <v>8.77</v>
      </c>
      <c r="F1153" s="116">
        <v>9.1999999999999993</v>
      </c>
      <c r="G1153">
        <v>12053</v>
      </c>
      <c r="H1153" s="116"/>
      <c r="I1153" s="116"/>
      <c r="L1153" s="169">
        <v>43703</v>
      </c>
      <c r="M1153" s="116">
        <v>378.05</v>
      </c>
      <c r="N1153" s="116">
        <v>387.8</v>
      </c>
      <c r="O1153" s="116">
        <v>373.65</v>
      </c>
      <c r="P1153" s="116">
        <v>385</v>
      </c>
      <c r="Q1153" s="116">
        <v>378.05</v>
      </c>
      <c r="R1153">
        <v>175154</v>
      </c>
    </row>
    <row r="1154" spans="1:18" x14ac:dyDescent="0.25">
      <c r="A1154" s="169">
        <v>43713</v>
      </c>
      <c r="B1154" s="116">
        <v>9.8800000000000008</v>
      </c>
      <c r="C1154" s="116">
        <v>9.81</v>
      </c>
      <c r="D1154" s="116">
        <v>8.6999999999999993</v>
      </c>
      <c r="E1154" s="116">
        <v>9</v>
      </c>
      <c r="F1154" s="116">
        <v>9.81</v>
      </c>
      <c r="G1154">
        <v>43658</v>
      </c>
      <c r="H1154" s="116"/>
      <c r="I1154" s="116"/>
      <c r="L1154" s="169">
        <v>43704</v>
      </c>
      <c r="M1154" s="116">
        <v>397.35</v>
      </c>
      <c r="N1154" s="116">
        <v>404.9</v>
      </c>
      <c r="O1154" s="116">
        <v>381</v>
      </c>
      <c r="P1154" s="116">
        <v>381.8</v>
      </c>
      <c r="Q1154" s="116">
        <v>397.35</v>
      </c>
      <c r="R1154">
        <v>369195</v>
      </c>
    </row>
    <row r="1155" spans="1:18" x14ac:dyDescent="0.25">
      <c r="A1155" s="169">
        <v>43714</v>
      </c>
      <c r="B1155" s="116">
        <v>9.8000000000000007</v>
      </c>
      <c r="C1155" s="116">
        <v>9.41</v>
      </c>
      <c r="D1155" s="116">
        <v>9.35</v>
      </c>
      <c r="E1155" s="116">
        <v>9.5</v>
      </c>
      <c r="F1155" s="116">
        <v>9.41</v>
      </c>
      <c r="G1155">
        <v>7574</v>
      </c>
      <c r="H1155" s="116"/>
      <c r="I1155" s="116"/>
      <c r="L1155" s="169">
        <v>43705</v>
      </c>
      <c r="M1155" s="116">
        <v>402.05</v>
      </c>
      <c r="N1155" s="116">
        <v>409</v>
      </c>
      <c r="O1155" s="116">
        <v>392</v>
      </c>
      <c r="P1155" s="116">
        <v>397</v>
      </c>
      <c r="Q1155" s="116">
        <v>402.05</v>
      </c>
      <c r="R1155">
        <v>256427</v>
      </c>
    </row>
    <row r="1156" spans="1:18" x14ac:dyDescent="0.25">
      <c r="A1156" s="169">
        <v>43717</v>
      </c>
      <c r="B1156" s="116">
        <v>9.7899999999999991</v>
      </c>
      <c r="C1156" s="116">
        <v>9.1199999999999992</v>
      </c>
      <c r="D1156" s="116">
        <v>9.06</v>
      </c>
      <c r="E1156" s="116">
        <v>9.7899999999999991</v>
      </c>
      <c r="F1156" s="116">
        <v>9.1199999999999992</v>
      </c>
      <c r="G1156">
        <v>5229</v>
      </c>
      <c r="H1156" s="116"/>
      <c r="I1156" s="116"/>
      <c r="L1156" s="169">
        <v>43706</v>
      </c>
      <c r="M1156" s="116">
        <v>398.85</v>
      </c>
      <c r="N1156" s="116">
        <v>417</v>
      </c>
      <c r="O1156" s="116">
        <v>394.75</v>
      </c>
      <c r="P1156" s="116">
        <v>402</v>
      </c>
      <c r="Q1156" s="116">
        <v>398.85</v>
      </c>
      <c r="R1156">
        <v>767879</v>
      </c>
    </row>
    <row r="1157" spans="1:18" x14ac:dyDescent="0.25">
      <c r="A1157" s="169">
        <v>43719</v>
      </c>
      <c r="B1157" s="116">
        <v>10.93</v>
      </c>
      <c r="C1157" s="116">
        <v>10.9</v>
      </c>
      <c r="D1157" s="116">
        <v>9.1199999999999992</v>
      </c>
      <c r="E1157" s="116">
        <v>9.1199999999999992</v>
      </c>
      <c r="F1157" s="116">
        <v>10.9</v>
      </c>
      <c r="G1157">
        <v>51866</v>
      </c>
      <c r="H1157" s="116"/>
      <c r="I1157" s="116"/>
      <c r="L1157" s="169">
        <v>43707</v>
      </c>
      <c r="M1157" s="116">
        <v>412.95</v>
      </c>
      <c r="N1157" s="116">
        <v>415</v>
      </c>
      <c r="O1157" s="116">
        <v>395</v>
      </c>
      <c r="P1157" s="116">
        <v>398.85</v>
      </c>
      <c r="Q1157" s="116">
        <v>412.95</v>
      </c>
      <c r="R1157">
        <v>441523</v>
      </c>
    </row>
    <row r="1158" spans="1:18" x14ac:dyDescent="0.25">
      <c r="A1158" s="169">
        <v>43720</v>
      </c>
      <c r="B1158" s="116">
        <v>11.99</v>
      </c>
      <c r="C1158" s="116">
        <v>11.46</v>
      </c>
      <c r="D1158" s="116">
        <v>10.9</v>
      </c>
      <c r="E1158" s="116">
        <v>10.9</v>
      </c>
      <c r="F1158" s="116">
        <v>11.46</v>
      </c>
      <c r="G1158">
        <v>30687</v>
      </c>
      <c r="H1158" s="116"/>
      <c r="I1158" s="116"/>
      <c r="L1158" s="169">
        <v>43711</v>
      </c>
      <c r="M1158" s="116">
        <v>404.1</v>
      </c>
      <c r="N1158" s="116">
        <v>410</v>
      </c>
      <c r="O1158" s="116">
        <v>401.9</v>
      </c>
      <c r="P1158" s="116">
        <v>410</v>
      </c>
      <c r="Q1158" s="116">
        <v>404.1</v>
      </c>
      <c r="R1158">
        <v>181557</v>
      </c>
    </row>
    <row r="1159" spans="1:18" x14ac:dyDescent="0.25">
      <c r="A1159" s="169">
        <v>43721</v>
      </c>
      <c r="B1159" s="116">
        <v>11.7</v>
      </c>
      <c r="C1159" s="116">
        <v>11.44</v>
      </c>
      <c r="D1159" s="116">
        <v>10.75</v>
      </c>
      <c r="E1159" s="116">
        <v>11.46</v>
      </c>
      <c r="F1159" s="116">
        <v>11.44</v>
      </c>
      <c r="G1159">
        <v>6088</v>
      </c>
      <c r="H1159" s="116"/>
      <c r="I1159" s="116"/>
      <c r="L1159" s="169">
        <v>43712</v>
      </c>
      <c r="M1159" s="116">
        <v>401.6</v>
      </c>
      <c r="N1159" s="116">
        <v>410.9</v>
      </c>
      <c r="O1159" s="116">
        <v>400</v>
      </c>
      <c r="P1159" s="116">
        <v>409</v>
      </c>
      <c r="Q1159" s="116">
        <v>401.6</v>
      </c>
      <c r="R1159">
        <v>247647</v>
      </c>
    </row>
    <row r="1160" spans="1:18" x14ac:dyDescent="0.25">
      <c r="A1160" s="169">
        <v>43724</v>
      </c>
      <c r="B1160" s="116">
        <v>12.25</v>
      </c>
      <c r="C1160" s="116">
        <v>11.8</v>
      </c>
      <c r="D1160" s="116">
        <v>11.01</v>
      </c>
      <c r="E1160" s="116">
        <v>11.45</v>
      </c>
      <c r="F1160" s="116">
        <v>11.8</v>
      </c>
      <c r="G1160">
        <v>14643</v>
      </c>
      <c r="H1160" s="116"/>
      <c r="I1160" s="116"/>
      <c r="L1160" s="169">
        <v>43713</v>
      </c>
      <c r="M1160" s="116">
        <v>394.15</v>
      </c>
      <c r="N1160" s="116">
        <v>404.8</v>
      </c>
      <c r="O1160" s="116">
        <v>386.9</v>
      </c>
      <c r="P1160" s="116">
        <v>392.5</v>
      </c>
      <c r="Q1160" s="116">
        <v>394.15</v>
      </c>
      <c r="R1160">
        <v>223517</v>
      </c>
    </row>
    <row r="1161" spans="1:18" x14ac:dyDescent="0.25">
      <c r="A1161" s="169">
        <v>43725</v>
      </c>
      <c r="B1161" s="116">
        <v>12</v>
      </c>
      <c r="C1161" s="116">
        <v>10.99</v>
      </c>
      <c r="D1161" s="116">
        <v>10.86</v>
      </c>
      <c r="E1161" s="116">
        <v>12</v>
      </c>
      <c r="F1161" s="116">
        <v>10.99</v>
      </c>
      <c r="G1161">
        <v>35693</v>
      </c>
      <c r="H1161" s="116"/>
      <c r="I1161" s="116"/>
      <c r="L1161" s="169">
        <v>43714</v>
      </c>
      <c r="M1161" s="116">
        <v>392.1</v>
      </c>
      <c r="N1161" s="116">
        <v>401.55</v>
      </c>
      <c r="O1161" s="116">
        <v>389</v>
      </c>
      <c r="P1161" s="116">
        <v>395</v>
      </c>
      <c r="Q1161" s="116">
        <v>392.1</v>
      </c>
      <c r="R1161">
        <v>182865</v>
      </c>
    </row>
    <row r="1162" spans="1:18" x14ac:dyDescent="0.25">
      <c r="A1162" s="169">
        <v>43726</v>
      </c>
      <c r="B1162" s="116">
        <v>11.48</v>
      </c>
      <c r="C1162" s="116">
        <v>11.16</v>
      </c>
      <c r="D1162" s="116">
        <v>10.85</v>
      </c>
      <c r="E1162" s="116">
        <v>10.85</v>
      </c>
      <c r="F1162" s="116">
        <v>11.16</v>
      </c>
      <c r="G1162">
        <v>3252</v>
      </c>
      <c r="H1162" s="116"/>
      <c r="I1162" s="116"/>
      <c r="L1162" s="169">
        <v>43717</v>
      </c>
      <c r="M1162" s="116">
        <v>400.65</v>
      </c>
      <c r="N1162" s="116">
        <v>406</v>
      </c>
      <c r="O1162" s="116">
        <v>396.2</v>
      </c>
      <c r="P1162" s="116">
        <v>400.05</v>
      </c>
      <c r="Q1162" s="116">
        <v>400.65</v>
      </c>
      <c r="R1162">
        <v>336237</v>
      </c>
    </row>
    <row r="1163" spans="1:18" x14ac:dyDescent="0.25">
      <c r="A1163" s="169">
        <v>43727</v>
      </c>
      <c r="B1163" s="116">
        <v>10.95</v>
      </c>
      <c r="C1163" s="116">
        <v>10.47</v>
      </c>
      <c r="D1163" s="116">
        <v>10.3</v>
      </c>
      <c r="E1163" s="116">
        <v>10.55</v>
      </c>
      <c r="F1163" s="116">
        <v>10.47</v>
      </c>
      <c r="G1163">
        <v>11495</v>
      </c>
      <c r="H1163" s="116"/>
      <c r="I1163" s="116"/>
      <c r="L1163" s="169">
        <v>43719</v>
      </c>
      <c r="M1163" s="116">
        <v>393.6</v>
      </c>
      <c r="N1163" s="116">
        <v>403.5</v>
      </c>
      <c r="O1163" s="116">
        <v>392.1</v>
      </c>
      <c r="P1163" s="116">
        <v>400.6</v>
      </c>
      <c r="Q1163" s="116">
        <v>393.6</v>
      </c>
      <c r="R1163">
        <v>213395</v>
      </c>
    </row>
    <row r="1164" spans="1:18" x14ac:dyDescent="0.25">
      <c r="A1164" s="169">
        <v>43728</v>
      </c>
      <c r="B1164" s="116">
        <v>10.88</v>
      </c>
      <c r="C1164" s="116">
        <v>10.61</v>
      </c>
      <c r="D1164" s="116">
        <v>10.07</v>
      </c>
      <c r="E1164" s="116">
        <v>10.07</v>
      </c>
      <c r="F1164" s="116">
        <v>10.61</v>
      </c>
      <c r="G1164">
        <v>7474</v>
      </c>
      <c r="H1164" s="116"/>
      <c r="I1164" s="116"/>
      <c r="L1164" s="169">
        <v>43720</v>
      </c>
      <c r="M1164" s="116">
        <v>392.8</v>
      </c>
      <c r="N1164" s="116">
        <v>400</v>
      </c>
      <c r="O1164" s="116">
        <v>390</v>
      </c>
      <c r="P1164" s="116">
        <v>397.2</v>
      </c>
      <c r="Q1164" s="116">
        <v>392.8</v>
      </c>
      <c r="R1164">
        <v>180138</v>
      </c>
    </row>
    <row r="1165" spans="1:18" x14ac:dyDescent="0.25">
      <c r="A1165" s="169">
        <v>43731</v>
      </c>
      <c r="B1165" s="116">
        <v>10.96</v>
      </c>
      <c r="C1165" s="116">
        <v>10.8</v>
      </c>
      <c r="D1165" s="116">
        <v>9.91</v>
      </c>
      <c r="E1165" s="116">
        <v>10.26</v>
      </c>
      <c r="F1165" s="116">
        <v>10.8</v>
      </c>
      <c r="G1165">
        <v>39533</v>
      </c>
      <c r="H1165" s="116"/>
      <c r="I1165" s="116"/>
      <c r="L1165" s="169">
        <v>43721</v>
      </c>
      <c r="M1165" s="116">
        <v>392.45</v>
      </c>
      <c r="N1165" s="116">
        <v>397.3</v>
      </c>
      <c r="O1165" s="116">
        <v>390</v>
      </c>
      <c r="P1165" s="116">
        <v>396.15</v>
      </c>
      <c r="Q1165" s="116">
        <v>392.45</v>
      </c>
      <c r="R1165">
        <v>101244</v>
      </c>
    </row>
    <row r="1166" spans="1:18" x14ac:dyDescent="0.25">
      <c r="A1166" s="169">
        <v>43732</v>
      </c>
      <c r="B1166" s="116">
        <v>11.23</v>
      </c>
      <c r="C1166" s="116">
        <v>10.81</v>
      </c>
      <c r="D1166" s="116">
        <v>10.45</v>
      </c>
      <c r="E1166" s="116">
        <v>10.99</v>
      </c>
      <c r="F1166" s="116">
        <v>10.81</v>
      </c>
      <c r="G1166">
        <v>18776</v>
      </c>
      <c r="H1166" s="116"/>
      <c r="I1166" s="116"/>
      <c r="L1166" s="169">
        <v>43724</v>
      </c>
      <c r="M1166" s="116">
        <v>401.95</v>
      </c>
      <c r="N1166" s="116">
        <v>404.8</v>
      </c>
      <c r="O1166" s="116">
        <v>388</v>
      </c>
      <c r="P1166" s="116">
        <v>392.8</v>
      </c>
      <c r="Q1166" s="116">
        <v>401.95</v>
      </c>
      <c r="R1166">
        <v>258536</v>
      </c>
    </row>
    <row r="1167" spans="1:18" x14ac:dyDescent="0.25">
      <c r="A1167" s="169">
        <v>43733</v>
      </c>
      <c r="B1167" s="116">
        <v>11</v>
      </c>
      <c r="C1167" s="116">
        <v>10.89</v>
      </c>
      <c r="D1167" s="116">
        <v>10.74</v>
      </c>
      <c r="E1167" s="116">
        <v>11</v>
      </c>
      <c r="F1167" s="116">
        <v>10.89</v>
      </c>
      <c r="G1167">
        <v>1167</v>
      </c>
      <c r="H1167" s="116"/>
      <c r="I1167" s="116"/>
      <c r="L1167" s="169">
        <v>43725</v>
      </c>
      <c r="M1167" s="116">
        <v>396.05</v>
      </c>
      <c r="N1167" s="116">
        <v>406.75</v>
      </c>
      <c r="O1167" s="116">
        <v>392.4</v>
      </c>
      <c r="P1167" s="116">
        <v>403</v>
      </c>
      <c r="Q1167" s="116">
        <v>396.05</v>
      </c>
      <c r="R1167">
        <v>191426</v>
      </c>
    </row>
    <row r="1168" spans="1:18" x14ac:dyDescent="0.25">
      <c r="A1168" s="169">
        <v>43734</v>
      </c>
      <c r="B1168" s="116">
        <v>11.25</v>
      </c>
      <c r="C1168" s="116">
        <v>10.81</v>
      </c>
      <c r="D1168" s="116">
        <v>10.78</v>
      </c>
      <c r="E1168" s="116">
        <v>11</v>
      </c>
      <c r="F1168" s="116">
        <v>10.81</v>
      </c>
      <c r="G1168">
        <v>5599</v>
      </c>
      <c r="H1168" s="116"/>
      <c r="I1168" s="116"/>
      <c r="L1168" s="169">
        <v>43726</v>
      </c>
      <c r="M1168" s="116">
        <v>382.35</v>
      </c>
      <c r="N1168" s="116">
        <v>400.2</v>
      </c>
      <c r="O1168" s="116">
        <v>378.25</v>
      </c>
      <c r="P1168" s="116">
        <v>399.6</v>
      </c>
      <c r="Q1168" s="116">
        <v>382.35</v>
      </c>
      <c r="R1168">
        <v>154697</v>
      </c>
    </row>
    <row r="1169" spans="1:18" x14ac:dyDescent="0.25">
      <c r="A1169" s="169">
        <v>43735</v>
      </c>
      <c r="B1169" s="116">
        <v>11</v>
      </c>
      <c r="C1169" s="116">
        <v>10.76</v>
      </c>
      <c r="D1169" s="116">
        <v>10.11</v>
      </c>
      <c r="E1169" s="116">
        <v>10.77</v>
      </c>
      <c r="F1169" s="116">
        <v>10.76</v>
      </c>
      <c r="G1169">
        <v>2836</v>
      </c>
      <c r="H1169" s="116"/>
      <c r="I1169" s="116"/>
      <c r="L1169" s="169">
        <v>43727</v>
      </c>
      <c r="M1169" s="116">
        <v>376.7</v>
      </c>
      <c r="N1169" s="116">
        <v>390</v>
      </c>
      <c r="O1169" s="116">
        <v>375.25</v>
      </c>
      <c r="P1169" s="116">
        <v>384.9</v>
      </c>
      <c r="Q1169" s="116">
        <v>376.7</v>
      </c>
      <c r="R1169">
        <v>190481</v>
      </c>
    </row>
    <row r="1170" spans="1:18" x14ac:dyDescent="0.25">
      <c r="A1170" s="169">
        <v>43738</v>
      </c>
      <c r="B1170" s="116">
        <v>11</v>
      </c>
      <c r="C1170" s="116">
        <v>10.4</v>
      </c>
      <c r="D1170" s="116">
        <v>10.4</v>
      </c>
      <c r="E1170" s="116">
        <v>10.65</v>
      </c>
      <c r="F1170" s="116">
        <v>10.4</v>
      </c>
      <c r="G1170">
        <v>6804</v>
      </c>
      <c r="H1170" s="116"/>
      <c r="I1170" s="116"/>
      <c r="L1170" s="169">
        <v>43728</v>
      </c>
      <c r="M1170" s="116">
        <v>386.7</v>
      </c>
      <c r="N1170" s="116">
        <v>398.6</v>
      </c>
      <c r="O1170" s="116">
        <v>371.6</v>
      </c>
      <c r="P1170" s="116">
        <v>379.7</v>
      </c>
      <c r="Q1170" s="116">
        <v>386.7</v>
      </c>
      <c r="R1170">
        <v>459824</v>
      </c>
    </row>
    <row r="1171" spans="1:18" x14ac:dyDescent="0.25">
      <c r="A1171" s="169">
        <v>43739</v>
      </c>
      <c r="B1171" s="116">
        <v>10.53</v>
      </c>
      <c r="C1171" s="116">
        <v>9.91</v>
      </c>
      <c r="D1171" s="116">
        <v>9.57</v>
      </c>
      <c r="E1171" s="116">
        <v>10.36</v>
      </c>
      <c r="F1171" s="116">
        <v>9.91</v>
      </c>
      <c r="G1171">
        <v>18015</v>
      </c>
      <c r="H1171" s="116"/>
      <c r="I1171" s="116"/>
      <c r="L1171" s="169">
        <v>43731</v>
      </c>
      <c r="M1171" s="116">
        <v>405.75</v>
      </c>
      <c r="N1171" s="116">
        <v>410.9</v>
      </c>
      <c r="O1171" s="116">
        <v>390.55</v>
      </c>
      <c r="P1171" s="116">
        <v>396</v>
      </c>
      <c r="Q1171" s="116">
        <v>405.75</v>
      </c>
      <c r="R1171">
        <v>423186</v>
      </c>
    </row>
    <row r="1172" spans="1:18" x14ac:dyDescent="0.25">
      <c r="A1172" s="169">
        <v>43741</v>
      </c>
      <c r="B1172" s="116">
        <v>10.25</v>
      </c>
      <c r="C1172" s="116">
        <v>9.76</v>
      </c>
      <c r="D1172" s="116">
        <v>9.6999999999999993</v>
      </c>
      <c r="E1172" s="116">
        <v>10.199999999999999</v>
      </c>
      <c r="F1172" s="116">
        <v>9.76</v>
      </c>
      <c r="G1172">
        <v>4624</v>
      </c>
      <c r="H1172" s="116"/>
      <c r="I1172" s="116"/>
      <c r="L1172" s="169">
        <v>43732</v>
      </c>
      <c r="M1172" s="116">
        <v>415.75</v>
      </c>
      <c r="N1172" s="116">
        <v>419.8</v>
      </c>
      <c r="O1172" s="116">
        <v>399.55</v>
      </c>
      <c r="P1172" s="116">
        <v>404</v>
      </c>
      <c r="Q1172" s="116">
        <v>415.75</v>
      </c>
      <c r="R1172">
        <v>581711</v>
      </c>
    </row>
    <row r="1173" spans="1:18" x14ac:dyDescent="0.25">
      <c r="A1173" s="169">
        <v>43742</v>
      </c>
      <c r="B1173" s="116">
        <v>10.19</v>
      </c>
      <c r="C1173" s="116">
        <v>9.67</v>
      </c>
      <c r="D1173" s="116">
        <v>9.67</v>
      </c>
      <c r="E1173" s="116">
        <v>9.8000000000000007</v>
      </c>
      <c r="F1173" s="116">
        <v>9.67</v>
      </c>
      <c r="G1173">
        <v>1373</v>
      </c>
      <c r="H1173" s="116"/>
      <c r="I1173" s="116"/>
      <c r="L1173" s="169">
        <v>43733</v>
      </c>
      <c r="M1173" s="116">
        <v>412.1</v>
      </c>
      <c r="N1173" s="116">
        <v>424.7</v>
      </c>
      <c r="O1173" s="116">
        <v>410</v>
      </c>
      <c r="P1173" s="116">
        <v>417.45</v>
      </c>
      <c r="Q1173" s="116">
        <v>412.1</v>
      </c>
      <c r="R1173">
        <v>411168</v>
      </c>
    </row>
    <row r="1174" spans="1:18" x14ac:dyDescent="0.25">
      <c r="A1174" s="169">
        <v>43745</v>
      </c>
      <c r="B1174" s="116">
        <v>10.199999999999999</v>
      </c>
      <c r="C1174" s="116">
        <v>9.6199999999999992</v>
      </c>
      <c r="D1174" s="116">
        <v>9.6199999999999992</v>
      </c>
      <c r="E1174" s="116">
        <v>10</v>
      </c>
      <c r="F1174" s="116">
        <v>9.6199999999999992</v>
      </c>
      <c r="G1174">
        <v>526</v>
      </c>
      <c r="H1174" s="116"/>
      <c r="I1174" s="116"/>
      <c r="L1174" s="169">
        <v>43734</v>
      </c>
      <c r="M1174" s="116">
        <v>413.9</v>
      </c>
      <c r="N1174" s="116">
        <v>416.65</v>
      </c>
      <c r="O1174" s="116">
        <v>410.05</v>
      </c>
      <c r="P1174" s="116">
        <v>415.9</v>
      </c>
      <c r="Q1174" s="116">
        <v>413.9</v>
      </c>
      <c r="R1174">
        <v>136309</v>
      </c>
    </row>
    <row r="1175" spans="1:18" x14ac:dyDescent="0.25">
      <c r="A1175" s="169">
        <v>43747</v>
      </c>
      <c r="B1175" s="116">
        <v>10</v>
      </c>
      <c r="C1175" s="116">
        <v>9.6199999999999992</v>
      </c>
      <c r="D1175" s="116">
        <v>9.4</v>
      </c>
      <c r="E1175" s="116">
        <v>9.5500000000000007</v>
      </c>
      <c r="F1175" s="116">
        <v>9.6199999999999992</v>
      </c>
      <c r="G1175">
        <v>17796</v>
      </c>
      <c r="H1175" s="116"/>
      <c r="I1175" s="116"/>
      <c r="L1175" s="169">
        <v>43735</v>
      </c>
      <c r="M1175" s="116">
        <v>404.45</v>
      </c>
      <c r="N1175" s="116">
        <v>413.95</v>
      </c>
      <c r="O1175" s="116">
        <v>401</v>
      </c>
      <c r="P1175" s="116">
        <v>412</v>
      </c>
      <c r="Q1175" s="116">
        <v>404.45</v>
      </c>
      <c r="R1175">
        <v>345242</v>
      </c>
    </row>
    <row r="1176" spans="1:18" x14ac:dyDescent="0.25">
      <c r="A1176" s="169">
        <v>43748</v>
      </c>
      <c r="B1176" s="116">
        <v>9.89</v>
      </c>
      <c r="C1176" s="116">
        <v>9.3800000000000008</v>
      </c>
      <c r="D1176" s="116">
        <v>9.35</v>
      </c>
      <c r="E1176" s="116">
        <v>9.6199999999999992</v>
      </c>
      <c r="F1176" s="116">
        <v>9.3800000000000008</v>
      </c>
      <c r="G1176">
        <v>3528</v>
      </c>
      <c r="H1176" s="116"/>
      <c r="I1176" s="116"/>
      <c r="L1176" s="169">
        <v>43738</v>
      </c>
      <c r="M1176" s="116">
        <v>393.25</v>
      </c>
      <c r="N1176" s="116">
        <v>403.95</v>
      </c>
      <c r="O1176" s="116">
        <v>390</v>
      </c>
      <c r="P1176" s="116">
        <v>400</v>
      </c>
      <c r="Q1176" s="116">
        <v>393.25</v>
      </c>
      <c r="R1176">
        <v>169226</v>
      </c>
    </row>
    <row r="1177" spans="1:18" x14ac:dyDescent="0.25">
      <c r="A1177" s="169">
        <v>43749</v>
      </c>
      <c r="B1177" s="116">
        <v>9.8000000000000007</v>
      </c>
      <c r="C1177" s="116">
        <v>9.4499999999999993</v>
      </c>
      <c r="D1177" s="116">
        <v>9.42</v>
      </c>
      <c r="E1177" s="116">
        <v>9.5</v>
      </c>
      <c r="F1177" s="116">
        <v>9.4499999999999993</v>
      </c>
      <c r="G1177">
        <v>2231</v>
      </c>
      <c r="H1177" s="116"/>
      <c r="I1177" s="116"/>
      <c r="L1177" s="169">
        <v>43739</v>
      </c>
      <c r="M1177" s="116">
        <v>394.05</v>
      </c>
      <c r="N1177" s="116">
        <v>399</v>
      </c>
      <c r="O1177" s="116">
        <v>388.25</v>
      </c>
      <c r="P1177" s="116">
        <v>391.6</v>
      </c>
      <c r="Q1177" s="116">
        <v>394.05</v>
      </c>
      <c r="R1177">
        <v>181872</v>
      </c>
    </row>
    <row r="1178" spans="1:18" x14ac:dyDescent="0.25">
      <c r="A1178" s="169">
        <v>43752</v>
      </c>
      <c r="B1178" s="116">
        <v>10.25</v>
      </c>
      <c r="C1178" s="116">
        <v>9.5500000000000007</v>
      </c>
      <c r="D1178" s="116">
        <v>9.5</v>
      </c>
      <c r="E1178" s="116">
        <v>10</v>
      </c>
      <c r="F1178" s="116">
        <v>9.5500000000000007</v>
      </c>
      <c r="G1178">
        <v>8030</v>
      </c>
      <c r="H1178" s="116"/>
      <c r="I1178" s="116"/>
      <c r="L1178" s="169">
        <v>43741</v>
      </c>
      <c r="M1178" s="116">
        <v>390.15</v>
      </c>
      <c r="N1178" s="116">
        <v>397</v>
      </c>
      <c r="O1178" s="116">
        <v>385.8</v>
      </c>
      <c r="P1178" s="116">
        <v>390</v>
      </c>
      <c r="Q1178" s="116">
        <v>390.15</v>
      </c>
      <c r="R1178">
        <v>105163</v>
      </c>
    </row>
    <row r="1179" spans="1:18" x14ac:dyDescent="0.25">
      <c r="A1179" s="169">
        <v>43753</v>
      </c>
      <c r="B1179" s="116">
        <v>9.85</v>
      </c>
      <c r="C1179" s="116">
        <v>9.49</v>
      </c>
      <c r="D1179" s="116">
        <v>9.41</v>
      </c>
      <c r="E1179" s="116">
        <v>9.5299999999999994</v>
      </c>
      <c r="F1179" s="116">
        <v>9.49</v>
      </c>
      <c r="G1179">
        <v>10018</v>
      </c>
      <c r="H1179" s="116"/>
      <c r="I1179" s="116"/>
      <c r="L1179" s="169">
        <v>43742</v>
      </c>
      <c r="M1179" s="116">
        <v>392.95</v>
      </c>
      <c r="N1179" s="116">
        <v>397</v>
      </c>
      <c r="O1179" s="116">
        <v>390</v>
      </c>
      <c r="P1179" s="116">
        <v>392</v>
      </c>
      <c r="Q1179" s="116">
        <v>392.95</v>
      </c>
      <c r="R1179">
        <v>137583</v>
      </c>
    </row>
    <row r="1180" spans="1:18" x14ac:dyDescent="0.25">
      <c r="A1180" s="169">
        <v>43754</v>
      </c>
      <c r="B1180" s="116">
        <v>10.25</v>
      </c>
      <c r="C1180" s="116">
        <v>9.61</v>
      </c>
      <c r="D1180" s="116">
        <v>9.4499999999999993</v>
      </c>
      <c r="E1180" s="116">
        <v>9.4499999999999993</v>
      </c>
      <c r="F1180" s="116">
        <v>9.61</v>
      </c>
      <c r="G1180">
        <v>11796</v>
      </c>
      <c r="H1180" s="116"/>
      <c r="I1180" s="116"/>
      <c r="L1180" s="169">
        <v>43745</v>
      </c>
      <c r="M1180" s="116">
        <v>380.25</v>
      </c>
      <c r="N1180" s="116">
        <v>394.95</v>
      </c>
      <c r="O1180" s="116">
        <v>368.5</v>
      </c>
      <c r="P1180" s="116">
        <v>393</v>
      </c>
      <c r="Q1180" s="116">
        <v>380.25</v>
      </c>
      <c r="R1180">
        <v>1140672</v>
      </c>
    </row>
    <row r="1181" spans="1:18" x14ac:dyDescent="0.25">
      <c r="A1181" s="169">
        <v>43755</v>
      </c>
      <c r="B1181" s="116">
        <v>9.9</v>
      </c>
      <c r="C1181" s="116">
        <v>9.6300000000000008</v>
      </c>
      <c r="D1181" s="116">
        <v>9.51</v>
      </c>
      <c r="E1181" s="116">
        <v>9.6999999999999993</v>
      </c>
      <c r="F1181" s="116">
        <v>9.6300000000000008</v>
      </c>
      <c r="G1181">
        <v>1910</v>
      </c>
      <c r="H1181" s="116"/>
      <c r="I1181" s="116"/>
      <c r="L1181" s="169">
        <v>43747</v>
      </c>
      <c r="M1181" s="116">
        <v>391</v>
      </c>
      <c r="N1181" s="116">
        <v>393.95</v>
      </c>
      <c r="O1181" s="116">
        <v>376.55</v>
      </c>
      <c r="P1181" s="116">
        <v>379</v>
      </c>
      <c r="Q1181" s="116">
        <v>391</v>
      </c>
      <c r="R1181">
        <v>131502</v>
      </c>
    </row>
    <row r="1182" spans="1:18" x14ac:dyDescent="0.25">
      <c r="A1182" s="169">
        <v>43756</v>
      </c>
      <c r="B1182" s="116">
        <v>9.99</v>
      </c>
      <c r="C1182" s="116">
        <v>9.49</v>
      </c>
      <c r="D1182" s="116">
        <v>9.42</v>
      </c>
      <c r="E1182" s="116">
        <v>9.8000000000000007</v>
      </c>
      <c r="F1182" s="116">
        <v>9.49</v>
      </c>
      <c r="G1182">
        <v>7851</v>
      </c>
      <c r="H1182" s="116"/>
      <c r="I1182" s="116"/>
      <c r="L1182" s="169">
        <v>43748</v>
      </c>
      <c r="M1182" s="116">
        <v>389.25</v>
      </c>
      <c r="N1182" s="116">
        <v>400.9</v>
      </c>
      <c r="O1182" s="116">
        <v>386</v>
      </c>
      <c r="P1182" s="116">
        <v>386</v>
      </c>
      <c r="Q1182" s="116">
        <v>389.25</v>
      </c>
      <c r="R1182">
        <v>198015</v>
      </c>
    </row>
    <row r="1183" spans="1:18" x14ac:dyDescent="0.25">
      <c r="A1183" s="169">
        <v>43760</v>
      </c>
      <c r="B1183" s="116">
        <v>9.6999999999999993</v>
      </c>
      <c r="C1183" s="116">
        <v>9.4600000000000009</v>
      </c>
      <c r="D1183" s="116">
        <v>9.31</v>
      </c>
      <c r="E1183" s="116">
        <v>9.31</v>
      </c>
      <c r="F1183" s="116">
        <v>9.4600000000000009</v>
      </c>
      <c r="G1183">
        <v>1280</v>
      </c>
      <c r="H1183" s="116"/>
      <c r="I1183" s="116"/>
      <c r="L1183" s="169">
        <v>43749</v>
      </c>
      <c r="M1183" s="116">
        <v>384.3</v>
      </c>
      <c r="N1183" s="116">
        <v>398.9</v>
      </c>
      <c r="O1183" s="116">
        <v>382.5</v>
      </c>
      <c r="P1183" s="116">
        <v>391</v>
      </c>
      <c r="Q1183" s="116">
        <v>384.3</v>
      </c>
      <c r="R1183">
        <v>148001</v>
      </c>
    </row>
    <row r="1184" spans="1:18" x14ac:dyDescent="0.25">
      <c r="A1184" s="169">
        <v>43761</v>
      </c>
      <c r="B1184" s="116">
        <v>9.68</v>
      </c>
      <c r="C1184" s="116">
        <v>9.36</v>
      </c>
      <c r="D1184" s="116">
        <v>9.35</v>
      </c>
      <c r="E1184" s="116">
        <v>9.68</v>
      </c>
      <c r="F1184" s="116">
        <v>9.36</v>
      </c>
      <c r="G1184">
        <v>4524</v>
      </c>
      <c r="H1184" s="116"/>
      <c r="I1184" s="116"/>
      <c r="L1184" s="169">
        <v>43752</v>
      </c>
      <c r="M1184" s="116">
        <v>382.25</v>
      </c>
      <c r="N1184" s="116">
        <v>388.45</v>
      </c>
      <c r="O1184" s="116">
        <v>379</v>
      </c>
      <c r="P1184" s="116">
        <v>384.9</v>
      </c>
      <c r="Q1184" s="116">
        <v>382.25</v>
      </c>
      <c r="R1184">
        <v>161594</v>
      </c>
    </row>
    <row r="1185" spans="1:18" x14ac:dyDescent="0.25">
      <c r="A1185" s="169">
        <v>43762</v>
      </c>
      <c r="B1185" s="116">
        <v>9.5</v>
      </c>
      <c r="C1185" s="116">
        <v>9.31</v>
      </c>
      <c r="D1185" s="116">
        <v>9.31</v>
      </c>
      <c r="E1185" s="116">
        <v>9.5</v>
      </c>
      <c r="F1185" s="116">
        <v>9.31</v>
      </c>
      <c r="G1185">
        <v>1530</v>
      </c>
      <c r="H1185" s="116"/>
      <c r="I1185" s="116"/>
      <c r="L1185" s="169">
        <v>43753</v>
      </c>
      <c r="M1185" s="116">
        <v>382.55</v>
      </c>
      <c r="N1185" s="116">
        <v>386.9</v>
      </c>
      <c r="O1185" s="116">
        <v>380.6</v>
      </c>
      <c r="P1185" s="116">
        <v>382.6</v>
      </c>
      <c r="Q1185" s="116">
        <v>382.55</v>
      </c>
      <c r="R1185">
        <v>143749</v>
      </c>
    </row>
    <row r="1186" spans="1:18" x14ac:dyDescent="0.25">
      <c r="A1186" s="169">
        <v>43763</v>
      </c>
      <c r="B1186" s="116">
        <v>9.44</v>
      </c>
      <c r="C1186" s="116">
        <v>8.9</v>
      </c>
      <c r="D1186" s="116">
        <v>8.9</v>
      </c>
      <c r="E1186" s="116">
        <v>9.25</v>
      </c>
      <c r="F1186" s="116">
        <v>8.9</v>
      </c>
      <c r="G1186">
        <v>2531</v>
      </c>
      <c r="H1186" s="116"/>
      <c r="I1186" s="116"/>
      <c r="L1186" s="169">
        <v>43754</v>
      </c>
      <c r="M1186" s="116">
        <v>385.05</v>
      </c>
      <c r="N1186" s="116">
        <v>396.9</v>
      </c>
      <c r="O1186" s="116">
        <v>383.75</v>
      </c>
      <c r="P1186" s="116">
        <v>386.35</v>
      </c>
      <c r="Q1186" s="116">
        <v>385.05</v>
      </c>
      <c r="R1186">
        <v>198403</v>
      </c>
    </row>
    <row r="1187" spans="1:18" x14ac:dyDescent="0.25">
      <c r="A1187" s="169">
        <v>43765</v>
      </c>
      <c r="B1187" s="116">
        <v>9.85</v>
      </c>
      <c r="C1187" s="116">
        <v>9.5399999999999991</v>
      </c>
      <c r="D1187" s="116">
        <v>9</v>
      </c>
      <c r="E1187" s="116">
        <v>9</v>
      </c>
      <c r="F1187" s="116">
        <v>9.5399999999999991</v>
      </c>
      <c r="G1187">
        <v>560</v>
      </c>
      <c r="H1187" s="116"/>
      <c r="I1187" s="116"/>
      <c r="L1187" s="169">
        <v>43755</v>
      </c>
      <c r="M1187" s="116">
        <v>385.4</v>
      </c>
      <c r="N1187" s="116">
        <v>388.75</v>
      </c>
      <c r="O1187" s="116">
        <v>384.15</v>
      </c>
      <c r="P1187" s="116">
        <v>385.1</v>
      </c>
      <c r="Q1187" s="116">
        <v>385.4</v>
      </c>
      <c r="R1187">
        <v>162344</v>
      </c>
    </row>
    <row r="1188" spans="1:18" x14ac:dyDescent="0.25">
      <c r="A1188" s="169">
        <v>43767</v>
      </c>
      <c r="B1188" s="116">
        <v>9.5</v>
      </c>
      <c r="C1188" s="116">
        <v>9.09</v>
      </c>
      <c r="D1188" s="116">
        <v>9.0399999999999991</v>
      </c>
      <c r="E1188" s="116">
        <v>9.2200000000000006</v>
      </c>
      <c r="F1188" s="116">
        <v>9.09</v>
      </c>
      <c r="G1188">
        <v>7326</v>
      </c>
      <c r="H1188" s="116"/>
      <c r="I1188" s="116"/>
      <c r="L1188" s="169">
        <v>43756</v>
      </c>
      <c r="M1188" s="116">
        <v>402</v>
      </c>
      <c r="N1188" s="116">
        <v>405.9</v>
      </c>
      <c r="O1188" s="116">
        <v>386.05</v>
      </c>
      <c r="P1188" s="116">
        <v>386.8</v>
      </c>
      <c r="Q1188" s="116">
        <v>402</v>
      </c>
      <c r="R1188">
        <v>360080</v>
      </c>
    </row>
    <row r="1189" spans="1:18" x14ac:dyDescent="0.25">
      <c r="A1189" s="169">
        <v>43768</v>
      </c>
      <c r="B1189" s="116">
        <v>9.4499999999999993</v>
      </c>
      <c r="C1189" s="116">
        <v>8.85</v>
      </c>
      <c r="D1189" s="116">
        <v>8.75</v>
      </c>
      <c r="E1189" s="116">
        <v>9.4</v>
      </c>
      <c r="F1189" s="116">
        <v>8.85</v>
      </c>
      <c r="G1189">
        <v>10242</v>
      </c>
      <c r="H1189" s="116"/>
      <c r="I1189" s="116"/>
      <c r="L1189" s="169">
        <v>43760</v>
      </c>
      <c r="M1189" s="116">
        <v>395.8</v>
      </c>
      <c r="N1189" s="116">
        <v>403</v>
      </c>
      <c r="O1189" s="116">
        <v>391.45</v>
      </c>
      <c r="P1189" s="116">
        <v>393.1</v>
      </c>
      <c r="Q1189" s="116">
        <v>395.8</v>
      </c>
      <c r="R1189">
        <v>194725</v>
      </c>
    </row>
    <row r="1190" spans="1:18" x14ac:dyDescent="0.25">
      <c r="A1190" s="169">
        <v>43769</v>
      </c>
      <c r="B1190" s="116">
        <v>9.19</v>
      </c>
      <c r="C1190" s="116">
        <v>9.02</v>
      </c>
      <c r="D1190" s="116">
        <v>8.5</v>
      </c>
      <c r="E1190" s="116">
        <v>8.56</v>
      </c>
      <c r="F1190" s="116">
        <v>9.02</v>
      </c>
      <c r="G1190">
        <v>8538</v>
      </c>
      <c r="H1190" s="116"/>
      <c r="I1190" s="116"/>
      <c r="L1190" s="169">
        <v>43761</v>
      </c>
      <c r="M1190" s="116">
        <v>388.1</v>
      </c>
      <c r="N1190" s="116">
        <v>398.8</v>
      </c>
      <c r="O1190" s="116">
        <v>386.5</v>
      </c>
      <c r="P1190" s="116">
        <v>393.7</v>
      </c>
      <c r="Q1190" s="116">
        <v>388.1</v>
      </c>
      <c r="R1190">
        <v>137529</v>
      </c>
    </row>
    <row r="1191" spans="1:18" x14ac:dyDescent="0.25">
      <c r="A1191" s="169">
        <v>43770</v>
      </c>
      <c r="B1191" s="116">
        <v>9.4</v>
      </c>
      <c r="C1191" s="116">
        <v>9.1</v>
      </c>
      <c r="D1191" s="116">
        <v>8.75</v>
      </c>
      <c r="E1191" s="116">
        <v>9.24</v>
      </c>
      <c r="F1191" s="116">
        <v>9.1</v>
      </c>
      <c r="G1191">
        <v>15210</v>
      </c>
      <c r="H1191" s="116"/>
      <c r="I1191" s="116"/>
      <c r="L1191" s="169">
        <v>43762</v>
      </c>
      <c r="M1191" s="116">
        <v>386</v>
      </c>
      <c r="N1191" s="116">
        <v>393.5</v>
      </c>
      <c r="O1191" s="116">
        <v>385</v>
      </c>
      <c r="P1191" s="116">
        <v>390</v>
      </c>
      <c r="Q1191" s="116">
        <v>386</v>
      </c>
      <c r="R1191">
        <v>92135</v>
      </c>
    </row>
    <row r="1192" spans="1:18" x14ac:dyDescent="0.25">
      <c r="A1192" s="169">
        <v>43773</v>
      </c>
      <c r="B1192" s="116">
        <v>9.85</v>
      </c>
      <c r="C1192" s="116">
        <v>9.07</v>
      </c>
      <c r="D1192" s="116">
        <v>9</v>
      </c>
      <c r="E1192" s="116">
        <v>9.3000000000000007</v>
      </c>
      <c r="F1192" s="116">
        <v>9.07</v>
      </c>
      <c r="G1192">
        <v>8399</v>
      </c>
      <c r="H1192" s="116"/>
      <c r="I1192" s="116"/>
      <c r="L1192" s="169">
        <v>43763</v>
      </c>
      <c r="M1192" s="116">
        <v>395.2</v>
      </c>
      <c r="N1192" s="116">
        <v>410.3</v>
      </c>
      <c r="O1192" s="116">
        <v>385.15</v>
      </c>
      <c r="P1192" s="116">
        <v>386.4</v>
      </c>
      <c r="Q1192" s="116">
        <v>395.2</v>
      </c>
      <c r="R1192">
        <v>358132</v>
      </c>
    </row>
    <row r="1193" spans="1:18" x14ac:dyDescent="0.25">
      <c r="A1193" s="169">
        <v>43774</v>
      </c>
      <c r="B1193" s="116">
        <v>9.4</v>
      </c>
      <c r="C1193" s="116">
        <v>9.26</v>
      </c>
      <c r="D1193" s="116">
        <v>9</v>
      </c>
      <c r="E1193" s="116">
        <v>9.06</v>
      </c>
      <c r="F1193" s="116">
        <v>9.26</v>
      </c>
      <c r="G1193">
        <v>14433</v>
      </c>
      <c r="H1193" s="116"/>
      <c r="I1193" s="116"/>
      <c r="L1193" s="169">
        <v>43765</v>
      </c>
      <c r="M1193" s="116">
        <v>405.2</v>
      </c>
      <c r="N1193" s="116">
        <v>410</v>
      </c>
      <c r="O1193" s="116">
        <v>392</v>
      </c>
      <c r="P1193" s="116">
        <v>392</v>
      </c>
      <c r="Q1193" s="116">
        <v>405.2</v>
      </c>
      <c r="R1193">
        <v>214640</v>
      </c>
    </row>
    <row r="1194" spans="1:18" x14ac:dyDescent="0.25">
      <c r="A1194" s="169">
        <v>43775</v>
      </c>
      <c r="B1194" s="116">
        <v>9.31</v>
      </c>
      <c r="C1194" s="116">
        <v>9.0299999999999994</v>
      </c>
      <c r="D1194" s="116">
        <v>9</v>
      </c>
      <c r="E1194" s="116">
        <v>9.3000000000000007</v>
      </c>
      <c r="F1194" s="116">
        <v>9.0299999999999994</v>
      </c>
      <c r="G1194">
        <v>5325</v>
      </c>
      <c r="H1194" s="116"/>
      <c r="I1194" s="116"/>
      <c r="L1194" s="169">
        <v>43767</v>
      </c>
      <c r="M1194" s="116">
        <v>396.85</v>
      </c>
      <c r="N1194" s="116">
        <v>405</v>
      </c>
      <c r="O1194" s="116">
        <v>394.3</v>
      </c>
      <c r="P1194" s="116">
        <v>402</v>
      </c>
      <c r="Q1194" s="116">
        <v>396.85</v>
      </c>
      <c r="R1194">
        <v>137526</v>
      </c>
    </row>
    <row r="1195" spans="1:18" x14ac:dyDescent="0.25">
      <c r="A1195" s="169">
        <v>43776</v>
      </c>
      <c r="B1195" s="116">
        <v>9.15</v>
      </c>
      <c r="C1195" s="116">
        <v>9</v>
      </c>
      <c r="D1195" s="116">
        <v>8.8000000000000007</v>
      </c>
      <c r="E1195" s="116">
        <v>9</v>
      </c>
      <c r="F1195" s="116">
        <v>9</v>
      </c>
      <c r="G1195">
        <v>8113</v>
      </c>
      <c r="H1195" s="116"/>
      <c r="I1195" s="116"/>
      <c r="L1195" s="169">
        <v>43768</v>
      </c>
      <c r="M1195" s="116">
        <v>394.55</v>
      </c>
      <c r="N1195" s="116">
        <v>402</v>
      </c>
      <c r="O1195" s="116">
        <v>392.8</v>
      </c>
      <c r="P1195" s="116">
        <v>397.15</v>
      </c>
      <c r="Q1195" s="116">
        <v>394.55</v>
      </c>
      <c r="R1195">
        <v>122641</v>
      </c>
    </row>
    <row r="1196" spans="1:18" x14ac:dyDescent="0.25">
      <c r="A1196" s="169">
        <v>43777</v>
      </c>
      <c r="B1196" s="116">
        <v>9.25</v>
      </c>
      <c r="C1196" s="116">
        <v>8.91</v>
      </c>
      <c r="D1196" s="116">
        <v>8.6999999999999993</v>
      </c>
      <c r="E1196" s="116">
        <v>8.8000000000000007</v>
      </c>
      <c r="F1196" s="116">
        <v>8.91</v>
      </c>
      <c r="G1196">
        <v>12746</v>
      </c>
      <c r="H1196" s="116"/>
      <c r="I1196" s="116"/>
      <c r="L1196" s="169">
        <v>43769</v>
      </c>
      <c r="M1196" s="116">
        <v>394.8</v>
      </c>
      <c r="N1196" s="116">
        <v>406.6</v>
      </c>
      <c r="O1196" s="116">
        <v>390.05</v>
      </c>
      <c r="P1196" s="116">
        <v>395.55</v>
      </c>
      <c r="Q1196" s="116">
        <v>394.8</v>
      </c>
      <c r="R1196">
        <v>378915</v>
      </c>
    </row>
    <row r="1197" spans="1:18" x14ac:dyDescent="0.25">
      <c r="A1197" s="169">
        <v>43780</v>
      </c>
      <c r="B1197" s="116">
        <v>9.19</v>
      </c>
      <c r="C1197" s="116">
        <v>8.76</v>
      </c>
      <c r="D1197" s="116">
        <v>8.61</v>
      </c>
      <c r="E1197" s="116">
        <v>8.75</v>
      </c>
      <c r="F1197" s="116">
        <v>8.76</v>
      </c>
      <c r="G1197">
        <v>10575</v>
      </c>
      <c r="H1197" s="116"/>
      <c r="I1197" s="116"/>
      <c r="L1197" s="169">
        <v>43770</v>
      </c>
      <c r="M1197" s="116">
        <v>405.55</v>
      </c>
      <c r="N1197" s="116">
        <v>409.7</v>
      </c>
      <c r="O1197" s="116">
        <v>394.5</v>
      </c>
      <c r="P1197" s="116">
        <v>396</v>
      </c>
      <c r="Q1197" s="116">
        <v>405.55</v>
      </c>
      <c r="R1197">
        <v>394654</v>
      </c>
    </row>
    <row r="1198" spans="1:18" x14ac:dyDescent="0.25">
      <c r="A1198" s="169">
        <v>43782</v>
      </c>
      <c r="B1198" s="116">
        <v>9.09</v>
      </c>
      <c r="C1198" s="116">
        <v>8.67</v>
      </c>
      <c r="D1198" s="116">
        <v>8.65</v>
      </c>
      <c r="E1198" s="116">
        <v>8.75</v>
      </c>
      <c r="F1198" s="116">
        <v>8.67</v>
      </c>
      <c r="G1198">
        <v>7921</v>
      </c>
      <c r="H1198" s="116"/>
      <c r="I1198" s="116"/>
      <c r="L1198" s="169">
        <v>43773</v>
      </c>
      <c r="M1198" s="116">
        <v>426.3</v>
      </c>
      <c r="N1198" s="116">
        <v>433</v>
      </c>
      <c r="O1198" s="116">
        <v>398.05</v>
      </c>
      <c r="P1198" s="116">
        <v>408.5</v>
      </c>
      <c r="Q1198" s="116">
        <v>426.3</v>
      </c>
      <c r="R1198">
        <v>1983433</v>
      </c>
    </row>
    <row r="1199" spans="1:18" x14ac:dyDescent="0.25">
      <c r="A1199" s="169">
        <v>43783</v>
      </c>
      <c r="B1199" s="116">
        <v>9.4</v>
      </c>
      <c r="C1199" s="116">
        <v>8.4</v>
      </c>
      <c r="D1199" s="116">
        <v>8.2100000000000009</v>
      </c>
      <c r="E1199" s="116">
        <v>9.4</v>
      </c>
      <c r="F1199" s="116">
        <v>8.4</v>
      </c>
      <c r="G1199">
        <v>9041</v>
      </c>
      <c r="H1199" s="116"/>
      <c r="I1199" s="116"/>
      <c r="L1199" s="169">
        <v>43774</v>
      </c>
      <c r="M1199" s="116">
        <v>417.35</v>
      </c>
      <c r="N1199" s="116">
        <v>433.7</v>
      </c>
      <c r="O1199" s="116">
        <v>411.2</v>
      </c>
      <c r="P1199" s="116">
        <v>431</v>
      </c>
      <c r="Q1199" s="116">
        <v>417.35</v>
      </c>
      <c r="R1199">
        <v>644380</v>
      </c>
    </row>
    <row r="1200" spans="1:18" x14ac:dyDescent="0.25">
      <c r="A1200" s="169">
        <v>43784</v>
      </c>
      <c r="B1200" s="116">
        <v>8.9700000000000006</v>
      </c>
      <c r="C1200" s="116">
        <v>8.92</v>
      </c>
      <c r="D1200" s="116">
        <v>8.25</v>
      </c>
      <c r="E1200" s="116">
        <v>8.4</v>
      </c>
      <c r="F1200" s="116">
        <v>8.92</v>
      </c>
      <c r="G1200">
        <v>15116</v>
      </c>
      <c r="H1200" s="116"/>
      <c r="I1200" s="116"/>
      <c r="L1200" s="169">
        <v>43775</v>
      </c>
      <c r="M1200" s="116">
        <v>411.35</v>
      </c>
      <c r="N1200" s="116">
        <v>420.25</v>
      </c>
      <c r="O1200" s="116">
        <v>410</v>
      </c>
      <c r="P1200" s="116">
        <v>416.3</v>
      </c>
      <c r="Q1200" s="116">
        <v>411.35</v>
      </c>
      <c r="R1200">
        <v>223363</v>
      </c>
    </row>
    <row r="1201" spans="1:18" x14ac:dyDescent="0.25">
      <c r="A1201" s="169">
        <v>43787</v>
      </c>
      <c r="B1201" s="116">
        <v>8.8000000000000007</v>
      </c>
      <c r="C1201" s="116">
        <v>8.59</v>
      </c>
      <c r="D1201" s="116">
        <v>8.5500000000000007</v>
      </c>
      <c r="E1201" s="116">
        <v>8.8000000000000007</v>
      </c>
      <c r="F1201" s="116">
        <v>8.59</v>
      </c>
      <c r="G1201">
        <v>4416</v>
      </c>
      <c r="H1201" s="116"/>
      <c r="I1201" s="116"/>
      <c r="L1201" s="169">
        <v>43776</v>
      </c>
      <c r="M1201" s="116">
        <v>408.6</v>
      </c>
      <c r="N1201" s="116">
        <v>423.7</v>
      </c>
      <c r="O1201" s="116">
        <v>407.1</v>
      </c>
      <c r="P1201" s="116">
        <v>415.2</v>
      </c>
      <c r="Q1201" s="116">
        <v>408.6</v>
      </c>
      <c r="R1201">
        <v>330004</v>
      </c>
    </row>
    <row r="1202" spans="1:18" x14ac:dyDescent="0.25">
      <c r="A1202" s="169">
        <v>43788</v>
      </c>
      <c r="B1202" s="116">
        <v>9.14</v>
      </c>
      <c r="C1202" s="116">
        <v>8.65</v>
      </c>
      <c r="D1202" s="116">
        <v>8.16</v>
      </c>
      <c r="E1202" s="116">
        <v>8.16</v>
      </c>
      <c r="F1202" s="116">
        <v>8.65</v>
      </c>
      <c r="G1202">
        <v>11689</v>
      </c>
      <c r="H1202" s="116"/>
      <c r="I1202" s="116"/>
      <c r="L1202" s="169">
        <v>43777</v>
      </c>
      <c r="M1202" s="116">
        <v>401.95</v>
      </c>
      <c r="N1202" s="116">
        <v>413.75</v>
      </c>
      <c r="O1202" s="116">
        <v>400.75</v>
      </c>
      <c r="P1202" s="116">
        <v>410</v>
      </c>
      <c r="Q1202" s="116">
        <v>401.95</v>
      </c>
      <c r="R1202">
        <v>292005</v>
      </c>
    </row>
    <row r="1203" spans="1:18" x14ac:dyDescent="0.25">
      <c r="A1203" s="169">
        <v>43789</v>
      </c>
      <c r="B1203" s="116">
        <v>8.85</v>
      </c>
      <c r="C1203" s="116">
        <v>8.44</v>
      </c>
      <c r="D1203" s="116">
        <v>8.4</v>
      </c>
      <c r="E1203" s="116">
        <v>8.85</v>
      </c>
      <c r="F1203" s="116">
        <v>8.44</v>
      </c>
      <c r="G1203">
        <v>16367</v>
      </c>
      <c r="H1203" s="116"/>
      <c r="I1203" s="116"/>
      <c r="L1203" s="169">
        <v>43780</v>
      </c>
      <c r="M1203" s="116">
        <v>394.6</v>
      </c>
      <c r="N1203" s="116">
        <v>405.75</v>
      </c>
      <c r="O1203" s="116">
        <v>391.8</v>
      </c>
      <c r="P1203" s="116">
        <v>402</v>
      </c>
      <c r="Q1203" s="116">
        <v>394.6</v>
      </c>
      <c r="R1203">
        <v>172570</v>
      </c>
    </row>
    <row r="1204" spans="1:18" x14ac:dyDescent="0.25">
      <c r="A1204" s="169">
        <v>43790</v>
      </c>
      <c r="B1204" s="116">
        <v>8.6</v>
      </c>
      <c r="C1204" s="116">
        <v>8.49</v>
      </c>
      <c r="D1204" s="116">
        <v>8.25</v>
      </c>
      <c r="E1204" s="116">
        <v>8.44</v>
      </c>
      <c r="F1204" s="116">
        <v>8.49</v>
      </c>
      <c r="G1204">
        <v>2379</v>
      </c>
      <c r="H1204" s="116"/>
      <c r="I1204" s="116"/>
      <c r="L1204" s="169">
        <v>43782</v>
      </c>
      <c r="M1204" s="116">
        <v>380.5</v>
      </c>
      <c r="N1204" s="116">
        <v>395.9</v>
      </c>
      <c r="O1204" s="116">
        <v>376.25</v>
      </c>
      <c r="P1204" s="116">
        <v>394.9</v>
      </c>
      <c r="Q1204" s="116">
        <v>380.5</v>
      </c>
      <c r="R1204">
        <v>173022</v>
      </c>
    </row>
    <row r="1205" spans="1:18" x14ac:dyDescent="0.25">
      <c r="A1205" s="169">
        <v>43791</v>
      </c>
      <c r="B1205" s="116">
        <v>8.68</v>
      </c>
      <c r="C1205" s="116">
        <v>8.64</v>
      </c>
      <c r="D1205" s="116">
        <v>8.1999999999999993</v>
      </c>
      <c r="E1205" s="116">
        <v>8.1999999999999993</v>
      </c>
      <c r="F1205" s="116">
        <v>8.64</v>
      </c>
      <c r="G1205">
        <v>1187</v>
      </c>
      <c r="H1205" s="116"/>
      <c r="I1205" s="116"/>
      <c r="L1205" s="169">
        <v>43783</v>
      </c>
      <c r="M1205" s="116">
        <v>378.6</v>
      </c>
      <c r="N1205" s="116">
        <v>384.9</v>
      </c>
      <c r="O1205" s="116">
        <v>376.5</v>
      </c>
      <c r="P1205" s="116">
        <v>381</v>
      </c>
      <c r="Q1205" s="116">
        <v>378.6</v>
      </c>
      <c r="R1205">
        <v>145342</v>
      </c>
    </row>
    <row r="1206" spans="1:18" x14ac:dyDescent="0.25">
      <c r="A1206" s="169">
        <v>43794</v>
      </c>
      <c r="B1206" s="116">
        <v>8.98</v>
      </c>
      <c r="C1206" s="116">
        <v>8.51</v>
      </c>
      <c r="D1206" s="116">
        <v>8.2799999999999994</v>
      </c>
      <c r="E1206" s="116">
        <v>8.2799999999999994</v>
      </c>
      <c r="F1206" s="116">
        <v>8.51</v>
      </c>
      <c r="G1206">
        <v>3628</v>
      </c>
      <c r="H1206" s="116"/>
      <c r="I1206" s="116"/>
      <c r="L1206" s="169">
        <v>43784</v>
      </c>
      <c r="M1206" s="116">
        <v>385.1</v>
      </c>
      <c r="N1206" s="116">
        <v>389</v>
      </c>
      <c r="O1206" s="116">
        <v>378.05</v>
      </c>
      <c r="P1206" s="116">
        <v>379.95</v>
      </c>
      <c r="Q1206" s="116">
        <v>385.1</v>
      </c>
      <c r="R1206">
        <v>186620</v>
      </c>
    </row>
    <row r="1207" spans="1:18" x14ac:dyDescent="0.25">
      <c r="A1207" s="169">
        <v>43795</v>
      </c>
      <c r="B1207" s="116">
        <v>8.5</v>
      </c>
      <c r="C1207" s="116">
        <v>8.26</v>
      </c>
      <c r="D1207" s="116">
        <v>8.2200000000000006</v>
      </c>
      <c r="E1207" s="116">
        <v>8.5</v>
      </c>
      <c r="F1207" s="116">
        <v>8.26</v>
      </c>
      <c r="G1207">
        <v>4038</v>
      </c>
      <c r="H1207" s="116"/>
      <c r="I1207" s="116"/>
      <c r="L1207" s="169">
        <v>43787</v>
      </c>
      <c r="M1207" s="116">
        <v>384</v>
      </c>
      <c r="N1207" s="116">
        <v>388.9</v>
      </c>
      <c r="O1207" s="116">
        <v>378.8</v>
      </c>
      <c r="P1207" s="116">
        <v>380.05</v>
      </c>
      <c r="Q1207" s="116">
        <v>384</v>
      </c>
      <c r="R1207">
        <v>156182</v>
      </c>
    </row>
    <row r="1208" spans="1:18" x14ac:dyDescent="0.25">
      <c r="A1208" s="169">
        <v>43796</v>
      </c>
      <c r="B1208" s="116">
        <v>8.75</v>
      </c>
      <c r="C1208" s="116">
        <v>8.6</v>
      </c>
      <c r="D1208" s="116">
        <v>8.06</v>
      </c>
      <c r="E1208" s="116">
        <v>8.06</v>
      </c>
      <c r="F1208" s="116">
        <v>8.6</v>
      </c>
      <c r="G1208">
        <v>4076</v>
      </c>
      <c r="H1208" s="116"/>
      <c r="I1208" s="116"/>
      <c r="L1208" s="169">
        <v>43788</v>
      </c>
      <c r="M1208" s="116">
        <v>393.9</v>
      </c>
      <c r="N1208" s="116">
        <v>409.85</v>
      </c>
      <c r="O1208" s="116">
        <v>382</v>
      </c>
      <c r="P1208" s="116">
        <v>383.25</v>
      </c>
      <c r="Q1208" s="116">
        <v>393.9</v>
      </c>
      <c r="R1208">
        <v>874070</v>
      </c>
    </row>
    <row r="1209" spans="1:18" x14ac:dyDescent="0.25">
      <c r="A1209" s="169">
        <v>43797</v>
      </c>
      <c r="B1209" s="116">
        <v>8.7899999999999991</v>
      </c>
      <c r="C1209" s="116">
        <v>8.11</v>
      </c>
      <c r="D1209" s="116">
        <v>7.05</v>
      </c>
      <c r="E1209" s="116">
        <v>8.7899999999999991</v>
      </c>
      <c r="F1209" s="116">
        <v>8.11</v>
      </c>
      <c r="G1209">
        <v>18776</v>
      </c>
      <c r="H1209" s="116"/>
      <c r="I1209" s="116"/>
      <c r="L1209" s="169">
        <v>43789</v>
      </c>
      <c r="M1209" s="116">
        <v>395.9</v>
      </c>
      <c r="N1209" s="116">
        <v>405</v>
      </c>
      <c r="O1209" s="116">
        <v>394</v>
      </c>
      <c r="P1209" s="116">
        <v>394.45</v>
      </c>
      <c r="Q1209" s="116">
        <v>395.9</v>
      </c>
      <c r="R1209">
        <v>245151</v>
      </c>
    </row>
    <row r="1210" spans="1:18" x14ac:dyDescent="0.25">
      <c r="A1210" s="169">
        <v>43798</v>
      </c>
      <c r="B1210" s="116">
        <v>8.5</v>
      </c>
      <c r="C1210" s="116">
        <v>8.3000000000000007</v>
      </c>
      <c r="D1210" s="116">
        <v>8</v>
      </c>
      <c r="E1210" s="116">
        <v>8</v>
      </c>
      <c r="F1210" s="116">
        <v>8.3000000000000007</v>
      </c>
      <c r="G1210">
        <v>5275</v>
      </c>
      <c r="H1210" s="116"/>
      <c r="I1210" s="116"/>
      <c r="L1210" s="169">
        <v>43790</v>
      </c>
      <c r="M1210" s="116">
        <v>396.75</v>
      </c>
      <c r="N1210" s="116">
        <v>401.9</v>
      </c>
      <c r="O1210" s="116">
        <v>393.1</v>
      </c>
      <c r="P1210" s="116">
        <v>394.2</v>
      </c>
      <c r="Q1210" s="116">
        <v>396.75</v>
      </c>
      <c r="R1210">
        <v>150312</v>
      </c>
    </row>
    <row r="1211" spans="1:18" x14ac:dyDescent="0.25">
      <c r="A1211" s="169">
        <v>43801</v>
      </c>
      <c r="B1211" s="116">
        <v>8.25</v>
      </c>
      <c r="C1211" s="116">
        <v>8.25</v>
      </c>
      <c r="D1211" s="116">
        <v>8</v>
      </c>
      <c r="E1211" s="116">
        <v>8.0500000000000007</v>
      </c>
      <c r="F1211" s="116">
        <v>8.25</v>
      </c>
      <c r="G1211">
        <v>2353</v>
      </c>
      <c r="H1211" s="116"/>
      <c r="I1211" s="116"/>
      <c r="L1211" s="169">
        <v>43791</v>
      </c>
      <c r="M1211" s="116">
        <v>392.8</v>
      </c>
      <c r="N1211" s="116">
        <v>407.7</v>
      </c>
      <c r="O1211" s="116">
        <v>390.35</v>
      </c>
      <c r="P1211" s="116">
        <v>397.25</v>
      </c>
      <c r="Q1211" s="116">
        <v>392.8</v>
      </c>
      <c r="R1211">
        <v>447394</v>
      </c>
    </row>
    <row r="1212" spans="1:18" x14ac:dyDescent="0.25">
      <c r="A1212" s="169">
        <v>43802</v>
      </c>
      <c r="B1212" s="116">
        <v>8.4</v>
      </c>
      <c r="C1212" s="116">
        <v>8.15</v>
      </c>
      <c r="D1212" s="116">
        <v>7.81</v>
      </c>
      <c r="E1212" s="116">
        <v>8.35</v>
      </c>
      <c r="F1212" s="116">
        <v>8.15</v>
      </c>
      <c r="G1212">
        <v>41260</v>
      </c>
      <c r="H1212" s="116"/>
      <c r="I1212" s="116"/>
      <c r="L1212" s="169">
        <v>43794</v>
      </c>
      <c r="M1212" s="116">
        <v>394.35</v>
      </c>
      <c r="N1212" s="116">
        <v>399.8</v>
      </c>
      <c r="O1212" s="116">
        <v>390</v>
      </c>
      <c r="P1212" s="116">
        <v>394.9</v>
      </c>
      <c r="Q1212" s="116">
        <v>394.35</v>
      </c>
      <c r="R1212">
        <v>164698</v>
      </c>
    </row>
    <row r="1213" spans="1:18" x14ac:dyDescent="0.25">
      <c r="A1213" s="169">
        <v>43803</v>
      </c>
      <c r="B1213" s="116">
        <v>8.3699999999999992</v>
      </c>
      <c r="C1213" s="116">
        <v>8</v>
      </c>
      <c r="D1213" s="116">
        <v>7.92</v>
      </c>
      <c r="E1213" s="116">
        <v>7.92</v>
      </c>
      <c r="F1213" s="116">
        <v>8</v>
      </c>
      <c r="G1213">
        <v>6081</v>
      </c>
      <c r="H1213" s="116"/>
      <c r="I1213" s="116"/>
      <c r="L1213" s="169">
        <v>43795</v>
      </c>
      <c r="M1213" s="116">
        <v>387.15</v>
      </c>
      <c r="N1213" s="116">
        <v>398.35</v>
      </c>
      <c r="O1213" s="116">
        <v>383.6</v>
      </c>
      <c r="P1213" s="116">
        <v>397.6</v>
      </c>
      <c r="Q1213" s="116">
        <v>387.15</v>
      </c>
      <c r="R1213">
        <v>211955</v>
      </c>
    </row>
    <row r="1214" spans="1:18" x14ac:dyDescent="0.25">
      <c r="A1214" s="169">
        <v>43804</v>
      </c>
      <c r="B1214" s="116">
        <v>8.09</v>
      </c>
      <c r="C1214" s="116">
        <v>7.91</v>
      </c>
      <c r="D1214" s="116">
        <v>7.9</v>
      </c>
      <c r="E1214" s="116">
        <v>8</v>
      </c>
      <c r="F1214" s="116">
        <v>7.91</v>
      </c>
      <c r="G1214">
        <v>8610</v>
      </c>
      <c r="H1214" s="116"/>
      <c r="I1214" s="116"/>
      <c r="L1214" s="169">
        <v>43796</v>
      </c>
      <c r="M1214" s="116">
        <v>391.85</v>
      </c>
      <c r="N1214" s="116">
        <v>393.9</v>
      </c>
      <c r="O1214" s="116">
        <v>388.1</v>
      </c>
      <c r="P1214" s="116">
        <v>389.1</v>
      </c>
      <c r="Q1214" s="116">
        <v>391.85</v>
      </c>
      <c r="R1214">
        <v>134985</v>
      </c>
    </row>
    <row r="1215" spans="1:18" x14ac:dyDescent="0.25">
      <c r="A1215" s="169">
        <v>43805</v>
      </c>
      <c r="B1215" s="116">
        <v>8.1999999999999993</v>
      </c>
      <c r="C1215" s="116">
        <v>7.98</v>
      </c>
      <c r="D1215" s="116">
        <v>7.8</v>
      </c>
      <c r="E1215" s="116">
        <v>8.1999999999999993</v>
      </c>
      <c r="F1215" s="116">
        <v>7.98</v>
      </c>
      <c r="G1215">
        <v>3075</v>
      </c>
      <c r="H1215" s="116"/>
      <c r="I1215" s="116"/>
      <c r="L1215" s="169">
        <v>43797</v>
      </c>
      <c r="M1215" s="116">
        <v>393.8</v>
      </c>
      <c r="N1215" s="116">
        <v>399.8</v>
      </c>
      <c r="O1215" s="116">
        <v>387.25</v>
      </c>
      <c r="P1215" s="116">
        <v>392</v>
      </c>
      <c r="Q1215" s="116">
        <v>393.8</v>
      </c>
      <c r="R1215">
        <v>254451</v>
      </c>
    </row>
    <row r="1216" spans="1:18" x14ac:dyDescent="0.25">
      <c r="A1216" s="169">
        <v>43808</v>
      </c>
      <c r="B1216" s="116">
        <v>7.98</v>
      </c>
      <c r="C1216" s="116">
        <v>7.54</v>
      </c>
      <c r="D1216" s="116">
        <v>7.26</v>
      </c>
      <c r="E1216" s="116">
        <v>7.98</v>
      </c>
      <c r="F1216" s="116">
        <v>7.54</v>
      </c>
      <c r="G1216">
        <v>14896</v>
      </c>
      <c r="H1216" s="116"/>
      <c r="I1216" s="116"/>
      <c r="L1216" s="169">
        <v>43798</v>
      </c>
      <c r="M1216" s="116">
        <v>398.3</v>
      </c>
      <c r="N1216" s="116">
        <v>399.5</v>
      </c>
      <c r="O1216" s="116">
        <v>389.25</v>
      </c>
      <c r="P1216" s="116">
        <v>395.25</v>
      </c>
      <c r="Q1216" s="116">
        <v>398.3</v>
      </c>
      <c r="R1216">
        <v>285923</v>
      </c>
    </row>
    <row r="1217" spans="1:18" x14ac:dyDescent="0.25">
      <c r="A1217" s="169">
        <v>43809</v>
      </c>
      <c r="B1217" s="116">
        <v>7.6</v>
      </c>
      <c r="C1217" s="116">
        <v>7.51</v>
      </c>
      <c r="D1217" s="116">
        <v>7.51</v>
      </c>
      <c r="E1217" s="116">
        <v>7.54</v>
      </c>
      <c r="F1217" s="116">
        <v>7.51</v>
      </c>
      <c r="G1217">
        <v>10892</v>
      </c>
      <c r="H1217" s="116"/>
      <c r="I1217" s="116"/>
      <c r="L1217" s="169">
        <v>43801</v>
      </c>
      <c r="M1217" s="116">
        <v>394.95</v>
      </c>
      <c r="N1217" s="116">
        <v>403.5</v>
      </c>
      <c r="O1217" s="116">
        <v>392.45</v>
      </c>
      <c r="P1217" s="116">
        <v>399.3</v>
      </c>
      <c r="Q1217" s="116">
        <v>394.95</v>
      </c>
      <c r="R1217">
        <v>187952</v>
      </c>
    </row>
    <row r="1218" spans="1:18" x14ac:dyDescent="0.25">
      <c r="A1218" s="169">
        <v>43810</v>
      </c>
      <c r="B1218" s="116">
        <v>7.75</v>
      </c>
      <c r="C1218" s="116">
        <v>7.6</v>
      </c>
      <c r="D1218" s="116">
        <v>7.5</v>
      </c>
      <c r="E1218" s="116">
        <v>7.5</v>
      </c>
      <c r="F1218" s="116">
        <v>7.6</v>
      </c>
      <c r="G1218">
        <v>7111</v>
      </c>
      <c r="H1218" s="116"/>
      <c r="I1218" s="116"/>
      <c r="L1218" s="169">
        <v>43802</v>
      </c>
      <c r="M1218" s="116">
        <v>387.95</v>
      </c>
      <c r="N1218" s="116">
        <v>397</v>
      </c>
      <c r="O1218" s="116">
        <v>385.25</v>
      </c>
      <c r="P1218" s="116">
        <v>397</v>
      </c>
      <c r="Q1218" s="116">
        <v>387.95</v>
      </c>
      <c r="R1218">
        <v>131466</v>
      </c>
    </row>
    <row r="1219" spans="1:18" x14ac:dyDescent="0.25">
      <c r="A1219" s="169">
        <v>43811</v>
      </c>
      <c r="B1219" s="116">
        <v>7.9</v>
      </c>
      <c r="C1219" s="116">
        <v>7.62</v>
      </c>
      <c r="D1219" s="116">
        <v>7.46</v>
      </c>
      <c r="E1219" s="116">
        <v>7.8</v>
      </c>
      <c r="F1219" s="116">
        <v>7.62</v>
      </c>
      <c r="G1219">
        <v>8865</v>
      </c>
      <c r="H1219" s="116"/>
      <c r="I1219" s="116"/>
      <c r="L1219" s="169">
        <v>43803</v>
      </c>
      <c r="M1219" s="116">
        <v>400.55</v>
      </c>
      <c r="N1219" s="116">
        <v>403.25</v>
      </c>
      <c r="O1219" s="116">
        <v>386.05</v>
      </c>
      <c r="P1219" s="116">
        <v>389.75</v>
      </c>
      <c r="Q1219" s="116">
        <v>400.55</v>
      </c>
      <c r="R1219">
        <v>250327</v>
      </c>
    </row>
    <row r="1220" spans="1:18" x14ac:dyDescent="0.25">
      <c r="A1220" s="169">
        <v>43812</v>
      </c>
      <c r="B1220" s="116">
        <v>7.65</v>
      </c>
      <c r="C1220" s="116">
        <v>7.36</v>
      </c>
      <c r="D1220" s="116">
        <v>7.31</v>
      </c>
      <c r="E1220" s="116">
        <v>7.35</v>
      </c>
      <c r="F1220" s="116">
        <v>7.36</v>
      </c>
      <c r="G1220">
        <v>1782</v>
      </c>
      <c r="H1220" s="116"/>
      <c r="I1220" s="116"/>
      <c r="L1220" s="169">
        <v>43804</v>
      </c>
      <c r="M1220" s="116">
        <v>421.25</v>
      </c>
      <c r="N1220" s="116">
        <v>424.6</v>
      </c>
      <c r="O1220" s="116">
        <v>402.65</v>
      </c>
      <c r="P1220" s="116">
        <v>405</v>
      </c>
      <c r="Q1220" s="116">
        <v>421.25</v>
      </c>
      <c r="R1220">
        <v>1430444</v>
      </c>
    </row>
    <row r="1221" spans="1:18" x14ac:dyDescent="0.25">
      <c r="A1221" s="169">
        <v>43815</v>
      </c>
      <c r="B1221" s="116">
        <v>7.5</v>
      </c>
      <c r="C1221" s="116">
        <v>7.5</v>
      </c>
      <c r="D1221" s="116">
        <v>7.2</v>
      </c>
      <c r="E1221" s="116">
        <v>7.31</v>
      </c>
      <c r="F1221" s="116">
        <v>7.5</v>
      </c>
      <c r="G1221">
        <v>6900</v>
      </c>
      <c r="H1221" s="116"/>
      <c r="I1221" s="116"/>
      <c r="L1221" s="169">
        <v>43805</v>
      </c>
      <c r="M1221" s="116">
        <v>414.45</v>
      </c>
      <c r="N1221" s="116">
        <v>419.9</v>
      </c>
      <c r="O1221" s="116">
        <v>407.5</v>
      </c>
      <c r="P1221" s="116">
        <v>419.3</v>
      </c>
      <c r="Q1221" s="116">
        <v>414.45</v>
      </c>
      <c r="R1221">
        <v>395409</v>
      </c>
    </row>
    <row r="1222" spans="1:18" x14ac:dyDescent="0.25">
      <c r="A1222" s="169">
        <v>43816</v>
      </c>
      <c r="B1222" s="116">
        <v>7.6</v>
      </c>
      <c r="C1222" s="116">
        <v>7.37</v>
      </c>
      <c r="D1222" s="116">
        <v>7.2</v>
      </c>
      <c r="E1222" s="116">
        <v>7.2</v>
      </c>
      <c r="F1222" s="116">
        <v>7.37</v>
      </c>
      <c r="G1222">
        <v>8208</v>
      </c>
      <c r="H1222" s="116"/>
      <c r="I1222" s="116"/>
      <c r="L1222" s="169">
        <v>43808</v>
      </c>
      <c r="M1222" s="116">
        <v>410.55</v>
      </c>
      <c r="N1222" s="116">
        <v>419.1</v>
      </c>
      <c r="O1222" s="116">
        <v>407.2</v>
      </c>
      <c r="P1222" s="116">
        <v>414</v>
      </c>
      <c r="Q1222" s="116">
        <v>410.55</v>
      </c>
      <c r="R1222">
        <v>252612</v>
      </c>
    </row>
    <row r="1223" spans="1:18" x14ac:dyDescent="0.25">
      <c r="A1223" s="169">
        <v>43817</v>
      </c>
      <c r="B1223" s="116">
        <v>7.6</v>
      </c>
      <c r="C1223" s="116">
        <v>7.45</v>
      </c>
      <c r="D1223" s="116">
        <v>7.02</v>
      </c>
      <c r="E1223" s="116">
        <v>7.02</v>
      </c>
      <c r="F1223" s="116">
        <v>7.45</v>
      </c>
      <c r="G1223">
        <v>9122</v>
      </c>
      <c r="H1223" s="116"/>
      <c r="I1223" s="116"/>
      <c r="L1223" s="169">
        <v>43809</v>
      </c>
      <c r="M1223" s="116">
        <v>406.7</v>
      </c>
      <c r="N1223" s="116">
        <v>412.15</v>
      </c>
      <c r="O1223" s="116">
        <v>401.75</v>
      </c>
      <c r="P1223" s="116">
        <v>410.95</v>
      </c>
      <c r="Q1223" s="116">
        <v>406.7</v>
      </c>
      <c r="R1223">
        <v>91374</v>
      </c>
    </row>
    <row r="1224" spans="1:18" x14ac:dyDescent="0.25">
      <c r="A1224" s="169">
        <v>43818</v>
      </c>
      <c r="B1224" s="116">
        <v>7.6</v>
      </c>
      <c r="C1224" s="116">
        <v>7.25</v>
      </c>
      <c r="D1224" s="116">
        <v>7.15</v>
      </c>
      <c r="E1224" s="116">
        <v>7.6</v>
      </c>
      <c r="F1224" s="116">
        <v>7.25</v>
      </c>
      <c r="G1224">
        <v>9505</v>
      </c>
      <c r="H1224" s="116"/>
      <c r="I1224" s="116"/>
      <c r="L1224" s="169">
        <v>43810</v>
      </c>
      <c r="M1224" s="116">
        <v>411.8</v>
      </c>
      <c r="N1224" s="116">
        <v>416.75</v>
      </c>
      <c r="O1224" s="116">
        <v>407.05</v>
      </c>
      <c r="P1224" s="116">
        <v>412.1</v>
      </c>
      <c r="Q1224" s="116">
        <v>411.8</v>
      </c>
      <c r="R1224">
        <v>281266</v>
      </c>
    </row>
    <row r="1225" spans="1:18" x14ac:dyDescent="0.25">
      <c r="A1225" s="169">
        <v>43819</v>
      </c>
      <c r="B1225" s="116">
        <v>7.5</v>
      </c>
      <c r="C1225" s="116">
        <v>7.28</v>
      </c>
      <c r="D1225" s="116">
        <v>7.25</v>
      </c>
      <c r="E1225" s="116">
        <v>7.26</v>
      </c>
      <c r="F1225" s="116">
        <v>7.28</v>
      </c>
      <c r="G1225">
        <v>7231</v>
      </c>
      <c r="H1225" s="116"/>
      <c r="I1225" s="116"/>
      <c r="L1225" s="169">
        <v>43811</v>
      </c>
      <c r="M1225" s="116">
        <v>411.05</v>
      </c>
      <c r="N1225" s="116">
        <v>414.75</v>
      </c>
      <c r="O1225" s="116">
        <v>406.85</v>
      </c>
      <c r="P1225" s="116">
        <v>414.75</v>
      </c>
      <c r="Q1225" s="116">
        <v>411.05</v>
      </c>
      <c r="R1225">
        <v>110315</v>
      </c>
    </row>
    <row r="1226" spans="1:18" x14ac:dyDescent="0.25">
      <c r="A1226" s="169">
        <v>43822</v>
      </c>
      <c r="B1226" s="116">
        <v>7.8</v>
      </c>
      <c r="C1226" s="116">
        <v>7.29</v>
      </c>
      <c r="D1226" s="116">
        <v>7</v>
      </c>
      <c r="E1226" s="116">
        <v>7</v>
      </c>
      <c r="F1226" s="116">
        <v>7.29</v>
      </c>
      <c r="G1226">
        <v>5753</v>
      </c>
      <c r="H1226" s="116"/>
      <c r="I1226" s="116"/>
      <c r="L1226" s="169">
        <v>43812</v>
      </c>
      <c r="M1226" s="116">
        <v>416.55</v>
      </c>
      <c r="N1226" s="116">
        <v>421.4</v>
      </c>
      <c r="O1226" s="116">
        <v>408.65</v>
      </c>
      <c r="P1226" s="116">
        <v>411.1</v>
      </c>
      <c r="Q1226" s="116">
        <v>416.55</v>
      </c>
      <c r="R1226">
        <v>186515</v>
      </c>
    </row>
    <row r="1227" spans="1:18" x14ac:dyDescent="0.25">
      <c r="A1227" s="169">
        <v>43823</v>
      </c>
      <c r="B1227" s="116">
        <v>7.39</v>
      </c>
      <c r="C1227" s="116">
        <v>7.39</v>
      </c>
      <c r="D1227" s="116">
        <v>7.05</v>
      </c>
      <c r="E1227" s="116">
        <v>7.35</v>
      </c>
      <c r="F1227" s="116">
        <v>7.39</v>
      </c>
      <c r="G1227">
        <v>2006</v>
      </c>
      <c r="H1227" s="116"/>
      <c r="I1227" s="116"/>
      <c r="L1227" s="169">
        <v>43815</v>
      </c>
      <c r="M1227" s="116">
        <v>417.1</v>
      </c>
      <c r="N1227" s="116">
        <v>418.6</v>
      </c>
      <c r="O1227" s="116">
        <v>408.2</v>
      </c>
      <c r="P1227" s="116">
        <v>418.6</v>
      </c>
      <c r="Q1227" s="116">
        <v>417.1</v>
      </c>
      <c r="R1227">
        <v>241444</v>
      </c>
    </row>
    <row r="1228" spans="1:18" x14ac:dyDescent="0.25">
      <c r="A1228" s="169">
        <v>43825</v>
      </c>
      <c r="B1228" s="116">
        <v>7.45</v>
      </c>
      <c r="C1228" s="116">
        <v>7.07</v>
      </c>
      <c r="D1228" s="116">
        <v>7</v>
      </c>
      <c r="E1228" s="116">
        <v>7.45</v>
      </c>
      <c r="F1228" s="116">
        <v>7.07</v>
      </c>
      <c r="G1228">
        <v>27312</v>
      </c>
      <c r="H1228" s="116"/>
      <c r="I1228" s="116"/>
      <c r="L1228" s="169">
        <v>43816</v>
      </c>
      <c r="M1228" s="116">
        <v>419.6</v>
      </c>
      <c r="N1228" s="116">
        <v>422.5</v>
      </c>
      <c r="O1228" s="116">
        <v>414.95</v>
      </c>
      <c r="P1228" s="116">
        <v>417.95</v>
      </c>
      <c r="Q1228" s="116">
        <v>419.6</v>
      </c>
      <c r="R1228">
        <v>939895</v>
      </c>
    </row>
    <row r="1229" spans="1:18" x14ac:dyDescent="0.25">
      <c r="A1229" s="169">
        <v>43826</v>
      </c>
      <c r="B1229" s="116">
        <v>7.25</v>
      </c>
      <c r="C1229" s="116">
        <v>7.24</v>
      </c>
      <c r="D1229" s="116">
        <v>7.2</v>
      </c>
      <c r="E1229" s="116">
        <v>7.2</v>
      </c>
      <c r="F1229" s="116">
        <v>7.24</v>
      </c>
      <c r="G1229">
        <v>7886</v>
      </c>
      <c r="H1229" s="116"/>
      <c r="I1229" s="116"/>
      <c r="L1229" s="169">
        <v>43817</v>
      </c>
      <c r="M1229" s="116">
        <v>406.6</v>
      </c>
      <c r="N1229" s="116">
        <v>418.75</v>
      </c>
      <c r="O1229" s="116">
        <v>405.05</v>
      </c>
      <c r="P1229" s="116">
        <v>418.75</v>
      </c>
      <c r="Q1229" s="116">
        <v>406.6</v>
      </c>
      <c r="R1229">
        <v>119045</v>
      </c>
    </row>
    <row r="1230" spans="1:18" x14ac:dyDescent="0.25">
      <c r="A1230" s="169">
        <v>43829</v>
      </c>
      <c r="B1230" s="116">
        <v>8.39</v>
      </c>
      <c r="C1230" s="116">
        <v>7.62</v>
      </c>
      <c r="D1230" s="116">
        <v>6.9</v>
      </c>
      <c r="E1230" s="116">
        <v>7.4</v>
      </c>
      <c r="F1230" s="116">
        <v>7.62</v>
      </c>
      <c r="G1230">
        <v>7770</v>
      </c>
      <c r="H1230" s="116"/>
      <c r="I1230" s="116"/>
      <c r="L1230" s="169">
        <v>43818</v>
      </c>
      <c r="M1230" s="116">
        <v>398.25</v>
      </c>
      <c r="N1230" s="116">
        <v>405.45</v>
      </c>
      <c r="O1230" s="116">
        <v>396</v>
      </c>
      <c r="P1230" s="116">
        <v>405.45</v>
      </c>
      <c r="Q1230" s="116">
        <v>398.25</v>
      </c>
      <c r="R1230">
        <v>257091</v>
      </c>
    </row>
    <row r="1231" spans="1:18" x14ac:dyDescent="0.25">
      <c r="A1231" s="169">
        <v>43830</v>
      </c>
      <c r="B1231" s="116">
        <v>7.95</v>
      </c>
      <c r="C1231" s="116">
        <v>7.57</v>
      </c>
      <c r="D1231" s="116">
        <v>7.51</v>
      </c>
      <c r="E1231" s="116">
        <v>7.51</v>
      </c>
      <c r="F1231" s="116">
        <v>7.57</v>
      </c>
      <c r="G1231">
        <v>2518</v>
      </c>
      <c r="H1231" s="116"/>
      <c r="I1231" s="116"/>
      <c r="L1231" s="169">
        <v>43819</v>
      </c>
      <c r="M1231" s="116">
        <v>392.25</v>
      </c>
      <c r="N1231" s="116">
        <v>404.75</v>
      </c>
      <c r="O1231" s="116">
        <v>391.15</v>
      </c>
      <c r="P1231" s="116">
        <v>394.2</v>
      </c>
      <c r="Q1231" s="116">
        <v>392.25</v>
      </c>
      <c r="R1231">
        <v>276718</v>
      </c>
    </row>
    <row r="1232" spans="1:18" x14ac:dyDescent="0.25">
      <c r="A1232" s="169">
        <v>43831</v>
      </c>
      <c r="B1232" s="116">
        <v>8.14</v>
      </c>
      <c r="C1232" s="116">
        <v>8</v>
      </c>
      <c r="D1232" s="116">
        <v>7.3</v>
      </c>
      <c r="E1232" s="116">
        <v>7.85</v>
      </c>
      <c r="F1232" s="116">
        <v>8</v>
      </c>
      <c r="G1232">
        <v>13740</v>
      </c>
      <c r="H1232" s="116"/>
      <c r="I1232" s="116"/>
      <c r="L1232" s="169">
        <v>43822</v>
      </c>
      <c r="M1232" s="116">
        <v>398.05</v>
      </c>
      <c r="N1232" s="116">
        <v>402</v>
      </c>
      <c r="O1232" s="116">
        <v>389</v>
      </c>
      <c r="P1232" s="116">
        <v>391</v>
      </c>
      <c r="Q1232" s="116">
        <v>398.05</v>
      </c>
      <c r="R1232">
        <v>624985</v>
      </c>
    </row>
    <row r="1233" spans="1:18" x14ac:dyDescent="0.25">
      <c r="A1233" s="169">
        <v>43832</v>
      </c>
      <c r="B1233" s="116">
        <v>8.49</v>
      </c>
      <c r="C1233" s="116">
        <v>8.49</v>
      </c>
      <c r="D1233" s="116">
        <v>7.11</v>
      </c>
      <c r="E1233" s="116">
        <v>7.5</v>
      </c>
      <c r="F1233" s="116">
        <v>8.49</v>
      </c>
      <c r="G1233">
        <v>6126</v>
      </c>
      <c r="H1233" s="116"/>
      <c r="I1233" s="116"/>
      <c r="L1233" s="169">
        <v>43823</v>
      </c>
      <c r="M1233" s="116">
        <v>396.15</v>
      </c>
      <c r="N1233" s="116">
        <v>399.35</v>
      </c>
      <c r="O1233" s="116">
        <v>392.3</v>
      </c>
      <c r="P1233" s="116">
        <v>399</v>
      </c>
      <c r="Q1233" s="116">
        <v>396.15</v>
      </c>
      <c r="R1233">
        <v>147224</v>
      </c>
    </row>
    <row r="1234" spans="1:18" x14ac:dyDescent="0.25">
      <c r="A1234" s="169">
        <v>43833</v>
      </c>
      <c r="B1234" s="116">
        <v>8.5</v>
      </c>
      <c r="C1234" s="116">
        <v>8.25</v>
      </c>
      <c r="D1234" s="116">
        <v>8.1999999999999993</v>
      </c>
      <c r="E1234" s="116">
        <v>8.5</v>
      </c>
      <c r="F1234" s="116">
        <v>8.25</v>
      </c>
      <c r="G1234">
        <v>3567</v>
      </c>
      <c r="H1234" s="116"/>
      <c r="I1234" s="116"/>
      <c r="L1234" s="169">
        <v>43825</v>
      </c>
      <c r="M1234" s="116">
        <v>391.2</v>
      </c>
      <c r="N1234" s="116">
        <v>398</v>
      </c>
      <c r="O1234" s="116">
        <v>390</v>
      </c>
      <c r="P1234" s="116">
        <v>396.4</v>
      </c>
      <c r="Q1234" s="116">
        <v>391.2</v>
      </c>
      <c r="R1234">
        <v>169955</v>
      </c>
    </row>
    <row r="1235" spans="1:18" x14ac:dyDescent="0.25">
      <c r="A1235" s="169">
        <v>43836</v>
      </c>
      <c r="B1235" s="116">
        <v>8.1</v>
      </c>
      <c r="C1235" s="116">
        <v>7.85</v>
      </c>
      <c r="D1235" s="116">
        <v>7.61</v>
      </c>
      <c r="E1235" s="116">
        <v>8.1</v>
      </c>
      <c r="F1235" s="116">
        <v>7.85</v>
      </c>
      <c r="G1235">
        <v>3075</v>
      </c>
      <c r="H1235" s="116"/>
      <c r="I1235" s="116"/>
      <c r="L1235" s="169">
        <v>43826</v>
      </c>
      <c r="M1235" s="116">
        <v>391.25</v>
      </c>
      <c r="N1235" s="116">
        <v>397.8</v>
      </c>
      <c r="O1235" s="116">
        <v>390.2</v>
      </c>
      <c r="P1235" s="116">
        <v>395.75</v>
      </c>
      <c r="Q1235" s="116">
        <v>391.25</v>
      </c>
      <c r="R1235">
        <v>615507</v>
      </c>
    </row>
    <row r="1236" spans="1:18" x14ac:dyDescent="0.25">
      <c r="A1236" s="169">
        <v>43837</v>
      </c>
      <c r="B1236" s="116">
        <v>8.3800000000000008</v>
      </c>
      <c r="C1236" s="116">
        <v>8.2799999999999994</v>
      </c>
      <c r="D1236" s="116">
        <v>7.6</v>
      </c>
      <c r="E1236" s="116">
        <v>7.6</v>
      </c>
      <c r="F1236" s="116">
        <v>8.2799999999999994</v>
      </c>
      <c r="G1236">
        <v>3168</v>
      </c>
      <c r="H1236" s="116"/>
      <c r="I1236" s="116"/>
      <c r="L1236" s="169">
        <v>43829</v>
      </c>
      <c r="M1236" s="116">
        <v>395.8</v>
      </c>
      <c r="N1236" s="116">
        <v>398.3</v>
      </c>
      <c r="O1236" s="116">
        <v>388</v>
      </c>
      <c r="P1236" s="116">
        <v>391.2</v>
      </c>
      <c r="Q1236" s="116">
        <v>395.8</v>
      </c>
      <c r="R1236">
        <v>177566</v>
      </c>
    </row>
    <row r="1237" spans="1:18" x14ac:dyDescent="0.25">
      <c r="A1237" s="169">
        <v>43838</v>
      </c>
      <c r="B1237" s="116">
        <v>8.4</v>
      </c>
      <c r="C1237" s="116">
        <v>7.96</v>
      </c>
      <c r="D1237" s="116">
        <v>7.65</v>
      </c>
      <c r="E1237" s="116">
        <v>8.4</v>
      </c>
      <c r="F1237" s="116">
        <v>7.96</v>
      </c>
      <c r="G1237">
        <v>4478</v>
      </c>
      <c r="H1237" s="116"/>
      <c r="I1237" s="116"/>
      <c r="L1237" s="169">
        <v>43830</v>
      </c>
      <c r="M1237" s="116">
        <v>393.05</v>
      </c>
      <c r="N1237" s="116">
        <v>400.95</v>
      </c>
      <c r="O1237" s="116">
        <v>392.2</v>
      </c>
      <c r="P1237" s="116">
        <v>396</v>
      </c>
      <c r="Q1237" s="116">
        <v>393.05</v>
      </c>
      <c r="R1237">
        <v>189009</v>
      </c>
    </row>
    <row r="1238" spans="1:18" x14ac:dyDescent="0.25">
      <c r="A1238" s="169">
        <v>43839</v>
      </c>
      <c r="B1238" s="116">
        <v>7.95</v>
      </c>
      <c r="C1238" s="116">
        <v>7.85</v>
      </c>
      <c r="D1238" s="116">
        <v>7.73</v>
      </c>
      <c r="E1238" s="116">
        <v>7.95</v>
      </c>
      <c r="F1238" s="116">
        <v>7.85</v>
      </c>
      <c r="G1238">
        <v>2195</v>
      </c>
      <c r="H1238" s="116"/>
      <c r="I1238" s="116"/>
      <c r="L1238" s="169">
        <v>43831</v>
      </c>
      <c r="M1238" s="116">
        <v>395.35</v>
      </c>
      <c r="N1238" s="116">
        <v>396.35</v>
      </c>
      <c r="O1238" s="116">
        <v>393.9</v>
      </c>
      <c r="P1238" s="116">
        <v>395</v>
      </c>
      <c r="Q1238" s="116">
        <v>395.35</v>
      </c>
      <c r="R1238">
        <v>53092</v>
      </c>
    </row>
    <row r="1239" spans="1:18" x14ac:dyDescent="0.25">
      <c r="A1239" s="169">
        <v>43840</v>
      </c>
      <c r="B1239" s="116">
        <v>8.9</v>
      </c>
      <c r="C1239" s="116">
        <v>8.32</v>
      </c>
      <c r="D1239" s="116">
        <v>7.85</v>
      </c>
      <c r="E1239" s="116">
        <v>7.85</v>
      </c>
      <c r="F1239" s="116">
        <v>8.32</v>
      </c>
      <c r="G1239">
        <v>29493</v>
      </c>
      <c r="H1239" s="116"/>
      <c r="I1239" s="116"/>
      <c r="L1239" s="169">
        <v>43832</v>
      </c>
      <c r="M1239" s="116">
        <v>400.3</v>
      </c>
      <c r="N1239" s="116">
        <v>404.7</v>
      </c>
      <c r="O1239" s="116">
        <v>395.5</v>
      </c>
      <c r="P1239" s="116">
        <v>396</v>
      </c>
      <c r="Q1239" s="116">
        <v>400.3</v>
      </c>
      <c r="R1239">
        <v>178064</v>
      </c>
    </row>
    <row r="1240" spans="1:18" x14ac:dyDescent="0.25">
      <c r="A1240" s="169">
        <v>43843</v>
      </c>
      <c r="B1240" s="116">
        <v>8.5</v>
      </c>
      <c r="C1240" s="116">
        <v>8.25</v>
      </c>
      <c r="D1240" s="116">
        <v>8</v>
      </c>
      <c r="E1240" s="116">
        <v>8.4499999999999993</v>
      </c>
      <c r="F1240" s="116">
        <v>8.25</v>
      </c>
      <c r="G1240">
        <v>4957</v>
      </c>
      <c r="H1240" s="116"/>
      <c r="I1240" s="116"/>
      <c r="L1240" s="169">
        <v>43833</v>
      </c>
      <c r="M1240" s="116">
        <v>395.25</v>
      </c>
      <c r="N1240" s="116">
        <v>402.35</v>
      </c>
      <c r="O1240" s="116">
        <v>392.85</v>
      </c>
      <c r="P1240" s="116">
        <v>400.5</v>
      </c>
      <c r="Q1240" s="116">
        <v>395.25</v>
      </c>
      <c r="R1240">
        <v>121673</v>
      </c>
    </row>
    <row r="1241" spans="1:18" x14ac:dyDescent="0.25">
      <c r="A1241" s="169">
        <v>43844</v>
      </c>
      <c r="B1241" s="116">
        <v>8.5500000000000007</v>
      </c>
      <c r="C1241" s="116">
        <v>8.35</v>
      </c>
      <c r="D1241" s="116">
        <v>8.1999999999999993</v>
      </c>
      <c r="E1241" s="116">
        <v>8.1999999999999993</v>
      </c>
      <c r="F1241" s="116">
        <v>8.35</v>
      </c>
      <c r="G1241">
        <v>1247</v>
      </c>
      <c r="H1241" s="116"/>
      <c r="I1241" s="116"/>
      <c r="L1241" s="169">
        <v>43836</v>
      </c>
      <c r="M1241" s="116">
        <v>383.4</v>
      </c>
      <c r="N1241" s="116">
        <v>393.9</v>
      </c>
      <c r="O1241" s="116">
        <v>382</v>
      </c>
      <c r="P1241" s="116">
        <v>393.45</v>
      </c>
      <c r="Q1241" s="116">
        <v>383.4</v>
      </c>
      <c r="R1241">
        <v>169654</v>
      </c>
    </row>
    <row r="1242" spans="1:18" x14ac:dyDescent="0.25">
      <c r="A1242" s="169">
        <v>43845</v>
      </c>
      <c r="B1242" s="116">
        <v>8.35</v>
      </c>
      <c r="C1242" s="116">
        <v>8.24</v>
      </c>
      <c r="D1242" s="116">
        <v>8.06</v>
      </c>
      <c r="E1242" s="116">
        <v>8.35</v>
      </c>
      <c r="F1242" s="116">
        <v>8.24</v>
      </c>
      <c r="G1242">
        <v>7242</v>
      </c>
      <c r="H1242" s="116"/>
      <c r="I1242" s="116"/>
      <c r="L1242" s="169">
        <v>43837</v>
      </c>
      <c r="M1242" s="116">
        <v>388.15</v>
      </c>
      <c r="N1242" s="116">
        <v>398.75</v>
      </c>
      <c r="O1242" s="116">
        <v>385.35</v>
      </c>
      <c r="P1242" s="116">
        <v>385.35</v>
      </c>
      <c r="Q1242" s="116">
        <v>388.15</v>
      </c>
      <c r="R1242">
        <v>91083</v>
      </c>
    </row>
    <row r="1243" spans="1:18" x14ac:dyDescent="0.25">
      <c r="A1243" s="169">
        <v>43846</v>
      </c>
      <c r="B1243" s="116">
        <v>8.49</v>
      </c>
      <c r="C1243" s="116">
        <v>8.15</v>
      </c>
      <c r="D1243" s="116">
        <v>7.96</v>
      </c>
      <c r="E1243" s="116">
        <v>8.16</v>
      </c>
      <c r="F1243" s="116">
        <v>8.15</v>
      </c>
      <c r="G1243">
        <v>11782</v>
      </c>
      <c r="H1243" s="116"/>
      <c r="I1243" s="116"/>
      <c r="L1243" s="169">
        <v>43838</v>
      </c>
      <c r="M1243" s="116">
        <v>384.3</v>
      </c>
      <c r="N1243" s="116">
        <v>388.3</v>
      </c>
      <c r="O1243" s="116">
        <v>381.6</v>
      </c>
      <c r="P1243" s="116">
        <v>385</v>
      </c>
      <c r="Q1243" s="116">
        <v>384.3</v>
      </c>
      <c r="R1243">
        <v>74785</v>
      </c>
    </row>
    <row r="1244" spans="1:18" x14ac:dyDescent="0.25">
      <c r="A1244" s="169">
        <v>43847</v>
      </c>
      <c r="B1244" s="116">
        <v>8.3000000000000007</v>
      </c>
      <c r="C1244" s="116">
        <v>7.85</v>
      </c>
      <c r="D1244" s="116">
        <v>7.75</v>
      </c>
      <c r="E1244" s="116">
        <v>8.1999999999999993</v>
      </c>
      <c r="F1244" s="116">
        <v>7.85</v>
      </c>
      <c r="G1244">
        <v>18103</v>
      </c>
      <c r="H1244" s="116"/>
      <c r="I1244" s="116"/>
      <c r="L1244" s="169">
        <v>43839</v>
      </c>
      <c r="M1244" s="116">
        <v>386.6</v>
      </c>
      <c r="N1244" s="116">
        <v>395</v>
      </c>
      <c r="O1244" s="116">
        <v>384.5</v>
      </c>
      <c r="P1244" s="116">
        <v>395</v>
      </c>
      <c r="Q1244" s="116">
        <v>386.6</v>
      </c>
      <c r="R1244">
        <v>146359</v>
      </c>
    </row>
    <row r="1245" spans="1:18" x14ac:dyDescent="0.25">
      <c r="A1245" s="169">
        <v>43850</v>
      </c>
      <c r="B1245" s="116">
        <v>8.0500000000000007</v>
      </c>
      <c r="C1245" s="116">
        <v>7.63</v>
      </c>
      <c r="D1245" s="116">
        <v>7.4</v>
      </c>
      <c r="E1245" s="116">
        <v>7.85</v>
      </c>
      <c r="F1245" s="116">
        <v>7.63</v>
      </c>
      <c r="G1245">
        <v>8456</v>
      </c>
      <c r="H1245" s="116"/>
      <c r="I1245" s="116"/>
      <c r="L1245" s="169">
        <v>43840</v>
      </c>
      <c r="M1245" s="116">
        <v>385.8</v>
      </c>
      <c r="N1245" s="116">
        <v>393.6</v>
      </c>
      <c r="O1245" s="116">
        <v>384.5</v>
      </c>
      <c r="P1245" s="116">
        <v>387.5</v>
      </c>
      <c r="Q1245" s="116">
        <v>385.8</v>
      </c>
      <c r="R1245">
        <v>272941</v>
      </c>
    </row>
    <row r="1246" spans="1:18" x14ac:dyDescent="0.25">
      <c r="A1246" s="169">
        <v>43851</v>
      </c>
      <c r="B1246" s="116">
        <v>7.75</v>
      </c>
      <c r="C1246" s="116">
        <v>7.65</v>
      </c>
      <c r="D1246" s="116">
        <v>7.25</v>
      </c>
      <c r="E1246" s="116">
        <v>7.71</v>
      </c>
      <c r="F1246" s="116">
        <v>7.65</v>
      </c>
      <c r="G1246">
        <v>1244</v>
      </c>
      <c r="H1246" s="116"/>
      <c r="I1246" s="116"/>
      <c r="L1246" s="169">
        <v>43843</v>
      </c>
      <c r="M1246" s="116">
        <v>385.75</v>
      </c>
      <c r="N1246" s="116">
        <v>390</v>
      </c>
      <c r="O1246" s="116">
        <v>383.3</v>
      </c>
      <c r="P1246" s="116">
        <v>385.2</v>
      </c>
      <c r="Q1246" s="116">
        <v>385.75</v>
      </c>
      <c r="R1246">
        <v>120210</v>
      </c>
    </row>
    <row r="1247" spans="1:18" x14ac:dyDescent="0.25">
      <c r="A1247" s="169">
        <v>43852</v>
      </c>
      <c r="B1247" s="116">
        <v>7.75</v>
      </c>
      <c r="C1247" s="116">
        <v>7.56</v>
      </c>
      <c r="D1247" s="116">
        <v>7.35</v>
      </c>
      <c r="E1247" s="116">
        <v>7.75</v>
      </c>
      <c r="F1247" s="116">
        <v>7.56</v>
      </c>
      <c r="G1247">
        <v>6038</v>
      </c>
      <c r="H1247" s="116"/>
      <c r="I1247" s="116"/>
      <c r="L1247" s="169">
        <v>43844</v>
      </c>
      <c r="M1247" s="116">
        <v>386.45</v>
      </c>
      <c r="N1247" s="116">
        <v>390</v>
      </c>
      <c r="O1247" s="116">
        <v>384.9</v>
      </c>
      <c r="P1247" s="116">
        <v>387.75</v>
      </c>
      <c r="Q1247" s="116">
        <v>386.45</v>
      </c>
      <c r="R1247">
        <v>151786</v>
      </c>
    </row>
    <row r="1248" spans="1:18" x14ac:dyDescent="0.25">
      <c r="A1248" s="169">
        <v>43853</v>
      </c>
      <c r="B1248" s="116">
        <v>7.4</v>
      </c>
      <c r="C1248" s="116">
        <v>7.23</v>
      </c>
      <c r="D1248" s="116">
        <v>7.07</v>
      </c>
      <c r="E1248" s="116">
        <v>7.35</v>
      </c>
      <c r="F1248" s="116">
        <v>7.23</v>
      </c>
      <c r="G1248">
        <v>4375</v>
      </c>
      <c r="H1248" s="116"/>
      <c r="I1248" s="116"/>
      <c r="L1248" s="169">
        <v>43845</v>
      </c>
      <c r="M1248" s="116">
        <v>375.5</v>
      </c>
      <c r="N1248" s="116">
        <v>384</v>
      </c>
      <c r="O1248" s="116">
        <v>368</v>
      </c>
      <c r="P1248" s="116">
        <v>384</v>
      </c>
      <c r="Q1248" s="116">
        <v>375.5</v>
      </c>
      <c r="R1248">
        <v>931365</v>
      </c>
    </row>
    <row r="1249" spans="1:18" x14ac:dyDescent="0.25">
      <c r="A1249" s="169">
        <v>43854</v>
      </c>
      <c r="B1249" s="116">
        <v>7.44</v>
      </c>
      <c r="C1249" s="116">
        <v>7.29</v>
      </c>
      <c r="D1249" s="116">
        <v>7.07</v>
      </c>
      <c r="E1249" s="116">
        <v>7.36</v>
      </c>
      <c r="F1249" s="116">
        <v>7.29</v>
      </c>
      <c r="G1249">
        <v>3937</v>
      </c>
      <c r="H1249" s="116"/>
      <c r="I1249" s="116"/>
      <c r="L1249" s="169">
        <v>43846</v>
      </c>
      <c r="M1249" s="116">
        <v>385</v>
      </c>
      <c r="N1249" s="116">
        <v>387.35</v>
      </c>
      <c r="O1249" s="116">
        <v>374.95</v>
      </c>
      <c r="P1249" s="116">
        <v>375.5</v>
      </c>
      <c r="Q1249" s="116">
        <v>385</v>
      </c>
      <c r="R1249">
        <v>414665</v>
      </c>
    </row>
    <row r="1250" spans="1:18" x14ac:dyDescent="0.25">
      <c r="A1250" s="169">
        <v>43857</v>
      </c>
      <c r="B1250" s="116">
        <v>8.48</v>
      </c>
      <c r="C1250" s="116">
        <v>7.29</v>
      </c>
      <c r="D1250" s="116">
        <v>7.03</v>
      </c>
      <c r="E1250" s="116">
        <v>8.48</v>
      </c>
      <c r="F1250" s="116">
        <v>7.29</v>
      </c>
      <c r="G1250">
        <v>36882</v>
      </c>
      <c r="H1250" s="116"/>
      <c r="I1250" s="116"/>
      <c r="L1250" s="169">
        <v>43847</v>
      </c>
      <c r="M1250" s="116">
        <v>388.75</v>
      </c>
      <c r="N1250" s="116">
        <v>391</v>
      </c>
      <c r="O1250" s="116">
        <v>383.25</v>
      </c>
      <c r="P1250" s="116">
        <v>386.9</v>
      </c>
      <c r="Q1250" s="116">
        <v>388.75</v>
      </c>
      <c r="R1250">
        <v>231417</v>
      </c>
    </row>
    <row r="1251" spans="1:18" x14ac:dyDescent="0.25">
      <c r="A1251" s="169">
        <v>43858</v>
      </c>
      <c r="B1251" s="116">
        <v>7.4</v>
      </c>
      <c r="C1251" s="116">
        <v>6.98</v>
      </c>
      <c r="D1251" s="116">
        <v>6.9</v>
      </c>
      <c r="E1251" s="116">
        <v>7.4</v>
      </c>
      <c r="F1251" s="116">
        <v>6.98</v>
      </c>
      <c r="G1251">
        <v>9847</v>
      </c>
      <c r="H1251" s="116"/>
      <c r="I1251" s="116"/>
      <c r="L1251" s="169">
        <v>43850</v>
      </c>
      <c r="M1251" s="116">
        <v>389.3</v>
      </c>
      <c r="N1251" s="116">
        <v>397.05</v>
      </c>
      <c r="O1251" s="116">
        <v>387.05</v>
      </c>
      <c r="P1251" s="116">
        <v>393</v>
      </c>
      <c r="Q1251" s="116">
        <v>389.3</v>
      </c>
      <c r="R1251">
        <v>406361</v>
      </c>
    </row>
    <row r="1252" spans="1:18" x14ac:dyDescent="0.25">
      <c r="A1252" s="169">
        <v>43859</v>
      </c>
      <c r="B1252" s="116">
        <v>7.45</v>
      </c>
      <c r="C1252" s="116">
        <v>7.3</v>
      </c>
      <c r="D1252" s="116">
        <v>6.92</v>
      </c>
      <c r="E1252" s="116">
        <v>7.25</v>
      </c>
      <c r="F1252" s="116">
        <v>7.3</v>
      </c>
      <c r="G1252">
        <v>1572</v>
      </c>
      <c r="H1252" s="116"/>
      <c r="I1252" s="116"/>
      <c r="L1252" s="169">
        <v>43851</v>
      </c>
      <c r="M1252" s="116">
        <v>463.6</v>
      </c>
      <c r="N1252" s="116">
        <v>467.15</v>
      </c>
      <c r="O1252" s="116">
        <v>398</v>
      </c>
      <c r="P1252" s="116">
        <v>398</v>
      </c>
      <c r="Q1252" s="116">
        <v>463.6</v>
      </c>
      <c r="R1252">
        <v>8414117</v>
      </c>
    </row>
    <row r="1253" spans="1:18" x14ac:dyDescent="0.25">
      <c r="A1253" s="169">
        <v>43860</v>
      </c>
      <c r="B1253" s="116">
        <v>7.6</v>
      </c>
      <c r="C1253" s="116">
        <v>7.52</v>
      </c>
      <c r="D1253" s="116">
        <v>7</v>
      </c>
      <c r="E1253" s="116">
        <v>7.05</v>
      </c>
      <c r="F1253" s="116">
        <v>7.52</v>
      </c>
      <c r="G1253">
        <v>7002</v>
      </c>
      <c r="H1253" s="116"/>
      <c r="I1253" s="116"/>
      <c r="L1253" s="169">
        <v>43852</v>
      </c>
      <c r="M1253" s="116">
        <v>455.1</v>
      </c>
      <c r="N1253" s="116">
        <v>505</v>
      </c>
      <c r="O1253" s="116">
        <v>447.1</v>
      </c>
      <c r="P1253" s="116">
        <v>470.25</v>
      </c>
      <c r="Q1253" s="116">
        <v>455.1</v>
      </c>
      <c r="R1253">
        <v>10128155</v>
      </c>
    </row>
    <row r="1254" spans="1:18" x14ac:dyDescent="0.25">
      <c r="A1254" s="169">
        <v>43861</v>
      </c>
      <c r="B1254" s="116">
        <v>7.9</v>
      </c>
      <c r="C1254" s="116">
        <v>7.9</v>
      </c>
      <c r="D1254" s="116">
        <v>7.12</v>
      </c>
      <c r="E1254" s="116">
        <v>7.25</v>
      </c>
      <c r="F1254" s="116">
        <v>7.9</v>
      </c>
      <c r="G1254">
        <v>7192</v>
      </c>
      <c r="H1254" s="116"/>
      <c r="I1254" s="116"/>
      <c r="L1254" s="169">
        <v>43853</v>
      </c>
      <c r="M1254" s="116">
        <v>477.2</v>
      </c>
      <c r="N1254" s="116">
        <v>485</v>
      </c>
      <c r="O1254" s="116">
        <v>451.35</v>
      </c>
      <c r="P1254" s="116">
        <v>456.4</v>
      </c>
      <c r="Q1254" s="116">
        <v>477.2</v>
      </c>
      <c r="R1254">
        <v>2636458</v>
      </c>
    </row>
    <row r="1255" spans="1:18" x14ac:dyDescent="0.25">
      <c r="A1255" s="169">
        <v>43862</v>
      </c>
      <c r="B1255" s="116">
        <v>8.15</v>
      </c>
      <c r="C1255" s="116">
        <v>7.96</v>
      </c>
      <c r="D1255" s="116">
        <v>7.8</v>
      </c>
      <c r="E1255" s="116">
        <v>7.89</v>
      </c>
      <c r="F1255" s="116">
        <v>7.96</v>
      </c>
      <c r="G1255">
        <v>11327</v>
      </c>
      <c r="H1255" s="116"/>
      <c r="I1255" s="116"/>
      <c r="L1255" s="169">
        <v>43854</v>
      </c>
      <c r="M1255" s="116">
        <v>472.65</v>
      </c>
      <c r="N1255" s="116">
        <v>484.9</v>
      </c>
      <c r="O1255" s="116">
        <v>470</v>
      </c>
      <c r="P1255" s="116">
        <v>481.8</v>
      </c>
      <c r="Q1255" s="116">
        <v>472.65</v>
      </c>
      <c r="R1255">
        <v>835841</v>
      </c>
    </row>
    <row r="1256" spans="1:18" x14ac:dyDescent="0.25">
      <c r="A1256" s="169">
        <v>43864</v>
      </c>
      <c r="B1256" s="116">
        <v>7.96</v>
      </c>
      <c r="C1256" s="116">
        <v>7.52</v>
      </c>
      <c r="D1256" s="116">
        <v>7.51</v>
      </c>
      <c r="E1256" s="116">
        <v>7.9</v>
      </c>
      <c r="F1256" s="116">
        <v>7.52</v>
      </c>
      <c r="G1256">
        <v>5335</v>
      </c>
      <c r="H1256" s="116"/>
      <c r="I1256" s="116"/>
      <c r="L1256" s="169">
        <v>43857</v>
      </c>
      <c r="M1256" s="116">
        <v>470.1</v>
      </c>
      <c r="N1256" s="116">
        <v>475</v>
      </c>
      <c r="O1256" s="116">
        <v>462.6</v>
      </c>
      <c r="P1256" s="116">
        <v>471</v>
      </c>
      <c r="Q1256" s="116">
        <v>470.1</v>
      </c>
      <c r="R1256">
        <v>353739</v>
      </c>
    </row>
    <row r="1257" spans="1:18" x14ac:dyDescent="0.25">
      <c r="A1257" s="169">
        <v>43865</v>
      </c>
      <c r="B1257" s="116">
        <v>7.9</v>
      </c>
      <c r="C1257" s="116">
        <v>7.45</v>
      </c>
      <c r="D1257" s="116">
        <v>7.45</v>
      </c>
      <c r="E1257" s="116">
        <v>7.9</v>
      </c>
      <c r="F1257" s="116">
        <v>7.45</v>
      </c>
      <c r="G1257">
        <v>1673</v>
      </c>
      <c r="H1257" s="116"/>
      <c r="I1257" s="116"/>
      <c r="L1257" s="169">
        <v>43858</v>
      </c>
      <c r="M1257" s="116">
        <v>473.65</v>
      </c>
      <c r="N1257" s="116">
        <v>479.4</v>
      </c>
      <c r="O1257" s="116">
        <v>467</v>
      </c>
      <c r="P1257" s="116">
        <v>471.95</v>
      </c>
      <c r="Q1257" s="116">
        <v>473.65</v>
      </c>
      <c r="R1257">
        <v>332191</v>
      </c>
    </row>
    <row r="1258" spans="1:18" x14ac:dyDescent="0.25">
      <c r="A1258" s="169">
        <v>43866</v>
      </c>
      <c r="B1258" s="116">
        <v>7.94</v>
      </c>
      <c r="C1258" s="116">
        <v>7.94</v>
      </c>
      <c r="D1258" s="116">
        <v>7.05</v>
      </c>
      <c r="E1258" s="116">
        <v>7.63</v>
      </c>
      <c r="F1258" s="116">
        <v>7.94</v>
      </c>
      <c r="G1258">
        <v>12970</v>
      </c>
      <c r="H1258" s="116"/>
      <c r="I1258" s="116"/>
      <c r="L1258" s="169">
        <v>43859</v>
      </c>
      <c r="M1258" s="116">
        <v>487.95</v>
      </c>
      <c r="N1258" s="116">
        <v>495.8</v>
      </c>
      <c r="O1258" s="116">
        <v>472.65</v>
      </c>
      <c r="P1258" s="116">
        <v>474.65</v>
      </c>
      <c r="Q1258" s="116">
        <v>487.95</v>
      </c>
      <c r="R1258">
        <v>1017911</v>
      </c>
    </row>
    <row r="1259" spans="1:18" x14ac:dyDescent="0.25">
      <c r="A1259" s="169">
        <v>43867</v>
      </c>
      <c r="B1259" s="116">
        <v>7.94</v>
      </c>
      <c r="C1259" s="116">
        <v>7.68</v>
      </c>
      <c r="D1259" s="116">
        <v>7.5</v>
      </c>
      <c r="E1259" s="116">
        <v>7.94</v>
      </c>
      <c r="F1259" s="116">
        <v>7.68</v>
      </c>
      <c r="G1259">
        <v>9028</v>
      </c>
      <c r="H1259" s="116"/>
      <c r="I1259" s="116"/>
      <c r="L1259" s="169">
        <v>43860</v>
      </c>
      <c r="M1259" s="116">
        <v>481.1</v>
      </c>
      <c r="N1259" s="116">
        <v>488</v>
      </c>
      <c r="O1259" s="116">
        <v>478.3</v>
      </c>
      <c r="P1259" s="116">
        <v>486.9</v>
      </c>
      <c r="Q1259" s="116">
        <v>481.1</v>
      </c>
      <c r="R1259">
        <v>362211</v>
      </c>
    </row>
    <row r="1260" spans="1:18" x14ac:dyDescent="0.25">
      <c r="A1260" s="169">
        <v>43868</v>
      </c>
      <c r="B1260" s="116">
        <v>8.1</v>
      </c>
      <c r="C1260" s="116">
        <v>7.94</v>
      </c>
      <c r="D1260" s="116">
        <v>7.55</v>
      </c>
      <c r="E1260" s="116">
        <v>7.6</v>
      </c>
      <c r="F1260" s="116">
        <v>7.94</v>
      </c>
      <c r="G1260">
        <v>5289</v>
      </c>
      <c r="H1260" s="116"/>
      <c r="I1260" s="116"/>
      <c r="L1260" s="169">
        <v>43861</v>
      </c>
      <c r="M1260" s="116">
        <v>484.05</v>
      </c>
      <c r="N1260" s="116">
        <v>491.9</v>
      </c>
      <c r="O1260" s="116">
        <v>480.25</v>
      </c>
      <c r="P1260" s="116">
        <v>483</v>
      </c>
      <c r="Q1260" s="116">
        <v>484.05</v>
      </c>
      <c r="R1260">
        <v>457239</v>
      </c>
    </row>
    <row r="1261" spans="1:18" x14ac:dyDescent="0.25">
      <c r="A1261" s="169">
        <v>43871</v>
      </c>
      <c r="B1261" s="116">
        <v>8.1</v>
      </c>
      <c r="C1261" s="116">
        <v>8.09</v>
      </c>
      <c r="D1261" s="116">
        <v>7.71</v>
      </c>
      <c r="E1261" s="116">
        <v>8.1</v>
      </c>
      <c r="F1261" s="116">
        <v>8.09</v>
      </c>
      <c r="G1261">
        <v>8767</v>
      </c>
      <c r="H1261" s="116"/>
      <c r="I1261" s="116"/>
      <c r="L1261" s="169">
        <v>43862</v>
      </c>
      <c r="M1261" s="116">
        <v>471.05</v>
      </c>
      <c r="N1261" s="116">
        <v>512.95000000000005</v>
      </c>
      <c r="O1261" s="116">
        <v>467</v>
      </c>
      <c r="P1261" s="116">
        <v>483</v>
      </c>
      <c r="Q1261" s="116">
        <v>471.05</v>
      </c>
      <c r="R1261">
        <v>1631941</v>
      </c>
    </row>
    <row r="1262" spans="1:18" x14ac:dyDescent="0.25">
      <c r="A1262" s="169">
        <v>43872</v>
      </c>
      <c r="B1262" s="116">
        <v>8.1999999999999993</v>
      </c>
      <c r="C1262" s="116">
        <v>7.91</v>
      </c>
      <c r="D1262" s="116">
        <v>7.62</v>
      </c>
      <c r="E1262" s="116">
        <v>8.1</v>
      </c>
      <c r="F1262" s="116">
        <v>7.91</v>
      </c>
      <c r="G1262">
        <v>17939</v>
      </c>
      <c r="H1262" s="116"/>
      <c r="I1262" s="116"/>
      <c r="L1262" s="169">
        <v>43864</v>
      </c>
      <c r="M1262" s="116">
        <v>487.75</v>
      </c>
      <c r="N1262" s="116">
        <v>495</v>
      </c>
      <c r="O1262" s="116">
        <v>461.65</v>
      </c>
      <c r="P1262" s="116">
        <v>473</v>
      </c>
      <c r="Q1262" s="116">
        <v>487.75</v>
      </c>
      <c r="R1262">
        <v>495222</v>
      </c>
    </row>
    <row r="1263" spans="1:18" x14ac:dyDescent="0.25">
      <c r="A1263" s="169">
        <v>43873</v>
      </c>
      <c r="B1263" s="116">
        <v>7.77</v>
      </c>
      <c r="C1263" s="116">
        <v>7.38</v>
      </c>
      <c r="D1263" s="116">
        <v>7.2</v>
      </c>
      <c r="E1263" s="116">
        <v>7.77</v>
      </c>
      <c r="F1263" s="116">
        <v>7.38</v>
      </c>
      <c r="G1263">
        <v>16378</v>
      </c>
      <c r="H1263" s="116"/>
      <c r="I1263" s="116"/>
      <c r="L1263" s="169">
        <v>43865</v>
      </c>
      <c r="M1263" s="116">
        <v>483.75</v>
      </c>
      <c r="N1263" s="116">
        <v>489.2</v>
      </c>
      <c r="O1263" s="116">
        <v>475</v>
      </c>
      <c r="P1263" s="116">
        <v>489</v>
      </c>
      <c r="Q1263" s="116">
        <v>483.75</v>
      </c>
      <c r="R1263">
        <v>250481</v>
      </c>
    </row>
    <row r="1264" spans="1:18" x14ac:dyDescent="0.25">
      <c r="A1264" s="169">
        <v>43874</v>
      </c>
      <c r="B1264" s="116">
        <v>7.98</v>
      </c>
      <c r="C1264" s="116">
        <v>7.89</v>
      </c>
      <c r="D1264" s="116">
        <v>7.07</v>
      </c>
      <c r="E1264" s="116">
        <v>7.6</v>
      </c>
      <c r="F1264" s="116">
        <v>7.89</v>
      </c>
      <c r="G1264">
        <v>17919</v>
      </c>
      <c r="H1264" s="116"/>
      <c r="I1264" s="116"/>
      <c r="L1264" s="169">
        <v>43866</v>
      </c>
      <c r="M1264" s="116">
        <v>479.15</v>
      </c>
      <c r="N1264" s="116">
        <v>488.1</v>
      </c>
      <c r="O1264" s="116">
        <v>475.25</v>
      </c>
      <c r="P1264" s="116">
        <v>484.9</v>
      </c>
      <c r="Q1264" s="116">
        <v>479.15</v>
      </c>
      <c r="R1264">
        <v>229103</v>
      </c>
    </row>
    <row r="1265" spans="1:18" x14ac:dyDescent="0.25">
      <c r="A1265" s="169">
        <v>43875</v>
      </c>
      <c r="B1265" s="116">
        <v>7.89</v>
      </c>
      <c r="C1265" s="116">
        <v>7.7</v>
      </c>
      <c r="D1265" s="116">
        <v>7.51</v>
      </c>
      <c r="E1265" s="116">
        <v>7.89</v>
      </c>
      <c r="F1265" s="116">
        <v>7.7</v>
      </c>
      <c r="G1265">
        <v>6865</v>
      </c>
      <c r="H1265" s="116"/>
      <c r="I1265" s="116"/>
      <c r="L1265" s="169">
        <v>43867</v>
      </c>
      <c r="M1265" s="116">
        <v>490.3</v>
      </c>
      <c r="N1265" s="116">
        <v>498.35</v>
      </c>
      <c r="O1265" s="116">
        <v>478.7</v>
      </c>
      <c r="P1265" s="116">
        <v>479</v>
      </c>
      <c r="Q1265" s="116">
        <v>490.3</v>
      </c>
      <c r="R1265">
        <v>956765</v>
      </c>
    </row>
    <row r="1266" spans="1:18" x14ac:dyDescent="0.25">
      <c r="A1266" s="169">
        <v>43878</v>
      </c>
      <c r="B1266" s="116">
        <v>8.0500000000000007</v>
      </c>
      <c r="C1266" s="116">
        <v>7.95</v>
      </c>
      <c r="D1266" s="116">
        <v>7.4</v>
      </c>
      <c r="E1266" s="116">
        <v>7.4</v>
      </c>
      <c r="F1266" s="116">
        <v>7.95</v>
      </c>
      <c r="G1266">
        <v>16398</v>
      </c>
      <c r="H1266" s="116"/>
      <c r="I1266" s="116"/>
      <c r="L1266" s="169">
        <v>43868</v>
      </c>
      <c r="M1266" s="116">
        <v>487.65</v>
      </c>
      <c r="N1266" s="116">
        <v>493.35</v>
      </c>
      <c r="O1266" s="116">
        <v>482.2</v>
      </c>
      <c r="P1266" s="116">
        <v>492.4</v>
      </c>
      <c r="Q1266" s="116">
        <v>487.65</v>
      </c>
      <c r="R1266">
        <v>318981</v>
      </c>
    </row>
    <row r="1267" spans="1:18" x14ac:dyDescent="0.25">
      <c r="A1267" s="169">
        <v>43879</v>
      </c>
      <c r="B1267" s="116">
        <v>8.49</v>
      </c>
      <c r="C1267" s="116">
        <v>8.1300000000000008</v>
      </c>
      <c r="D1267" s="116">
        <v>7.5</v>
      </c>
      <c r="E1267" s="116">
        <v>8.1999999999999993</v>
      </c>
      <c r="F1267" s="116">
        <v>8.1300000000000008</v>
      </c>
      <c r="G1267">
        <v>23081</v>
      </c>
      <c r="H1267" s="116"/>
      <c r="I1267" s="116"/>
      <c r="L1267" s="169">
        <v>43871</v>
      </c>
      <c r="M1267" s="116">
        <v>481</v>
      </c>
      <c r="N1267" s="116">
        <v>488.95</v>
      </c>
      <c r="O1267" s="116">
        <v>477</v>
      </c>
      <c r="P1267" s="116">
        <v>487</v>
      </c>
      <c r="Q1267" s="116">
        <v>481</v>
      </c>
      <c r="R1267">
        <v>211402</v>
      </c>
    </row>
    <row r="1268" spans="1:18" x14ac:dyDescent="0.25">
      <c r="A1268" s="169">
        <v>43880</v>
      </c>
      <c r="B1268" s="116">
        <v>8.33</v>
      </c>
      <c r="C1268" s="116">
        <v>8.31</v>
      </c>
      <c r="D1268" s="116">
        <v>7.77</v>
      </c>
      <c r="E1268" s="116">
        <v>7.77</v>
      </c>
      <c r="F1268" s="116">
        <v>8.31</v>
      </c>
      <c r="G1268">
        <v>11262</v>
      </c>
      <c r="H1268" s="116"/>
      <c r="I1268" s="116"/>
      <c r="L1268" s="169">
        <v>43872</v>
      </c>
      <c r="M1268" s="116">
        <v>492.5</v>
      </c>
      <c r="N1268" s="116">
        <v>495</v>
      </c>
      <c r="O1268" s="116">
        <v>480</v>
      </c>
      <c r="P1268" s="116">
        <v>480.25</v>
      </c>
      <c r="Q1268" s="116">
        <v>492.5</v>
      </c>
      <c r="R1268">
        <v>462817</v>
      </c>
    </row>
    <row r="1269" spans="1:18" x14ac:dyDescent="0.25">
      <c r="A1269" s="169">
        <v>43881</v>
      </c>
      <c r="B1269" s="116">
        <v>8.6999999999999993</v>
      </c>
      <c r="C1269" s="116">
        <v>8.36</v>
      </c>
      <c r="D1269" s="116">
        <v>7.86</v>
      </c>
      <c r="E1269" s="116">
        <v>8.5</v>
      </c>
      <c r="F1269" s="116">
        <v>8.36</v>
      </c>
      <c r="G1269">
        <v>14770</v>
      </c>
      <c r="H1269" s="116"/>
      <c r="I1269" s="116"/>
      <c r="L1269" s="169">
        <v>43873</v>
      </c>
      <c r="M1269" s="116">
        <v>510.7</v>
      </c>
      <c r="N1269" s="116">
        <v>519</v>
      </c>
      <c r="O1269" s="116">
        <v>495.1</v>
      </c>
      <c r="P1269" s="116">
        <v>495.1</v>
      </c>
      <c r="Q1269" s="116">
        <v>510.7</v>
      </c>
      <c r="R1269">
        <v>2931425</v>
      </c>
    </row>
    <row r="1270" spans="1:18" x14ac:dyDescent="0.25">
      <c r="A1270" s="169">
        <v>43885</v>
      </c>
      <c r="B1270" s="116">
        <v>8.36</v>
      </c>
      <c r="C1270" s="116">
        <v>7.93</v>
      </c>
      <c r="D1270" s="116">
        <v>7.9</v>
      </c>
      <c r="E1270" s="116">
        <v>8.25</v>
      </c>
      <c r="F1270" s="116">
        <v>7.93</v>
      </c>
      <c r="G1270">
        <v>1419</v>
      </c>
      <c r="H1270" s="116"/>
      <c r="I1270" s="116"/>
      <c r="L1270" s="169">
        <v>43874</v>
      </c>
      <c r="M1270" s="116">
        <v>506.35</v>
      </c>
      <c r="N1270" s="116">
        <v>514.20000000000005</v>
      </c>
      <c r="O1270" s="116">
        <v>503.35</v>
      </c>
      <c r="P1270" s="116">
        <v>513</v>
      </c>
      <c r="Q1270" s="116">
        <v>506.35</v>
      </c>
      <c r="R1270">
        <v>397397</v>
      </c>
    </row>
    <row r="1271" spans="1:18" x14ac:dyDescent="0.25">
      <c r="A1271" s="169">
        <v>43886</v>
      </c>
      <c r="B1271" s="116">
        <v>8.0299999999999994</v>
      </c>
      <c r="C1271" s="116">
        <v>8</v>
      </c>
      <c r="D1271" s="116">
        <v>7.61</v>
      </c>
      <c r="E1271" s="116">
        <v>7.93</v>
      </c>
      <c r="F1271" s="116">
        <v>8</v>
      </c>
      <c r="G1271">
        <v>59961</v>
      </c>
      <c r="H1271" s="116"/>
      <c r="I1271" s="116"/>
      <c r="L1271" s="169">
        <v>43875</v>
      </c>
      <c r="M1271" s="116">
        <v>510.15</v>
      </c>
      <c r="N1271" s="116">
        <v>517.5</v>
      </c>
      <c r="O1271" s="116">
        <v>508</v>
      </c>
      <c r="P1271" s="116">
        <v>508.3</v>
      </c>
      <c r="Q1271" s="116">
        <v>510.15</v>
      </c>
      <c r="R1271">
        <v>367636</v>
      </c>
    </row>
    <row r="1272" spans="1:18" x14ac:dyDescent="0.25">
      <c r="A1272" s="169">
        <v>43887</v>
      </c>
      <c r="B1272" s="116">
        <v>7.99</v>
      </c>
      <c r="C1272" s="116">
        <v>7.51</v>
      </c>
      <c r="D1272" s="116">
        <v>7.48</v>
      </c>
      <c r="E1272" s="116">
        <v>7.75</v>
      </c>
      <c r="F1272" s="116">
        <v>7.51</v>
      </c>
      <c r="G1272">
        <v>33367</v>
      </c>
      <c r="H1272" s="116"/>
      <c r="I1272" s="116"/>
      <c r="L1272" s="169">
        <v>43878</v>
      </c>
      <c r="M1272" s="116">
        <v>509.65</v>
      </c>
      <c r="N1272" s="116">
        <v>514</v>
      </c>
      <c r="O1272" s="116">
        <v>503</v>
      </c>
      <c r="P1272" s="116">
        <v>513.29999999999995</v>
      </c>
      <c r="Q1272" s="116">
        <v>509.65</v>
      </c>
      <c r="R1272">
        <v>389070</v>
      </c>
    </row>
    <row r="1273" spans="1:18" x14ac:dyDescent="0.25">
      <c r="A1273" s="169">
        <v>43888</v>
      </c>
      <c r="B1273" s="116">
        <v>7.45</v>
      </c>
      <c r="C1273" s="116">
        <v>7.45</v>
      </c>
      <c r="D1273" s="116">
        <v>7.25</v>
      </c>
      <c r="E1273" s="116">
        <v>7.4</v>
      </c>
      <c r="F1273" s="116">
        <v>7.45</v>
      </c>
      <c r="G1273">
        <v>2455</v>
      </c>
      <c r="H1273" s="116"/>
      <c r="I1273" s="116"/>
      <c r="L1273" s="169">
        <v>43879</v>
      </c>
      <c r="M1273" s="116">
        <v>509.85</v>
      </c>
      <c r="N1273" s="116">
        <v>512.70000000000005</v>
      </c>
      <c r="O1273" s="116">
        <v>504.15</v>
      </c>
      <c r="P1273" s="116">
        <v>507</v>
      </c>
      <c r="Q1273" s="116">
        <v>509.85</v>
      </c>
      <c r="R1273">
        <v>475940</v>
      </c>
    </row>
    <row r="1274" spans="1:18" x14ac:dyDescent="0.25">
      <c r="A1274" s="169">
        <v>43889</v>
      </c>
      <c r="B1274" s="116">
        <v>7.49</v>
      </c>
      <c r="C1274" s="116">
        <v>7.24</v>
      </c>
      <c r="D1274" s="116">
        <v>7</v>
      </c>
      <c r="E1274" s="116">
        <v>7.49</v>
      </c>
      <c r="F1274" s="116">
        <v>7.24</v>
      </c>
      <c r="G1274">
        <v>7989</v>
      </c>
      <c r="H1274" s="116"/>
      <c r="I1274" s="116"/>
      <c r="L1274" s="169">
        <v>43880</v>
      </c>
      <c r="M1274" s="116">
        <v>509.45</v>
      </c>
      <c r="N1274" s="116">
        <v>517.95000000000005</v>
      </c>
      <c r="O1274" s="116">
        <v>506.3</v>
      </c>
      <c r="P1274" s="116">
        <v>512.04999999999995</v>
      </c>
      <c r="Q1274" s="116">
        <v>509.45</v>
      </c>
      <c r="R1274">
        <v>531095</v>
      </c>
    </row>
    <row r="1275" spans="1:18" x14ac:dyDescent="0.25">
      <c r="A1275" s="169">
        <v>43892</v>
      </c>
      <c r="B1275" s="116">
        <v>7.75</v>
      </c>
      <c r="C1275" s="116">
        <v>7.25</v>
      </c>
      <c r="D1275" s="116">
        <v>7.25</v>
      </c>
      <c r="E1275" s="116">
        <v>7.75</v>
      </c>
      <c r="F1275" s="116">
        <v>7.25</v>
      </c>
      <c r="G1275">
        <v>1631</v>
      </c>
      <c r="H1275" s="116"/>
      <c r="I1275" s="116"/>
      <c r="L1275" s="169">
        <v>43881</v>
      </c>
      <c r="M1275" s="116">
        <v>509.5</v>
      </c>
      <c r="N1275" s="116">
        <v>514.65</v>
      </c>
      <c r="O1275" s="116">
        <v>507.05</v>
      </c>
      <c r="P1275" s="116">
        <v>510</v>
      </c>
      <c r="Q1275" s="116">
        <v>509.5</v>
      </c>
      <c r="R1275">
        <v>243208</v>
      </c>
    </row>
    <row r="1276" spans="1:18" x14ac:dyDescent="0.25">
      <c r="A1276" s="169">
        <v>43893</v>
      </c>
      <c r="B1276" s="116">
        <v>7.5</v>
      </c>
      <c r="C1276" s="116">
        <v>7.21</v>
      </c>
      <c r="D1276" s="116">
        <v>7.15</v>
      </c>
      <c r="E1276" s="116">
        <v>7.25</v>
      </c>
      <c r="F1276" s="116">
        <v>7.21</v>
      </c>
      <c r="G1276">
        <v>13033</v>
      </c>
      <c r="H1276" s="116"/>
      <c r="I1276" s="116"/>
      <c r="L1276" s="169">
        <v>43885</v>
      </c>
      <c r="M1276" s="116">
        <v>510.4</v>
      </c>
      <c r="N1276" s="116">
        <v>514</v>
      </c>
      <c r="O1276" s="116">
        <v>504</v>
      </c>
      <c r="P1276" s="116">
        <v>509.7</v>
      </c>
      <c r="Q1276" s="116">
        <v>510.4</v>
      </c>
      <c r="R1276">
        <v>274934</v>
      </c>
    </row>
    <row r="1277" spans="1:18" x14ac:dyDescent="0.25">
      <c r="A1277" s="169">
        <v>43894</v>
      </c>
      <c r="B1277" s="116">
        <v>7.5</v>
      </c>
      <c r="C1277" s="116">
        <v>6.99</v>
      </c>
      <c r="D1277" s="116">
        <v>6.81</v>
      </c>
      <c r="E1277" s="116">
        <v>7.5</v>
      </c>
      <c r="F1277" s="116">
        <v>6.99</v>
      </c>
      <c r="G1277">
        <v>9380</v>
      </c>
      <c r="H1277" s="116"/>
      <c r="I1277" s="116"/>
      <c r="L1277" s="169">
        <v>43886</v>
      </c>
      <c r="M1277" s="116">
        <v>510.05</v>
      </c>
      <c r="N1277" s="116">
        <v>517.4</v>
      </c>
      <c r="O1277" s="116">
        <v>506.7</v>
      </c>
      <c r="P1277" s="116">
        <v>515.25</v>
      </c>
      <c r="Q1277" s="116">
        <v>510.05</v>
      </c>
      <c r="R1277">
        <v>601041</v>
      </c>
    </row>
    <row r="1278" spans="1:18" x14ac:dyDescent="0.25">
      <c r="A1278" s="169">
        <v>43895</v>
      </c>
      <c r="B1278" s="116">
        <v>7</v>
      </c>
      <c r="C1278" s="116">
        <v>6.9</v>
      </c>
      <c r="D1278" s="116">
        <v>6.55</v>
      </c>
      <c r="E1278" s="116">
        <v>6.99</v>
      </c>
      <c r="F1278" s="116">
        <v>6.9</v>
      </c>
      <c r="G1278">
        <v>5404</v>
      </c>
      <c r="H1278" s="116"/>
      <c r="I1278" s="116"/>
      <c r="L1278" s="169">
        <v>43887</v>
      </c>
      <c r="M1278" s="116">
        <v>507.9</v>
      </c>
      <c r="N1278" s="116">
        <v>510</v>
      </c>
      <c r="O1278" s="116">
        <v>505</v>
      </c>
      <c r="P1278" s="116">
        <v>505</v>
      </c>
      <c r="Q1278" s="116">
        <v>507.9</v>
      </c>
      <c r="R1278">
        <v>183689</v>
      </c>
    </row>
    <row r="1279" spans="1:18" x14ac:dyDescent="0.25">
      <c r="A1279" s="169">
        <v>43896</v>
      </c>
      <c r="B1279" s="116">
        <v>6.6</v>
      </c>
      <c r="C1279" s="116">
        <v>6.42</v>
      </c>
      <c r="D1279" s="116">
        <v>6</v>
      </c>
      <c r="E1279" s="116">
        <v>6.5</v>
      </c>
      <c r="F1279" s="116">
        <v>6.42</v>
      </c>
      <c r="G1279">
        <v>8071</v>
      </c>
      <c r="H1279" s="116"/>
      <c r="I1279" s="116"/>
      <c r="L1279" s="169">
        <v>43888</v>
      </c>
      <c r="M1279" s="116">
        <v>505.05</v>
      </c>
      <c r="N1279" s="116">
        <v>509.55</v>
      </c>
      <c r="O1279" s="116">
        <v>500</v>
      </c>
      <c r="P1279" s="116">
        <v>508.1</v>
      </c>
      <c r="Q1279" s="116">
        <v>505.05</v>
      </c>
      <c r="R1279">
        <v>334846</v>
      </c>
    </row>
    <row r="1280" spans="1:18" x14ac:dyDescent="0.25">
      <c r="A1280" s="169">
        <v>43899</v>
      </c>
      <c r="B1280" s="116">
        <v>6.99</v>
      </c>
      <c r="C1280" s="116">
        <v>6.29</v>
      </c>
      <c r="D1280" s="116">
        <v>6</v>
      </c>
      <c r="E1280" s="116">
        <v>6</v>
      </c>
      <c r="F1280" s="116">
        <v>6.29</v>
      </c>
      <c r="G1280">
        <v>1922</v>
      </c>
      <c r="H1280" s="116"/>
      <c r="I1280" s="116"/>
      <c r="L1280" s="169">
        <v>43889</v>
      </c>
      <c r="M1280" s="116">
        <v>500.05</v>
      </c>
      <c r="N1280" s="116">
        <v>503.5</v>
      </c>
      <c r="O1280" s="116">
        <v>490.1</v>
      </c>
      <c r="P1280" s="116">
        <v>501.15</v>
      </c>
      <c r="Q1280" s="116">
        <v>500.05</v>
      </c>
      <c r="R1280">
        <v>515552</v>
      </c>
    </row>
    <row r="1281" spans="1:18" x14ac:dyDescent="0.25">
      <c r="A1281" s="169">
        <v>43901</v>
      </c>
      <c r="B1281" s="116">
        <v>6.49</v>
      </c>
      <c r="C1281" s="116">
        <v>6.31</v>
      </c>
      <c r="D1281" s="116">
        <v>5.9</v>
      </c>
      <c r="E1281" s="116">
        <v>6</v>
      </c>
      <c r="F1281" s="116">
        <v>6.31</v>
      </c>
      <c r="G1281">
        <v>1742</v>
      </c>
      <c r="H1281" s="116"/>
      <c r="I1281" s="116"/>
      <c r="L1281" s="169">
        <v>43892</v>
      </c>
      <c r="M1281" s="116">
        <v>500.05</v>
      </c>
      <c r="N1281" s="116">
        <v>501.75</v>
      </c>
      <c r="O1281" s="116">
        <v>486</v>
      </c>
      <c r="P1281" s="116">
        <v>486</v>
      </c>
      <c r="Q1281" s="116">
        <v>500.05</v>
      </c>
      <c r="R1281">
        <v>366929</v>
      </c>
    </row>
    <row r="1282" spans="1:18" x14ac:dyDescent="0.25">
      <c r="A1282" s="169">
        <v>43902</v>
      </c>
      <c r="B1282" s="116">
        <v>6.24</v>
      </c>
      <c r="C1282" s="116">
        <v>5.34</v>
      </c>
      <c r="D1282" s="116">
        <v>5.0999999999999996</v>
      </c>
      <c r="E1282" s="116">
        <v>6.24</v>
      </c>
      <c r="F1282" s="116">
        <v>5.34</v>
      </c>
      <c r="G1282">
        <v>66068</v>
      </c>
      <c r="H1282" s="116"/>
      <c r="I1282" s="116"/>
      <c r="L1282" s="169">
        <v>43893</v>
      </c>
      <c r="M1282" s="116">
        <v>485.3</v>
      </c>
      <c r="N1282" s="116">
        <v>502</v>
      </c>
      <c r="O1282" s="116">
        <v>480.5</v>
      </c>
      <c r="P1282" s="116">
        <v>498.05</v>
      </c>
      <c r="Q1282" s="116">
        <v>485.3</v>
      </c>
      <c r="R1282">
        <v>315822</v>
      </c>
    </row>
    <row r="1283" spans="1:18" x14ac:dyDescent="0.25">
      <c r="A1283" s="169">
        <v>43903</v>
      </c>
      <c r="B1283" s="116">
        <v>5.94</v>
      </c>
      <c r="C1283" s="116">
        <v>5.51</v>
      </c>
      <c r="D1283" s="116">
        <v>4.3</v>
      </c>
      <c r="E1283" s="116">
        <v>4.3</v>
      </c>
      <c r="F1283" s="116">
        <v>5.51</v>
      </c>
      <c r="G1283">
        <v>31231</v>
      </c>
      <c r="H1283" s="116"/>
      <c r="I1283" s="116"/>
      <c r="L1283" s="169">
        <v>43894</v>
      </c>
      <c r="M1283" s="116">
        <v>478.35</v>
      </c>
      <c r="N1283" s="116">
        <v>491.9</v>
      </c>
      <c r="O1283" s="116">
        <v>471.35</v>
      </c>
      <c r="P1283" s="116">
        <v>485</v>
      </c>
      <c r="Q1283" s="116">
        <v>478.35</v>
      </c>
      <c r="R1283">
        <v>225730</v>
      </c>
    </row>
    <row r="1284" spans="1:18" x14ac:dyDescent="0.25">
      <c r="A1284" s="169">
        <v>43906</v>
      </c>
      <c r="B1284" s="116">
        <v>6</v>
      </c>
      <c r="C1284" s="116">
        <v>5.3</v>
      </c>
      <c r="D1284" s="116">
        <v>4.79</v>
      </c>
      <c r="E1284" s="116">
        <v>5</v>
      </c>
      <c r="F1284" s="116">
        <v>5.3</v>
      </c>
      <c r="G1284">
        <v>13008</v>
      </c>
      <c r="H1284" s="116"/>
      <c r="I1284" s="116"/>
      <c r="L1284" s="169">
        <v>43895</v>
      </c>
      <c r="M1284" s="116">
        <v>480</v>
      </c>
      <c r="N1284" s="116">
        <v>484.4</v>
      </c>
      <c r="O1284" s="116">
        <v>473</v>
      </c>
      <c r="P1284" s="116">
        <v>478</v>
      </c>
      <c r="Q1284" s="116">
        <v>480</v>
      </c>
      <c r="R1284">
        <v>183826</v>
      </c>
    </row>
    <row r="1285" spans="1:18" x14ac:dyDescent="0.25">
      <c r="A1285" s="169">
        <v>43907</v>
      </c>
      <c r="B1285" s="116">
        <v>6</v>
      </c>
      <c r="C1285" s="116">
        <v>5.29</v>
      </c>
      <c r="D1285" s="116">
        <v>4.91</v>
      </c>
      <c r="E1285" s="116">
        <v>5.3</v>
      </c>
      <c r="F1285" s="116">
        <v>5.29</v>
      </c>
      <c r="G1285">
        <v>15775</v>
      </c>
      <c r="H1285" s="116"/>
      <c r="I1285" s="116"/>
      <c r="L1285" s="169">
        <v>43896</v>
      </c>
      <c r="M1285" s="116">
        <v>464.45</v>
      </c>
      <c r="N1285" s="116">
        <v>471.9</v>
      </c>
      <c r="O1285" s="116">
        <v>440.05</v>
      </c>
      <c r="P1285" s="116">
        <v>470</v>
      </c>
      <c r="Q1285" s="116">
        <v>464.45</v>
      </c>
      <c r="R1285">
        <v>275087</v>
      </c>
    </row>
    <row r="1286" spans="1:18" x14ac:dyDescent="0.25">
      <c r="A1286" s="169">
        <v>43908</v>
      </c>
      <c r="B1286" s="116">
        <v>5.04</v>
      </c>
      <c r="C1286" s="116">
        <v>4.99</v>
      </c>
      <c r="D1286" s="116">
        <v>4.51</v>
      </c>
      <c r="E1286" s="116">
        <v>5.03</v>
      </c>
      <c r="F1286" s="116">
        <v>4.99</v>
      </c>
      <c r="G1286">
        <v>4316</v>
      </c>
      <c r="H1286" s="116"/>
      <c r="I1286" s="116"/>
      <c r="L1286" s="169">
        <v>43899</v>
      </c>
      <c r="M1286" s="116">
        <v>428</v>
      </c>
      <c r="N1286" s="116">
        <v>459.65</v>
      </c>
      <c r="O1286" s="116">
        <v>416.25</v>
      </c>
      <c r="P1286" s="116">
        <v>455</v>
      </c>
      <c r="Q1286" s="116">
        <v>428</v>
      </c>
      <c r="R1286">
        <v>560611</v>
      </c>
    </row>
    <row r="1287" spans="1:18" x14ac:dyDescent="0.25">
      <c r="A1287" s="169">
        <v>43909</v>
      </c>
      <c r="B1287" s="116">
        <v>5.44</v>
      </c>
      <c r="C1287" s="116">
        <v>5.34</v>
      </c>
      <c r="D1287" s="116">
        <v>4.16</v>
      </c>
      <c r="E1287" s="116">
        <v>4.5</v>
      </c>
      <c r="F1287" s="116">
        <v>5.34</v>
      </c>
      <c r="G1287">
        <v>16861</v>
      </c>
      <c r="H1287" s="116"/>
      <c r="I1287" s="116"/>
      <c r="L1287" s="169">
        <v>43901</v>
      </c>
      <c r="M1287" s="116">
        <v>419</v>
      </c>
      <c r="N1287" s="116">
        <v>445.9</v>
      </c>
      <c r="O1287" s="116">
        <v>404.6</v>
      </c>
      <c r="P1287" s="116">
        <v>416.5</v>
      </c>
      <c r="Q1287" s="116">
        <v>419</v>
      </c>
      <c r="R1287">
        <v>485012</v>
      </c>
    </row>
    <row r="1288" spans="1:18" x14ac:dyDescent="0.25">
      <c r="A1288" s="169">
        <v>43910</v>
      </c>
      <c r="B1288" s="116">
        <v>5.69</v>
      </c>
      <c r="C1288" s="116">
        <v>5.58</v>
      </c>
      <c r="D1288" s="116">
        <v>4.76</v>
      </c>
      <c r="E1288" s="116">
        <v>5.2</v>
      </c>
      <c r="F1288" s="116">
        <v>5.58</v>
      </c>
      <c r="G1288">
        <v>254404</v>
      </c>
      <c r="H1288" s="116"/>
      <c r="I1288" s="116"/>
      <c r="L1288" s="169">
        <v>43902</v>
      </c>
      <c r="M1288" s="116">
        <v>398.6</v>
      </c>
      <c r="N1288" s="116">
        <v>433.5</v>
      </c>
      <c r="O1288" s="116">
        <v>336.1</v>
      </c>
      <c r="P1288" s="116">
        <v>405</v>
      </c>
      <c r="Q1288" s="116">
        <v>398.6</v>
      </c>
      <c r="R1288">
        <v>671681</v>
      </c>
    </row>
    <row r="1289" spans="1:18" x14ac:dyDescent="0.25">
      <c r="A1289" s="169">
        <v>43913</v>
      </c>
      <c r="B1289" s="116">
        <v>5.58</v>
      </c>
      <c r="C1289" s="116">
        <v>5.18</v>
      </c>
      <c r="D1289" s="116">
        <v>4.6100000000000003</v>
      </c>
      <c r="E1289" s="116">
        <v>5.58</v>
      </c>
      <c r="F1289" s="116">
        <v>5.18</v>
      </c>
      <c r="G1289">
        <v>155572</v>
      </c>
      <c r="H1289" s="116"/>
      <c r="I1289" s="116"/>
      <c r="L1289" s="169">
        <v>43903</v>
      </c>
      <c r="M1289" s="116">
        <v>397.1</v>
      </c>
      <c r="N1289" s="116">
        <v>418.05</v>
      </c>
      <c r="O1289" s="116">
        <v>320.10000000000002</v>
      </c>
      <c r="P1289" s="116">
        <v>341</v>
      </c>
      <c r="Q1289" s="116">
        <v>397.1</v>
      </c>
      <c r="R1289">
        <v>350245</v>
      </c>
    </row>
    <row r="1290" spans="1:18" x14ac:dyDescent="0.25">
      <c r="A1290" s="169">
        <v>43914</v>
      </c>
      <c r="B1290" s="116">
        <v>5.5</v>
      </c>
      <c r="C1290" s="116">
        <v>5.48</v>
      </c>
      <c r="D1290" s="116">
        <v>4.26</v>
      </c>
      <c r="E1290" s="116">
        <v>4.28</v>
      </c>
      <c r="F1290" s="116">
        <v>5.48</v>
      </c>
      <c r="G1290">
        <v>18221</v>
      </c>
      <c r="H1290" s="116"/>
      <c r="I1290" s="116"/>
      <c r="L1290" s="169">
        <v>43906</v>
      </c>
      <c r="M1290" s="116">
        <v>363.2</v>
      </c>
      <c r="N1290" s="116">
        <v>379.9</v>
      </c>
      <c r="O1290" s="116">
        <v>357.35</v>
      </c>
      <c r="P1290" s="116">
        <v>366.55</v>
      </c>
      <c r="Q1290" s="116">
        <v>363.2</v>
      </c>
      <c r="R1290">
        <v>227491</v>
      </c>
    </row>
    <row r="1291" spans="1:18" x14ac:dyDescent="0.25">
      <c r="A1291" s="169">
        <v>43915</v>
      </c>
      <c r="B1291" s="116">
        <v>5.85</v>
      </c>
      <c r="C1291" s="116">
        <v>5.85</v>
      </c>
      <c r="D1291" s="116">
        <v>4.5</v>
      </c>
      <c r="E1291" s="116">
        <v>5.35</v>
      </c>
      <c r="F1291" s="116">
        <v>5.85</v>
      </c>
      <c r="G1291">
        <v>14354</v>
      </c>
      <c r="H1291" s="116"/>
      <c r="I1291" s="116"/>
      <c r="L1291" s="169">
        <v>43907</v>
      </c>
      <c r="M1291" s="116">
        <v>363</v>
      </c>
      <c r="N1291" s="116">
        <v>367.8</v>
      </c>
      <c r="O1291" s="116">
        <v>350</v>
      </c>
      <c r="P1291" s="116">
        <v>363.2</v>
      </c>
      <c r="Q1291" s="116">
        <v>363</v>
      </c>
      <c r="R1291">
        <v>407792</v>
      </c>
    </row>
    <row r="1292" spans="1:18" x14ac:dyDescent="0.25">
      <c r="A1292" s="169">
        <v>43916</v>
      </c>
      <c r="B1292" s="116">
        <v>5.85</v>
      </c>
      <c r="C1292" s="116">
        <v>5.7</v>
      </c>
      <c r="D1292" s="116">
        <v>4.84</v>
      </c>
      <c r="E1292" s="116">
        <v>5.85</v>
      </c>
      <c r="F1292" s="116">
        <v>5.7</v>
      </c>
      <c r="G1292">
        <v>159329</v>
      </c>
      <c r="H1292" s="116"/>
      <c r="I1292" s="116"/>
      <c r="L1292" s="169">
        <v>43908</v>
      </c>
      <c r="M1292" s="116">
        <v>331.6</v>
      </c>
      <c r="N1292" s="116">
        <v>369.95</v>
      </c>
      <c r="O1292" s="116">
        <v>318.14999999999998</v>
      </c>
      <c r="P1292" s="116">
        <v>363</v>
      </c>
      <c r="Q1292" s="116">
        <v>331.6</v>
      </c>
      <c r="R1292">
        <v>421641</v>
      </c>
    </row>
    <row r="1293" spans="1:18" x14ac:dyDescent="0.25">
      <c r="A1293" s="169">
        <v>43917</v>
      </c>
      <c r="B1293" s="116">
        <v>6</v>
      </c>
      <c r="C1293" s="116">
        <v>5.0999999999999996</v>
      </c>
      <c r="D1293" s="116">
        <v>5</v>
      </c>
      <c r="E1293" s="116">
        <v>5</v>
      </c>
      <c r="F1293" s="116">
        <v>5.0999999999999996</v>
      </c>
      <c r="G1293">
        <v>41465</v>
      </c>
      <c r="H1293" s="116"/>
      <c r="I1293" s="116"/>
      <c r="L1293" s="169">
        <v>43909</v>
      </c>
      <c r="M1293" s="116">
        <v>319.75</v>
      </c>
      <c r="N1293" s="116">
        <v>342.95</v>
      </c>
      <c r="O1293" s="116">
        <v>266</v>
      </c>
      <c r="P1293" s="116">
        <v>296</v>
      </c>
      <c r="Q1293" s="116">
        <v>319.75</v>
      </c>
      <c r="R1293">
        <v>845755</v>
      </c>
    </row>
    <row r="1294" spans="1:18" x14ac:dyDescent="0.25">
      <c r="A1294" s="169">
        <v>43920</v>
      </c>
      <c r="B1294" s="116">
        <v>6.08</v>
      </c>
      <c r="C1294" s="116">
        <v>5.5</v>
      </c>
      <c r="D1294" s="116">
        <v>5.48</v>
      </c>
      <c r="E1294" s="116">
        <v>5.48</v>
      </c>
      <c r="F1294" s="116">
        <v>5.5</v>
      </c>
      <c r="G1294">
        <v>7527</v>
      </c>
      <c r="H1294" s="116"/>
      <c r="I1294" s="116"/>
      <c r="L1294" s="169">
        <v>43910</v>
      </c>
      <c r="M1294" s="116">
        <v>335.7</v>
      </c>
      <c r="N1294" s="116">
        <v>347.4</v>
      </c>
      <c r="O1294" s="116">
        <v>310.25</v>
      </c>
      <c r="P1294" s="116">
        <v>320.39999999999998</v>
      </c>
      <c r="Q1294" s="116">
        <v>335.7</v>
      </c>
      <c r="R1294">
        <v>583965</v>
      </c>
    </row>
    <row r="1295" spans="1:18" x14ac:dyDescent="0.25">
      <c r="A1295" s="169">
        <v>43921</v>
      </c>
      <c r="B1295" s="116">
        <v>5.98</v>
      </c>
      <c r="C1295" s="116">
        <v>5.76</v>
      </c>
      <c r="D1295" s="116">
        <v>5</v>
      </c>
      <c r="E1295" s="116">
        <v>5.25</v>
      </c>
      <c r="F1295" s="116">
        <v>5.76</v>
      </c>
      <c r="G1295">
        <v>23948</v>
      </c>
      <c r="H1295" s="116"/>
      <c r="I1295" s="116"/>
      <c r="L1295" s="169">
        <v>43913</v>
      </c>
      <c r="M1295" s="116">
        <v>283.10000000000002</v>
      </c>
      <c r="N1295" s="116">
        <v>316.5</v>
      </c>
      <c r="O1295" s="116">
        <v>268.60000000000002</v>
      </c>
      <c r="P1295" s="116">
        <v>300</v>
      </c>
      <c r="Q1295" s="116">
        <v>283.10000000000002</v>
      </c>
      <c r="R1295">
        <v>553636</v>
      </c>
    </row>
    <row r="1296" spans="1:18" x14ac:dyDescent="0.25">
      <c r="A1296" s="169">
        <v>43922</v>
      </c>
      <c r="B1296" s="116">
        <v>5.75</v>
      </c>
      <c r="C1296" s="116">
        <v>5.29</v>
      </c>
      <c r="D1296" s="116">
        <v>5</v>
      </c>
      <c r="E1296" s="116">
        <v>5.75</v>
      </c>
      <c r="F1296" s="116">
        <v>5.29</v>
      </c>
      <c r="G1296">
        <v>64378</v>
      </c>
      <c r="H1296" s="116"/>
      <c r="I1296" s="116"/>
      <c r="L1296" s="169">
        <v>43914</v>
      </c>
      <c r="M1296" s="116">
        <v>288.95</v>
      </c>
      <c r="N1296" s="116">
        <v>304.39999999999998</v>
      </c>
      <c r="O1296" s="116">
        <v>264.10000000000002</v>
      </c>
      <c r="P1296" s="116">
        <v>290.7</v>
      </c>
      <c r="Q1296" s="116">
        <v>288.95</v>
      </c>
      <c r="R1296">
        <v>345082</v>
      </c>
    </row>
    <row r="1297" spans="1:18" x14ac:dyDescent="0.25">
      <c r="A1297" s="169">
        <v>43924</v>
      </c>
      <c r="B1297" s="116">
        <v>5.36</v>
      </c>
      <c r="C1297" s="116">
        <v>5</v>
      </c>
      <c r="D1297" s="116">
        <v>4.99</v>
      </c>
      <c r="E1297" s="116">
        <v>5.01</v>
      </c>
      <c r="F1297" s="116">
        <v>5</v>
      </c>
      <c r="G1297">
        <v>63563</v>
      </c>
      <c r="H1297" s="116"/>
      <c r="I1297" s="116"/>
      <c r="L1297" s="169">
        <v>43915</v>
      </c>
      <c r="M1297" s="116">
        <v>301.60000000000002</v>
      </c>
      <c r="N1297" s="116">
        <v>305.85000000000002</v>
      </c>
      <c r="O1297" s="116">
        <v>275.45</v>
      </c>
      <c r="P1297" s="116">
        <v>283</v>
      </c>
      <c r="Q1297" s="116">
        <v>301.60000000000002</v>
      </c>
      <c r="R1297">
        <v>207322</v>
      </c>
    </row>
    <row r="1298" spans="1:18" x14ac:dyDescent="0.25">
      <c r="A1298" s="169">
        <v>43928</v>
      </c>
      <c r="B1298" s="116">
        <v>5.47</v>
      </c>
      <c r="C1298" s="116">
        <v>5.3</v>
      </c>
      <c r="D1298" s="116">
        <v>5</v>
      </c>
      <c r="E1298" s="116">
        <v>5</v>
      </c>
      <c r="F1298" s="116">
        <v>5.3</v>
      </c>
      <c r="G1298">
        <v>5874</v>
      </c>
      <c r="H1298" s="116"/>
      <c r="I1298" s="116"/>
      <c r="L1298" s="169">
        <v>43916</v>
      </c>
      <c r="M1298" s="116">
        <v>308.55</v>
      </c>
      <c r="N1298" s="116">
        <v>348.9</v>
      </c>
      <c r="O1298" s="116">
        <v>300.7</v>
      </c>
      <c r="P1298" s="116">
        <v>301</v>
      </c>
      <c r="Q1298" s="116">
        <v>308.55</v>
      </c>
      <c r="R1298">
        <v>653135</v>
      </c>
    </row>
    <row r="1299" spans="1:18" x14ac:dyDescent="0.25">
      <c r="A1299" s="169">
        <v>43929</v>
      </c>
      <c r="B1299" s="116">
        <v>5.55</v>
      </c>
      <c r="C1299" s="116">
        <v>5.27</v>
      </c>
      <c r="D1299" s="116">
        <v>5.0599999999999996</v>
      </c>
      <c r="E1299" s="116">
        <v>5.0599999999999996</v>
      </c>
      <c r="F1299" s="116">
        <v>5.27</v>
      </c>
      <c r="G1299">
        <v>4640</v>
      </c>
      <c r="H1299" s="116"/>
      <c r="I1299" s="116"/>
      <c r="L1299" s="169">
        <v>43917</v>
      </c>
      <c r="M1299" s="116">
        <v>305.3</v>
      </c>
      <c r="N1299" s="116">
        <v>337.75</v>
      </c>
      <c r="O1299" s="116">
        <v>295.75</v>
      </c>
      <c r="P1299" s="116">
        <v>320</v>
      </c>
      <c r="Q1299" s="116">
        <v>305.3</v>
      </c>
      <c r="R1299">
        <v>280615</v>
      </c>
    </row>
    <row r="1300" spans="1:18" x14ac:dyDescent="0.25">
      <c r="A1300" s="169">
        <v>43930</v>
      </c>
      <c r="B1300" s="116">
        <v>5.49</v>
      </c>
      <c r="C1300" s="116">
        <v>5.35</v>
      </c>
      <c r="D1300" s="116">
        <v>5</v>
      </c>
      <c r="E1300" s="116">
        <v>5.05</v>
      </c>
      <c r="F1300" s="116">
        <v>5.35</v>
      </c>
      <c r="G1300">
        <v>9010</v>
      </c>
      <c r="H1300" s="116"/>
      <c r="I1300" s="116"/>
      <c r="L1300" s="169">
        <v>43920</v>
      </c>
      <c r="M1300" s="116">
        <v>286.25</v>
      </c>
      <c r="N1300" s="116">
        <v>298.55</v>
      </c>
      <c r="O1300" s="116">
        <v>281.39999999999998</v>
      </c>
      <c r="P1300" s="116">
        <v>284.10000000000002</v>
      </c>
      <c r="Q1300" s="116">
        <v>286.25</v>
      </c>
      <c r="R1300">
        <v>184906</v>
      </c>
    </row>
    <row r="1301" spans="1:18" x14ac:dyDescent="0.25">
      <c r="A1301" s="169">
        <v>43934</v>
      </c>
      <c r="B1301" s="116">
        <v>5.9</v>
      </c>
      <c r="C1301" s="116">
        <v>5.39</v>
      </c>
      <c r="D1301" s="116">
        <v>5.25</v>
      </c>
      <c r="E1301" s="116">
        <v>5.9</v>
      </c>
      <c r="F1301" s="116">
        <v>5.39</v>
      </c>
      <c r="G1301">
        <v>5174</v>
      </c>
      <c r="H1301" s="116"/>
      <c r="I1301" s="116"/>
      <c r="L1301" s="169">
        <v>43921</v>
      </c>
      <c r="M1301" s="116">
        <v>279.05</v>
      </c>
      <c r="N1301" s="116">
        <v>301</v>
      </c>
      <c r="O1301" s="116">
        <v>276.2</v>
      </c>
      <c r="P1301" s="116">
        <v>301</v>
      </c>
      <c r="Q1301" s="116">
        <v>279.05</v>
      </c>
      <c r="R1301">
        <v>309579</v>
      </c>
    </row>
    <row r="1302" spans="1:18" x14ac:dyDescent="0.25">
      <c r="A1302" s="169">
        <v>43936</v>
      </c>
      <c r="B1302" s="116">
        <v>5.74</v>
      </c>
      <c r="C1302" s="116">
        <v>5.0999999999999996</v>
      </c>
      <c r="D1302" s="116">
        <v>4.92</v>
      </c>
      <c r="E1302" s="116">
        <v>5.5</v>
      </c>
      <c r="F1302" s="116">
        <v>5.0999999999999996</v>
      </c>
      <c r="G1302">
        <v>17695</v>
      </c>
      <c r="H1302" s="116"/>
      <c r="I1302" s="116"/>
      <c r="L1302" s="169">
        <v>43922</v>
      </c>
      <c r="M1302" s="116">
        <v>275</v>
      </c>
      <c r="N1302" s="116">
        <v>287</v>
      </c>
      <c r="O1302" s="116">
        <v>271.3</v>
      </c>
      <c r="P1302" s="116">
        <v>275.2</v>
      </c>
      <c r="Q1302" s="116">
        <v>275</v>
      </c>
      <c r="R1302">
        <v>162682</v>
      </c>
    </row>
    <row r="1303" spans="1:18" x14ac:dyDescent="0.25">
      <c r="A1303" s="169">
        <v>43937</v>
      </c>
      <c r="B1303" s="116">
        <v>5.38</v>
      </c>
      <c r="C1303" s="116">
        <v>5.25</v>
      </c>
      <c r="D1303" s="116">
        <v>5.0999999999999996</v>
      </c>
      <c r="E1303" s="116">
        <v>5.2</v>
      </c>
      <c r="F1303" s="116">
        <v>5.25</v>
      </c>
      <c r="G1303">
        <v>4057</v>
      </c>
      <c r="H1303" s="116"/>
      <c r="I1303" s="116"/>
      <c r="L1303" s="169">
        <v>43924</v>
      </c>
      <c r="M1303" s="116">
        <v>263.2</v>
      </c>
      <c r="N1303" s="116">
        <v>278.64999999999998</v>
      </c>
      <c r="O1303" s="116">
        <v>253.3</v>
      </c>
      <c r="P1303" s="116">
        <v>275.8</v>
      </c>
      <c r="Q1303" s="116">
        <v>263.2</v>
      </c>
      <c r="R1303">
        <v>456486</v>
      </c>
    </row>
    <row r="1304" spans="1:18" x14ac:dyDescent="0.25">
      <c r="A1304" s="169">
        <v>43938</v>
      </c>
      <c r="B1304" s="116">
        <v>5.5</v>
      </c>
      <c r="C1304" s="116">
        <v>5.31</v>
      </c>
      <c r="D1304" s="116">
        <v>5.2</v>
      </c>
      <c r="E1304" s="116">
        <v>5.5</v>
      </c>
      <c r="F1304" s="116">
        <v>5.31</v>
      </c>
      <c r="G1304">
        <v>7655</v>
      </c>
      <c r="H1304" s="116"/>
      <c r="I1304" s="116"/>
      <c r="L1304" s="169">
        <v>43928</v>
      </c>
      <c r="M1304" s="116">
        <v>274.64999999999998</v>
      </c>
      <c r="N1304" s="116">
        <v>278.8</v>
      </c>
      <c r="O1304" s="116">
        <v>258.05</v>
      </c>
      <c r="P1304" s="116">
        <v>269.25</v>
      </c>
      <c r="Q1304" s="116">
        <v>274.64999999999998</v>
      </c>
      <c r="R1304">
        <v>473914</v>
      </c>
    </row>
    <row r="1305" spans="1:18" x14ac:dyDescent="0.25">
      <c r="A1305" s="169">
        <v>43941</v>
      </c>
      <c r="B1305" s="116">
        <v>5.5</v>
      </c>
      <c r="C1305" s="116">
        <v>5.28</v>
      </c>
      <c r="D1305" s="116">
        <v>5.2</v>
      </c>
      <c r="E1305" s="116">
        <v>5.5</v>
      </c>
      <c r="F1305" s="116">
        <v>5.28</v>
      </c>
      <c r="G1305">
        <v>12572</v>
      </c>
      <c r="H1305" s="116"/>
      <c r="I1305" s="116"/>
      <c r="L1305" s="169">
        <v>43929</v>
      </c>
      <c r="M1305" s="116">
        <v>283.39999999999998</v>
      </c>
      <c r="N1305" s="116">
        <v>302</v>
      </c>
      <c r="O1305" s="116">
        <v>269</v>
      </c>
      <c r="P1305" s="116">
        <v>275</v>
      </c>
      <c r="Q1305" s="116">
        <v>283.39999999999998</v>
      </c>
      <c r="R1305">
        <v>603068</v>
      </c>
    </row>
    <row r="1306" spans="1:18" x14ac:dyDescent="0.25">
      <c r="A1306" s="169">
        <v>43942</v>
      </c>
      <c r="B1306" s="116">
        <v>5.25</v>
      </c>
      <c r="C1306" s="116">
        <v>4.9800000000000004</v>
      </c>
      <c r="D1306" s="116">
        <v>4.3</v>
      </c>
      <c r="E1306" s="116">
        <v>5.25</v>
      </c>
      <c r="F1306" s="116">
        <v>4.9800000000000004</v>
      </c>
      <c r="G1306">
        <v>12505</v>
      </c>
      <c r="H1306" s="116"/>
      <c r="I1306" s="116"/>
      <c r="L1306" s="169">
        <v>43930</v>
      </c>
      <c r="M1306" s="116">
        <v>284.3</v>
      </c>
      <c r="N1306" s="116">
        <v>291.85000000000002</v>
      </c>
      <c r="O1306" s="116">
        <v>279</v>
      </c>
      <c r="P1306" s="116">
        <v>284.95</v>
      </c>
      <c r="Q1306" s="116">
        <v>284.3</v>
      </c>
      <c r="R1306">
        <v>607661</v>
      </c>
    </row>
    <row r="1307" spans="1:18" x14ac:dyDescent="0.25">
      <c r="A1307" s="169">
        <v>43943</v>
      </c>
      <c r="B1307" s="116">
        <v>5.4</v>
      </c>
      <c r="C1307" s="116">
        <v>5.09</v>
      </c>
      <c r="D1307" s="116">
        <v>4.8</v>
      </c>
      <c r="E1307" s="116">
        <v>5.05</v>
      </c>
      <c r="F1307" s="116">
        <v>5.09</v>
      </c>
      <c r="G1307">
        <v>16989</v>
      </c>
      <c r="H1307" s="116"/>
      <c r="I1307" s="116"/>
      <c r="L1307" s="169">
        <v>43934</v>
      </c>
      <c r="M1307" s="116">
        <v>267.45</v>
      </c>
      <c r="N1307" s="116">
        <v>288.95</v>
      </c>
      <c r="O1307" s="116">
        <v>264.05</v>
      </c>
      <c r="P1307" s="116">
        <v>288.95</v>
      </c>
      <c r="Q1307" s="116">
        <v>267.45</v>
      </c>
      <c r="R1307">
        <v>353033</v>
      </c>
    </row>
    <row r="1308" spans="1:18" x14ac:dyDescent="0.25">
      <c r="A1308" s="169">
        <v>43944</v>
      </c>
      <c r="B1308" s="116">
        <v>5.39</v>
      </c>
      <c r="C1308" s="116">
        <v>4.9400000000000004</v>
      </c>
      <c r="D1308" s="116">
        <v>4.82</v>
      </c>
      <c r="E1308" s="116">
        <v>5.38</v>
      </c>
      <c r="F1308" s="116">
        <v>4.9400000000000004</v>
      </c>
      <c r="G1308">
        <v>9745</v>
      </c>
      <c r="H1308" s="116"/>
      <c r="I1308" s="116"/>
      <c r="L1308" s="169">
        <v>43936</v>
      </c>
      <c r="M1308" s="116">
        <v>270.14999999999998</v>
      </c>
      <c r="N1308" s="116">
        <v>277.95</v>
      </c>
      <c r="O1308" s="116">
        <v>266</v>
      </c>
      <c r="P1308" s="116">
        <v>269</v>
      </c>
      <c r="Q1308" s="116">
        <v>270.14999999999998</v>
      </c>
      <c r="R1308">
        <v>283528</v>
      </c>
    </row>
    <row r="1309" spans="1:18" x14ac:dyDescent="0.25">
      <c r="A1309" s="169">
        <v>43945</v>
      </c>
      <c r="B1309" s="116">
        <v>5.2</v>
      </c>
      <c r="C1309" s="116">
        <v>4.3899999999999997</v>
      </c>
      <c r="D1309" s="116">
        <v>4.12</v>
      </c>
      <c r="E1309" s="116">
        <v>5</v>
      </c>
      <c r="F1309" s="116">
        <v>4.3899999999999997</v>
      </c>
      <c r="G1309">
        <v>172784</v>
      </c>
      <c r="H1309" s="116"/>
      <c r="I1309" s="116"/>
      <c r="L1309" s="169">
        <v>43937</v>
      </c>
      <c r="M1309" s="116">
        <v>284.5</v>
      </c>
      <c r="N1309" s="116">
        <v>288.39999999999998</v>
      </c>
      <c r="O1309" s="116">
        <v>265.5</v>
      </c>
      <c r="P1309" s="116">
        <v>268</v>
      </c>
      <c r="Q1309" s="116">
        <v>284.5</v>
      </c>
      <c r="R1309">
        <v>426973</v>
      </c>
    </row>
    <row r="1310" spans="1:18" x14ac:dyDescent="0.25">
      <c r="A1310" s="169">
        <v>43948</v>
      </c>
      <c r="B1310" s="116">
        <v>4.63</v>
      </c>
      <c r="C1310" s="116">
        <v>4.51</v>
      </c>
      <c r="D1310" s="116">
        <v>4.4000000000000004</v>
      </c>
      <c r="E1310" s="116">
        <v>4.59</v>
      </c>
      <c r="F1310" s="116">
        <v>4.51</v>
      </c>
      <c r="G1310">
        <v>23386</v>
      </c>
      <c r="H1310" s="116"/>
      <c r="I1310" s="116"/>
      <c r="L1310" s="169">
        <v>43938</v>
      </c>
      <c r="M1310" s="116">
        <v>307.85000000000002</v>
      </c>
      <c r="N1310" s="116">
        <v>312</v>
      </c>
      <c r="O1310" s="116">
        <v>286.10000000000002</v>
      </c>
      <c r="P1310" s="116">
        <v>293.75</v>
      </c>
      <c r="Q1310" s="116">
        <v>307.85000000000002</v>
      </c>
      <c r="R1310">
        <v>2389268</v>
      </c>
    </row>
    <row r="1311" spans="1:18" x14ac:dyDescent="0.25">
      <c r="A1311" s="169">
        <v>43949</v>
      </c>
      <c r="B1311" s="116">
        <v>4.6500000000000004</v>
      </c>
      <c r="C1311" s="116">
        <v>4.63</v>
      </c>
      <c r="D1311" s="116">
        <v>4.45</v>
      </c>
      <c r="E1311" s="116">
        <v>4.5999999999999996</v>
      </c>
      <c r="F1311" s="116">
        <v>4.63</v>
      </c>
      <c r="G1311">
        <v>13846</v>
      </c>
      <c r="H1311" s="116"/>
      <c r="I1311" s="116"/>
      <c r="L1311" s="169">
        <v>43941</v>
      </c>
      <c r="M1311" s="116">
        <v>311.35000000000002</v>
      </c>
      <c r="N1311" s="116">
        <v>320.7</v>
      </c>
      <c r="O1311" s="116">
        <v>303.3</v>
      </c>
      <c r="P1311" s="116">
        <v>312.5</v>
      </c>
      <c r="Q1311" s="116">
        <v>311.35000000000002</v>
      </c>
      <c r="R1311">
        <v>1221919</v>
      </c>
    </row>
    <row r="1312" spans="1:18" x14ac:dyDescent="0.25">
      <c r="A1312" s="169">
        <v>43950</v>
      </c>
      <c r="B1312" s="116">
        <v>4.75</v>
      </c>
      <c r="C1312" s="116">
        <v>4.63</v>
      </c>
      <c r="D1312" s="116">
        <v>4.43</v>
      </c>
      <c r="E1312" s="116">
        <v>4.7</v>
      </c>
      <c r="F1312" s="116">
        <v>4.63</v>
      </c>
      <c r="G1312">
        <v>8935</v>
      </c>
      <c r="H1312" s="116"/>
      <c r="I1312" s="116"/>
      <c r="L1312" s="169">
        <v>43942</v>
      </c>
      <c r="M1312" s="116">
        <v>291.3</v>
      </c>
      <c r="N1312" s="116">
        <v>302.85000000000002</v>
      </c>
      <c r="O1312" s="116">
        <v>285</v>
      </c>
      <c r="P1312" s="116">
        <v>300.2</v>
      </c>
      <c r="Q1312" s="116">
        <v>291.3</v>
      </c>
      <c r="R1312">
        <v>329873</v>
      </c>
    </row>
    <row r="1313" spans="1:18" x14ac:dyDescent="0.25">
      <c r="A1313" s="169">
        <v>43951</v>
      </c>
      <c r="B1313" s="116">
        <v>4.8</v>
      </c>
      <c r="C1313" s="116">
        <v>4.59</v>
      </c>
      <c r="D1313" s="116">
        <v>4.46</v>
      </c>
      <c r="E1313" s="116">
        <v>4.75</v>
      </c>
      <c r="F1313" s="116">
        <v>4.59</v>
      </c>
      <c r="G1313">
        <v>11473</v>
      </c>
      <c r="H1313" s="116"/>
      <c r="I1313" s="116"/>
      <c r="L1313" s="169">
        <v>43943</v>
      </c>
      <c r="M1313" s="116">
        <v>290.89999999999998</v>
      </c>
      <c r="N1313" s="116">
        <v>294.89999999999998</v>
      </c>
      <c r="O1313" s="116">
        <v>285.25</v>
      </c>
      <c r="P1313" s="116">
        <v>291.3</v>
      </c>
      <c r="Q1313" s="116">
        <v>290.89999999999998</v>
      </c>
      <c r="R1313">
        <v>186696</v>
      </c>
    </row>
    <row r="1314" spans="1:18" x14ac:dyDescent="0.25">
      <c r="A1314" s="169">
        <v>43955</v>
      </c>
      <c r="B1314" s="116">
        <v>4.75</v>
      </c>
      <c r="C1314" s="116">
        <v>4.7</v>
      </c>
      <c r="D1314" s="116">
        <v>4.41</v>
      </c>
      <c r="E1314" s="116">
        <v>4.6399999999999997</v>
      </c>
      <c r="F1314" s="116">
        <v>4.7</v>
      </c>
      <c r="G1314">
        <v>41677</v>
      </c>
      <c r="H1314" s="116"/>
      <c r="I1314" s="116"/>
      <c r="L1314" s="169">
        <v>43944</v>
      </c>
      <c r="M1314" s="116">
        <v>312.25</v>
      </c>
      <c r="N1314" s="116">
        <v>317</v>
      </c>
      <c r="O1314" s="116">
        <v>293</v>
      </c>
      <c r="P1314" s="116">
        <v>293</v>
      </c>
      <c r="Q1314" s="116">
        <v>312.25</v>
      </c>
      <c r="R1314">
        <v>776685</v>
      </c>
    </row>
    <row r="1315" spans="1:18" x14ac:dyDescent="0.25">
      <c r="A1315" s="169">
        <v>43956</v>
      </c>
      <c r="B1315" s="116">
        <v>5.15</v>
      </c>
      <c r="C1315" s="116">
        <v>4.9000000000000004</v>
      </c>
      <c r="D1315" s="116">
        <v>4.7</v>
      </c>
      <c r="E1315" s="116">
        <v>4.8499999999999996</v>
      </c>
      <c r="F1315" s="116">
        <v>4.9000000000000004</v>
      </c>
      <c r="G1315">
        <v>5238</v>
      </c>
      <c r="H1315" s="116"/>
      <c r="I1315" s="116"/>
      <c r="L1315" s="169">
        <v>43945</v>
      </c>
      <c r="M1315" s="116">
        <v>292.2</v>
      </c>
      <c r="N1315" s="116">
        <v>304.89999999999998</v>
      </c>
      <c r="O1315" s="116">
        <v>290</v>
      </c>
      <c r="P1315" s="116">
        <v>299.95</v>
      </c>
      <c r="Q1315" s="116">
        <v>292.2</v>
      </c>
      <c r="R1315">
        <v>319376</v>
      </c>
    </row>
    <row r="1316" spans="1:18" x14ac:dyDescent="0.25">
      <c r="A1316" s="169">
        <v>43957</v>
      </c>
      <c r="B1316" s="116">
        <v>5.88</v>
      </c>
      <c r="C1316" s="116">
        <v>5.88</v>
      </c>
      <c r="D1316" s="116">
        <v>5</v>
      </c>
      <c r="E1316" s="116">
        <v>5</v>
      </c>
      <c r="F1316" s="116">
        <v>5.88</v>
      </c>
      <c r="G1316">
        <v>100724</v>
      </c>
      <c r="H1316" s="116"/>
      <c r="I1316" s="116"/>
      <c r="L1316" s="169">
        <v>43948</v>
      </c>
      <c r="M1316" s="116">
        <v>289.85000000000002</v>
      </c>
      <c r="N1316" s="116">
        <v>299.5</v>
      </c>
      <c r="O1316" s="116">
        <v>287.95</v>
      </c>
      <c r="P1316" s="116">
        <v>299</v>
      </c>
      <c r="Q1316" s="116">
        <v>289.85000000000002</v>
      </c>
      <c r="R1316">
        <v>263749</v>
      </c>
    </row>
    <row r="1317" spans="1:18" x14ac:dyDescent="0.25">
      <c r="A1317" s="169">
        <v>43958</v>
      </c>
      <c r="B1317" s="116">
        <v>7.05</v>
      </c>
      <c r="C1317" s="116">
        <v>7.05</v>
      </c>
      <c r="D1317" s="116">
        <v>5.89</v>
      </c>
      <c r="E1317" s="116">
        <v>6.4</v>
      </c>
      <c r="F1317" s="116">
        <v>7.05</v>
      </c>
      <c r="G1317">
        <v>127395</v>
      </c>
      <c r="H1317" s="116"/>
      <c r="I1317" s="116"/>
      <c r="L1317" s="169">
        <v>43949</v>
      </c>
      <c r="M1317" s="116">
        <v>309.45</v>
      </c>
      <c r="N1317" s="116">
        <v>313</v>
      </c>
      <c r="O1317" s="116">
        <v>286.39999999999998</v>
      </c>
      <c r="P1317" s="116">
        <v>295</v>
      </c>
      <c r="Q1317" s="116">
        <v>309.45</v>
      </c>
      <c r="R1317">
        <v>809300</v>
      </c>
    </row>
    <row r="1318" spans="1:18" x14ac:dyDescent="0.25">
      <c r="A1318" s="169">
        <v>43959</v>
      </c>
      <c r="B1318" s="116">
        <v>7.75</v>
      </c>
      <c r="C1318" s="116">
        <v>7.75</v>
      </c>
      <c r="D1318" s="116">
        <v>6.65</v>
      </c>
      <c r="E1318" s="116">
        <v>7.75</v>
      </c>
      <c r="F1318" s="116">
        <v>7.75</v>
      </c>
      <c r="G1318">
        <v>257532</v>
      </c>
      <c r="H1318" s="116"/>
      <c r="I1318" s="116"/>
      <c r="L1318" s="169">
        <v>43950</v>
      </c>
      <c r="M1318" s="116">
        <v>313.55</v>
      </c>
      <c r="N1318" s="116">
        <v>325.8</v>
      </c>
      <c r="O1318" s="116">
        <v>306.5</v>
      </c>
      <c r="P1318" s="116">
        <v>312.5</v>
      </c>
      <c r="Q1318" s="116">
        <v>313.55</v>
      </c>
      <c r="R1318">
        <v>1043579</v>
      </c>
    </row>
    <row r="1319" spans="1:18" x14ac:dyDescent="0.25">
      <c r="A1319" s="169">
        <v>43962</v>
      </c>
      <c r="B1319" s="116">
        <v>8.52</v>
      </c>
      <c r="C1319" s="116">
        <v>8.52</v>
      </c>
      <c r="D1319" s="116">
        <v>7.11</v>
      </c>
      <c r="E1319" s="116">
        <v>7.65</v>
      </c>
      <c r="F1319" s="116">
        <v>8.52</v>
      </c>
      <c r="G1319">
        <v>259777</v>
      </c>
      <c r="H1319" s="116"/>
      <c r="I1319" s="116"/>
      <c r="L1319" s="169">
        <v>43951</v>
      </c>
      <c r="M1319" s="116">
        <v>320.10000000000002</v>
      </c>
      <c r="N1319" s="116">
        <v>324.95</v>
      </c>
      <c r="O1319" s="116">
        <v>313.5</v>
      </c>
      <c r="P1319" s="116">
        <v>322</v>
      </c>
      <c r="Q1319" s="116">
        <v>320.10000000000002</v>
      </c>
      <c r="R1319">
        <v>734522</v>
      </c>
    </row>
    <row r="1320" spans="1:18" x14ac:dyDescent="0.25">
      <c r="A1320" s="169">
        <v>43963</v>
      </c>
      <c r="B1320" s="116">
        <v>8.9700000000000006</v>
      </c>
      <c r="C1320" s="116">
        <v>8.11</v>
      </c>
      <c r="D1320" s="116">
        <v>7.73</v>
      </c>
      <c r="E1320" s="116">
        <v>8.85</v>
      </c>
      <c r="F1320" s="116">
        <v>8.11</v>
      </c>
      <c r="G1320">
        <v>147990</v>
      </c>
      <c r="H1320" s="116"/>
      <c r="I1320" s="116"/>
      <c r="L1320" s="169">
        <v>43955</v>
      </c>
      <c r="M1320" s="116">
        <v>300.2</v>
      </c>
      <c r="N1320" s="116">
        <v>310</v>
      </c>
      <c r="O1320" s="116">
        <v>295.85000000000002</v>
      </c>
      <c r="P1320" s="116">
        <v>304</v>
      </c>
      <c r="Q1320" s="116">
        <v>300.2</v>
      </c>
      <c r="R1320">
        <v>290205</v>
      </c>
    </row>
    <row r="1321" spans="1:18" x14ac:dyDescent="0.25">
      <c r="A1321" s="169">
        <v>43964</v>
      </c>
      <c r="B1321" s="116">
        <v>8.6</v>
      </c>
      <c r="C1321" s="116">
        <v>8.15</v>
      </c>
      <c r="D1321" s="116">
        <v>8</v>
      </c>
      <c r="E1321" s="116">
        <v>8.5</v>
      </c>
      <c r="F1321" s="116">
        <v>8.15</v>
      </c>
      <c r="G1321">
        <v>57299</v>
      </c>
      <c r="H1321" s="116"/>
      <c r="I1321" s="116"/>
      <c r="L1321" s="169">
        <v>43956</v>
      </c>
      <c r="M1321" s="116">
        <v>290.75</v>
      </c>
      <c r="N1321" s="116">
        <v>308.25</v>
      </c>
      <c r="O1321" s="116">
        <v>290</v>
      </c>
      <c r="P1321" s="116">
        <v>297.05</v>
      </c>
      <c r="Q1321" s="116">
        <v>290.75</v>
      </c>
      <c r="R1321">
        <v>221646</v>
      </c>
    </row>
    <row r="1322" spans="1:18" x14ac:dyDescent="0.25">
      <c r="A1322" s="169">
        <v>43965</v>
      </c>
      <c r="B1322" s="116">
        <v>8.25</v>
      </c>
      <c r="C1322" s="116">
        <v>7.88</v>
      </c>
      <c r="D1322" s="116">
        <v>7.5</v>
      </c>
      <c r="E1322" s="116">
        <v>8.25</v>
      </c>
      <c r="F1322" s="116">
        <v>7.88</v>
      </c>
      <c r="G1322">
        <v>89154</v>
      </c>
      <c r="H1322" s="116"/>
      <c r="I1322" s="116"/>
      <c r="L1322" s="169">
        <v>43957</v>
      </c>
      <c r="M1322" s="116">
        <v>296.45</v>
      </c>
      <c r="N1322" s="116">
        <v>303.60000000000002</v>
      </c>
      <c r="O1322" s="116">
        <v>286.10000000000002</v>
      </c>
      <c r="P1322" s="116">
        <v>292.8</v>
      </c>
      <c r="Q1322" s="116">
        <v>296.45</v>
      </c>
      <c r="R1322">
        <v>370446</v>
      </c>
    </row>
    <row r="1323" spans="1:18" x14ac:dyDescent="0.25">
      <c r="A1323" s="169">
        <v>43966</v>
      </c>
      <c r="B1323" s="116">
        <v>7.99</v>
      </c>
      <c r="C1323" s="116">
        <v>7.75</v>
      </c>
      <c r="D1323" s="116">
        <v>7.4</v>
      </c>
      <c r="E1323" s="116">
        <v>7.88</v>
      </c>
      <c r="F1323" s="116">
        <v>7.75</v>
      </c>
      <c r="G1323">
        <v>22489</v>
      </c>
      <c r="H1323" s="116"/>
      <c r="I1323" s="116"/>
      <c r="L1323" s="169">
        <v>43958</v>
      </c>
      <c r="M1323" s="116">
        <v>302.8</v>
      </c>
      <c r="N1323" s="116">
        <v>314.89999999999998</v>
      </c>
      <c r="O1323" s="116">
        <v>293.10000000000002</v>
      </c>
      <c r="P1323" s="116">
        <v>297</v>
      </c>
      <c r="Q1323" s="116">
        <v>302.8</v>
      </c>
      <c r="R1323">
        <v>473717</v>
      </c>
    </row>
    <row r="1324" spans="1:18" x14ac:dyDescent="0.25">
      <c r="A1324" s="169">
        <v>43969</v>
      </c>
      <c r="B1324" s="116">
        <v>7.8</v>
      </c>
      <c r="C1324" s="116">
        <v>6.98</v>
      </c>
      <c r="D1324" s="116">
        <v>6.98</v>
      </c>
      <c r="E1324" s="116">
        <v>7.8</v>
      </c>
      <c r="F1324" s="116">
        <v>6.98</v>
      </c>
      <c r="G1324">
        <v>22161</v>
      </c>
      <c r="H1324" s="116"/>
      <c r="I1324" s="116"/>
      <c r="L1324" s="169">
        <v>43959</v>
      </c>
      <c r="M1324" s="116">
        <v>299.7</v>
      </c>
      <c r="N1324" s="116">
        <v>312.89999999999998</v>
      </c>
      <c r="O1324" s="116">
        <v>297.3</v>
      </c>
      <c r="P1324" s="116">
        <v>312.89999999999998</v>
      </c>
      <c r="Q1324" s="116">
        <v>299.7</v>
      </c>
      <c r="R1324">
        <v>251482</v>
      </c>
    </row>
    <row r="1325" spans="1:18" x14ac:dyDescent="0.25">
      <c r="A1325" s="169">
        <v>43970</v>
      </c>
      <c r="B1325" s="116">
        <v>7.67</v>
      </c>
      <c r="C1325" s="116">
        <v>7.67</v>
      </c>
      <c r="D1325" s="116">
        <v>7.35</v>
      </c>
      <c r="E1325" s="116">
        <v>7.64</v>
      </c>
      <c r="F1325" s="116">
        <v>7.67</v>
      </c>
      <c r="G1325">
        <v>69388</v>
      </c>
      <c r="H1325" s="116"/>
      <c r="I1325" s="116"/>
      <c r="L1325" s="169">
        <v>43962</v>
      </c>
      <c r="M1325" s="116">
        <v>307</v>
      </c>
      <c r="N1325" s="116">
        <v>308.75</v>
      </c>
      <c r="O1325" s="116">
        <v>298.25</v>
      </c>
      <c r="P1325" s="116">
        <v>308</v>
      </c>
      <c r="Q1325" s="116">
        <v>307</v>
      </c>
      <c r="R1325">
        <v>210591</v>
      </c>
    </row>
    <row r="1326" spans="1:18" x14ac:dyDescent="0.25">
      <c r="A1326" s="169">
        <v>43971</v>
      </c>
      <c r="B1326" s="116">
        <v>8.24</v>
      </c>
      <c r="C1326" s="116">
        <v>7.98</v>
      </c>
      <c r="D1326" s="116">
        <v>7.5</v>
      </c>
      <c r="E1326" s="116">
        <v>8.24</v>
      </c>
      <c r="F1326" s="116">
        <v>7.98</v>
      </c>
      <c r="G1326">
        <v>54715</v>
      </c>
      <c r="H1326" s="116"/>
      <c r="I1326" s="116"/>
      <c r="L1326" s="169">
        <v>43963</v>
      </c>
      <c r="M1326" s="116">
        <v>296</v>
      </c>
      <c r="N1326" s="116">
        <v>306</v>
      </c>
      <c r="O1326" s="116">
        <v>292.95</v>
      </c>
      <c r="P1326" s="116">
        <v>301.39999999999998</v>
      </c>
      <c r="Q1326" s="116">
        <v>296</v>
      </c>
      <c r="R1326">
        <v>200372</v>
      </c>
    </row>
    <row r="1327" spans="1:18" x14ac:dyDescent="0.25">
      <c r="A1327" s="169">
        <v>43972</v>
      </c>
      <c r="B1327" s="116">
        <v>8.1999999999999993</v>
      </c>
      <c r="C1327" s="116">
        <v>7.36</v>
      </c>
      <c r="D1327" s="116">
        <v>7.3</v>
      </c>
      <c r="E1327" s="116">
        <v>8</v>
      </c>
      <c r="F1327" s="116">
        <v>7.36</v>
      </c>
      <c r="G1327">
        <v>23816</v>
      </c>
      <c r="H1327" s="116"/>
      <c r="I1327" s="116"/>
      <c r="L1327" s="169">
        <v>43964</v>
      </c>
      <c r="M1327" s="116">
        <v>308</v>
      </c>
      <c r="N1327" s="116">
        <v>315.8</v>
      </c>
      <c r="O1327" s="116">
        <v>300</v>
      </c>
      <c r="P1327" s="116">
        <v>309.45</v>
      </c>
      <c r="Q1327" s="116">
        <v>308</v>
      </c>
      <c r="R1327">
        <v>474491</v>
      </c>
    </row>
    <row r="1328" spans="1:18" x14ac:dyDescent="0.25">
      <c r="A1328" s="169">
        <v>43973</v>
      </c>
      <c r="B1328" s="116">
        <v>7.5</v>
      </c>
      <c r="C1328" s="116">
        <v>6.72</v>
      </c>
      <c r="D1328" s="116">
        <v>6.66</v>
      </c>
      <c r="E1328" s="116">
        <v>7.11</v>
      </c>
      <c r="F1328" s="116">
        <v>6.72</v>
      </c>
      <c r="G1328">
        <v>74787</v>
      </c>
      <c r="H1328" s="116"/>
      <c r="I1328" s="116"/>
      <c r="L1328" s="169">
        <v>43965</v>
      </c>
      <c r="M1328" s="116">
        <v>303.85000000000002</v>
      </c>
      <c r="N1328" s="116">
        <v>321.7</v>
      </c>
      <c r="O1328" s="116">
        <v>300.25</v>
      </c>
      <c r="P1328" s="116">
        <v>309</v>
      </c>
      <c r="Q1328" s="116">
        <v>303.85000000000002</v>
      </c>
      <c r="R1328">
        <v>1175355</v>
      </c>
    </row>
    <row r="1329" spans="1:18" x14ac:dyDescent="0.25">
      <c r="A1329" s="169">
        <v>43977</v>
      </c>
      <c r="B1329" s="116">
        <v>7.29</v>
      </c>
      <c r="C1329" s="116">
        <v>6.78</v>
      </c>
      <c r="D1329" s="116">
        <v>6.7</v>
      </c>
      <c r="E1329" s="116">
        <v>6.74</v>
      </c>
      <c r="F1329" s="116">
        <v>6.78</v>
      </c>
      <c r="G1329">
        <v>77867</v>
      </c>
      <c r="H1329" s="116"/>
      <c r="I1329" s="116"/>
      <c r="L1329" s="169">
        <v>43966</v>
      </c>
      <c r="M1329" s="116">
        <v>295.7</v>
      </c>
      <c r="N1329" s="116">
        <v>306.95</v>
      </c>
      <c r="O1329" s="116">
        <v>294</v>
      </c>
      <c r="P1329" s="116">
        <v>303.85000000000002</v>
      </c>
      <c r="Q1329" s="116">
        <v>295.7</v>
      </c>
      <c r="R1329">
        <v>297662</v>
      </c>
    </row>
    <row r="1330" spans="1:18" x14ac:dyDescent="0.25">
      <c r="A1330" s="169">
        <v>43978</v>
      </c>
      <c r="B1330" s="116">
        <v>7.24</v>
      </c>
      <c r="C1330" s="116">
        <v>6.54</v>
      </c>
      <c r="D1330" s="116">
        <v>6.4</v>
      </c>
      <c r="E1330" s="116">
        <v>6.85</v>
      </c>
      <c r="F1330" s="116">
        <v>6.54</v>
      </c>
      <c r="G1330">
        <v>116672</v>
      </c>
      <c r="H1330" s="116"/>
      <c r="I1330" s="116"/>
      <c r="L1330" s="169">
        <v>43969</v>
      </c>
      <c r="M1330" s="116">
        <v>277.05</v>
      </c>
      <c r="N1330" s="116">
        <v>296.95</v>
      </c>
      <c r="O1330" s="116">
        <v>274</v>
      </c>
      <c r="P1330" s="116">
        <v>295.7</v>
      </c>
      <c r="Q1330" s="116">
        <v>277.05</v>
      </c>
      <c r="R1330">
        <v>291334</v>
      </c>
    </row>
    <row r="1331" spans="1:18" x14ac:dyDescent="0.25">
      <c r="A1331" s="169">
        <v>43979</v>
      </c>
      <c r="B1331" s="116">
        <v>6.65</v>
      </c>
      <c r="C1331" s="116">
        <v>6.56</v>
      </c>
      <c r="D1331" s="116">
        <v>6.4</v>
      </c>
      <c r="E1331" s="116">
        <v>6.5</v>
      </c>
      <c r="F1331" s="116">
        <v>6.56</v>
      </c>
      <c r="G1331">
        <v>71969</v>
      </c>
      <c r="H1331" s="116"/>
      <c r="I1331" s="116"/>
      <c r="L1331" s="169">
        <v>43970</v>
      </c>
      <c r="M1331" s="116">
        <v>278.39999999999998</v>
      </c>
      <c r="N1331" s="116">
        <v>287.89999999999998</v>
      </c>
      <c r="O1331" s="116">
        <v>273.60000000000002</v>
      </c>
      <c r="P1331" s="116">
        <v>278.10000000000002</v>
      </c>
      <c r="Q1331" s="116">
        <v>278.39999999999998</v>
      </c>
      <c r="R1331">
        <v>280894</v>
      </c>
    </row>
    <row r="1332" spans="1:18" x14ac:dyDescent="0.25">
      <c r="A1332" s="169">
        <v>43980</v>
      </c>
      <c r="B1332" s="116">
        <v>6.7</v>
      </c>
      <c r="C1332" s="116">
        <v>6.61</v>
      </c>
      <c r="D1332" s="116">
        <v>6.15</v>
      </c>
      <c r="E1332" s="116">
        <v>6.7</v>
      </c>
      <c r="F1332" s="116">
        <v>6.61</v>
      </c>
      <c r="G1332">
        <v>23405</v>
      </c>
      <c r="H1332" s="116"/>
      <c r="I1332" s="116"/>
      <c r="L1332" s="169">
        <v>43971</v>
      </c>
      <c r="M1332" s="116">
        <v>284.25</v>
      </c>
      <c r="N1332" s="116">
        <v>285.45</v>
      </c>
      <c r="O1332" s="116">
        <v>275.25</v>
      </c>
      <c r="P1332" s="116">
        <v>278.45</v>
      </c>
      <c r="Q1332" s="116">
        <v>284.25</v>
      </c>
      <c r="R1332">
        <v>286493</v>
      </c>
    </row>
    <row r="1333" spans="1:18" x14ac:dyDescent="0.25">
      <c r="A1333" s="169">
        <v>43983</v>
      </c>
      <c r="B1333" s="116">
        <v>7.27</v>
      </c>
      <c r="C1333" s="116">
        <v>7.26</v>
      </c>
      <c r="D1333" s="116">
        <v>6.6</v>
      </c>
      <c r="E1333" s="116">
        <v>6.6</v>
      </c>
      <c r="F1333" s="116">
        <v>7.26</v>
      </c>
      <c r="G1333">
        <v>98013</v>
      </c>
      <c r="H1333" s="116"/>
      <c r="I1333" s="116"/>
      <c r="L1333" s="169">
        <v>43972</v>
      </c>
      <c r="M1333" s="116">
        <v>285</v>
      </c>
      <c r="N1333" s="116">
        <v>292</v>
      </c>
      <c r="O1333" s="116">
        <v>281.3</v>
      </c>
      <c r="P1333" s="116">
        <v>285.45</v>
      </c>
      <c r="Q1333" s="116">
        <v>285</v>
      </c>
      <c r="R1333">
        <v>246932</v>
      </c>
    </row>
    <row r="1334" spans="1:18" x14ac:dyDescent="0.25">
      <c r="A1334" s="169">
        <v>43984</v>
      </c>
      <c r="B1334" s="116">
        <v>7.84</v>
      </c>
      <c r="C1334" s="116">
        <v>7.64</v>
      </c>
      <c r="D1334" s="116">
        <v>7.1</v>
      </c>
      <c r="E1334" s="116">
        <v>7.75</v>
      </c>
      <c r="F1334" s="116">
        <v>7.64</v>
      </c>
      <c r="G1334">
        <v>43892</v>
      </c>
      <c r="H1334" s="116"/>
      <c r="I1334" s="116"/>
      <c r="L1334" s="169">
        <v>43973</v>
      </c>
      <c r="M1334" s="116">
        <v>274.05</v>
      </c>
      <c r="N1334" s="116">
        <v>287.60000000000002</v>
      </c>
      <c r="O1334" s="116">
        <v>267.35000000000002</v>
      </c>
      <c r="P1334" s="116">
        <v>284.5</v>
      </c>
      <c r="Q1334" s="116">
        <v>274.05</v>
      </c>
      <c r="R1334">
        <v>294130</v>
      </c>
    </row>
    <row r="1335" spans="1:18" x14ac:dyDescent="0.25">
      <c r="A1335" s="169">
        <v>43985</v>
      </c>
      <c r="B1335" s="116">
        <v>8.1999999999999993</v>
      </c>
      <c r="C1335" s="116">
        <v>7.75</v>
      </c>
      <c r="D1335" s="116">
        <v>7.56</v>
      </c>
      <c r="E1335" s="116">
        <v>7.93</v>
      </c>
      <c r="F1335" s="116">
        <v>7.75</v>
      </c>
      <c r="G1335">
        <v>96908</v>
      </c>
      <c r="H1335" s="116"/>
      <c r="I1335" s="116"/>
      <c r="L1335" s="169">
        <v>43977</v>
      </c>
      <c r="M1335" s="116">
        <v>271.35000000000002</v>
      </c>
      <c r="N1335" s="116">
        <v>279.85000000000002</v>
      </c>
      <c r="O1335" s="116">
        <v>270.3</v>
      </c>
      <c r="P1335" s="116">
        <v>275.2</v>
      </c>
      <c r="Q1335" s="116">
        <v>271.35000000000002</v>
      </c>
      <c r="R1335">
        <v>176079</v>
      </c>
    </row>
    <row r="1336" spans="1:18" x14ac:dyDescent="0.25">
      <c r="A1336" s="169">
        <v>43986</v>
      </c>
      <c r="B1336" s="116">
        <v>7.98</v>
      </c>
      <c r="C1336" s="116">
        <v>7.29</v>
      </c>
      <c r="D1336" s="116">
        <v>7.15</v>
      </c>
      <c r="E1336" s="116">
        <v>7.9</v>
      </c>
      <c r="F1336" s="116">
        <v>7.29</v>
      </c>
      <c r="G1336">
        <v>43251</v>
      </c>
      <c r="H1336" s="116"/>
      <c r="I1336" s="116"/>
      <c r="L1336" s="169">
        <v>43978</v>
      </c>
      <c r="M1336" s="116">
        <v>275.75</v>
      </c>
      <c r="N1336" s="116">
        <v>278.39999999999998</v>
      </c>
      <c r="O1336" s="116">
        <v>268.39999999999998</v>
      </c>
      <c r="P1336" s="116">
        <v>271.7</v>
      </c>
      <c r="Q1336" s="116">
        <v>275.75</v>
      </c>
      <c r="R1336">
        <v>228875</v>
      </c>
    </row>
    <row r="1337" spans="1:18" x14ac:dyDescent="0.25">
      <c r="A1337" s="169">
        <v>43987</v>
      </c>
      <c r="B1337" s="116">
        <v>7.7</v>
      </c>
      <c r="C1337" s="116">
        <v>7.32</v>
      </c>
      <c r="D1337" s="116">
        <v>6.76</v>
      </c>
      <c r="E1337" s="116">
        <v>7.16</v>
      </c>
      <c r="F1337" s="116">
        <v>7.32</v>
      </c>
      <c r="G1337">
        <v>82315</v>
      </c>
      <c r="H1337" s="116"/>
      <c r="I1337" s="116"/>
      <c r="L1337" s="169">
        <v>43979</v>
      </c>
      <c r="M1337" s="116">
        <v>282.2</v>
      </c>
      <c r="N1337" s="116">
        <v>285.89999999999998</v>
      </c>
      <c r="O1337" s="116">
        <v>276.05</v>
      </c>
      <c r="P1337" s="116">
        <v>277.89999999999998</v>
      </c>
      <c r="Q1337" s="116">
        <v>282.2</v>
      </c>
      <c r="R1337">
        <v>495767</v>
      </c>
    </row>
    <row r="1338" spans="1:18" x14ac:dyDescent="0.25">
      <c r="A1338" s="169">
        <v>43990</v>
      </c>
      <c r="B1338" s="116">
        <v>7.94</v>
      </c>
      <c r="C1338" s="116">
        <v>7.49</v>
      </c>
      <c r="D1338" s="116">
        <v>7.2</v>
      </c>
      <c r="E1338" s="116">
        <v>7.5</v>
      </c>
      <c r="F1338" s="116">
        <v>7.49</v>
      </c>
      <c r="G1338">
        <v>54742</v>
      </c>
      <c r="H1338" s="116"/>
      <c r="I1338" s="116"/>
      <c r="L1338" s="169">
        <v>43980</v>
      </c>
      <c r="M1338" s="116">
        <v>277.25</v>
      </c>
      <c r="N1338" s="116">
        <v>290</v>
      </c>
      <c r="O1338" s="116">
        <v>271</v>
      </c>
      <c r="P1338" s="116">
        <v>283.39999999999998</v>
      </c>
      <c r="Q1338" s="116">
        <v>277.25</v>
      </c>
      <c r="R1338">
        <v>429095</v>
      </c>
    </row>
    <row r="1339" spans="1:18" x14ac:dyDescent="0.25">
      <c r="A1339" s="169">
        <v>43991</v>
      </c>
      <c r="B1339" s="116">
        <v>7.6</v>
      </c>
      <c r="C1339" s="116">
        <v>7.16</v>
      </c>
      <c r="D1339" s="116">
        <v>7.16</v>
      </c>
      <c r="E1339" s="116">
        <v>7.3</v>
      </c>
      <c r="F1339" s="116">
        <v>7.16</v>
      </c>
      <c r="G1339">
        <v>27649</v>
      </c>
      <c r="H1339" s="116"/>
      <c r="I1339" s="116"/>
      <c r="L1339" s="169">
        <v>43983</v>
      </c>
      <c r="M1339" s="116">
        <v>291.7</v>
      </c>
      <c r="N1339" s="116">
        <v>295</v>
      </c>
      <c r="O1339" s="116">
        <v>279.95</v>
      </c>
      <c r="P1339" s="116">
        <v>280</v>
      </c>
      <c r="Q1339" s="116">
        <v>291.7</v>
      </c>
      <c r="R1339">
        <v>725814</v>
      </c>
    </row>
    <row r="1340" spans="1:18" x14ac:dyDescent="0.25">
      <c r="A1340" s="169">
        <v>43992</v>
      </c>
      <c r="B1340" s="116">
        <v>7.87</v>
      </c>
      <c r="C1340" s="116">
        <v>7.86</v>
      </c>
      <c r="D1340" s="116">
        <v>7.2</v>
      </c>
      <c r="E1340" s="116">
        <v>7.22</v>
      </c>
      <c r="F1340" s="116">
        <v>7.86</v>
      </c>
      <c r="G1340">
        <v>115626</v>
      </c>
      <c r="H1340" s="116"/>
      <c r="I1340" s="116"/>
      <c r="L1340" s="169">
        <v>43984</v>
      </c>
      <c r="M1340" s="116">
        <v>305.25</v>
      </c>
      <c r="N1340" s="116">
        <v>309</v>
      </c>
      <c r="O1340" s="116">
        <v>289.10000000000002</v>
      </c>
      <c r="P1340" s="116">
        <v>292</v>
      </c>
      <c r="Q1340" s="116">
        <v>305.25</v>
      </c>
      <c r="R1340">
        <v>589982</v>
      </c>
    </row>
    <row r="1341" spans="1:18" x14ac:dyDescent="0.25">
      <c r="A1341" s="169">
        <v>43993</v>
      </c>
      <c r="B1341" s="116">
        <v>8.3800000000000008</v>
      </c>
      <c r="C1341" s="116">
        <v>7.51</v>
      </c>
      <c r="D1341" s="116">
        <v>7.31</v>
      </c>
      <c r="E1341" s="116">
        <v>8.3800000000000008</v>
      </c>
      <c r="F1341" s="116">
        <v>7.51</v>
      </c>
      <c r="G1341">
        <v>22158</v>
      </c>
      <c r="H1341" s="116"/>
      <c r="I1341" s="116"/>
      <c r="L1341" s="169">
        <v>43985</v>
      </c>
      <c r="M1341" s="116">
        <v>315.14999999999998</v>
      </c>
      <c r="N1341" s="116">
        <v>325.8</v>
      </c>
      <c r="O1341" s="116">
        <v>308.5</v>
      </c>
      <c r="P1341" s="116">
        <v>308.5</v>
      </c>
      <c r="Q1341" s="116">
        <v>315.14999999999998</v>
      </c>
      <c r="R1341">
        <v>1129927</v>
      </c>
    </row>
    <row r="1342" spans="1:18" x14ac:dyDescent="0.25">
      <c r="A1342" s="169">
        <v>43994</v>
      </c>
      <c r="B1342" s="116">
        <v>8.0500000000000007</v>
      </c>
      <c r="C1342" s="116">
        <v>7.94</v>
      </c>
      <c r="D1342" s="116">
        <v>7.05</v>
      </c>
      <c r="E1342" s="116">
        <v>7.1</v>
      </c>
      <c r="F1342" s="116">
        <v>7.94</v>
      </c>
      <c r="G1342">
        <v>51778</v>
      </c>
      <c r="H1342" s="116"/>
      <c r="I1342" s="116"/>
      <c r="L1342" s="169">
        <v>43986</v>
      </c>
      <c r="M1342" s="116">
        <v>302.55</v>
      </c>
      <c r="N1342" s="116">
        <v>320.89999999999998</v>
      </c>
      <c r="O1342" s="116">
        <v>299.25</v>
      </c>
      <c r="P1342" s="116">
        <v>314.3</v>
      </c>
      <c r="Q1342" s="116">
        <v>302.55</v>
      </c>
      <c r="R1342">
        <v>350305</v>
      </c>
    </row>
    <row r="1343" spans="1:18" x14ac:dyDescent="0.25">
      <c r="A1343" s="169">
        <v>43997</v>
      </c>
      <c r="B1343" s="116">
        <v>8.18</v>
      </c>
      <c r="C1343" s="116">
        <v>7.95</v>
      </c>
      <c r="D1343" s="116">
        <v>7.51</v>
      </c>
      <c r="E1343" s="116">
        <v>8.18</v>
      </c>
      <c r="F1343" s="116">
        <v>7.95</v>
      </c>
      <c r="G1343">
        <v>25008</v>
      </c>
      <c r="H1343" s="116"/>
      <c r="I1343" s="116"/>
      <c r="L1343" s="169">
        <v>43987</v>
      </c>
      <c r="M1343" s="116">
        <v>313.5</v>
      </c>
      <c r="N1343" s="116">
        <v>316</v>
      </c>
      <c r="O1343" s="116">
        <v>303</v>
      </c>
      <c r="P1343" s="116">
        <v>305</v>
      </c>
      <c r="Q1343" s="116">
        <v>313.5</v>
      </c>
      <c r="R1343">
        <v>333189</v>
      </c>
    </row>
    <row r="1344" spans="1:18" x14ac:dyDescent="0.25">
      <c r="A1344" s="169">
        <v>43998</v>
      </c>
      <c r="B1344" s="116">
        <v>8.74</v>
      </c>
      <c r="C1344" s="116">
        <v>8.57</v>
      </c>
      <c r="D1344" s="116">
        <v>8</v>
      </c>
      <c r="E1344" s="116">
        <v>8</v>
      </c>
      <c r="F1344" s="116">
        <v>8.57</v>
      </c>
      <c r="G1344">
        <v>134667</v>
      </c>
      <c r="H1344" s="116"/>
      <c r="I1344" s="116"/>
      <c r="L1344" s="169">
        <v>43990</v>
      </c>
      <c r="M1344" s="116">
        <v>315.64999999999998</v>
      </c>
      <c r="N1344" s="116">
        <v>329.6</v>
      </c>
      <c r="O1344" s="116">
        <v>314</v>
      </c>
      <c r="P1344" s="116">
        <v>316.39999999999998</v>
      </c>
      <c r="Q1344" s="116">
        <v>315.64999999999998</v>
      </c>
      <c r="R1344">
        <v>675500</v>
      </c>
    </row>
    <row r="1345" spans="1:18" x14ac:dyDescent="0.25">
      <c r="A1345" s="169">
        <v>43999</v>
      </c>
      <c r="B1345" s="116">
        <v>9.42</v>
      </c>
      <c r="C1345" s="116">
        <v>9.4</v>
      </c>
      <c r="D1345" s="116">
        <v>8.18</v>
      </c>
      <c r="E1345" s="116">
        <v>8.52</v>
      </c>
      <c r="F1345" s="116">
        <v>9.4</v>
      </c>
      <c r="G1345">
        <v>140634</v>
      </c>
      <c r="H1345" s="116"/>
      <c r="I1345" s="116"/>
      <c r="L1345" s="169">
        <v>43991</v>
      </c>
      <c r="M1345" s="116">
        <v>310.5</v>
      </c>
      <c r="N1345" s="116">
        <v>320.75</v>
      </c>
      <c r="O1345" s="116">
        <v>308</v>
      </c>
      <c r="P1345" s="116">
        <v>318.7</v>
      </c>
      <c r="Q1345" s="116">
        <v>310.5</v>
      </c>
      <c r="R1345">
        <v>309696</v>
      </c>
    </row>
    <row r="1346" spans="1:18" x14ac:dyDescent="0.25">
      <c r="A1346" s="169">
        <v>44000</v>
      </c>
      <c r="B1346" s="116">
        <v>10.34</v>
      </c>
      <c r="C1346" s="116">
        <v>10.34</v>
      </c>
      <c r="D1346" s="116">
        <v>9.9</v>
      </c>
      <c r="E1346" s="116">
        <v>10.199999999999999</v>
      </c>
      <c r="F1346" s="116">
        <v>10.34</v>
      </c>
      <c r="G1346">
        <v>147353</v>
      </c>
      <c r="H1346" s="116"/>
      <c r="I1346" s="116"/>
      <c r="L1346" s="169">
        <v>43992</v>
      </c>
      <c r="M1346" s="116">
        <v>310.3</v>
      </c>
      <c r="N1346" s="116">
        <v>314.64999999999998</v>
      </c>
      <c r="O1346" s="116">
        <v>306</v>
      </c>
      <c r="P1346" s="116">
        <v>312.85000000000002</v>
      </c>
      <c r="Q1346" s="116">
        <v>310.3</v>
      </c>
      <c r="R1346">
        <v>177581</v>
      </c>
    </row>
    <row r="1347" spans="1:18" x14ac:dyDescent="0.25">
      <c r="A1347" s="169">
        <v>44001</v>
      </c>
      <c r="B1347" s="116">
        <v>10.85</v>
      </c>
      <c r="C1347" s="116">
        <v>9.9</v>
      </c>
      <c r="D1347" s="116">
        <v>9.83</v>
      </c>
      <c r="E1347" s="116">
        <v>10.7</v>
      </c>
      <c r="F1347" s="116">
        <v>9.9</v>
      </c>
      <c r="G1347">
        <v>139598</v>
      </c>
      <c r="H1347" s="116"/>
      <c r="I1347" s="116"/>
      <c r="L1347" s="169">
        <v>43993</v>
      </c>
      <c r="M1347" s="116">
        <v>311.35000000000002</v>
      </c>
      <c r="N1347" s="116">
        <v>325</v>
      </c>
      <c r="O1347" s="116">
        <v>307</v>
      </c>
      <c r="P1347" s="116">
        <v>310</v>
      </c>
      <c r="Q1347" s="116">
        <v>311.35000000000002</v>
      </c>
      <c r="R1347">
        <v>497411</v>
      </c>
    </row>
    <row r="1348" spans="1:18" x14ac:dyDescent="0.25">
      <c r="A1348" s="169">
        <v>44004</v>
      </c>
      <c r="B1348" s="116">
        <v>10.16</v>
      </c>
      <c r="C1348" s="116">
        <v>9.43</v>
      </c>
      <c r="D1348" s="116">
        <v>9.41</v>
      </c>
      <c r="E1348" s="116">
        <v>9.5500000000000007</v>
      </c>
      <c r="F1348" s="116">
        <v>9.43</v>
      </c>
      <c r="G1348">
        <v>106716</v>
      </c>
      <c r="H1348" s="116"/>
      <c r="I1348" s="116"/>
      <c r="L1348" s="169">
        <v>43994</v>
      </c>
      <c r="M1348" s="116">
        <v>311.2</v>
      </c>
      <c r="N1348" s="116">
        <v>314.5</v>
      </c>
      <c r="O1348" s="116">
        <v>297.60000000000002</v>
      </c>
      <c r="P1348" s="116">
        <v>299.2</v>
      </c>
      <c r="Q1348" s="116">
        <v>311.2</v>
      </c>
      <c r="R1348">
        <v>316164</v>
      </c>
    </row>
    <row r="1349" spans="1:18" x14ac:dyDescent="0.25">
      <c r="A1349" s="169">
        <v>44005</v>
      </c>
      <c r="B1349" s="116">
        <v>9.9</v>
      </c>
      <c r="C1349" s="116">
        <v>9.67</v>
      </c>
      <c r="D1349" s="116">
        <v>9.01</v>
      </c>
      <c r="E1349" s="116">
        <v>9.9</v>
      </c>
      <c r="F1349" s="116">
        <v>9.67</v>
      </c>
      <c r="G1349">
        <v>79092</v>
      </c>
      <c r="H1349" s="116"/>
      <c r="I1349" s="116"/>
      <c r="L1349" s="169">
        <v>43997</v>
      </c>
      <c r="M1349" s="116">
        <v>303.5</v>
      </c>
      <c r="N1349" s="116">
        <v>315.8</v>
      </c>
      <c r="O1349" s="116">
        <v>300.55</v>
      </c>
      <c r="P1349" s="116">
        <v>312</v>
      </c>
      <c r="Q1349" s="116">
        <v>303.5</v>
      </c>
      <c r="R1349">
        <v>332099</v>
      </c>
    </row>
    <row r="1350" spans="1:18" x14ac:dyDescent="0.25">
      <c r="A1350" s="169">
        <v>44006</v>
      </c>
      <c r="B1350" s="116">
        <v>10.1</v>
      </c>
      <c r="C1350" s="116">
        <v>9.91</v>
      </c>
      <c r="D1350" s="116">
        <v>9.25</v>
      </c>
      <c r="E1350" s="116">
        <v>9.99</v>
      </c>
      <c r="F1350" s="116">
        <v>9.91</v>
      </c>
      <c r="G1350">
        <v>172197</v>
      </c>
      <c r="H1350" s="116"/>
      <c r="I1350" s="116"/>
      <c r="L1350" s="169">
        <v>43998</v>
      </c>
      <c r="M1350" s="116">
        <v>318.89999999999998</v>
      </c>
      <c r="N1350" s="116">
        <v>339</v>
      </c>
      <c r="O1350" s="116">
        <v>312</v>
      </c>
      <c r="P1350" s="116">
        <v>325</v>
      </c>
      <c r="Q1350" s="116">
        <v>318.89999999999998</v>
      </c>
      <c r="R1350">
        <v>3925401</v>
      </c>
    </row>
    <row r="1351" spans="1:18" x14ac:dyDescent="0.25">
      <c r="A1351" s="169">
        <v>44007</v>
      </c>
      <c r="B1351" s="116">
        <v>9.99</v>
      </c>
      <c r="C1351" s="116">
        <v>9.51</v>
      </c>
      <c r="D1351" s="116">
        <v>9.4600000000000009</v>
      </c>
      <c r="E1351" s="116">
        <v>9.99</v>
      </c>
      <c r="F1351" s="116">
        <v>9.51</v>
      </c>
      <c r="G1351">
        <v>42921</v>
      </c>
      <c r="H1351" s="116"/>
      <c r="I1351" s="116"/>
      <c r="L1351" s="169">
        <v>43999</v>
      </c>
      <c r="M1351" s="116">
        <v>332.4</v>
      </c>
      <c r="N1351" s="116">
        <v>335.4</v>
      </c>
      <c r="O1351" s="116">
        <v>315.5</v>
      </c>
      <c r="P1351" s="116">
        <v>320</v>
      </c>
      <c r="Q1351" s="116">
        <v>332.4</v>
      </c>
      <c r="R1351">
        <v>1638217</v>
      </c>
    </row>
    <row r="1352" spans="1:18" x14ac:dyDescent="0.25">
      <c r="A1352" s="169">
        <v>44008</v>
      </c>
      <c r="B1352" s="116">
        <v>9.9499999999999993</v>
      </c>
      <c r="C1352" s="116">
        <v>9.82</v>
      </c>
      <c r="D1352" s="116">
        <v>9.1199999999999992</v>
      </c>
      <c r="E1352" s="116">
        <v>9.5</v>
      </c>
      <c r="F1352" s="116">
        <v>9.82</v>
      </c>
      <c r="G1352">
        <v>101782</v>
      </c>
      <c r="H1352" s="116"/>
      <c r="I1352" s="116"/>
      <c r="L1352" s="169">
        <v>44000</v>
      </c>
      <c r="M1352" s="116">
        <v>349.8</v>
      </c>
      <c r="N1352" s="116">
        <v>353.45</v>
      </c>
      <c r="O1352" s="116">
        <v>335</v>
      </c>
      <c r="P1352" s="116">
        <v>335.8</v>
      </c>
      <c r="Q1352" s="116">
        <v>349.8</v>
      </c>
      <c r="R1352">
        <v>1518072</v>
      </c>
    </row>
    <row r="1353" spans="1:18" x14ac:dyDescent="0.25">
      <c r="A1353" s="169">
        <v>44011</v>
      </c>
      <c r="B1353" s="116">
        <v>10.25</v>
      </c>
      <c r="C1353" s="116">
        <v>10.199999999999999</v>
      </c>
      <c r="D1353" s="116">
        <v>9.42</v>
      </c>
      <c r="E1353" s="116">
        <v>10</v>
      </c>
      <c r="F1353" s="116">
        <v>10.199999999999999</v>
      </c>
      <c r="G1353">
        <v>71878</v>
      </c>
      <c r="H1353" s="116"/>
      <c r="I1353" s="116"/>
      <c r="L1353" s="169">
        <v>44001</v>
      </c>
      <c r="M1353" s="116">
        <v>360.05</v>
      </c>
      <c r="N1353" s="116">
        <v>365.65</v>
      </c>
      <c r="O1353" s="116">
        <v>346.7</v>
      </c>
      <c r="P1353" s="116">
        <v>356.9</v>
      </c>
      <c r="Q1353" s="116">
        <v>360.05</v>
      </c>
      <c r="R1353">
        <v>972099</v>
      </c>
    </row>
    <row r="1354" spans="1:18" x14ac:dyDescent="0.25">
      <c r="A1354" s="169">
        <v>44012</v>
      </c>
      <c r="B1354" s="116">
        <v>10.71</v>
      </c>
      <c r="C1354" s="116">
        <v>10.56</v>
      </c>
      <c r="D1354" s="116">
        <v>9.8000000000000007</v>
      </c>
      <c r="E1354" s="116">
        <v>10.02</v>
      </c>
      <c r="F1354" s="116">
        <v>10.56</v>
      </c>
      <c r="G1354">
        <v>85703</v>
      </c>
      <c r="H1354" s="116"/>
      <c r="I1354" s="116"/>
      <c r="L1354" s="169">
        <v>44004</v>
      </c>
      <c r="M1354" s="116">
        <v>368.5</v>
      </c>
      <c r="N1354" s="116">
        <v>375</v>
      </c>
      <c r="O1354" s="116">
        <v>361.1</v>
      </c>
      <c r="P1354" s="116">
        <v>365</v>
      </c>
      <c r="Q1354" s="116">
        <v>368.5</v>
      </c>
      <c r="R1354">
        <v>577598</v>
      </c>
    </row>
    <row r="1355" spans="1:18" x14ac:dyDescent="0.25">
      <c r="A1355" s="169">
        <v>44013</v>
      </c>
      <c r="B1355" s="116">
        <v>11.08</v>
      </c>
      <c r="C1355" s="116">
        <v>11.07</v>
      </c>
      <c r="D1355" s="116">
        <v>10.5</v>
      </c>
      <c r="E1355" s="116">
        <v>10.83</v>
      </c>
      <c r="F1355" s="116">
        <v>11.07</v>
      </c>
      <c r="G1355">
        <v>82359</v>
      </c>
      <c r="H1355" s="116"/>
      <c r="I1355" s="116"/>
      <c r="L1355" s="169">
        <v>44005</v>
      </c>
      <c r="M1355" s="116">
        <v>363.05</v>
      </c>
      <c r="N1355" s="116">
        <v>371</v>
      </c>
      <c r="O1355" s="116">
        <v>351.45</v>
      </c>
      <c r="P1355" s="116">
        <v>367.9</v>
      </c>
      <c r="Q1355" s="116">
        <v>363.05</v>
      </c>
      <c r="R1355">
        <v>644843</v>
      </c>
    </row>
    <row r="1356" spans="1:18" x14ac:dyDescent="0.25">
      <c r="A1356" s="169">
        <v>44014</v>
      </c>
      <c r="B1356" s="116">
        <v>11.6</v>
      </c>
      <c r="C1356" s="116">
        <v>10.74</v>
      </c>
      <c r="D1356" s="116">
        <v>10.6</v>
      </c>
      <c r="E1356" s="116">
        <v>11.59</v>
      </c>
      <c r="F1356" s="116">
        <v>10.74</v>
      </c>
      <c r="G1356">
        <v>89502</v>
      </c>
      <c r="H1356" s="116"/>
      <c r="I1356" s="116"/>
      <c r="L1356" s="169">
        <v>44006</v>
      </c>
      <c r="M1356" s="116">
        <v>367.7</v>
      </c>
      <c r="N1356" s="116">
        <v>370</v>
      </c>
      <c r="O1356" s="116">
        <v>361.45</v>
      </c>
      <c r="P1356" s="116">
        <v>369.8</v>
      </c>
      <c r="Q1356" s="116">
        <v>367.7</v>
      </c>
      <c r="R1356">
        <v>470636</v>
      </c>
    </row>
    <row r="1357" spans="1:18" x14ac:dyDescent="0.25">
      <c r="A1357" s="169">
        <v>44015</v>
      </c>
      <c r="B1357" s="116">
        <v>10.73</v>
      </c>
      <c r="C1357" s="116">
        <v>10.27</v>
      </c>
      <c r="D1357" s="116">
        <v>10.220000000000001</v>
      </c>
      <c r="E1357" s="116">
        <v>10.6</v>
      </c>
      <c r="F1357" s="116">
        <v>10.27</v>
      </c>
      <c r="G1357">
        <v>57853</v>
      </c>
      <c r="H1357" s="116"/>
      <c r="I1357" s="116"/>
      <c r="L1357" s="169">
        <v>44007</v>
      </c>
      <c r="M1357" s="116">
        <v>361.5</v>
      </c>
      <c r="N1357" s="116">
        <v>368.9</v>
      </c>
      <c r="O1357" s="116">
        <v>356.55</v>
      </c>
      <c r="P1357" s="116">
        <v>360.1</v>
      </c>
      <c r="Q1357" s="116">
        <v>361.5</v>
      </c>
      <c r="R1357">
        <v>420141</v>
      </c>
    </row>
    <row r="1358" spans="1:18" x14ac:dyDescent="0.25">
      <c r="A1358" s="169">
        <v>44018</v>
      </c>
      <c r="B1358" s="116">
        <v>10.5</v>
      </c>
      <c r="C1358" s="116">
        <v>10.46</v>
      </c>
      <c r="D1358" s="116">
        <v>9.8699999999999992</v>
      </c>
      <c r="E1358" s="116">
        <v>10.220000000000001</v>
      </c>
      <c r="F1358" s="116">
        <v>10.46</v>
      </c>
      <c r="G1358">
        <v>69205</v>
      </c>
      <c r="H1358" s="116"/>
      <c r="I1358" s="116"/>
      <c r="L1358" s="169">
        <v>44008</v>
      </c>
      <c r="M1358" s="116">
        <v>354.4</v>
      </c>
      <c r="N1358" s="116">
        <v>365</v>
      </c>
      <c r="O1358" s="116">
        <v>351.4</v>
      </c>
      <c r="P1358" s="116">
        <v>363.9</v>
      </c>
      <c r="Q1358" s="116">
        <v>354.4</v>
      </c>
      <c r="R1358">
        <v>321865</v>
      </c>
    </row>
    <row r="1359" spans="1:18" x14ac:dyDescent="0.25">
      <c r="A1359" s="169">
        <v>44019</v>
      </c>
      <c r="B1359" s="116">
        <v>10.39</v>
      </c>
      <c r="C1359" s="116">
        <v>10.1</v>
      </c>
      <c r="D1359" s="116">
        <v>10.06</v>
      </c>
      <c r="E1359" s="116">
        <v>10.199999999999999</v>
      </c>
      <c r="F1359" s="116">
        <v>10.1</v>
      </c>
      <c r="G1359">
        <v>319045</v>
      </c>
      <c r="H1359" s="116"/>
      <c r="I1359" s="116"/>
      <c r="L1359" s="169">
        <v>44011</v>
      </c>
      <c r="M1359" s="116">
        <v>343.3</v>
      </c>
      <c r="N1359" s="116">
        <v>352.75</v>
      </c>
      <c r="O1359" s="116">
        <v>340.1</v>
      </c>
      <c r="P1359" s="116">
        <v>350</v>
      </c>
      <c r="Q1359" s="116">
        <v>343.3</v>
      </c>
      <c r="R1359">
        <v>254290</v>
      </c>
    </row>
    <row r="1360" spans="1:18" x14ac:dyDescent="0.25">
      <c r="A1360" s="169">
        <v>44020</v>
      </c>
      <c r="B1360" s="116">
        <v>10.6</v>
      </c>
      <c r="C1360" s="116">
        <v>10.42</v>
      </c>
      <c r="D1360" s="116">
        <v>9.77</v>
      </c>
      <c r="E1360" s="116">
        <v>10.01</v>
      </c>
      <c r="F1360" s="116">
        <v>10.42</v>
      </c>
      <c r="G1360">
        <v>74492</v>
      </c>
      <c r="H1360" s="116"/>
      <c r="I1360" s="116"/>
      <c r="L1360" s="169">
        <v>44012</v>
      </c>
      <c r="M1360" s="116">
        <v>337.85</v>
      </c>
      <c r="N1360" s="116">
        <v>360</v>
      </c>
      <c r="O1360" s="116">
        <v>332</v>
      </c>
      <c r="P1360" s="116">
        <v>343.45</v>
      </c>
      <c r="Q1360" s="116">
        <v>337.85</v>
      </c>
      <c r="R1360">
        <v>581889</v>
      </c>
    </row>
    <row r="1361" spans="1:18" x14ac:dyDescent="0.25">
      <c r="A1361" s="169">
        <v>44021</v>
      </c>
      <c r="B1361" s="116">
        <v>10.89</v>
      </c>
      <c r="C1361" s="116">
        <v>10.8</v>
      </c>
      <c r="D1361" s="116">
        <v>10.11</v>
      </c>
      <c r="E1361" s="116">
        <v>10.199999999999999</v>
      </c>
      <c r="F1361" s="116">
        <v>10.8</v>
      </c>
      <c r="G1361">
        <v>541770</v>
      </c>
      <c r="H1361" s="116"/>
      <c r="I1361" s="116"/>
      <c r="L1361" s="169">
        <v>44013</v>
      </c>
      <c r="M1361" s="116">
        <v>345.7</v>
      </c>
      <c r="N1361" s="116">
        <v>349.9</v>
      </c>
      <c r="O1361" s="116">
        <v>331.15</v>
      </c>
      <c r="P1361" s="116">
        <v>337.9</v>
      </c>
      <c r="Q1361" s="116">
        <v>345.7</v>
      </c>
      <c r="R1361">
        <v>506583</v>
      </c>
    </row>
    <row r="1362" spans="1:18" x14ac:dyDescent="0.25">
      <c r="A1362" s="169">
        <v>44022</v>
      </c>
      <c r="B1362" s="116">
        <v>10.85</v>
      </c>
      <c r="C1362" s="116">
        <v>10.6</v>
      </c>
      <c r="D1362" s="116">
        <v>10.31</v>
      </c>
      <c r="E1362" s="116">
        <v>10.85</v>
      </c>
      <c r="F1362" s="116">
        <v>10.6</v>
      </c>
      <c r="G1362">
        <v>16304</v>
      </c>
      <c r="H1362" s="116"/>
      <c r="I1362" s="116"/>
      <c r="L1362" s="169">
        <v>44014</v>
      </c>
      <c r="M1362" s="116">
        <v>358.6</v>
      </c>
      <c r="N1362" s="116">
        <v>366.8</v>
      </c>
      <c r="O1362" s="116">
        <v>347.25</v>
      </c>
      <c r="P1362" s="116">
        <v>349.45</v>
      </c>
      <c r="Q1362" s="116">
        <v>358.6</v>
      </c>
      <c r="R1362">
        <v>833878</v>
      </c>
    </row>
    <row r="1363" spans="1:18" x14ac:dyDescent="0.25">
      <c r="A1363" s="169">
        <v>44025</v>
      </c>
      <c r="B1363" s="116">
        <v>10.63</v>
      </c>
      <c r="C1363" s="116">
        <v>10.16</v>
      </c>
      <c r="D1363" s="116">
        <v>10.130000000000001</v>
      </c>
      <c r="E1363" s="116">
        <v>10.63</v>
      </c>
      <c r="F1363" s="116">
        <v>10.16</v>
      </c>
      <c r="G1363">
        <v>716789</v>
      </c>
      <c r="H1363" s="116"/>
      <c r="I1363" s="116"/>
      <c r="L1363" s="169">
        <v>44015</v>
      </c>
      <c r="M1363" s="116">
        <v>353.35</v>
      </c>
      <c r="N1363" s="116">
        <v>360.25</v>
      </c>
      <c r="O1363" s="116">
        <v>349.2</v>
      </c>
      <c r="P1363" s="116">
        <v>359.95</v>
      </c>
      <c r="Q1363" s="116">
        <v>353.35</v>
      </c>
      <c r="R1363">
        <v>451113</v>
      </c>
    </row>
    <row r="1364" spans="1:18" x14ac:dyDescent="0.25">
      <c r="A1364" s="169">
        <v>44026</v>
      </c>
      <c r="B1364" s="116">
        <v>10.29</v>
      </c>
      <c r="C1364" s="116">
        <v>9.83</v>
      </c>
      <c r="D1364" s="116">
        <v>9.66</v>
      </c>
      <c r="E1364" s="116">
        <v>10.29</v>
      </c>
      <c r="F1364" s="116">
        <v>9.83</v>
      </c>
      <c r="G1364">
        <v>113885</v>
      </c>
      <c r="H1364" s="116"/>
      <c r="I1364" s="116"/>
      <c r="L1364" s="169">
        <v>44018</v>
      </c>
      <c r="M1364" s="116">
        <v>371.05</v>
      </c>
      <c r="N1364" s="116">
        <v>375.5</v>
      </c>
      <c r="O1364" s="116">
        <v>353.35</v>
      </c>
      <c r="P1364" s="116">
        <v>354.05</v>
      </c>
      <c r="Q1364" s="116">
        <v>371.05</v>
      </c>
      <c r="R1364">
        <v>1277477</v>
      </c>
    </row>
    <row r="1365" spans="1:18" x14ac:dyDescent="0.25">
      <c r="A1365" s="169">
        <v>44027</v>
      </c>
      <c r="B1365" s="116">
        <v>9.89</v>
      </c>
      <c r="C1365" s="116">
        <v>9.43</v>
      </c>
      <c r="D1365" s="116">
        <v>9.4</v>
      </c>
      <c r="E1365" s="116">
        <v>9.6999999999999993</v>
      </c>
      <c r="F1365" s="116">
        <v>9.43</v>
      </c>
      <c r="G1365">
        <v>107713</v>
      </c>
      <c r="H1365" s="116"/>
      <c r="I1365" s="116"/>
      <c r="L1365" s="169">
        <v>44019</v>
      </c>
      <c r="M1365" s="116">
        <v>371.8</v>
      </c>
      <c r="N1365" s="116">
        <v>378</v>
      </c>
      <c r="O1365" s="116">
        <v>361.05</v>
      </c>
      <c r="P1365" s="116">
        <v>369.85</v>
      </c>
      <c r="Q1365" s="116">
        <v>371.8</v>
      </c>
      <c r="R1365">
        <v>569405</v>
      </c>
    </row>
    <row r="1366" spans="1:18" x14ac:dyDescent="0.25">
      <c r="A1366" s="169">
        <v>44028</v>
      </c>
      <c r="B1366" s="116">
        <v>9.6999999999999993</v>
      </c>
      <c r="C1366" s="116">
        <v>9.66</v>
      </c>
      <c r="D1366" s="116">
        <v>9.41</v>
      </c>
      <c r="E1366" s="116">
        <v>9.5</v>
      </c>
      <c r="F1366" s="116">
        <v>9.66</v>
      </c>
      <c r="G1366">
        <v>11787</v>
      </c>
      <c r="H1366" s="116"/>
      <c r="I1366" s="116"/>
      <c r="L1366" s="169">
        <v>44020</v>
      </c>
      <c r="M1366" s="116">
        <v>362.8</v>
      </c>
      <c r="N1366" s="116">
        <v>377.5</v>
      </c>
      <c r="O1366" s="116">
        <v>358.1</v>
      </c>
      <c r="P1366" s="116">
        <v>377</v>
      </c>
      <c r="Q1366" s="116">
        <v>362.8</v>
      </c>
      <c r="R1366">
        <v>336731</v>
      </c>
    </row>
    <row r="1367" spans="1:18" x14ac:dyDescent="0.25">
      <c r="A1367" s="169">
        <v>44029</v>
      </c>
      <c r="B1367" s="116">
        <v>9.9</v>
      </c>
      <c r="C1367" s="116">
        <v>9.89</v>
      </c>
      <c r="D1367" s="116">
        <v>9.31</v>
      </c>
      <c r="E1367" s="116">
        <v>9.6</v>
      </c>
      <c r="F1367" s="116">
        <v>9.89</v>
      </c>
      <c r="G1367">
        <v>59847</v>
      </c>
      <c r="H1367" s="116"/>
      <c r="I1367" s="116"/>
      <c r="L1367" s="169">
        <v>44021</v>
      </c>
      <c r="M1367" s="116">
        <v>367</v>
      </c>
      <c r="N1367" s="116">
        <v>377.75</v>
      </c>
      <c r="O1367" s="116">
        <v>365.2</v>
      </c>
      <c r="P1367" s="116">
        <v>366.4</v>
      </c>
      <c r="Q1367" s="116">
        <v>367</v>
      </c>
      <c r="R1367">
        <v>400620</v>
      </c>
    </row>
    <row r="1368" spans="1:18" x14ac:dyDescent="0.25">
      <c r="A1368" s="169">
        <v>44032</v>
      </c>
      <c r="B1368" s="116">
        <v>10.38</v>
      </c>
      <c r="C1368" s="116">
        <v>10.35</v>
      </c>
      <c r="D1368" s="116">
        <v>9.59</v>
      </c>
      <c r="E1368" s="116">
        <v>9.6</v>
      </c>
      <c r="F1368" s="116">
        <v>10.35</v>
      </c>
      <c r="G1368">
        <v>154536</v>
      </c>
      <c r="H1368" s="116"/>
      <c r="I1368" s="116"/>
      <c r="L1368" s="169">
        <v>44022</v>
      </c>
      <c r="M1368" s="116">
        <v>360.65</v>
      </c>
      <c r="N1368" s="116">
        <v>368.05</v>
      </c>
      <c r="O1368" s="116">
        <v>357.65</v>
      </c>
      <c r="P1368" s="116">
        <v>365</v>
      </c>
      <c r="Q1368" s="116">
        <v>360.65</v>
      </c>
      <c r="R1368">
        <v>186751</v>
      </c>
    </row>
    <row r="1369" spans="1:18" x14ac:dyDescent="0.25">
      <c r="A1369" s="169">
        <v>44033</v>
      </c>
      <c r="B1369" s="116">
        <v>10.86</v>
      </c>
      <c r="C1369" s="116">
        <v>10.86</v>
      </c>
      <c r="D1369" s="116">
        <v>10.29</v>
      </c>
      <c r="E1369" s="116">
        <v>10.5</v>
      </c>
      <c r="F1369" s="116">
        <v>10.86</v>
      </c>
      <c r="G1369">
        <v>108731</v>
      </c>
      <c r="H1369" s="116"/>
      <c r="I1369" s="116"/>
      <c r="L1369" s="169">
        <v>44025</v>
      </c>
      <c r="M1369" s="116">
        <v>360.3</v>
      </c>
      <c r="N1369" s="116">
        <v>367</v>
      </c>
      <c r="O1369" s="116">
        <v>358.05</v>
      </c>
      <c r="P1369" s="116">
        <v>362.25</v>
      </c>
      <c r="Q1369" s="116">
        <v>360.3</v>
      </c>
      <c r="R1369">
        <v>206810</v>
      </c>
    </row>
    <row r="1370" spans="1:18" x14ac:dyDescent="0.25">
      <c r="A1370" s="169">
        <v>44034</v>
      </c>
      <c r="B1370" s="116">
        <v>11.4</v>
      </c>
      <c r="C1370" s="116">
        <v>10.97</v>
      </c>
      <c r="D1370" s="116">
        <v>10.46</v>
      </c>
      <c r="E1370" s="116">
        <v>10.86</v>
      </c>
      <c r="F1370" s="116">
        <v>10.97</v>
      </c>
      <c r="G1370">
        <v>91437</v>
      </c>
      <c r="H1370" s="116"/>
      <c r="I1370" s="116"/>
      <c r="L1370" s="169">
        <v>44026</v>
      </c>
      <c r="M1370" s="116">
        <v>349.35</v>
      </c>
      <c r="N1370" s="116">
        <v>361</v>
      </c>
      <c r="O1370" s="116">
        <v>348</v>
      </c>
      <c r="P1370" s="116">
        <v>358.1</v>
      </c>
      <c r="Q1370" s="116">
        <v>349.35</v>
      </c>
      <c r="R1370">
        <v>188057</v>
      </c>
    </row>
    <row r="1371" spans="1:18" x14ac:dyDescent="0.25">
      <c r="A1371" s="169">
        <v>44035</v>
      </c>
      <c r="B1371" s="116">
        <v>11.45</v>
      </c>
      <c r="C1371" s="116">
        <v>11.04</v>
      </c>
      <c r="D1371" s="116">
        <v>10.52</v>
      </c>
      <c r="E1371" s="116">
        <v>11.15</v>
      </c>
      <c r="F1371" s="116">
        <v>11.04</v>
      </c>
      <c r="G1371">
        <v>62846</v>
      </c>
      <c r="H1371" s="116"/>
      <c r="I1371" s="116"/>
      <c r="L1371" s="169">
        <v>44027</v>
      </c>
      <c r="M1371" s="116">
        <v>365.4</v>
      </c>
      <c r="N1371" s="116">
        <v>368.1</v>
      </c>
      <c r="O1371" s="116">
        <v>350.65</v>
      </c>
      <c r="P1371" s="116">
        <v>351</v>
      </c>
      <c r="Q1371" s="116">
        <v>365.4</v>
      </c>
      <c r="R1371">
        <v>438861</v>
      </c>
    </row>
    <row r="1372" spans="1:18" x14ac:dyDescent="0.25">
      <c r="A1372" s="169">
        <v>44036</v>
      </c>
      <c r="B1372" s="116">
        <v>11.55</v>
      </c>
      <c r="C1372" s="116">
        <v>11.49</v>
      </c>
      <c r="D1372" s="116">
        <v>10.67</v>
      </c>
      <c r="E1372" s="116">
        <v>11.11</v>
      </c>
      <c r="F1372" s="116">
        <v>11.49</v>
      </c>
      <c r="G1372">
        <v>127467</v>
      </c>
      <c r="H1372" s="116"/>
      <c r="I1372" s="116"/>
      <c r="L1372" s="169">
        <v>44028</v>
      </c>
      <c r="M1372" s="116">
        <v>359.3</v>
      </c>
      <c r="N1372" s="116">
        <v>367.55</v>
      </c>
      <c r="O1372" s="116">
        <v>355.35</v>
      </c>
      <c r="P1372" s="116">
        <v>367.55</v>
      </c>
      <c r="Q1372" s="116">
        <v>359.3</v>
      </c>
      <c r="R1372">
        <v>214953</v>
      </c>
    </row>
    <row r="1373" spans="1:18" x14ac:dyDescent="0.25">
      <c r="A1373" s="169">
        <v>44039</v>
      </c>
      <c r="B1373" s="116">
        <v>11.75</v>
      </c>
      <c r="C1373" s="116">
        <v>11.02</v>
      </c>
      <c r="D1373" s="116">
        <v>11.02</v>
      </c>
      <c r="E1373" s="116">
        <v>11.5</v>
      </c>
      <c r="F1373" s="116">
        <v>11.02</v>
      </c>
      <c r="G1373">
        <v>18510</v>
      </c>
      <c r="H1373" s="116"/>
      <c r="I1373" s="116"/>
      <c r="L1373" s="169">
        <v>44029</v>
      </c>
      <c r="M1373" s="116">
        <v>357.95</v>
      </c>
      <c r="N1373" s="116">
        <v>365.95</v>
      </c>
      <c r="O1373" s="116">
        <v>354.5</v>
      </c>
      <c r="P1373" s="116">
        <v>360</v>
      </c>
      <c r="Q1373" s="116">
        <v>357.95</v>
      </c>
      <c r="R1373">
        <v>298362</v>
      </c>
    </row>
    <row r="1374" spans="1:18" x14ac:dyDescent="0.25">
      <c r="A1374" s="169">
        <v>44040</v>
      </c>
      <c r="B1374" s="116">
        <v>11.57</v>
      </c>
      <c r="C1374" s="116">
        <v>11.57</v>
      </c>
      <c r="D1374" s="116">
        <v>11.34</v>
      </c>
      <c r="E1374" s="116">
        <v>11.34</v>
      </c>
      <c r="F1374" s="116">
        <v>11.57</v>
      </c>
      <c r="G1374">
        <v>128821</v>
      </c>
      <c r="H1374" s="116"/>
      <c r="I1374" s="116"/>
      <c r="L1374" s="169">
        <v>44032</v>
      </c>
      <c r="M1374" s="116">
        <v>371.25</v>
      </c>
      <c r="N1374" s="116">
        <v>373.95</v>
      </c>
      <c r="O1374" s="116">
        <v>356.45</v>
      </c>
      <c r="P1374" s="116">
        <v>362.8</v>
      </c>
      <c r="Q1374" s="116">
        <v>371.25</v>
      </c>
      <c r="R1374">
        <v>552336</v>
      </c>
    </row>
    <row r="1375" spans="1:18" x14ac:dyDescent="0.25">
      <c r="A1375" s="169">
        <v>44041</v>
      </c>
      <c r="B1375" s="116">
        <v>12</v>
      </c>
      <c r="C1375" s="116">
        <v>11.9</v>
      </c>
      <c r="D1375" s="116">
        <v>11.16</v>
      </c>
      <c r="E1375" s="116">
        <v>11.9</v>
      </c>
      <c r="F1375" s="116">
        <v>11.9</v>
      </c>
      <c r="G1375">
        <v>41686</v>
      </c>
      <c r="H1375" s="116"/>
      <c r="I1375" s="116"/>
      <c r="L1375" s="169">
        <v>44033</v>
      </c>
      <c r="M1375" s="116">
        <v>370</v>
      </c>
      <c r="N1375" s="116">
        <v>376.7</v>
      </c>
      <c r="O1375" s="116">
        <v>365</v>
      </c>
      <c r="P1375" s="116">
        <v>371.5</v>
      </c>
      <c r="Q1375" s="116">
        <v>370</v>
      </c>
      <c r="R1375">
        <v>269246</v>
      </c>
    </row>
    <row r="1376" spans="1:18" x14ac:dyDescent="0.25">
      <c r="A1376" s="169">
        <v>44042</v>
      </c>
      <c r="B1376" s="116">
        <v>12.42</v>
      </c>
      <c r="C1376" s="116">
        <v>12.38</v>
      </c>
      <c r="D1376" s="116">
        <v>11.62</v>
      </c>
      <c r="E1376" s="116">
        <v>12.14</v>
      </c>
      <c r="F1376" s="116">
        <v>12.38</v>
      </c>
      <c r="G1376">
        <v>139151</v>
      </c>
      <c r="H1376" s="116"/>
      <c r="I1376" s="116"/>
      <c r="L1376" s="169">
        <v>44034</v>
      </c>
      <c r="M1376" s="116">
        <v>378.15</v>
      </c>
      <c r="N1376" s="116">
        <v>379.9</v>
      </c>
      <c r="O1376" s="116">
        <v>363.35</v>
      </c>
      <c r="P1376" s="116">
        <v>372.7</v>
      </c>
      <c r="Q1376" s="116">
        <v>378.15</v>
      </c>
      <c r="R1376">
        <v>658057</v>
      </c>
    </row>
    <row r="1377" spans="1:18" x14ac:dyDescent="0.25">
      <c r="A1377" s="169">
        <v>44043</v>
      </c>
      <c r="B1377" s="116">
        <v>12.35</v>
      </c>
      <c r="C1377" s="116">
        <v>12.14</v>
      </c>
      <c r="D1377" s="116">
        <v>11.82</v>
      </c>
      <c r="E1377" s="116">
        <v>12.35</v>
      </c>
      <c r="F1377" s="116">
        <v>12.14</v>
      </c>
      <c r="G1377">
        <v>47357</v>
      </c>
      <c r="H1377" s="116"/>
      <c r="I1377" s="116"/>
      <c r="L1377" s="169">
        <v>44035</v>
      </c>
      <c r="M1377" s="116">
        <v>399.5</v>
      </c>
      <c r="N1377" s="116">
        <v>402.9</v>
      </c>
      <c r="O1377" s="116">
        <v>383</v>
      </c>
      <c r="P1377" s="116">
        <v>383.95</v>
      </c>
      <c r="Q1377" s="116">
        <v>399.5</v>
      </c>
      <c r="R1377">
        <v>1300155</v>
      </c>
    </row>
    <row r="1378" spans="1:18" x14ac:dyDescent="0.25">
      <c r="A1378" s="169">
        <v>44046</v>
      </c>
      <c r="B1378" s="116">
        <v>12.24</v>
      </c>
      <c r="C1378" s="116">
        <v>11.77</v>
      </c>
      <c r="D1378" s="116">
        <v>11.62</v>
      </c>
      <c r="E1378" s="116">
        <v>12.24</v>
      </c>
      <c r="F1378" s="116">
        <v>11.77</v>
      </c>
      <c r="G1378">
        <v>35519</v>
      </c>
      <c r="H1378" s="116"/>
      <c r="I1378" s="116"/>
      <c r="L1378" s="169">
        <v>44036</v>
      </c>
      <c r="M1378" s="116">
        <v>395.8</v>
      </c>
      <c r="N1378" s="116">
        <v>407.45</v>
      </c>
      <c r="O1378" s="116">
        <v>390.1</v>
      </c>
      <c r="P1378" s="116">
        <v>402</v>
      </c>
      <c r="Q1378" s="116">
        <v>395.8</v>
      </c>
      <c r="R1378">
        <v>869114</v>
      </c>
    </row>
    <row r="1379" spans="1:18" x14ac:dyDescent="0.25">
      <c r="A1379" s="169">
        <v>44047</v>
      </c>
      <c r="B1379" s="116">
        <v>11.95</v>
      </c>
      <c r="C1379" s="116">
        <v>11.8</v>
      </c>
      <c r="D1379" s="116">
        <v>11.5</v>
      </c>
      <c r="E1379" s="116">
        <v>11.6</v>
      </c>
      <c r="F1379" s="116">
        <v>11.8</v>
      </c>
      <c r="G1379">
        <v>24061</v>
      </c>
      <c r="H1379" s="116"/>
      <c r="I1379" s="116"/>
      <c r="L1379" s="169">
        <v>44039</v>
      </c>
      <c r="M1379" s="116">
        <v>386.35</v>
      </c>
      <c r="N1379" s="116">
        <v>398.9</v>
      </c>
      <c r="O1379" s="116">
        <v>380.15</v>
      </c>
      <c r="P1379" s="116">
        <v>390.05</v>
      </c>
      <c r="Q1379" s="116">
        <v>386.35</v>
      </c>
      <c r="R1379">
        <v>351675</v>
      </c>
    </row>
    <row r="1380" spans="1:18" x14ac:dyDescent="0.25">
      <c r="A1380" s="169">
        <v>44048</v>
      </c>
      <c r="B1380" s="116">
        <v>12</v>
      </c>
      <c r="C1380" s="116">
        <v>11.6</v>
      </c>
      <c r="D1380" s="116">
        <v>11.45</v>
      </c>
      <c r="E1380" s="116">
        <v>12</v>
      </c>
      <c r="F1380" s="116">
        <v>11.6</v>
      </c>
      <c r="G1380">
        <v>46858</v>
      </c>
      <c r="H1380" s="116"/>
      <c r="I1380" s="116"/>
      <c r="L1380" s="169">
        <v>44040</v>
      </c>
      <c r="M1380" s="116">
        <v>375.95</v>
      </c>
      <c r="N1380" s="116">
        <v>394</v>
      </c>
      <c r="O1380" s="116">
        <v>374.05</v>
      </c>
      <c r="P1380" s="116">
        <v>385.05</v>
      </c>
      <c r="Q1380" s="116">
        <v>375.95</v>
      </c>
      <c r="R1380">
        <v>392865</v>
      </c>
    </row>
    <row r="1381" spans="1:18" x14ac:dyDescent="0.25">
      <c r="A1381" s="169">
        <v>44049</v>
      </c>
      <c r="B1381" s="116">
        <v>12</v>
      </c>
      <c r="C1381" s="116">
        <v>11.75</v>
      </c>
      <c r="D1381" s="116">
        <v>11.42</v>
      </c>
      <c r="E1381" s="116">
        <v>11.6</v>
      </c>
      <c r="F1381" s="116">
        <v>11.75</v>
      </c>
      <c r="G1381">
        <v>27821</v>
      </c>
      <c r="H1381" s="116"/>
      <c r="I1381" s="116"/>
      <c r="L1381" s="169">
        <v>44041</v>
      </c>
      <c r="M1381" s="116">
        <v>369.05</v>
      </c>
      <c r="N1381" s="116">
        <v>382.2</v>
      </c>
      <c r="O1381" s="116">
        <v>361.25</v>
      </c>
      <c r="P1381" s="116">
        <v>377.4</v>
      </c>
      <c r="Q1381" s="116">
        <v>369.05</v>
      </c>
      <c r="R1381">
        <v>326679</v>
      </c>
    </row>
    <row r="1382" spans="1:18" x14ac:dyDescent="0.25">
      <c r="A1382" s="169">
        <v>44050</v>
      </c>
      <c r="B1382" s="116">
        <v>12</v>
      </c>
      <c r="C1382" s="116">
        <v>11.41</v>
      </c>
      <c r="D1382" s="116">
        <v>11.3</v>
      </c>
      <c r="E1382" s="116">
        <v>12</v>
      </c>
      <c r="F1382" s="116">
        <v>11.41</v>
      </c>
      <c r="G1382">
        <v>11876</v>
      </c>
      <c r="H1382" s="116"/>
      <c r="I1382" s="116"/>
      <c r="L1382" s="169">
        <v>44042</v>
      </c>
      <c r="M1382" s="116">
        <v>361.8</v>
      </c>
      <c r="N1382" s="116">
        <v>377</v>
      </c>
      <c r="O1382" s="116">
        <v>358.1</v>
      </c>
      <c r="P1382" s="116">
        <v>370.65</v>
      </c>
      <c r="Q1382" s="116">
        <v>361.8</v>
      </c>
      <c r="R1382">
        <v>217927</v>
      </c>
    </row>
    <row r="1383" spans="1:18" x14ac:dyDescent="0.25">
      <c r="A1383" s="169">
        <v>44053</v>
      </c>
      <c r="B1383" s="116">
        <v>11.6</v>
      </c>
      <c r="C1383" s="116">
        <v>11.31</v>
      </c>
      <c r="D1383" s="116">
        <v>11.3</v>
      </c>
      <c r="E1383" s="116">
        <v>11.4</v>
      </c>
      <c r="F1383" s="116">
        <v>11.31</v>
      </c>
      <c r="G1383">
        <v>19950</v>
      </c>
      <c r="H1383" s="116"/>
      <c r="I1383" s="116"/>
      <c r="L1383" s="169">
        <v>44043</v>
      </c>
      <c r="M1383" s="116">
        <v>365.4</v>
      </c>
      <c r="N1383" s="116">
        <v>369.25</v>
      </c>
      <c r="O1383" s="116">
        <v>360</v>
      </c>
      <c r="P1383" s="116">
        <v>363</v>
      </c>
      <c r="Q1383" s="116">
        <v>365.4</v>
      </c>
      <c r="R1383">
        <v>178980</v>
      </c>
    </row>
    <row r="1384" spans="1:18" x14ac:dyDescent="0.25">
      <c r="A1384" s="169">
        <v>44054</v>
      </c>
      <c r="B1384" s="116">
        <v>11.87</v>
      </c>
      <c r="C1384" s="116">
        <v>11.6</v>
      </c>
      <c r="D1384" s="116">
        <v>10.9</v>
      </c>
      <c r="E1384" s="116">
        <v>11.48</v>
      </c>
      <c r="F1384" s="116">
        <v>11.6</v>
      </c>
      <c r="G1384">
        <v>168786</v>
      </c>
      <c r="H1384" s="116"/>
      <c r="I1384" s="116"/>
      <c r="L1384" s="169">
        <v>44046</v>
      </c>
      <c r="M1384" s="116">
        <v>370.15</v>
      </c>
      <c r="N1384" s="116">
        <v>373.25</v>
      </c>
      <c r="O1384" s="116">
        <v>361.6</v>
      </c>
      <c r="P1384" s="116">
        <v>365</v>
      </c>
      <c r="Q1384" s="116">
        <v>370.15</v>
      </c>
      <c r="R1384">
        <v>161276</v>
      </c>
    </row>
    <row r="1385" spans="1:18" x14ac:dyDescent="0.25">
      <c r="A1385" s="169">
        <v>44055</v>
      </c>
      <c r="B1385" s="116">
        <v>11.99</v>
      </c>
      <c r="C1385" s="116">
        <v>11.36</v>
      </c>
      <c r="D1385" s="116">
        <v>11.12</v>
      </c>
      <c r="E1385" s="116">
        <v>11.99</v>
      </c>
      <c r="F1385" s="116">
        <v>11.36</v>
      </c>
      <c r="G1385">
        <v>11726</v>
      </c>
      <c r="H1385" s="116"/>
      <c r="I1385" s="116"/>
      <c r="L1385" s="169">
        <v>44047</v>
      </c>
      <c r="M1385" s="116">
        <v>379.75</v>
      </c>
      <c r="N1385" s="116">
        <v>383.95</v>
      </c>
      <c r="O1385" s="116">
        <v>362.4</v>
      </c>
      <c r="P1385" s="116">
        <v>371</v>
      </c>
      <c r="Q1385" s="116">
        <v>379.75</v>
      </c>
      <c r="R1385">
        <v>505681</v>
      </c>
    </row>
    <row r="1386" spans="1:18" x14ac:dyDescent="0.25">
      <c r="A1386" s="169">
        <v>44056</v>
      </c>
      <c r="B1386" s="116">
        <v>11.52</v>
      </c>
      <c r="C1386" s="116">
        <v>11.06</v>
      </c>
      <c r="D1386" s="116">
        <v>11</v>
      </c>
      <c r="E1386" s="116">
        <v>11.36</v>
      </c>
      <c r="F1386" s="116">
        <v>11.06</v>
      </c>
      <c r="G1386">
        <v>25850</v>
      </c>
      <c r="H1386" s="116"/>
      <c r="I1386" s="116"/>
      <c r="L1386" s="169">
        <v>44048</v>
      </c>
      <c r="M1386" s="116">
        <v>369.65</v>
      </c>
      <c r="N1386" s="116">
        <v>384.9</v>
      </c>
      <c r="O1386" s="116">
        <v>368</v>
      </c>
      <c r="P1386" s="116">
        <v>381.85</v>
      </c>
      <c r="Q1386" s="116">
        <v>369.65</v>
      </c>
      <c r="R1386">
        <v>254633</v>
      </c>
    </row>
    <row r="1387" spans="1:18" x14ac:dyDescent="0.25">
      <c r="A1387" s="169">
        <v>44057</v>
      </c>
      <c r="B1387" s="116">
        <v>11.26</v>
      </c>
      <c r="C1387" s="116">
        <v>10.84</v>
      </c>
      <c r="D1387" s="116">
        <v>10.7</v>
      </c>
      <c r="E1387" s="116">
        <v>11.02</v>
      </c>
      <c r="F1387" s="116">
        <v>10.84</v>
      </c>
      <c r="G1387">
        <v>49692</v>
      </c>
      <c r="H1387" s="116"/>
      <c r="I1387" s="116"/>
      <c r="L1387" s="169">
        <v>44049</v>
      </c>
      <c r="M1387" s="116">
        <v>371</v>
      </c>
      <c r="N1387" s="116">
        <v>376</v>
      </c>
      <c r="O1387" s="116">
        <v>365.35</v>
      </c>
      <c r="P1387" s="116">
        <v>375</v>
      </c>
      <c r="Q1387" s="116">
        <v>371</v>
      </c>
      <c r="R1387">
        <v>408227</v>
      </c>
    </row>
    <row r="1388" spans="1:18" x14ac:dyDescent="0.25">
      <c r="A1388" s="169">
        <v>44060</v>
      </c>
      <c r="B1388" s="116">
        <v>11.2</v>
      </c>
      <c r="C1388" s="116">
        <v>11.19</v>
      </c>
      <c r="D1388" s="116">
        <v>10.53</v>
      </c>
      <c r="E1388" s="116">
        <v>10.6</v>
      </c>
      <c r="F1388" s="116">
        <v>11.19</v>
      </c>
      <c r="G1388">
        <v>14217</v>
      </c>
      <c r="H1388" s="116"/>
      <c r="I1388" s="116"/>
      <c r="L1388" s="169">
        <v>44050</v>
      </c>
      <c r="M1388" s="116">
        <v>372.7</v>
      </c>
      <c r="N1388" s="116">
        <v>378</v>
      </c>
      <c r="O1388" s="116">
        <v>367.2</v>
      </c>
      <c r="P1388" s="116">
        <v>371</v>
      </c>
      <c r="Q1388" s="116">
        <v>372.7</v>
      </c>
      <c r="R1388">
        <v>416232</v>
      </c>
    </row>
    <row r="1389" spans="1:18" x14ac:dyDescent="0.25">
      <c r="A1389" s="169">
        <v>44061</v>
      </c>
      <c r="B1389" s="116">
        <v>11.65</v>
      </c>
      <c r="C1389" s="116">
        <v>11.5</v>
      </c>
      <c r="D1389" s="116">
        <v>10.82</v>
      </c>
      <c r="E1389" s="116">
        <v>11</v>
      </c>
      <c r="F1389" s="116">
        <v>11.5</v>
      </c>
      <c r="G1389">
        <v>38616</v>
      </c>
      <c r="H1389" s="116"/>
      <c r="I1389" s="116"/>
      <c r="L1389" s="169">
        <v>44053</v>
      </c>
      <c r="M1389" s="116">
        <v>389.5</v>
      </c>
      <c r="N1389" s="116">
        <v>394.9</v>
      </c>
      <c r="O1389" s="116">
        <v>368.25</v>
      </c>
      <c r="P1389" s="116">
        <v>372.8</v>
      </c>
      <c r="Q1389" s="116">
        <v>389.5</v>
      </c>
      <c r="R1389">
        <v>2165478</v>
      </c>
    </row>
    <row r="1390" spans="1:18" x14ac:dyDescent="0.25">
      <c r="A1390" s="169">
        <v>44062</v>
      </c>
      <c r="B1390" s="116">
        <v>11.65</v>
      </c>
      <c r="C1390" s="116">
        <v>11.27</v>
      </c>
      <c r="D1390" s="116">
        <v>11.06</v>
      </c>
      <c r="E1390" s="116">
        <v>11.65</v>
      </c>
      <c r="F1390" s="116">
        <v>11.27</v>
      </c>
      <c r="G1390">
        <v>22945</v>
      </c>
      <c r="H1390" s="116"/>
      <c r="I1390" s="116"/>
      <c r="L1390" s="169">
        <v>44054</v>
      </c>
      <c r="M1390" s="116">
        <v>373.55</v>
      </c>
      <c r="N1390" s="116">
        <v>387</v>
      </c>
      <c r="O1390" s="116">
        <v>371.7</v>
      </c>
      <c r="P1390" s="116">
        <v>384.95</v>
      </c>
      <c r="Q1390" s="116">
        <v>373.55</v>
      </c>
      <c r="R1390">
        <v>594642</v>
      </c>
    </row>
    <row r="1391" spans="1:18" x14ac:dyDescent="0.25">
      <c r="A1391" s="169">
        <v>44063</v>
      </c>
      <c r="B1391" s="116">
        <v>11.59</v>
      </c>
      <c r="C1391" s="116">
        <v>11.21</v>
      </c>
      <c r="D1391" s="116">
        <v>10.85</v>
      </c>
      <c r="E1391" s="116">
        <v>11</v>
      </c>
      <c r="F1391" s="116">
        <v>11.21</v>
      </c>
      <c r="G1391">
        <v>8114</v>
      </c>
      <c r="H1391" s="116"/>
      <c r="I1391" s="116"/>
      <c r="L1391" s="169">
        <v>44055</v>
      </c>
      <c r="M1391" s="116">
        <v>369.15</v>
      </c>
      <c r="N1391" s="116">
        <v>379</v>
      </c>
      <c r="O1391" s="116">
        <v>365.35</v>
      </c>
      <c r="P1391" s="116">
        <v>372.95</v>
      </c>
      <c r="Q1391" s="116">
        <v>369.15</v>
      </c>
      <c r="R1391">
        <v>349865</v>
      </c>
    </row>
    <row r="1392" spans="1:18" x14ac:dyDescent="0.25">
      <c r="A1392" s="169">
        <v>44064</v>
      </c>
      <c r="B1392" s="116">
        <v>11.5</v>
      </c>
      <c r="C1392" s="116">
        <v>10.95</v>
      </c>
      <c r="D1392" s="116">
        <v>10.95</v>
      </c>
      <c r="E1392" s="116">
        <v>11</v>
      </c>
      <c r="F1392" s="116">
        <v>10.95</v>
      </c>
      <c r="G1392">
        <v>11699</v>
      </c>
      <c r="H1392" s="116"/>
      <c r="I1392" s="116"/>
      <c r="L1392" s="169">
        <v>44056</v>
      </c>
      <c r="M1392" s="116">
        <v>366.6</v>
      </c>
      <c r="N1392" s="116">
        <v>374</v>
      </c>
      <c r="O1392" s="116">
        <v>365</v>
      </c>
      <c r="P1392" s="116">
        <v>371</v>
      </c>
      <c r="Q1392" s="116">
        <v>366.6</v>
      </c>
      <c r="R1392">
        <v>234728</v>
      </c>
    </row>
    <row r="1393" spans="1:18" x14ac:dyDescent="0.25">
      <c r="A1393" s="169">
        <v>44067</v>
      </c>
      <c r="B1393" s="116">
        <v>11.4</v>
      </c>
      <c r="C1393" s="116">
        <v>11.07</v>
      </c>
      <c r="D1393" s="116">
        <v>10.75</v>
      </c>
      <c r="E1393" s="116">
        <v>11.05</v>
      </c>
      <c r="F1393" s="116">
        <v>11.07</v>
      </c>
      <c r="G1393">
        <v>23792</v>
      </c>
      <c r="H1393" s="116"/>
      <c r="I1393" s="116"/>
      <c r="L1393" s="169">
        <v>44057</v>
      </c>
      <c r="M1393" s="116">
        <v>373</v>
      </c>
      <c r="N1393" s="116">
        <v>380.4</v>
      </c>
      <c r="O1393" s="116">
        <v>366</v>
      </c>
      <c r="P1393" s="116">
        <v>366</v>
      </c>
      <c r="Q1393" s="116">
        <v>373</v>
      </c>
      <c r="R1393">
        <v>688790</v>
      </c>
    </row>
    <row r="1394" spans="1:18" x14ac:dyDescent="0.25">
      <c r="A1394" s="169">
        <v>44068</v>
      </c>
      <c r="B1394" s="116">
        <v>11.2</v>
      </c>
      <c r="C1394" s="116">
        <v>11.03</v>
      </c>
      <c r="D1394" s="116">
        <v>10.75</v>
      </c>
      <c r="E1394" s="116">
        <v>11</v>
      </c>
      <c r="F1394" s="116">
        <v>11.03</v>
      </c>
      <c r="G1394">
        <v>28028</v>
      </c>
      <c r="H1394" s="116"/>
      <c r="I1394" s="116"/>
      <c r="L1394" s="169">
        <v>44060</v>
      </c>
      <c r="M1394" s="116">
        <v>368.6</v>
      </c>
      <c r="N1394" s="116">
        <v>376.75</v>
      </c>
      <c r="O1394" s="116">
        <v>367.8</v>
      </c>
      <c r="P1394" s="116">
        <v>376.5</v>
      </c>
      <c r="Q1394" s="116">
        <v>368.6</v>
      </c>
      <c r="R1394">
        <v>235127</v>
      </c>
    </row>
    <row r="1395" spans="1:18" x14ac:dyDescent="0.25">
      <c r="A1395" s="169">
        <v>44069</v>
      </c>
      <c r="B1395" s="116">
        <v>11.01</v>
      </c>
      <c r="C1395" s="116">
        <v>10.81</v>
      </c>
      <c r="D1395" s="116">
        <v>10.76</v>
      </c>
      <c r="E1395" s="116">
        <v>11.01</v>
      </c>
      <c r="F1395" s="116">
        <v>10.81</v>
      </c>
      <c r="G1395">
        <v>34190</v>
      </c>
      <c r="H1395" s="116"/>
      <c r="I1395" s="116"/>
      <c r="L1395" s="169">
        <v>44061</v>
      </c>
      <c r="M1395" s="116">
        <v>372.75</v>
      </c>
      <c r="N1395" s="116">
        <v>379.45</v>
      </c>
      <c r="O1395" s="116">
        <v>366.05</v>
      </c>
      <c r="P1395" s="116">
        <v>370</v>
      </c>
      <c r="Q1395" s="116">
        <v>372.75</v>
      </c>
      <c r="R1395">
        <v>537469</v>
      </c>
    </row>
    <row r="1396" spans="1:18" x14ac:dyDescent="0.25">
      <c r="A1396" s="169">
        <v>44070</v>
      </c>
      <c r="B1396" s="116">
        <v>11.09</v>
      </c>
      <c r="C1396" s="116">
        <v>10.77</v>
      </c>
      <c r="D1396" s="116">
        <v>10.5</v>
      </c>
      <c r="E1396" s="116">
        <v>11.09</v>
      </c>
      <c r="F1396" s="116">
        <v>10.77</v>
      </c>
      <c r="G1396">
        <v>23808</v>
      </c>
      <c r="H1396" s="116"/>
      <c r="I1396" s="116"/>
      <c r="L1396" s="169">
        <v>44062</v>
      </c>
      <c r="M1396" s="116">
        <v>370.15</v>
      </c>
      <c r="N1396" s="116">
        <v>375.9</v>
      </c>
      <c r="O1396" s="116">
        <v>369.05</v>
      </c>
      <c r="P1396" s="116">
        <v>372.8</v>
      </c>
      <c r="Q1396" s="116">
        <v>370.15</v>
      </c>
      <c r="R1396">
        <v>314726</v>
      </c>
    </row>
    <row r="1397" spans="1:18" x14ac:dyDescent="0.25">
      <c r="A1397" s="169">
        <v>44071</v>
      </c>
      <c r="B1397" s="116">
        <v>11</v>
      </c>
      <c r="C1397" s="116">
        <v>10.46</v>
      </c>
      <c r="D1397" s="116">
        <v>10.37</v>
      </c>
      <c r="E1397" s="116">
        <v>11</v>
      </c>
      <c r="F1397" s="116">
        <v>10.46</v>
      </c>
      <c r="G1397">
        <v>24676</v>
      </c>
      <c r="H1397" s="116"/>
      <c r="I1397" s="116"/>
      <c r="L1397" s="169">
        <v>44063</v>
      </c>
      <c r="M1397" s="116">
        <v>366.85</v>
      </c>
      <c r="N1397" s="116">
        <v>372.7</v>
      </c>
      <c r="O1397" s="116">
        <v>366</v>
      </c>
      <c r="P1397" s="116">
        <v>370</v>
      </c>
      <c r="Q1397" s="116">
        <v>366.85</v>
      </c>
      <c r="R1397">
        <v>185560</v>
      </c>
    </row>
    <row r="1398" spans="1:18" x14ac:dyDescent="0.25">
      <c r="A1398" s="169">
        <v>44074</v>
      </c>
      <c r="B1398" s="116">
        <v>10.88</v>
      </c>
      <c r="C1398" s="116">
        <v>10.3</v>
      </c>
      <c r="D1398" s="116">
        <v>9.94</v>
      </c>
      <c r="E1398" s="116">
        <v>10.8</v>
      </c>
      <c r="F1398" s="116">
        <v>10.3</v>
      </c>
      <c r="G1398">
        <v>49819</v>
      </c>
      <c r="H1398" s="116"/>
      <c r="I1398" s="116"/>
      <c r="L1398" s="169">
        <v>44064</v>
      </c>
      <c r="M1398" s="116">
        <v>371.15</v>
      </c>
      <c r="N1398" s="116">
        <v>376</v>
      </c>
      <c r="O1398" s="116">
        <v>369.45</v>
      </c>
      <c r="P1398" s="116">
        <v>370</v>
      </c>
      <c r="Q1398" s="116">
        <v>371.15</v>
      </c>
      <c r="R1398">
        <v>373993</v>
      </c>
    </row>
    <row r="1399" spans="1:18" x14ac:dyDescent="0.25">
      <c r="A1399" s="169">
        <v>44075</v>
      </c>
      <c r="B1399" s="116">
        <v>10.3</v>
      </c>
      <c r="C1399" s="116">
        <v>9.81</v>
      </c>
      <c r="D1399" s="116">
        <v>9.7899999999999991</v>
      </c>
      <c r="E1399" s="116">
        <v>10.3</v>
      </c>
      <c r="F1399" s="116">
        <v>9.81</v>
      </c>
      <c r="G1399">
        <v>6742</v>
      </c>
      <c r="H1399" s="116"/>
      <c r="I1399" s="116"/>
      <c r="L1399" s="169">
        <v>44067</v>
      </c>
      <c r="M1399" s="116">
        <v>378.9</v>
      </c>
      <c r="N1399" s="116">
        <v>384.9</v>
      </c>
      <c r="O1399" s="116">
        <v>372.5</v>
      </c>
      <c r="P1399" s="116">
        <v>372.5</v>
      </c>
      <c r="Q1399" s="116">
        <v>378.9</v>
      </c>
      <c r="R1399">
        <v>988087</v>
      </c>
    </row>
    <row r="1400" spans="1:18" x14ac:dyDescent="0.25">
      <c r="A1400" s="169">
        <v>44076</v>
      </c>
      <c r="B1400" s="116">
        <v>10.1</v>
      </c>
      <c r="C1400" s="116">
        <v>9.6999999999999993</v>
      </c>
      <c r="D1400" s="116">
        <v>9.41</v>
      </c>
      <c r="E1400" s="116">
        <v>10</v>
      </c>
      <c r="F1400" s="116">
        <v>9.6999999999999993</v>
      </c>
      <c r="G1400">
        <v>26855</v>
      </c>
      <c r="H1400" s="116"/>
      <c r="I1400" s="116"/>
      <c r="L1400" s="169">
        <v>44068</v>
      </c>
      <c r="M1400" s="116">
        <v>386.2</v>
      </c>
      <c r="N1400" s="116">
        <v>391.85</v>
      </c>
      <c r="O1400" s="116">
        <v>380.25</v>
      </c>
      <c r="P1400" s="116">
        <v>382.65</v>
      </c>
      <c r="Q1400" s="116">
        <v>386.2</v>
      </c>
      <c r="R1400">
        <v>1495815</v>
      </c>
    </row>
    <row r="1401" spans="1:18" x14ac:dyDescent="0.25">
      <c r="A1401" s="169">
        <v>44077</v>
      </c>
      <c r="B1401" s="116">
        <v>10</v>
      </c>
      <c r="C1401" s="116">
        <v>9.7100000000000009</v>
      </c>
      <c r="D1401" s="116">
        <v>9.2200000000000006</v>
      </c>
      <c r="E1401" s="116">
        <v>9.6999999999999993</v>
      </c>
      <c r="F1401" s="116">
        <v>9.7100000000000009</v>
      </c>
      <c r="G1401">
        <v>13435</v>
      </c>
      <c r="H1401" s="116"/>
      <c r="I1401" s="116"/>
      <c r="L1401" s="169">
        <v>44069</v>
      </c>
      <c r="M1401" s="116">
        <v>392.9</v>
      </c>
      <c r="N1401" s="116">
        <v>419.9</v>
      </c>
      <c r="O1401" s="116">
        <v>390</v>
      </c>
      <c r="P1401" s="116">
        <v>407.05</v>
      </c>
      <c r="Q1401" s="116">
        <v>392.9</v>
      </c>
      <c r="R1401">
        <v>3831288</v>
      </c>
    </row>
    <row r="1402" spans="1:18" x14ac:dyDescent="0.25">
      <c r="A1402" s="169">
        <v>44078</v>
      </c>
      <c r="B1402" s="116">
        <v>10.1</v>
      </c>
      <c r="C1402" s="116">
        <v>9.3800000000000008</v>
      </c>
      <c r="D1402" s="116">
        <v>9.3000000000000007</v>
      </c>
      <c r="E1402" s="116">
        <v>9.6999999999999993</v>
      </c>
      <c r="F1402" s="116">
        <v>9.3800000000000008</v>
      </c>
      <c r="G1402">
        <v>16900</v>
      </c>
      <c r="H1402" s="116"/>
      <c r="I1402" s="116"/>
      <c r="L1402" s="169">
        <v>44070</v>
      </c>
      <c r="M1402" s="116">
        <v>382.55</v>
      </c>
      <c r="N1402" s="116">
        <v>403</v>
      </c>
      <c r="O1402" s="116">
        <v>369.3</v>
      </c>
      <c r="P1402" s="116">
        <v>393.5</v>
      </c>
      <c r="Q1402" s="116">
        <v>382.55</v>
      </c>
      <c r="R1402">
        <v>1165301</v>
      </c>
    </row>
    <row r="1403" spans="1:18" x14ac:dyDescent="0.25">
      <c r="A1403" s="169">
        <v>44081</v>
      </c>
      <c r="B1403" s="116">
        <v>9.7899999999999991</v>
      </c>
      <c r="C1403" s="116">
        <v>9.68</v>
      </c>
      <c r="D1403" s="116">
        <v>9.25</v>
      </c>
      <c r="E1403" s="116">
        <v>9.4499999999999993</v>
      </c>
      <c r="F1403" s="116">
        <v>9.68</v>
      </c>
      <c r="G1403">
        <v>21032</v>
      </c>
      <c r="H1403" s="116"/>
      <c r="I1403" s="116"/>
      <c r="L1403" s="169">
        <v>44071</v>
      </c>
      <c r="M1403" s="116">
        <v>387.2</v>
      </c>
      <c r="N1403" s="116">
        <v>392.55</v>
      </c>
      <c r="O1403" s="116">
        <v>384.2</v>
      </c>
      <c r="P1403" s="116">
        <v>384.25</v>
      </c>
      <c r="Q1403" s="116">
        <v>387.2</v>
      </c>
      <c r="R1403">
        <v>847657</v>
      </c>
    </row>
    <row r="1404" spans="1:18" x14ac:dyDescent="0.25">
      <c r="A1404" s="169">
        <v>44082</v>
      </c>
      <c r="B1404" s="116">
        <v>10.16</v>
      </c>
      <c r="C1404" s="116">
        <v>10.16</v>
      </c>
      <c r="D1404" s="116">
        <v>9.68</v>
      </c>
      <c r="E1404" s="116">
        <v>9.68</v>
      </c>
      <c r="F1404" s="116">
        <v>10.16</v>
      </c>
      <c r="G1404">
        <v>17133</v>
      </c>
      <c r="H1404" s="116"/>
      <c r="I1404" s="116"/>
      <c r="L1404" s="169">
        <v>44074</v>
      </c>
      <c r="M1404" s="116">
        <v>371.2</v>
      </c>
      <c r="N1404" s="116">
        <v>395.45</v>
      </c>
      <c r="O1404" s="116">
        <v>361.35</v>
      </c>
      <c r="P1404" s="116">
        <v>395</v>
      </c>
      <c r="Q1404" s="116">
        <v>371.2</v>
      </c>
      <c r="R1404">
        <v>724362</v>
      </c>
    </row>
    <row r="1405" spans="1:18" x14ac:dyDescent="0.25">
      <c r="A1405" s="169">
        <v>44083</v>
      </c>
      <c r="B1405" s="116">
        <v>10.66</v>
      </c>
      <c r="C1405" s="116">
        <v>10.66</v>
      </c>
      <c r="D1405" s="116">
        <v>10</v>
      </c>
      <c r="E1405" s="116">
        <v>10.65</v>
      </c>
      <c r="F1405" s="116">
        <v>10.66</v>
      </c>
      <c r="G1405">
        <v>96693</v>
      </c>
      <c r="H1405" s="116"/>
      <c r="I1405" s="116"/>
      <c r="L1405" s="169">
        <v>44075</v>
      </c>
      <c r="M1405" s="116">
        <v>381.85</v>
      </c>
      <c r="N1405" s="116">
        <v>383</v>
      </c>
      <c r="O1405" s="116">
        <v>370.95</v>
      </c>
      <c r="P1405" s="116">
        <v>371</v>
      </c>
      <c r="Q1405" s="116">
        <v>381.85</v>
      </c>
      <c r="R1405">
        <v>444391</v>
      </c>
    </row>
    <row r="1406" spans="1:18" x14ac:dyDescent="0.25">
      <c r="A1406" s="169">
        <v>44084</v>
      </c>
      <c r="B1406" s="116">
        <v>11.19</v>
      </c>
      <c r="C1406" s="116">
        <v>11.19</v>
      </c>
      <c r="D1406" s="116">
        <v>10.81</v>
      </c>
      <c r="E1406" s="116">
        <v>11.18</v>
      </c>
      <c r="F1406" s="116">
        <v>11.19</v>
      </c>
      <c r="G1406">
        <v>32694</v>
      </c>
      <c r="H1406" s="116"/>
      <c r="I1406" s="116"/>
      <c r="L1406" s="169">
        <v>44076</v>
      </c>
      <c r="M1406" s="116">
        <v>384.7</v>
      </c>
      <c r="N1406" s="116">
        <v>387</v>
      </c>
      <c r="O1406" s="116">
        <v>379.5</v>
      </c>
      <c r="P1406" s="116">
        <v>380.1</v>
      </c>
      <c r="Q1406" s="116">
        <v>384.7</v>
      </c>
      <c r="R1406">
        <v>282187</v>
      </c>
    </row>
    <row r="1407" spans="1:18" x14ac:dyDescent="0.25">
      <c r="A1407" s="169">
        <v>44085</v>
      </c>
      <c r="B1407" s="116">
        <v>11.74</v>
      </c>
      <c r="C1407" s="116">
        <v>11.74</v>
      </c>
      <c r="D1407" s="116">
        <v>11.31</v>
      </c>
      <c r="E1407" s="116">
        <v>11.31</v>
      </c>
      <c r="F1407" s="116">
        <v>11.74</v>
      </c>
      <c r="G1407">
        <v>70204</v>
      </c>
      <c r="H1407" s="116"/>
      <c r="I1407" s="116"/>
      <c r="L1407" s="169">
        <v>44077</v>
      </c>
      <c r="M1407" s="116">
        <v>384.9</v>
      </c>
      <c r="N1407" s="116">
        <v>387.75</v>
      </c>
      <c r="O1407" s="116">
        <v>381.4</v>
      </c>
      <c r="P1407" s="116">
        <v>386.7</v>
      </c>
      <c r="Q1407" s="116">
        <v>384.9</v>
      </c>
      <c r="R1407">
        <v>180495</v>
      </c>
    </row>
    <row r="1408" spans="1:18" x14ac:dyDescent="0.25">
      <c r="A1408" s="169">
        <v>44088</v>
      </c>
      <c r="B1408" s="116">
        <v>12.32</v>
      </c>
      <c r="C1408" s="116">
        <v>12.09</v>
      </c>
      <c r="D1408" s="116">
        <v>12</v>
      </c>
      <c r="E1408" s="116">
        <v>12.32</v>
      </c>
      <c r="F1408" s="116">
        <v>12.09</v>
      </c>
      <c r="G1408">
        <v>100858</v>
      </c>
      <c r="H1408" s="116"/>
      <c r="I1408" s="116"/>
      <c r="L1408" s="169">
        <v>44078</v>
      </c>
      <c r="M1408" s="116">
        <v>375.25</v>
      </c>
      <c r="N1408" s="116">
        <v>380.8</v>
      </c>
      <c r="O1408" s="116">
        <v>372.75</v>
      </c>
      <c r="P1408" s="116">
        <v>375.9</v>
      </c>
      <c r="Q1408" s="116">
        <v>375.25</v>
      </c>
      <c r="R1408">
        <v>200159</v>
      </c>
    </row>
    <row r="1409" spans="1:18" x14ac:dyDescent="0.25">
      <c r="A1409" s="169">
        <v>44089</v>
      </c>
      <c r="B1409" s="116">
        <v>12.5</v>
      </c>
      <c r="C1409" s="116">
        <v>11.56</v>
      </c>
      <c r="D1409" s="116">
        <v>11.49</v>
      </c>
      <c r="E1409" s="116">
        <v>12.38</v>
      </c>
      <c r="F1409" s="116">
        <v>11.56</v>
      </c>
      <c r="G1409">
        <v>51370</v>
      </c>
      <c r="H1409" s="116"/>
      <c r="I1409" s="116"/>
      <c r="L1409" s="169">
        <v>44081</v>
      </c>
      <c r="M1409" s="116">
        <v>371.15</v>
      </c>
      <c r="N1409" s="116">
        <v>383.1</v>
      </c>
      <c r="O1409" s="116">
        <v>370.05</v>
      </c>
      <c r="P1409" s="116">
        <v>375</v>
      </c>
      <c r="Q1409" s="116">
        <v>371.15</v>
      </c>
      <c r="R1409">
        <v>289255</v>
      </c>
    </row>
    <row r="1410" spans="1:18" x14ac:dyDescent="0.25">
      <c r="A1410" s="169">
        <v>44090</v>
      </c>
      <c r="B1410" s="116">
        <v>11.8</v>
      </c>
      <c r="C1410" s="116">
        <v>11.1</v>
      </c>
      <c r="D1410" s="116">
        <v>11</v>
      </c>
      <c r="E1410" s="116">
        <v>11.75</v>
      </c>
      <c r="F1410" s="116">
        <v>11.1</v>
      </c>
      <c r="G1410">
        <v>21892</v>
      </c>
      <c r="H1410" s="116"/>
      <c r="I1410" s="116"/>
      <c r="L1410" s="169">
        <v>44082</v>
      </c>
      <c r="M1410" s="116">
        <v>370.85</v>
      </c>
      <c r="N1410" s="116">
        <v>378</v>
      </c>
      <c r="O1410" s="116">
        <v>370</v>
      </c>
      <c r="P1410" s="116">
        <v>373.3</v>
      </c>
      <c r="Q1410" s="116">
        <v>370.85</v>
      </c>
      <c r="R1410">
        <v>184374</v>
      </c>
    </row>
    <row r="1411" spans="1:18" x14ac:dyDescent="0.25">
      <c r="A1411" s="169">
        <v>44091</v>
      </c>
      <c r="B1411" s="116">
        <v>11.65</v>
      </c>
      <c r="C1411" s="116">
        <v>11.25</v>
      </c>
      <c r="D1411" s="116">
        <v>10.84</v>
      </c>
      <c r="E1411" s="116">
        <v>11.57</v>
      </c>
      <c r="F1411" s="116">
        <v>11.25</v>
      </c>
      <c r="G1411">
        <v>16770</v>
      </c>
      <c r="H1411" s="116"/>
      <c r="I1411" s="116"/>
      <c r="L1411" s="169">
        <v>44083</v>
      </c>
      <c r="M1411" s="116">
        <v>371.85</v>
      </c>
      <c r="N1411" s="116">
        <v>373</v>
      </c>
      <c r="O1411" s="116">
        <v>364.1</v>
      </c>
      <c r="P1411" s="116">
        <v>365</v>
      </c>
      <c r="Q1411" s="116">
        <v>371.85</v>
      </c>
      <c r="R1411">
        <v>323640</v>
      </c>
    </row>
    <row r="1412" spans="1:18" x14ac:dyDescent="0.25">
      <c r="A1412" s="169">
        <v>44092</v>
      </c>
      <c r="B1412" s="116">
        <v>11.75</v>
      </c>
      <c r="C1412" s="116">
        <v>10.82</v>
      </c>
      <c r="D1412" s="116">
        <v>10.75</v>
      </c>
      <c r="E1412" s="116">
        <v>11.75</v>
      </c>
      <c r="F1412" s="116">
        <v>10.82</v>
      </c>
      <c r="G1412">
        <v>32129</v>
      </c>
      <c r="H1412" s="116"/>
      <c r="I1412" s="116"/>
      <c r="L1412" s="169">
        <v>44084</v>
      </c>
      <c r="M1412" s="116">
        <v>380.55</v>
      </c>
      <c r="N1412" s="116">
        <v>383</v>
      </c>
      <c r="O1412" s="116">
        <v>372.8</v>
      </c>
      <c r="P1412" s="116">
        <v>372.8</v>
      </c>
      <c r="Q1412" s="116">
        <v>380.55</v>
      </c>
      <c r="R1412">
        <v>491249</v>
      </c>
    </row>
    <row r="1413" spans="1:18" x14ac:dyDescent="0.25">
      <c r="A1413" s="169">
        <v>44095</v>
      </c>
      <c r="B1413" s="116">
        <v>11.36</v>
      </c>
      <c r="C1413" s="116">
        <v>10.65</v>
      </c>
      <c r="D1413" s="116">
        <v>10.55</v>
      </c>
      <c r="E1413" s="116">
        <v>11</v>
      </c>
      <c r="F1413" s="116">
        <v>10.65</v>
      </c>
      <c r="G1413">
        <v>82406</v>
      </c>
      <c r="H1413" s="116"/>
      <c r="I1413" s="116"/>
      <c r="L1413" s="169">
        <v>44085</v>
      </c>
      <c r="M1413" s="116">
        <v>391.45</v>
      </c>
      <c r="N1413" s="116">
        <v>392.9</v>
      </c>
      <c r="O1413" s="116">
        <v>379.4</v>
      </c>
      <c r="P1413" s="116">
        <v>382</v>
      </c>
      <c r="Q1413" s="116">
        <v>391.45</v>
      </c>
      <c r="R1413">
        <v>473941</v>
      </c>
    </row>
    <row r="1414" spans="1:18" x14ac:dyDescent="0.25">
      <c r="A1414" s="169">
        <v>44096</v>
      </c>
      <c r="B1414" s="116">
        <v>10.7</v>
      </c>
      <c r="C1414" s="116">
        <v>10.17</v>
      </c>
      <c r="D1414" s="116">
        <v>10.14</v>
      </c>
      <c r="E1414" s="116">
        <v>10.3</v>
      </c>
      <c r="F1414" s="116">
        <v>10.17</v>
      </c>
      <c r="G1414">
        <v>37780</v>
      </c>
      <c r="H1414" s="116"/>
      <c r="I1414" s="116"/>
      <c r="L1414" s="169">
        <v>44088</v>
      </c>
      <c r="M1414" s="116">
        <v>425.75</v>
      </c>
      <c r="N1414" s="116">
        <v>439.6</v>
      </c>
      <c r="O1414" s="116">
        <v>400.8</v>
      </c>
      <c r="P1414" s="116">
        <v>402</v>
      </c>
      <c r="Q1414" s="116">
        <v>425.75</v>
      </c>
      <c r="R1414">
        <v>2424262</v>
      </c>
    </row>
    <row r="1415" spans="1:18" x14ac:dyDescent="0.25">
      <c r="A1415" s="169">
        <v>44097</v>
      </c>
      <c r="B1415" s="116">
        <v>10.58</v>
      </c>
      <c r="C1415" s="116">
        <v>10.5</v>
      </c>
      <c r="D1415" s="116">
        <v>9.81</v>
      </c>
      <c r="E1415" s="116">
        <v>9.81</v>
      </c>
      <c r="F1415" s="116">
        <v>10.5</v>
      </c>
      <c r="G1415">
        <v>27365</v>
      </c>
      <c r="H1415" s="116"/>
      <c r="I1415" s="116"/>
      <c r="L1415" s="169">
        <v>44089</v>
      </c>
      <c r="M1415" s="116">
        <v>434.3</v>
      </c>
      <c r="N1415" s="116">
        <v>439</v>
      </c>
      <c r="O1415" s="116">
        <v>417.75</v>
      </c>
      <c r="P1415" s="116">
        <v>428.95</v>
      </c>
      <c r="Q1415" s="116">
        <v>434.3</v>
      </c>
      <c r="R1415">
        <v>673855</v>
      </c>
    </row>
    <row r="1416" spans="1:18" x14ac:dyDescent="0.25">
      <c r="A1416" s="169">
        <v>44098</v>
      </c>
      <c r="B1416" s="116">
        <v>10.99</v>
      </c>
      <c r="C1416" s="116">
        <v>10.210000000000001</v>
      </c>
      <c r="D1416" s="116">
        <v>10.02</v>
      </c>
      <c r="E1416" s="116">
        <v>10.050000000000001</v>
      </c>
      <c r="F1416" s="116">
        <v>10.210000000000001</v>
      </c>
      <c r="G1416">
        <v>7321</v>
      </c>
      <c r="H1416" s="116"/>
      <c r="I1416" s="116"/>
      <c r="L1416" s="169">
        <v>44090</v>
      </c>
      <c r="M1416" s="116">
        <v>450.55</v>
      </c>
      <c r="N1416" s="116">
        <v>459.5</v>
      </c>
      <c r="O1416" s="116">
        <v>425.3</v>
      </c>
      <c r="P1416" s="116">
        <v>430</v>
      </c>
      <c r="Q1416" s="116">
        <v>450.55</v>
      </c>
      <c r="R1416">
        <v>1687709</v>
      </c>
    </row>
    <row r="1417" spans="1:18" x14ac:dyDescent="0.25">
      <c r="A1417" s="169">
        <v>44099</v>
      </c>
      <c r="B1417" s="116">
        <v>10.67</v>
      </c>
      <c r="C1417" s="116">
        <v>10.119999999999999</v>
      </c>
      <c r="D1417" s="116">
        <v>9.92</v>
      </c>
      <c r="E1417" s="116">
        <v>9.92</v>
      </c>
      <c r="F1417" s="116">
        <v>10.119999999999999</v>
      </c>
      <c r="G1417">
        <v>16127</v>
      </c>
      <c r="H1417" s="116"/>
      <c r="I1417" s="116"/>
      <c r="L1417" s="169">
        <v>44091</v>
      </c>
      <c r="M1417" s="116">
        <v>434.85</v>
      </c>
      <c r="N1417" s="116">
        <v>448</v>
      </c>
      <c r="O1417" s="116">
        <v>430.3</v>
      </c>
      <c r="P1417" s="116">
        <v>448</v>
      </c>
      <c r="Q1417" s="116">
        <v>434.85</v>
      </c>
      <c r="R1417">
        <v>903990</v>
      </c>
    </row>
    <row r="1418" spans="1:18" x14ac:dyDescent="0.25">
      <c r="A1418" s="169">
        <v>44102</v>
      </c>
      <c r="B1418" s="116">
        <v>10.62</v>
      </c>
      <c r="C1418" s="116">
        <v>10.62</v>
      </c>
      <c r="D1418" s="116">
        <v>10.39</v>
      </c>
      <c r="E1418" s="116">
        <v>10.56</v>
      </c>
      <c r="F1418" s="116">
        <v>10.62</v>
      </c>
      <c r="G1418">
        <v>11914</v>
      </c>
      <c r="H1418" s="116"/>
      <c r="I1418" s="116"/>
      <c r="L1418" s="169">
        <v>44092</v>
      </c>
      <c r="M1418" s="116">
        <v>420.5</v>
      </c>
      <c r="N1418" s="116">
        <v>440.95</v>
      </c>
      <c r="O1418" s="116">
        <v>416</v>
      </c>
      <c r="P1418" s="116">
        <v>438.6</v>
      </c>
      <c r="Q1418" s="116">
        <v>420.5</v>
      </c>
      <c r="R1418">
        <v>1329428</v>
      </c>
    </row>
    <row r="1419" spans="1:18" x14ac:dyDescent="0.25">
      <c r="A1419" s="169">
        <v>44103</v>
      </c>
      <c r="B1419" s="116">
        <v>11.15</v>
      </c>
      <c r="C1419" s="116">
        <v>11.15</v>
      </c>
      <c r="D1419" s="116">
        <v>10.7</v>
      </c>
      <c r="E1419" s="116">
        <v>10.7</v>
      </c>
      <c r="F1419" s="116">
        <v>11.15</v>
      </c>
      <c r="G1419">
        <v>24376</v>
      </c>
      <c r="H1419" s="116"/>
      <c r="I1419" s="116"/>
      <c r="L1419" s="169">
        <v>44095</v>
      </c>
      <c r="M1419" s="116">
        <v>418.55</v>
      </c>
      <c r="N1419" s="116">
        <v>423.9</v>
      </c>
      <c r="O1419" s="116">
        <v>415.55</v>
      </c>
      <c r="P1419" s="116">
        <v>420.5</v>
      </c>
      <c r="Q1419" s="116">
        <v>418.55</v>
      </c>
      <c r="R1419">
        <v>381487</v>
      </c>
    </row>
    <row r="1420" spans="1:18" x14ac:dyDescent="0.25">
      <c r="A1420" s="169">
        <v>44104</v>
      </c>
      <c r="B1420" s="116">
        <v>11.68</v>
      </c>
      <c r="C1420" s="116">
        <v>11.65</v>
      </c>
      <c r="D1420" s="116">
        <v>10.9</v>
      </c>
      <c r="E1420" s="116">
        <v>11.5</v>
      </c>
      <c r="F1420" s="116">
        <v>11.65</v>
      </c>
      <c r="G1420">
        <v>42859</v>
      </c>
      <c r="H1420" s="116"/>
      <c r="I1420" s="116"/>
      <c r="L1420" s="169">
        <v>44096</v>
      </c>
      <c r="M1420" s="116">
        <v>413.05</v>
      </c>
      <c r="N1420" s="116">
        <v>425.65</v>
      </c>
      <c r="O1420" s="116">
        <v>390.25</v>
      </c>
      <c r="P1420" s="116">
        <v>420.95</v>
      </c>
      <c r="Q1420" s="116">
        <v>413.05</v>
      </c>
      <c r="R1420">
        <v>543234</v>
      </c>
    </row>
    <row r="1421" spans="1:18" x14ac:dyDescent="0.25">
      <c r="A1421" s="169">
        <v>44105</v>
      </c>
      <c r="B1421" s="116">
        <v>11.75</v>
      </c>
      <c r="C1421" s="116">
        <v>11.59</v>
      </c>
      <c r="D1421" s="116">
        <v>11.32</v>
      </c>
      <c r="E1421" s="116">
        <v>11.6</v>
      </c>
      <c r="F1421" s="116">
        <v>11.59</v>
      </c>
      <c r="G1421">
        <v>29010</v>
      </c>
      <c r="H1421" s="116"/>
      <c r="I1421" s="116"/>
      <c r="L1421" s="169">
        <v>44097</v>
      </c>
      <c r="M1421" s="116">
        <v>415.6</v>
      </c>
      <c r="N1421" s="116">
        <v>422.35</v>
      </c>
      <c r="O1421" s="116">
        <v>411.1</v>
      </c>
      <c r="P1421" s="116">
        <v>415</v>
      </c>
      <c r="Q1421" s="116">
        <v>415.6</v>
      </c>
      <c r="R1421">
        <v>383045</v>
      </c>
    </row>
    <row r="1422" spans="1:18" x14ac:dyDescent="0.25">
      <c r="A1422" s="169">
        <v>44109</v>
      </c>
      <c r="B1422" s="116">
        <v>11.6</v>
      </c>
      <c r="C1422" s="116">
        <v>11.55</v>
      </c>
      <c r="D1422" s="116">
        <v>11.12</v>
      </c>
      <c r="E1422" s="116">
        <v>11.12</v>
      </c>
      <c r="F1422" s="116">
        <v>11.55</v>
      </c>
      <c r="G1422">
        <v>39107</v>
      </c>
      <c r="H1422" s="116"/>
      <c r="I1422" s="116"/>
      <c r="L1422" s="169">
        <v>44098</v>
      </c>
      <c r="M1422" s="116">
        <v>403.7</v>
      </c>
      <c r="N1422" s="116">
        <v>413.95</v>
      </c>
      <c r="O1422" s="116">
        <v>391.25</v>
      </c>
      <c r="P1422" s="116">
        <v>410.1</v>
      </c>
      <c r="Q1422" s="116">
        <v>403.7</v>
      </c>
      <c r="R1422">
        <v>268414</v>
      </c>
    </row>
    <row r="1423" spans="1:18" x14ac:dyDescent="0.25">
      <c r="A1423" s="169">
        <v>44110</v>
      </c>
      <c r="B1423" s="116">
        <v>11.85</v>
      </c>
      <c r="C1423" s="116">
        <v>11.27</v>
      </c>
      <c r="D1423" s="116">
        <v>11.17</v>
      </c>
      <c r="E1423" s="116">
        <v>11.55</v>
      </c>
      <c r="F1423" s="116">
        <v>11.27</v>
      </c>
      <c r="G1423">
        <v>25927</v>
      </c>
      <c r="H1423" s="116"/>
      <c r="I1423" s="116"/>
      <c r="L1423" s="169">
        <v>44099</v>
      </c>
      <c r="M1423" s="116">
        <v>409.2</v>
      </c>
      <c r="N1423" s="116">
        <v>419.8</v>
      </c>
      <c r="O1423" s="116">
        <v>397.05</v>
      </c>
      <c r="P1423" s="116">
        <v>405</v>
      </c>
      <c r="Q1423" s="116">
        <v>409.2</v>
      </c>
      <c r="R1423">
        <v>249202</v>
      </c>
    </row>
    <row r="1424" spans="1:18" x14ac:dyDescent="0.25">
      <c r="A1424" s="169">
        <v>44111</v>
      </c>
      <c r="B1424" s="116">
        <v>11.5</v>
      </c>
      <c r="C1424" s="116">
        <v>11.24</v>
      </c>
      <c r="D1424" s="116">
        <v>10.9</v>
      </c>
      <c r="E1424" s="116">
        <v>11.27</v>
      </c>
      <c r="F1424" s="116">
        <v>11.24</v>
      </c>
      <c r="G1424">
        <v>4483</v>
      </c>
      <c r="H1424" s="116"/>
      <c r="I1424" s="116"/>
      <c r="L1424" s="169">
        <v>44102</v>
      </c>
      <c r="M1424" s="116">
        <v>418.65</v>
      </c>
      <c r="N1424" s="116">
        <v>420.9</v>
      </c>
      <c r="O1424" s="116">
        <v>412</v>
      </c>
      <c r="P1424" s="116">
        <v>414</v>
      </c>
      <c r="Q1424" s="116">
        <v>418.65</v>
      </c>
      <c r="R1424">
        <v>277696</v>
      </c>
    </row>
    <row r="1425" spans="1:18" x14ac:dyDescent="0.25">
      <c r="A1425" s="169">
        <v>44112</v>
      </c>
      <c r="B1425" s="116">
        <v>11.78</v>
      </c>
      <c r="C1425" s="116">
        <v>10.81</v>
      </c>
      <c r="D1425" s="116">
        <v>10.220000000000001</v>
      </c>
      <c r="E1425" s="116">
        <v>10.220000000000001</v>
      </c>
      <c r="F1425" s="116">
        <v>10.81</v>
      </c>
      <c r="G1425">
        <v>318132</v>
      </c>
      <c r="H1425" s="116"/>
      <c r="I1425" s="116"/>
      <c r="L1425" s="169">
        <v>44103</v>
      </c>
      <c r="M1425" s="116">
        <v>422.1</v>
      </c>
      <c r="N1425" s="116">
        <v>427.35</v>
      </c>
      <c r="O1425" s="116">
        <v>416.45</v>
      </c>
      <c r="P1425" s="116">
        <v>420</v>
      </c>
      <c r="Q1425" s="116">
        <v>422.1</v>
      </c>
      <c r="R1425">
        <v>988668</v>
      </c>
    </row>
    <row r="1426" spans="1:18" x14ac:dyDescent="0.25">
      <c r="A1426" s="169">
        <v>44113</v>
      </c>
      <c r="B1426" s="116">
        <v>10.89</v>
      </c>
      <c r="C1426" s="116">
        <v>10.65</v>
      </c>
      <c r="D1426" s="116">
        <v>10.55</v>
      </c>
      <c r="E1426" s="116">
        <v>10.55</v>
      </c>
      <c r="F1426" s="116">
        <v>10.65</v>
      </c>
      <c r="G1426">
        <v>1580</v>
      </c>
      <c r="H1426" s="116"/>
      <c r="I1426" s="116"/>
      <c r="L1426" s="169">
        <v>44104</v>
      </c>
      <c r="M1426" s="116">
        <v>415.75</v>
      </c>
      <c r="N1426" s="116">
        <v>424.9</v>
      </c>
      <c r="O1426" s="116">
        <v>411.05</v>
      </c>
      <c r="P1426" s="116">
        <v>424.85</v>
      </c>
      <c r="Q1426" s="116">
        <v>415.75</v>
      </c>
      <c r="R1426">
        <v>373794</v>
      </c>
    </row>
    <row r="1427" spans="1:18" x14ac:dyDescent="0.25">
      <c r="A1427" s="169">
        <v>44116</v>
      </c>
      <c r="B1427" s="116">
        <v>11.44</v>
      </c>
      <c r="C1427" s="116">
        <v>10.029999999999999</v>
      </c>
      <c r="D1427" s="116">
        <v>9.81</v>
      </c>
      <c r="E1427" s="116">
        <v>10.65</v>
      </c>
      <c r="F1427" s="116">
        <v>10.029999999999999</v>
      </c>
      <c r="G1427">
        <v>15492</v>
      </c>
      <c r="H1427" s="116"/>
      <c r="I1427" s="116"/>
      <c r="L1427" s="169">
        <v>44105</v>
      </c>
      <c r="M1427" s="116">
        <v>416.45</v>
      </c>
      <c r="N1427" s="116">
        <v>432</v>
      </c>
      <c r="O1427" s="116">
        <v>412.2</v>
      </c>
      <c r="P1427" s="116">
        <v>417.85</v>
      </c>
      <c r="Q1427" s="116">
        <v>416.45</v>
      </c>
      <c r="R1427">
        <v>2686213</v>
      </c>
    </row>
    <row r="1428" spans="1:18" x14ac:dyDescent="0.25">
      <c r="A1428" s="169">
        <v>44117</v>
      </c>
      <c r="B1428" s="116">
        <v>10.69</v>
      </c>
      <c r="C1428" s="116">
        <v>10.32</v>
      </c>
      <c r="D1428" s="116">
        <v>9.82</v>
      </c>
      <c r="E1428" s="116">
        <v>10.69</v>
      </c>
      <c r="F1428" s="116">
        <v>10.32</v>
      </c>
      <c r="G1428">
        <v>65063</v>
      </c>
      <c r="H1428" s="116"/>
      <c r="I1428" s="116"/>
      <c r="L1428" s="169">
        <v>44109</v>
      </c>
      <c r="M1428" s="116">
        <v>419.05</v>
      </c>
      <c r="N1428" s="116">
        <v>422.7</v>
      </c>
      <c r="O1428" s="116">
        <v>411.9</v>
      </c>
      <c r="P1428" s="116">
        <v>413</v>
      </c>
      <c r="Q1428" s="116">
        <v>419.05</v>
      </c>
      <c r="R1428">
        <v>238435</v>
      </c>
    </row>
    <row r="1429" spans="1:18" x14ac:dyDescent="0.25">
      <c r="A1429" s="169">
        <v>44118</v>
      </c>
      <c r="B1429" s="116">
        <v>10.9</v>
      </c>
      <c r="C1429" s="116">
        <v>10.62</v>
      </c>
      <c r="D1429" s="116">
        <v>10</v>
      </c>
      <c r="E1429" s="116">
        <v>10.35</v>
      </c>
      <c r="F1429" s="116">
        <v>10.62</v>
      </c>
      <c r="G1429">
        <v>33890</v>
      </c>
      <c r="H1429" s="116"/>
      <c r="I1429" s="116"/>
      <c r="L1429" s="169">
        <v>44110</v>
      </c>
      <c r="M1429" s="116">
        <v>422.65</v>
      </c>
      <c r="N1429" s="116">
        <v>429.45</v>
      </c>
      <c r="O1429" s="116">
        <v>417.85</v>
      </c>
      <c r="P1429" s="116">
        <v>421.15</v>
      </c>
      <c r="Q1429" s="116">
        <v>422.65</v>
      </c>
      <c r="R1429">
        <v>712252</v>
      </c>
    </row>
    <row r="1430" spans="1:18" x14ac:dyDescent="0.25">
      <c r="A1430" s="169">
        <v>44119</v>
      </c>
      <c r="B1430" s="116">
        <v>11.39</v>
      </c>
      <c r="C1430" s="116">
        <v>11.11</v>
      </c>
      <c r="D1430" s="116">
        <v>10.55</v>
      </c>
      <c r="E1430" s="116">
        <v>10.55</v>
      </c>
      <c r="F1430" s="116">
        <v>11.11</v>
      </c>
      <c r="G1430">
        <v>1518415</v>
      </c>
      <c r="H1430" s="116"/>
      <c r="I1430" s="116"/>
      <c r="L1430" s="169">
        <v>44111</v>
      </c>
      <c r="M1430" s="116">
        <v>429.75</v>
      </c>
      <c r="N1430" s="116">
        <v>433.55</v>
      </c>
      <c r="O1430" s="116">
        <v>419.6</v>
      </c>
      <c r="P1430" s="116">
        <v>424</v>
      </c>
      <c r="Q1430" s="116">
        <v>429.75</v>
      </c>
      <c r="R1430">
        <v>385282</v>
      </c>
    </row>
    <row r="1431" spans="1:18" x14ac:dyDescent="0.25">
      <c r="A1431" s="169">
        <v>44120</v>
      </c>
      <c r="B1431" s="116">
        <v>12.08</v>
      </c>
      <c r="C1431" s="116">
        <v>11</v>
      </c>
      <c r="D1431" s="116">
        <v>10.6</v>
      </c>
      <c r="E1431" s="116">
        <v>12.08</v>
      </c>
      <c r="F1431" s="116">
        <v>11</v>
      </c>
      <c r="G1431">
        <v>7466</v>
      </c>
      <c r="H1431" s="116"/>
      <c r="I1431" s="116"/>
      <c r="L1431" s="169">
        <v>44112</v>
      </c>
      <c r="M1431" s="116">
        <v>440.05</v>
      </c>
      <c r="N1431" s="116">
        <v>442.7</v>
      </c>
      <c r="O1431" s="116">
        <v>428.9</v>
      </c>
      <c r="P1431" s="116">
        <v>430.1</v>
      </c>
      <c r="Q1431" s="116">
        <v>440.05</v>
      </c>
      <c r="R1431">
        <v>829286</v>
      </c>
    </row>
    <row r="1432" spans="1:18" x14ac:dyDescent="0.25">
      <c r="A1432" s="169">
        <v>44123</v>
      </c>
      <c r="B1432" s="116">
        <v>12</v>
      </c>
      <c r="C1432" s="116">
        <v>10.99</v>
      </c>
      <c r="D1432" s="116">
        <v>10.43</v>
      </c>
      <c r="E1432" s="116">
        <v>10.43</v>
      </c>
      <c r="F1432" s="116">
        <v>10.99</v>
      </c>
      <c r="G1432">
        <v>15898</v>
      </c>
      <c r="H1432" s="116"/>
      <c r="I1432" s="116"/>
      <c r="L1432" s="169">
        <v>44113</v>
      </c>
      <c r="M1432" s="116">
        <v>463.7</v>
      </c>
      <c r="N1432" s="116">
        <v>478.7</v>
      </c>
      <c r="O1432" s="116">
        <v>437.5</v>
      </c>
      <c r="P1432" s="116">
        <v>441.25</v>
      </c>
      <c r="Q1432" s="116">
        <v>463.7</v>
      </c>
      <c r="R1432">
        <v>2589846</v>
      </c>
    </row>
    <row r="1433" spans="1:18" x14ac:dyDescent="0.25">
      <c r="A1433" s="169">
        <v>44124</v>
      </c>
      <c r="B1433" s="116">
        <v>11</v>
      </c>
      <c r="C1433" s="116">
        <v>10.75</v>
      </c>
      <c r="D1433" s="116">
        <v>10.35</v>
      </c>
      <c r="E1433" s="116">
        <v>10.67</v>
      </c>
      <c r="F1433" s="116">
        <v>10.75</v>
      </c>
      <c r="G1433">
        <v>60691</v>
      </c>
      <c r="H1433" s="116"/>
      <c r="I1433" s="116"/>
      <c r="L1433" s="169">
        <v>44116</v>
      </c>
      <c r="M1433" s="116">
        <v>474</v>
      </c>
      <c r="N1433" s="116">
        <v>479.7</v>
      </c>
      <c r="O1433" s="116">
        <v>460.3</v>
      </c>
      <c r="P1433" s="116">
        <v>464.7</v>
      </c>
      <c r="Q1433" s="116">
        <v>474</v>
      </c>
      <c r="R1433">
        <v>978375</v>
      </c>
    </row>
    <row r="1434" spans="1:18" x14ac:dyDescent="0.25">
      <c r="A1434" s="169">
        <v>44125</v>
      </c>
      <c r="B1434" s="116">
        <v>11.4</v>
      </c>
      <c r="C1434" s="116">
        <v>10.57</v>
      </c>
      <c r="D1434" s="116">
        <v>10.52</v>
      </c>
      <c r="E1434" s="116">
        <v>10.85</v>
      </c>
      <c r="F1434" s="116">
        <v>10.57</v>
      </c>
      <c r="G1434">
        <v>6656</v>
      </c>
      <c r="H1434" s="116"/>
      <c r="I1434" s="116"/>
      <c r="L1434" s="169">
        <v>44117</v>
      </c>
      <c r="M1434" s="116">
        <v>466.1</v>
      </c>
      <c r="N1434" s="116">
        <v>473.7</v>
      </c>
      <c r="O1434" s="116">
        <v>452.9</v>
      </c>
      <c r="P1434" s="116">
        <v>473.25</v>
      </c>
      <c r="Q1434" s="116">
        <v>466.1</v>
      </c>
      <c r="R1434">
        <v>419459</v>
      </c>
    </row>
    <row r="1435" spans="1:18" x14ac:dyDescent="0.25">
      <c r="A1435" s="169">
        <v>44126</v>
      </c>
      <c r="B1435" s="116">
        <v>10.8</v>
      </c>
      <c r="C1435" s="116">
        <v>10.55</v>
      </c>
      <c r="D1435" s="116">
        <v>10.25</v>
      </c>
      <c r="E1435" s="116">
        <v>10.25</v>
      </c>
      <c r="F1435" s="116">
        <v>10.55</v>
      </c>
      <c r="G1435">
        <v>8123</v>
      </c>
      <c r="H1435" s="116"/>
      <c r="I1435" s="116"/>
      <c r="L1435" s="169">
        <v>44118</v>
      </c>
      <c r="M1435" s="116">
        <v>470.5</v>
      </c>
      <c r="N1435" s="116">
        <v>477.7</v>
      </c>
      <c r="O1435" s="116">
        <v>464.55</v>
      </c>
      <c r="P1435" s="116">
        <v>466.3</v>
      </c>
      <c r="Q1435" s="116">
        <v>470.5</v>
      </c>
      <c r="R1435">
        <v>474775</v>
      </c>
    </row>
    <row r="1436" spans="1:18" x14ac:dyDescent="0.25">
      <c r="A1436" s="169">
        <v>44127</v>
      </c>
      <c r="B1436" s="116">
        <v>10.84</v>
      </c>
      <c r="C1436" s="116">
        <v>10.25</v>
      </c>
      <c r="D1436" s="116">
        <v>10.01</v>
      </c>
      <c r="E1436" s="116">
        <v>10.6</v>
      </c>
      <c r="F1436" s="116">
        <v>10.25</v>
      </c>
      <c r="G1436">
        <v>28898</v>
      </c>
      <c r="H1436" s="116"/>
      <c r="I1436" s="116"/>
      <c r="L1436" s="169">
        <v>44119</v>
      </c>
      <c r="M1436" s="116">
        <v>447.1</v>
      </c>
      <c r="N1436" s="116">
        <v>475</v>
      </c>
      <c r="O1436" s="116">
        <v>438</v>
      </c>
      <c r="P1436" s="116">
        <v>469.9</v>
      </c>
      <c r="Q1436" s="116">
        <v>447.1</v>
      </c>
      <c r="R1436">
        <v>261217</v>
      </c>
    </row>
    <row r="1437" spans="1:18" x14ac:dyDescent="0.25">
      <c r="A1437" s="169">
        <v>44130</v>
      </c>
      <c r="B1437" s="116">
        <v>10.95</v>
      </c>
      <c r="C1437" s="116">
        <v>10.57</v>
      </c>
      <c r="D1437" s="116">
        <v>10.1</v>
      </c>
      <c r="E1437" s="116">
        <v>10.25</v>
      </c>
      <c r="F1437" s="116">
        <v>10.57</v>
      </c>
      <c r="G1437">
        <v>7306</v>
      </c>
      <c r="H1437" s="116"/>
      <c r="I1437" s="116"/>
      <c r="L1437" s="169">
        <v>44120</v>
      </c>
      <c r="M1437" s="116">
        <v>468.35</v>
      </c>
      <c r="N1437" s="116">
        <v>475</v>
      </c>
      <c r="O1437" s="116">
        <v>440.2</v>
      </c>
      <c r="P1437" s="116">
        <v>446.25</v>
      </c>
      <c r="Q1437" s="116">
        <v>468.35</v>
      </c>
      <c r="R1437">
        <v>335168</v>
      </c>
    </row>
    <row r="1438" spans="1:18" x14ac:dyDescent="0.25">
      <c r="A1438" s="169">
        <v>44131</v>
      </c>
      <c r="B1438" s="116">
        <v>10.85</v>
      </c>
      <c r="C1438" s="116">
        <v>10.74</v>
      </c>
      <c r="D1438" s="116">
        <v>10.26</v>
      </c>
      <c r="E1438" s="116">
        <v>10.55</v>
      </c>
      <c r="F1438" s="116">
        <v>10.74</v>
      </c>
      <c r="G1438">
        <v>5394</v>
      </c>
      <c r="H1438" s="116"/>
      <c r="I1438" s="116"/>
      <c r="L1438" s="169">
        <v>44123</v>
      </c>
      <c r="M1438" s="116">
        <v>466.1</v>
      </c>
      <c r="N1438" s="116">
        <v>478</v>
      </c>
      <c r="O1438" s="116">
        <v>451.2</v>
      </c>
      <c r="P1438" s="116">
        <v>468.05</v>
      </c>
      <c r="Q1438" s="116">
        <v>466.1</v>
      </c>
      <c r="R1438">
        <v>749331</v>
      </c>
    </row>
    <row r="1439" spans="1:18" x14ac:dyDescent="0.25">
      <c r="A1439" s="169">
        <v>44132</v>
      </c>
      <c r="B1439" s="116">
        <v>10.89</v>
      </c>
      <c r="C1439" s="116">
        <v>10.44</v>
      </c>
      <c r="D1439" s="116">
        <v>10.130000000000001</v>
      </c>
      <c r="E1439" s="116">
        <v>10.130000000000001</v>
      </c>
      <c r="F1439" s="116">
        <v>10.44</v>
      </c>
      <c r="G1439">
        <v>10759</v>
      </c>
      <c r="H1439" s="116"/>
      <c r="I1439" s="116"/>
      <c r="L1439" s="169">
        <v>44124</v>
      </c>
      <c r="M1439" s="116">
        <v>470.2</v>
      </c>
      <c r="N1439" s="116">
        <v>472</v>
      </c>
      <c r="O1439" s="116">
        <v>461.35</v>
      </c>
      <c r="P1439" s="116">
        <v>462.9</v>
      </c>
      <c r="Q1439" s="116">
        <v>470.2</v>
      </c>
      <c r="R1439">
        <v>217680</v>
      </c>
    </row>
    <row r="1440" spans="1:18" x14ac:dyDescent="0.25">
      <c r="A1440" s="169">
        <v>44133</v>
      </c>
      <c r="B1440" s="116">
        <v>10.57</v>
      </c>
      <c r="C1440" s="116">
        <v>10.32</v>
      </c>
      <c r="D1440" s="116">
        <v>10.14</v>
      </c>
      <c r="E1440" s="116">
        <v>10.14</v>
      </c>
      <c r="F1440" s="116">
        <v>10.32</v>
      </c>
      <c r="G1440">
        <v>5398</v>
      </c>
      <c r="H1440" s="116"/>
      <c r="I1440" s="116"/>
      <c r="L1440" s="169">
        <v>44125</v>
      </c>
      <c r="M1440" s="116">
        <v>468.5</v>
      </c>
      <c r="N1440" s="116">
        <v>484.35</v>
      </c>
      <c r="O1440" s="116">
        <v>458</v>
      </c>
      <c r="P1440" s="116">
        <v>468</v>
      </c>
      <c r="Q1440" s="116">
        <v>468.5</v>
      </c>
      <c r="R1440">
        <v>577939</v>
      </c>
    </row>
    <row r="1441" spans="1:18" x14ac:dyDescent="0.25">
      <c r="A1441" s="169">
        <v>44134</v>
      </c>
      <c r="B1441" s="116">
        <v>10.87</v>
      </c>
      <c r="C1441" s="116">
        <v>10.31</v>
      </c>
      <c r="D1441" s="116">
        <v>10.25</v>
      </c>
      <c r="E1441" s="116">
        <v>10.35</v>
      </c>
      <c r="F1441" s="116">
        <v>10.31</v>
      </c>
      <c r="G1441">
        <v>43566</v>
      </c>
      <c r="H1441" s="116"/>
      <c r="I1441" s="116"/>
      <c r="L1441" s="169">
        <v>44126</v>
      </c>
      <c r="M1441" s="116">
        <v>454.15</v>
      </c>
      <c r="N1441" s="116">
        <v>472.35</v>
      </c>
      <c r="O1441" s="116">
        <v>450.1</v>
      </c>
      <c r="P1441" s="116">
        <v>465.05</v>
      </c>
      <c r="Q1441" s="116">
        <v>454.15</v>
      </c>
      <c r="R1441">
        <v>315942</v>
      </c>
    </row>
    <row r="1442" spans="1:18" x14ac:dyDescent="0.25">
      <c r="A1442" s="169">
        <v>44137</v>
      </c>
      <c r="B1442" s="116">
        <v>10.75</v>
      </c>
      <c r="C1442" s="116">
        <v>10.38</v>
      </c>
      <c r="D1442" s="116">
        <v>10.25</v>
      </c>
      <c r="E1442" s="116">
        <v>10.7</v>
      </c>
      <c r="F1442" s="116">
        <v>10.38</v>
      </c>
      <c r="G1442">
        <v>13679</v>
      </c>
      <c r="H1442" s="116"/>
      <c r="I1442" s="116"/>
      <c r="L1442" s="169">
        <v>44127</v>
      </c>
      <c r="M1442" s="116">
        <v>458.3</v>
      </c>
      <c r="N1442" s="116">
        <v>461.9</v>
      </c>
      <c r="O1442" s="116">
        <v>454.35</v>
      </c>
      <c r="P1442" s="116">
        <v>455</v>
      </c>
      <c r="Q1442" s="116">
        <v>458.3</v>
      </c>
      <c r="R1442">
        <v>157576</v>
      </c>
    </row>
    <row r="1443" spans="1:18" x14ac:dyDescent="0.25">
      <c r="A1443" s="169">
        <v>44138</v>
      </c>
      <c r="B1443" s="116">
        <v>10.8</v>
      </c>
      <c r="C1443" s="116">
        <v>10.199999999999999</v>
      </c>
      <c r="D1443" s="116">
        <v>10.16</v>
      </c>
      <c r="E1443" s="116">
        <v>10.25</v>
      </c>
      <c r="F1443" s="116">
        <v>10.199999999999999</v>
      </c>
      <c r="G1443">
        <v>7743</v>
      </c>
      <c r="H1443" s="116"/>
      <c r="I1443" s="116"/>
      <c r="L1443" s="169">
        <v>44130</v>
      </c>
      <c r="M1443" s="116">
        <v>446.45</v>
      </c>
      <c r="N1443" s="116">
        <v>465</v>
      </c>
      <c r="O1443" s="116">
        <v>444</v>
      </c>
      <c r="P1443" s="116">
        <v>460.6</v>
      </c>
      <c r="Q1443" s="116">
        <v>446.45</v>
      </c>
      <c r="R1443">
        <v>164818</v>
      </c>
    </row>
    <row r="1444" spans="1:18" x14ac:dyDescent="0.25">
      <c r="A1444" s="169">
        <v>44139</v>
      </c>
      <c r="B1444" s="116">
        <v>10.4</v>
      </c>
      <c r="C1444" s="116">
        <v>10.02</v>
      </c>
      <c r="D1444" s="116">
        <v>10</v>
      </c>
      <c r="E1444" s="116">
        <v>10.4</v>
      </c>
      <c r="F1444" s="116">
        <v>10.02</v>
      </c>
      <c r="G1444">
        <v>33330</v>
      </c>
      <c r="H1444" s="116"/>
      <c r="I1444" s="116"/>
      <c r="L1444" s="169">
        <v>44131</v>
      </c>
      <c r="M1444" s="116">
        <v>452.65</v>
      </c>
      <c r="N1444" s="116">
        <v>457.9</v>
      </c>
      <c r="O1444" s="116">
        <v>435.15</v>
      </c>
      <c r="P1444" s="116">
        <v>445.1</v>
      </c>
      <c r="Q1444" s="116">
        <v>452.65</v>
      </c>
      <c r="R1444">
        <v>237051</v>
      </c>
    </row>
    <row r="1445" spans="1:18" x14ac:dyDescent="0.25">
      <c r="A1445" s="169">
        <v>44140</v>
      </c>
      <c r="B1445" s="116">
        <v>10.49</v>
      </c>
      <c r="C1445" s="116">
        <v>10.07</v>
      </c>
      <c r="D1445" s="116">
        <v>9.9</v>
      </c>
      <c r="E1445" s="116">
        <v>10.45</v>
      </c>
      <c r="F1445" s="116">
        <v>10.07</v>
      </c>
      <c r="G1445">
        <v>20883</v>
      </c>
      <c r="H1445" s="116"/>
      <c r="I1445" s="116"/>
      <c r="L1445" s="169">
        <v>44132</v>
      </c>
      <c r="M1445" s="116">
        <v>449.5</v>
      </c>
      <c r="N1445" s="116">
        <v>460</v>
      </c>
      <c r="O1445" s="116">
        <v>446.05</v>
      </c>
      <c r="P1445" s="116">
        <v>455.25</v>
      </c>
      <c r="Q1445" s="116">
        <v>449.5</v>
      </c>
      <c r="R1445">
        <v>122291</v>
      </c>
    </row>
    <row r="1446" spans="1:18" x14ac:dyDescent="0.25">
      <c r="A1446" s="169">
        <v>44141</v>
      </c>
      <c r="B1446" s="116">
        <v>10.5</v>
      </c>
      <c r="C1446" s="116">
        <v>10.48</v>
      </c>
      <c r="D1446" s="116">
        <v>9.9600000000000009</v>
      </c>
      <c r="E1446" s="116">
        <v>10.02</v>
      </c>
      <c r="F1446" s="116">
        <v>10.48</v>
      </c>
      <c r="G1446">
        <v>16630</v>
      </c>
      <c r="H1446" s="116"/>
      <c r="I1446" s="116"/>
      <c r="L1446" s="169">
        <v>44133</v>
      </c>
      <c r="M1446" s="116">
        <v>463.25</v>
      </c>
      <c r="N1446" s="116">
        <v>465</v>
      </c>
      <c r="O1446" s="116">
        <v>452</v>
      </c>
      <c r="P1446" s="116">
        <v>452</v>
      </c>
      <c r="Q1446" s="116">
        <v>463.25</v>
      </c>
      <c r="R1446">
        <v>331963</v>
      </c>
    </row>
    <row r="1447" spans="1:18" x14ac:dyDescent="0.25">
      <c r="A1447" s="169">
        <v>44144</v>
      </c>
      <c r="B1447" s="116">
        <v>10.49</v>
      </c>
      <c r="C1447" s="116">
        <v>10.06</v>
      </c>
      <c r="D1447" s="116">
        <v>9.52</v>
      </c>
      <c r="E1447" s="116">
        <v>9.6999999999999993</v>
      </c>
      <c r="F1447" s="116">
        <v>10.06</v>
      </c>
      <c r="G1447">
        <v>24116</v>
      </c>
      <c r="H1447" s="116"/>
      <c r="I1447" s="116"/>
      <c r="L1447" s="169">
        <v>44134</v>
      </c>
      <c r="M1447" s="116">
        <v>457.25</v>
      </c>
      <c r="N1447" s="116">
        <v>471</v>
      </c>
      <c r="O1447" s="116">
        <v>452.75</v>
      </c>
      <c r="P1447" s="116">
        <v>467.05</v>
      </c>
      <c r="Q1447" s="116">
        <v>457.25</v>
      </c>
      <c r="R1447">
        <v>185244</v>
      </c>
    </row>
    <row r="1448" spans="1:18" x14ac:dyDescent="0.25">
      <c r="A1448" s="169">
        <v>44145</v>
      </c>
      <c r="B1448" s="116">
        <v>10.39</v>
      </c>
      <c r="C1448" s="116">
        <v>10.17</v>
      </c>
      <c r="D1448" s="116">
        <v>9.65</v>
      </c>
      <c r="E1448" s="116">
        <v>9.65</v>
      </c>
      <c r="F1448" s="116">
        <v>10.17</v>
      </c>
      <c r="G1448">
        <v>23534</v>
      </c>
      <c r="H1448" s="116"/>
      <c r="I1448" s="116"/>
      <c r="L1448" s="169">
        <v>44137</v>
      </c>
      <c r="M1448" s="116">
        <v>462.3</v>
      </c>
      <c r="N1448" s="116">
        <v>469.65</v>
      </c>
      <c r="O1448" s="116">
        <v>455.05</v>
      </c>
      <c r="P1448" s="116">
        <v>457.2</v>
      </c>
      <c r="Q1448" s="116">
        <v>462.3</v>
      </c>
      <c r="R1448">
        <v>173542</v>
      </c>
    </row>
    <row r="1449" spans="1:18" x14ac:dyDescent="0.25">
      <c r="A1449" s="169">
        <v>44146</v>
      </c>
      <c r="B1449" s="116">
        <v>10.32</v>
      </c>
      <c r="C1449" s="116">
        <v>9.69</v>
      </c>
      <c r="D1449" s="116">
        <v>9.61</v>
      </c>
      <c r="E1449" s="116">
        <v>10.31</v>
      </c>
      <c r="F1449" s="116">
        <v>9.69</v>
      </c>
      <c r="G1449">
        <v>11506</v>
      </c>
      <c r="H1449" s="116"/>
      <c r="I1449" s="116"/>
      <c r="L1449" s="169">
        <v>44138</v>
      </c>
      <c r="M1449" s="116">
        <v>462.95</v>
      </c>
      <c r="N1449" s="116">
        <v>474.5</v>
      </c>
      <c r="O1449" s="116">
        <v>460</v>
      </c>
      <c r="P1449" s="116">
        <v>469.95</v>
      </c>
      <c r="Q1449" s="116">
        <v>462.95</v>
      </c>
      <c r="R1449">
        <v>241137</v>
      </c>
    </row>
    <row r="1450" spans="1:18" x14ac:dyDescent="0.25">
      <c r="A1450" s="169">
        <v>44147</v>
      </c>
      <c r="B1450" s="116">
        <v>10.29</v>
      </c>
      <c r="C1450" s="116">
        <v>10.17</v>
      </c>
      <c r="D1450" s="116">
        <v>9.51</v>
      </c>
      <c r="E1450" s="116">
        <v>9.9</v>
      </c>
      <c r="F1450" s="116">
        <v>10.17</v>
      </c>
      <c r="G1450">
        <v>23433</v>
      </c>
      <c r="H1450" s="116"/>
      <c r="I1450" s="116"/>
      <c r="L1450" s="169">
        <v>44139</v>
      </c>
      <c r="M1450" s="116">
        <v>454.8</v>
      </c>
      <c r="N1450" s="116">
        <v>467.95</v>
      </c>
      <c r="O1450" s="116">
        <v>448.5</v>
      </c>
      <c r="P1450" s="116">
        <v>463</v>
      </c>
      <c r="Q1450" s="116">
        <v>454.8</v>
      </c>
      <c r="R1450">
        <v>229651</v>
      </c>
    </row>
    <row r="1451" spans="1:18" x14ac:dyDescent="0.25">
      <c r="A1451" s="169">
        <v>44148</v>
      </c>
      <c r="B1451" s="116">
        <v>10.17</v>
      </c>
      <c r="C1451" s="116">
        <v>9.94</v>
      </c>
      <c r="D1451" s="116">
        <v>9.7100000000000009</v>
      </c>
      <c r="E1451" s="116">
        <v>9.7100000000000009</v>
      </c>
      <c r="F1451" s="116">
        <v>9.94</v>
      </c>
      <c r="G1451">
        <v>18342</v>
      </c>
      <c r="H1451" s="116"/>
      <c r="I1451" s="116"/>
      <c r="L1451" s="169">
        <v>44140</v>
      </c>
      <c r="M1451" s="116">
        <v>464.15</v>
      </c>
      <c r="N1451" s="116">
        <v>465.85</v>
      </c>
      <c r="O1451" s="116">
        <v>456</v>
      </c>
      <c r="P1451" s="116">
        <v>457.1</v>
      </c>
      <c r="Q1451" s="116">
        <v>464.15</v>
      </c>
      <c r="R1451">
        <v>153681</v>
      </c>
    </row>
    <row r="1452" spans="1:18" x14ac:dyDescent="0.25">
      <c r="A1452" s="169">
        <v>44149</v>
      </c>
      <c r="B1452" s="116">
        <v>10.25</v>
      </c>
      <c r="C1452" s="116">
        <v>9.8000000000000007</v>
      </c>
      <c r="D1452" s="116">
        <v>9.66</v>
      </c>
      <c r="E1452" s="116">
        <v>10.25</v>
      </c>
      <c r="F1452" s="116">
        <v>9.8000000000000007</v>
      </c>
      <c r="G1452">
        <v>12708</v>
      </c>
      <c r="H1452" s="116"/>
      <c r="I1452" s="116"/>
      <c r="L1452" s="169">
        <v>44141</v>
      </c>
      <c r="M1452" s="116">
        <v>471.95</v>
      </c>
      <c r="N1452" s="116">
        <v>474.8</v>
      </c>
      <c r="O1452" s="116">
        <v>459.6</v>
      </c>
      <c r="P1452" s="116">
        <v>461.95</v>
      </c>
      <c r="Q1452" s="116">
        <v>471.95</v>
      </c>
      <c r="R1452">
        <v>206238</v>
      </c>
    </row>
    <row r="1453" spans="1:18" x14ac:dyDescent="0.25">
      <c r="A1453" s="169">
        <v>44152</v>
      </c>
      <c r="B1453" s="116">
        <v>10.44</v>
      </c>
      <c r="C1453" s="116">
        <v>10</v>
      </c>
      <c r="D1453" s="116">
        <v>9.65</v>
      </c>
      <c r="E1453" s="116">
        <v>10.44</v>
      </c>
      <c r="F1453" s="116">
        <v>10</v>
      </c>
      <c r="G1453">
        <v>23814</v>
      </c>
      <c r="H1453" s="116"/>
      <c r="I1453" s="116"/>
      <c r="L1453" s="169">
        <v>44144</v>
      </c>
      <c r="M1453" s="116">
        <v>476.35</v>
      </c>
      <c r="N1453" s="116">
        <v>482</v>
      </c>
      <c r="O1453" s="116">
        <v>465</v>
      </c>
      <c r="P1453" s="116">
        <v>471.95</v>
      </c>
      <c r="Q1453" s="116">
        <v>476.35</v>
      </c>
      <c r="R1453">
        <v>241404</v>
      </c>
    </row>
    <row r="1454" spans="1:18" x14ac:dyDescent="0.25">
      <c r="A1454" s="169">
        <v>44153</v>
      </c>
      <c r="B1454" s="116">
        <v>10.31</v>
      </c>
      <c r="C1454" s="116">
        <v>9.9700000000000006</v>
      </c>
      <c r="D1454" s="116">
        <v>9.7899999999999991</v>
      </c>
      <c r="E1454" s="116">
        <v>10.1</v>
      </c>
      <c r="F1454" s="116">
        <v>9.9700000000000006</v>
      </c>
      <c r="G1454">
        <v>39908</v>
      </c>
      <c r="H1454" s="116"/>
      <c r="I1454" s="116"/>
      <c r="L1454" s="169">
        <v>44145</v>
      </c>
      <c r="M1454" s="116">
        <v>481.1</v>
      </c>
      <c r="N1454" s="116">
        <v>485</v>
      </c>
      <c r="O1454" s="116">
        <v>472.9</v>
      </c>
      <c r="P1454" s="116">
        <v>480</v>
      </c>
      <c r="Q1454" s="116">
        <v>481.1</v>
      </c>
      <c r="R1454">
        <v>582840</v>
      </c>
    </row>
    <row r="1455" spans="1:18" x14ac:dyDescent="0.25">
      <c r="A1455" s="169">
        <v>44154</v>
      </c>
      <c r="B1455" s="116">
        <v>10.19</v>
      </c>
      <c r="C1455" s="116">
        <v>9.52</v>
      </c>
      <c r="D1455" s="116">
        <v>9.51</v>
      </c>
      <c r="E1455" s="116">
        <v>9.9499999999999993</v>
      </c>
      <c r="F1455" s="116">
        <v>9.52</v>
      </c>
      <c r="G1455">
        <v>60639</v>
      </c>
      <c r="H1455" s="116"/>
      <c r="I1455" s="116"/>
      <c r="L1455" s="169">
        <v>44146</v>
      </c>
      <c r="M1455" s="116">
        <v>477.15</v>
      </c>
      <c r="N1455" s="116">
        <v>488.2</v>
      </c>
      <c r="O1455" s="116">
        <v>475.1</v>
      </c>
      <c r="P1455" s="116">
        <v>480.8</v>
      </c>
      <c r="Q1455" s="116">
        <v>477.15</v>
      </c>
      <c r="R1455">
        <v>404736</v>
      </c>
    </row>
    <row r="1456" spans="1:18" x14ac:dyDescent="0.25">
      <c r="A1456" s="169">
        <v>44155</v>
      </c>
      <c r="B1456" s="116">
        <v>10.09</v>
      </c>
      <c r="C1456" s="116">
        <v>9.59</v>
      </c>
      <c r="D1456" s="116">
        <v>9.4600000000000009</v>
      </c>
      <c r="E1456" s="116">
        <v>10.09</v>
      </c>
      <c r="F1456" s="116">
        <v>9.59</v>
      </c>
      <c r="G1456">
        <v>34494</v>
      </c>
      <c r="H1456" s="116"/>
      <c r="I1456" s="116"/>
      <c r="L1456" s="169">
        <v>44147</v>
      </c>
      <c r="M1456" s="116">
        <v>479.6</v>
      </c>
      <c r="N1456" s="116">
        <v>485</v>
      </c>
      <c r="O1456" s="116">
        <v>475.75</v>
      </c>
      <c r="P1456" s="116">
        <v>478.4</v>
      </c>
      <c r="Q1456" s="116">
        <v>479.6</v>
      </c>
      <c r="R1456">
        <v>358979</v>
      </c>
    </row>
    <row r="1457" spans="1:18" x14ac:dyDescent="0.25">
      <c r="A1457" s="169">
        <v>44158</v>
      </c>
      <c r="B1457" s="116">
        <v>10.25</v>
      </c>
      <c r="C1457" s="116">
        <v>9.6</v>
      </c>
      <c r="D1457" s="116">
        <v>9.4</v>
      </c>
      <c r="E1457" s="116">
        <v>9.85</v>
      </c>
      <c r="F1457" s="116">
        <v>9.6</v>
      </c>
      <c r="G1457">
        <v>85588</v>
      </c>
      <c r="H1457" s="116"/>
      <c r="I1457" s="116"/>
      <c r="L1457" s="169">
        <v>44148</v>
      </c>
      <c r="M1457" s="116">
        <v>473.5</v>
      </c>
      <c r="N1457" s="116">
        <v>480.5</v>
      </c>
      <c r="O1457" s="116">
        <v>471.1</v>
      </c>
      <c r="P1457" s="116">
        <v>478.8</v>
      </c>
      <c r="Q1457" s="116">
        <v>473.5</v>
      </c>
      <c r="R1457">
        <v>113813</v>
      </c>
    </row>
    <row r="1458" spans="1:18" x14ac:dyDescent="0.25">
      <c r="A1458" s="169">
        <v>44159</v>
      </c>
      <c r="B1458" s="116">
        <v>9.7899999999999991</v>
      </c>
      <c r="C1458" s="116">
        <v>9.41</v>
      </c>
      <c r="D1458" s="116">
        <v>9.27</v>
      </c>
      <c r="E1458" s="116">
        <v>9.5</v>
      </c>
      <c r="F1458" s="116">
        <v>9.41</v>
      </c>
      <c r="G1458">
        <v>16518</v>
      </c>
      <c r="H1458" s="116"/>
      <c r="I1458" s="116"/>
      <c r="L1458" s="169">
        <v>44149</v>
      </c>
      <c r="M1458" s="116">
        <v>480.2</v>
      </c>
      <c r="N1458" s="116">
        <v>481</v>
      </c>
      <c r="O1458" s="116">
        <v>475</v>
      </c>
      <c r="P1458" s="116">
        <v>477.85</v>
      </c>
      <c r="Q1458" s="116">
        <v>480.2</v>
      </c>
      <c r="R1458">
        <v>34450</v>
      </c>
    </row>
    <row r="1459" spans="1:18" x14ac:dyDescent="0.25">
      <c r="A1459" s="169">
        <v>44160</v>
      </c>
      <c r="B1459" s="116">
        <v>9.75</v>
      </c>
      <c r="C1459" s="116">
        <v>9.49</v>
      </c>
      <c r="D1459" s="116">
        <v>9.3000000000000007</v>
      </c>
      <c r="E1459" s="116">
        <v>9.3000000000000007</v>
      </c>
      <c r="F1459" s="116">
        <v>9.49</v>
      </c>
      <c r="G1459">
        <v>7483</v>
      </c>
      <c r="H1459" s="116"/>
      <c r="I1459" s="116"/>
      <c r="L1459" s="169">
        <v>44152</v>
      </c>
      <c r="M1459" s="116">
        <v>484.8</v>
      </c>
      <c r="N1459" s="116">
        <v>485.5</v>
      </c>
      <c r="O1459" s="116">
        <v>471.5</v>
      </c>
      <c r="P1459" s="116">
        <v>480.2</v>
      </c>
      <c r="Q1459" s="116">
        <v>484.8</v>
      </c>
      <c r="R1459">
        <v>500016</v>
      </c>
    </row>
    <row r="1460" spans="1:18" x14ac:dyDescent="0.25">
      <c r="A1460" s="169">
        <v>44161</v>
      </c>
      <c r="B1460" s="116">
        <v>9.8000000000000007</v>
      </c>
      <c r="C1460" s="116">
        <v>9.52</v>
      </c>
      <c r="D1460" s="116">
        <v>9.25</v>
      </c>
      <c r="E1460" s="116">
        <v>9.25</v>
      </c>
      <c r="F1460" s="116">
        <v>9.52</v>
      </c>
      <c r="G1460">
        <v>232088</v>
      </c>
      <c r="H1460" s="116"/>
      <c r="I1460" s="116"/>
      <c r="L1460" s="169">
        <v>44153</v>
      </c>
      <c r="M1460" s="116">
        <v>479.7</v>
      </c>
      <c r="N1460" s="116">
        <v>485.6</v>
      </c>
      <c r="O1460" s="116">
        <v>475.7</v>
      </c>
      <c r="P1460" s="116">
        <v>485.6</v>
      </c>
      <c r="Q1460" s="116">
        <v>479.7</v>
      </c>
      <c r="R1460">
        <v>244471</v>
      </c>
    </row>
    <row r="1461" spans="1:18" x14ac:dyDescent="0.25">
      <c r="A1461" s="169">
        <v>44162</v>
      </c>
      <c r="B1461" s="116">
        <v>9.6999999999999993</v>
      </c>
      <c r="C1461" s="116">
        <v>9.6</v>
      </c>
      <c r="D1461" s="116">
        <v>9.31</v>
      </c>
      <c r="E1461" s="116">
        <v>9.6999999999999993</v>
      </c>
      <c r="F1461" s="116">
        <v>9.6</v>
      </c>
      <c r="G1461">
        <v>63488</v>
      </c>
      <c r="H1461" s="116"/>
      <c r="I1461" s="116"/>
      <c r="L1461" s="169">
        <v>44154</v>
      </c>
      <c r="M1461" s="116">
        <v>460.35</v>
      </c>
      <c r="N1461" s="116">
        <v>478.75</v>
      </c>
      <c r="O1461" s="116">
        <v>457.1</v>
      </c>
      <c r="P1461" s="116">
        <v>476</v>
      </c>
      <c r="Q1461" s="116">
        <v>460.35</v>
      </c>
      <c r="R1461">
        <v>658647</v>
      </c>
    </row>
    <row r="1462" spans="1:18" x14ac:dyDescent="0.25">
      <c r="A1462" s="169">
        <v>44166</v>
      </c>
      <c r="B1462" s="116">
        <v>10.050000000000001</v>
      </c>
      <c r="C1462" s="116">
        <v>9.5</v>
      </c>
      <c r="D1462" s="116">
        <v>9.3800000000000008</v>
      </c>
      <c r="E1462" s="116">
        <v>9.75</v>
      </c>
      <c r="F1462" s="116">
        <v>9.5</v>
      </c>
      <c r="G1462">
        <v>575552</v>
      </c>
      <c r="H1462" s="116"/>
      <c r="I1462" s="116"/>
      <c r="L1462" s="169">
        <v>44155</v>
      </c>
      <c r="M1462" s="116">
        <v>464</v>
      </c>
      <c r="N1462" s="116">
        <v>468</v>
      </c>
      <c r="O1462" s="116">
        <v>459</v>
      </c>
      <c r="P1462" s="116">
        <v>463.9</v>
      </c>
      <c r="Q1462" s="116">
        <v>464</v>
      </c>
      <c r="R1462">
        <v>170520</v>
      </c>
    </row>
    <row r="1463" spans="1:18" x14ac:dyDescent="0.25">
      <c r="A1463" s="169">
        <v>44167</v>
      </c>
      <c r="B1463" s="116">
        <v>10.45</v>
      </c>
      <c r="C1463" s="116">
        <v>10.45</v>
      </c>
      <c r="D1463" s="116">
        <v>9.31</v>
      </c>
      <c r="E1463" s="116">
        <v>9.5</v>
      </c>
      <c r="F1463" s="116">
        <v>10.45</v>
      </c>
      <c r="G1463">
        <v>484973</v>
      </c>
      <c r="H1463" s="116"/>
      <c r="I1463" s="116"/>
      <c r="L1463" s="169">
        <v>44158</v>
      </c>
      <c r="M1463" s="116">
        <v>469.8</v>
      </c>
      <c r="N1463" s="116">
        <v>476.95</v>
      </c>
      <c r="O1463" s="116">
        <v>467</v>
      </c>
      <c r="P1463" s="116">
        <v>470</v>
      </c>
      <c r="Q1463" s="116">
        <v>469.8</v>
      </c>
      <c r="R1463">
        <v>663871</v>
      </c>
    </row>
    <row r="1464" spans="1:18" x14ac:dyDescent="0.25">
      <c r="A1464" s="169">
        <v>44168</v>
      </c>
      <c r="B1464" s="116">
        <v>11.43</v>
      </c>
      <c r="C1464" s="116">
        <v>11.02</v>
      </c>
      <c r="D1464" s="116">
        <v>10.5</v>
      </c>
      <c r="E1464" s="116">
        <v>10.95</v>
      </c>
      <c r="F1464" s="116">
        <v>11.02</v>
      </c>
      <c r="G1464">
        <v>166814</v>
      </c>
      <c r="H1464" s="116"/>
      <c r="I1464" s="116"/>
      <c r="L1464" s="169">
        <v>44159</v>
      </c>
      <c r="M1464" s="116">
        <v>480</v>
      </c>
      <c r="N1464" s="116">
        <v>480.5</v>
      </c>
      <c r="O1464" s="116">
        <v>470.05</v>
      </c>
      <c r="P1464" s="116">
        <v>474.2</v>
      </c>
      <c r="Q1464" s="116">
        <v>480</v>
      </c>
      <c r="R1464">
        <v>209413</v>
      </c>
    </row>
    <row r="1465" spans="1:18" x14ac:dyDescent="0.25">
      <c r="A1465" s="169">
        <v>44169</v>
      </c>
      <c r="B1465" s="116">
        <v>11.9</v>
      </c>
      <c r="C1465" s="116">
        <v>11.13</v>
      </c>
      <c r="D1465" s="116">
        <v>10.8</v>
      </c>
      <c r="E1465" s="116">
        <v>11.34</v>
      </c>
      <c r="F1465" s="116">
        <v>11.13</v>
      </c>
      <c r="G1465">
        <v>207515</v>
      </c>
      <c r="H1465" s="116"/>
      <c r="I1465" s="116"/>
      <c r="L1465" s="169">
        <v>44160</v>
      </c>
      <c r="M1465" s="116">
        <v>470.25</v>
      </c>
      <c r="N1465" s="116">
        <v>485</v>
      </c>
      <c r="O1465" s="116">
        <v>468</v>
      </c>
      <c r="P1465" s="116">
        <v>483</v>
      </c>
      <c r="Q1465" s="116">
        <v>470.25</v>
      </c>
      <c r="R1465">
        <v>210688</v>
      </c>
    </row>
    <row r="1466" spans="1:18" x14ac:dyDescent="0.25">
      <c r="A1466" s="169">
        <v>44172</v>
      </c>
      <c r="B1466" s="116">
        <v>11.89</v>
      </c>
      <c r="C1466" s="116">
        <v>11.17</v>
      </c>
      <c r="D1466" s="116">
        <v>11</v>
      </c>
      <c r="E1466" s="116">
        <v>11.4</v>
      </c>
      <c r="F1466" s="116">
        <v>11.17</v>
      </c>
      <c r="G1466">
        <v>319453</v>
      </c>
      <c r="H1466" s="116"/>
      <c r="I1466" s="116"/>
      <c r="L1466" s="169">
        <v>44161</v>
      </c>
      <c r="M1466" s="116">
        <v>469.55</v>
      </c>
      <c r="N1466" s="116">
        <v>474.65</v>
      </c>
      <c r="O1466" s="116">
        <v>464.4</v>
      </c>
      <c r="P1466" s="116">
        <v>474</v>
      </c>
      <c r="Q1466" s="116">
        <v>469.55</v>
      </c>
      <c r="R1466">
        <v>126409</v>
      </c>
    </row>
    <row r="1467" spans="1:18" x14ac:dyDescent="0.25">
      <c r="A1467" s="169">
        <v>44173</v>
      </c>
      <c r="B1467" s="116">
        <v>11.63</v>
      </c>
      <c r="C1467" s="116">
        <v>11.16</v>
      </c>
      <c r="D1467" s="116">
        <v>10.34</v>
      </c>
      <c r="E1467" s="116">
        <v>11.11</v>
      </c>
      <c r="F1467" s="116">
        <v>11.16</v>
      </c>
      <c r="G1467">
        <v>116252</v>
      </c>
      <c r="H1467" s="116"/>
      <c r="I1467" s="116"/>
      <c r="L1467" s="169">
        <v>44162</v>
      </c>
      <c r="M1467" s="116">
        <v>481.95</v>
      </c>
      <c r="N1467" s="116">
        <v>485</v>
      </c>
      <c r="O1467" s="116">
        <v>471</v>
      </c>
      <c r="P1467" s="116">
        <v>471</v>
      </c>
      <c r="Q1467" s="116">
        <v>481.95</v>
      </c>
      <c r="R1467">
        <v>528032</v>
      </c>
    </row>
    <row r="1468" spans="1:18" x14ac:dyDescent="0.25">
      <c r="A1468" s="169">
        <v>44174</v>
      </c>
      <c r="B1468" s="116">
        <v>11.32</v>
      </c>
      <c r="C1468" s="116">
        <v>10.74</v>
      </c>
      <c r="D1468" s="116">
        <v>10.51</v>
      </c>
      <c r="E1468" s="116">
        <v>11.31</v>
      </c>
      <c r="F1468" s="116">
        <v>10.74</v>
      </c>
      <c r="G1468">
        <v>87778</v>
      </c>
      <c r="H1468" s="116"/>
      <c r="I1468" s="116"/>
      <c r="L1468" s="169">
        <v>44166</v>
      </c>
      <c r="M1468" s="116">
        <v>489.15</v>
      </c>
      <c r="N1468" s="116">
        <v>495</v>
      </c>
      <c r="O1468" s="116">
        <v>478.45</v>
      </c>
      <c r="P1468" s="116">
        <v>485</v>
      </c>
      <c r="Q1468" s="116">
        <v>489.15</v>
      </c>
      <c r="R1468">
        <v>604921</v>
      </c>
    </row>
    <row r="1469" spans="1:18" x14ac:dyDescent="0.25">
      <c r="A1469" s="169">
        <v>44175</v>
      </c>
      <c r="B1469" s="116">
        <v>11.42</v>
      </c>
      <c r="C1469" s="116">
        <v>11.04</v>
      </c>
      <c r="D1469" s="116">
        <v>10.26</v>
      </c>
      <c r="E1469" s="116">
        <v>10.61</v>
      </c>
      <c r="F1469" s="116">
        <v>11.04</v>
      </c>
      <c r="G1469">
        <v>287226</v>
      </c>
      <c r="H1469" s="116"/>
      <c r="I1469" s="116"/>
      <c r="L1469" s="169">
        <v>44167</v>
      </c>
      <c r="M1469" s="116">
        <v>479.15</v>
      </c>
      <c r="N1469" s="116">
        <v>493.65</v>
      </c>
      <c r="O1469" s="116">
        <v>476.2</v>
      </c>
      <c r="P1469" s="116">
        <v>492</v>
      </c>
      <c r="Q1469" s="116">
        <v>479.15</v>
      </c>
      <c r="R1469">
        <v>266716</v>
      </c>
    </row>
    <row r="1470" spans="1:18" x14ac:dyDescent="0.25">
      <c r="A1470" s="169">
        <v>44176</v>
      </c>
      <c r="B1470" s="116">
        <v>11.38</v>
      </c>
      <c r="C1470" s="116">
        <v>10.95</v>
      </c>
      <c r="D1470" s="116">
        <v>10.5</v>
      </c>
      <c r="E1470" s="116">
        <v>11.38</v>
      </c>
      <c r="F1470" s="116">
        <v>10.95</v>
      </c>
      <c r="G1470">
        <v>57180</v>
      </c>
      <c r="H1470" s="116"/>
      <c r="I1470" s="116"/>
      <c r="L1470" s="169">
        <v>44168</v>
      </c>
      <c r="M1470" s="116">
        <v>490.4</v>
      </c>
      <c r="N1470" s="116">
        <v>492.5</v>
      </c>
      <c r="O1470" s="116">
        <v>480</v>
      </c>
      <c r="P1470" s="116">
        <v>484.75</v>
      </c>
      <c r="Q1470" s="116">
        <v>490.4</v>
      </c>
      <c r="R1470">
        <v>230293</v>
      </c>
    </row>
    <row r="1471" spans="1:18" x14ac:dyDescent="0.25">
      <c r="A1471" s="169">
        <v>44179</v>
      </c>
      <c r="B1471" s="116">
        <v>11.22</v>
      </c>
      <c r="C1471" s="116">
        <v>10.85</v>
      </c>
      <c r="D1471" s="116">
        <v>10.55</v>
      </c>
      <c r="E1471" s="116">
        <v>11.22</v>
      </c>
      <c r="F1471" s="116">
        <v>10.85</v>
      </c>
      <c r="G1471">
        <v>33635</v>
      </c>
      <c r="H1471" s="116"/>
      <c r="I1471" s="116"/>
      <c r="L1471" s="169">
        <v>44169</v>
      </c>
      <c r="M1471" s="116">
        <v>484.5</v>
      </c>
      <c r="N1471" s="116">
        <v>494.9</v>
      </c>
      <c r="O1471" s="116">
        <v>481.15</v>
      </c>
      <c r="P1471" s="116">
        <v>492</v>
      </c>
      <c r="Q1471" s="116">
        <v>484.5</v>
      </c>
      <c r="R1471">
        <v>167717</v>
      </c>
    </row>
    <row r="1472" spans="1:18" x14ac:dyDescent="0.25">
      <c r="A1472" s="169">
        <v>44180</v>
      </c>
      <c r="B1472" s="116">
        <v>11</v>
      </c>
      <c r="C1472" s="116">
        <v>10.79</v>
      </c>
      <c r="D1472" s="116">
        <v>10.36</v>
      </c>
      <c r="E1472" s="116">
        <v>10.4</v>
      </c>
      <c r="F1472" s="116">
        <v>10.79</v>
      </c>
      <c r="G1472">
        <v>102418</v>
      </c>
      <c r="H1472" s="116"/>
      <c r="I1472" s="116"/>
      <c r="L1472" s="169">
        <v>44172</v>
      </c>
      <c r="M1472" s="116">
        <v>490.65</v>
      </c>
      <c r="N1472" s="116">
        <v>502.65</v>
      </c>
      <c r="O1472" s="116">
        <v>482.05</v>
      </c>
      <c r="P1472" s="116">
        <v>483</v>
      </c>
      <c r="Q1472" s="116">
        <v>490.65</v>
      </c>
      <c r="R1472">
        <v>656246</v>
      </c>
    </row>
    <row r="1473" spans="1:18" x14ac:dyDescent="0.25">
      <c r="A1473" s="169">
        <v>44181</v>
      </c>
      <c r="B1473" s="116">
        <v>10.98</v>
      </c>
      <c r="C1473" s="116">
        <v>10.72</v>
      </c>
      <c r="D1473" s="116">
        <v>10.4</v>
      </c>
      <c r="E1473" s="116">
        <v>10.98</v>
      </c>
      <c r="F1473" s="116">
        <v>10.72</v>
      </c>
      <c r="G1473">
        <v>23141</v>
      </c>
      <c r="H1473" s="116"/>
      <c r="I1473" s="116"/>
      <c r="L1473" s="169">
        <v>44173</v>
      </c>
      <c r="M1473" s="116">
        <v>482.25</v>
      </c>
      <c r="N1473" s="116">
        <v>490.75</v>
      </c>
      <c r="O1473" s="116">
        <v>480.6</v>
      </c>
      <c r="P1473" s="116">
        <v>490</v>
      </c>
      <c r="Q1473" s="116">
        <v>482.25</v>
      </c>
      <c r="R1473">
        <v>195335</v>
      </c>
    </row>
    <row r="1474" spans="1:18" x14ac:dyDescent="0.25">
      <c r="A1474" s="169">
        <v>44182</v>
      </c>
      <c r="B1474" s="116">
        <v>11</v>
      </c>
      <c r="C1474" s="116">
        <v>10.53</v>
      </c>
      <c r="D1474" s="116">
        <v>10.16</v>
      </c>
      <c r="E1474" s="116">
        <v>11</v>
      </c>
      <c r="F1474" s="116">
        <v>10.53</v>
      </c>
      <c r="G1474">
        <v>75530</v>
      </c>
      <c r="H1474" s="116"/>
      <c r="I1474" s="116"/>
      <c r="L1474" s="169">
        <v>44174</v>
      </c>
      <c r="M1474" s="116">
        <v>480.7</v>
      </c>
      <c r="N1474" s="116">
        <v>487.7</v>
      </c>
      <c r="O1474" s="116">
        <v>477.05</v>
      </c>
      <c r="P1474" s="116">
        <v>487.7</v>
      </c>
      <c r="Q1474" s="116">
        <v>480.7</v>
      </c>
      <c r="R1474">
        <v>160356</v>
      </c>
    </row>
    <row r="1475" spans="1:18" x14ac:dyDescent="0.25">
      <c r="A1475" s="169">
        <v>44183</v>
      </c>
      <c r="B1475" s="116">
        <v>10.55</v>
      </c>
      <c r="C1475" s="116">
        <v>10.51</v>
      </c>
      <c r="D1475" s="116">
        <v>9.91</v>
      </c>
      <c r="E1475" s="116">
        <v>10</v>
      </c>
      <c r="F1475" s="116">
        <v>10.51</v>
      </c>
      <c r="G1475">
        <v>29673</v>
      </c>
      <c r="H1475" s="116"/>
      <c r="I1475" s="116"/>
      <c r="L1475" s="169">
        <v>44175</v>
      </c>
      <c r="M1475" s="116">
        <v>468.05</v>
      </c>
      <c r="N1475" s="116">
        <v>483.7</v>
      </c>
      <c r="O1475" s="116">
        <v>465.8</v>
      </c>
      <c r="P1475" s="116">
        <v>483.3</v>
      </c>
      <c r="Q1475" s="116">
        <v>468.05</v>
      </c>
      <c r="R1475">
        <v>189107</v>
      </c>
    </row>
    <row r="1476" spans="1:18" x14ac:dyDescent="0.25">
      <c r="A1476" s="169">
        <v>44186</v>
      </c>
      <c r="B1476" s="116">
        <v>10.61</v>
      </c>
      <c r="C1476" s="116">
        <v>9.61</v>
      </c>
      <c r="D1476" s="116">
        <v>9.5500000000000007</v>
      </c>
      <c r="E1476" s="116">
        <v>10.6</v>
      </c>
      <c r="F1476" s="116">
        <v>9.61</v>
      </c>
      <c r="G1476">
        <v>43009</v>
      </c>
      <c r="H1476" s="116"/>
      <c r="I1476" s="116"/>
      <c r="L1476" s="169">
        <v>44176</v>
      </c>
      <c r="M1476" s="116">
        <v>489.2</v>
      </c>
      <c r="N1476" s="116">
        <v>492</v>
      </c>
      <c r="O1476" s="116">
        <v>470.15</v>
      </c>
      <c r="P1476" s="116">
        <v>472</v>
      </c>
      <c r="Q1476" s="116">
        <v>489.2</v>
      </c>
      <c r="R1476">
        <v>471783</v>
      </c>
    </row>
    <row r="1477" spans="1:18" x14ac:dyDescent="0.25">
      <c r="A1477" s="169">
        <v>44187</v>
      </c>
      <c r="B1477" s="116">
        <v>10.45</v>
      </c>
      <c r="C1477" s="116">
        <v>10.32</v>
      </c>
      <c r="D1477" s="116">
        <v>9.6</v>
      </c>
      <c r="E1477" s="116">
        <v>9.61</v>
      </c>
      <c r="F1477" s="116">
        <v>10.32</v>
      </c>
      <c r="G1477">
        <v>63394</v>
      </c>
      <c r="H1477" s="116"/>
      <c r="I1477" s="116"/>
      <c r="L1477" s="169">
        <v>44179</v>
      </c>
      <c r="M1477" s="116">
        <v>487.6</v>
      </c>
      <c r="N1477" s="116">
        <v>513.95000000000005</v>
      </c>
      <c r="O1477" s="116">
        <v>482.2</v>
      </c>
      <c r="P1477" s="116">
        <v>492.45</v>
      </c>
      <c r="Q1477" s="116">
        <v>487.6</v>
      </c>
      <c r="R1477">
        <v>486842</v>
      </c>
    </row>
    <row r="1478" spans="1:18" x14ac:dyDescent="0.25">
      <c r="A1478" s="169">
        <v>44188</v>
      </c>
      <c r="B1478" s="116">
        <v>10.5</v>
      </c>
      <c r="C1478" s="116">
        <v>10.07</v>
      </c>
      <c r="D1478" s="116">
        <v>10.01</v>
      </c>
      <c r="E1478" s="116">
        <v>10.5</v>
      </c>
      <c r="F1478" s="116">
        <v>10.07</v>
      </c>
      <c r="G1478">
        <v>27173</v>
      </c>
      <c r="H1478" s="116"/>
      <c r="I1478" s="116"/>
      <c r="L1478" s="169">
        <v>44180</v>
      </c>
      <c r="M1478" s="116">
        <v>485.45</v>
      </c>
      <c r="N1478" s="116">
        <v>490.2</v>
      </c>
      <c r="O1478" s="116">
        <v>477.05</v>
      </c>
      <c r="P1478" s="116">
        <v>490.2</v>
      </c>
      <c r="Q1478" s="116">
        <v>485.45</v>
      </c>
      <c r="R1478">
        <v>224391</v>
      </c>
    </row>
    <row r="1479" spans="1:18" x14ac:dyDescent="0.25">
      <c r="A1479" s="169">
        <v>44189</v>
      </c>
      <c r="B1479" s="116">
        <v>10.42</v>
      </c>
      <c r="C1479" s="116">
        <v>10.17</v>
      </c>
      <c r="D1479" s="116">
        <v>10</v>
      </c>
      <c r="E1479" s="116">
        <v>10.050000000000001</v>
      </c>
      <c r="F1479" s="116">
        <v>10.17</v>
      </c>
      <c r="G1479">
        <v>38850</v>
      </c>
      <c r="H1479" s="116"/>
      <c r="I1479" s="116"/>
      <c r="L1479" s="169">
        <v>44181</v>
      </c>
      <c r="M1479" s="116">
        <v>477.4</v>
      </c>
      <c r="N1479" s="116">
        <v>492.8</v>
      </c>
      <c r="O1479" s="116">
        <v>475</v>
      </c>
      <c r="P1479" s="116">
        <v>491.2</v>
      </c>
      <c r="Q1479" s="116">
        <v>477.4</v>
      </c>
      <c r="R1479">
        <v>540373</v>
      </c>
    </row>
    <row r="1480" spans="1:18" x14ac:dyDescent="0.25">
      <c r="A1480" s="169">
        <v>44193</v>
      </c>
      <c r="B1480" s="116">
        <v>10.4</v>
      </c>
      <c r="C1480" s="116">
        <v>10.31</v>
      </c>
      <c r="D1480" s="116">
        <v>9.85</v>
      </c>
      <c r="E1480" s="116">
        <v>10.199999999999999</v>
      </c>
      <c r="F1480" s="116">
        <v>10.31</v>
      </c>
      <c r="G1480">
        <v>30966</v>
      </c>
      <c r="H1480" s="116"/>
      <c r="I1480" s="116"/>
      <c r="L1480" s="169">
        <v>44182</v>
      </c>
      <c r="M1480" s="116">
        <v>488.9</v>
      </c>
      <c r="N1480" s="116">
        <v>490.9</v>
      </c>
      <c r="O1480" s="116">
        <v>479.9</v>
      </c>
      <c r="P1480" s="116">
        <v>479.9</v>
      </c>
      <c r="Q1480" s="116">
        <v>488.9</v>
      </c>
      <c r="R1480">
        <v>395084</v>
      </c>
    </row>
    <row r="1481" spans="1:18" x14ac:dyDescent="0.25">
      <c r="A1481" s="169">
        <v>44194</v>
      </c>
      <c r="B1481" s="116">
        <v>10.49</v>
      </c>
      <c r="C1481" s="116">
        <v>10.1</v>
      </c>
      <c r="D1481" s="116">
        <v>9.9499999999999993</v>
      </c>
      <c r="E1481" s="116">
        <v>9.9499999999999993</v>
      </c>
      <c r="F1481" s="116">
        <v>10.1</v>
      </c>
      <c r="G1481">
        <v>33088</v>
      </c>
      <c r="H1481" s="116"/>
      <c r="I1481" s="116"/>
      <c r="L1481" s="169">
        <v>44183</v>
      </c>
      <c r="M1481" s="116">
        <v>490.2</v>
      </c>
      <c r="N1481" s="116">
        <v>493</v>
      </c>
      <c r="O1481" s="116">
        <v>481.25</v>
      </c>
      <c r="P1481" s="116">
        <v>484.75</v>
      </c>
      <c r="Q1481" s="116">
        <v>490.2</v>
      </c>
      <c r="R1481">
        <v>392647</v>
      </c>
    </row>
    <row r="1482" spans="1:18" x14ac:dyDescent="0.25">
      <c r="A1482" s="169">
        <v>44195</v>
      </c>
      <c r="B1482" s="116">
        <v>10.39</v>
      </c>
      <c r="C1482" s="116">
        <v>10</v>
      </c>
      <c r="D1482" s="116">
        <v>9.6999999999999993</v>
      </c>
      <c r="E1482" s="116">
        <v>10.1</v>
      </c>
      <c r="F1482" s="116">
        <v>10</v>
      </c>
      <c r="G1482">
        <v>48898</v>
      </c>
      <c r="H1482" s="116"/>
      <c r="I1482" s="116"/>
      <c r="L1482" s="169">
        <v>44186</v>
      </c>
      <c r="M1482" s="116">
        <v>471</v>
      </c>
      <c r="N1482" s="116">
        <v>493</v>
      </c>
      <c r="O1482" s="116">
        <v>465.6</v>
      </c>
      <c r="P1482" s="116">
        <v>491.5</v>
      </c>
      <c r="Q1482" s="116">
        <v>471</v>
      </c>
      <c r="R1482">
        <v>247982</v>
      </c>
    </row>
    <row r="1483" spans="1:18" x14ac:dyDescent="0.25">
      <c r="A1483" s="169">
        <v>44196</v>
      </c>
      <c r="B1483" s="116">
        <v>10.25</v>
      </c>
      <c r="C1483" s="116">
        <v>10.07</v>
      </c>
      <c r="D1483" s="116">
        <v>9.81</v>
      </c>
      <c r="E1483" s="116">
        <v>10.25</v>
      </c>
      <c r="F1483" s="116">
        <v>10.07</v>
      </c>
      <c r="G1483">
        <v>33828</v>
      </c>
      <c r="H1483" s="116"/>
      <c r="I1483" s="116"/>
      <c r="L1483" s="169">
        <v>44187</v>
      </c>
      <c r="M1483" s="116">
        <v>462.95</v>
      </c>
      <c r="N1483" s="116">
        <v>489.7</v>
      </c>
      <c r="O1483" s="116">
        <v>430</v>
      </c>
      <c r="P1483" s="116">
        <v>474.25</v>
      </c>
      <c r="Q1483" s="116">
        <v>462.95</v>
      </c>
      <c r="R1483">
        <v>428435</v>
      </c>
    </row>
    <row r="1484" spans="1:18" x14ac:dyDescent="0.25">
      <c r="A1484" s="169">
        <v>44197</v>
      </c>
      <c r="B1484" s="116">
        <v>12.08</v>
      </c>
      <c r="C1484" s="116">
        <v>12.08</v>
      </c>
      <c r="D1484" s="116">
        <v>9.8000000000000007</v>
      </c>
      <c r="E1484" s="116">
        <v>10.199999999999999</v>
      </c>
      <c r="F1484" s="116">
        <v>12.08</v>
      </c>
      <c r="G1484">
        <v>298614</v>
      </c>
      <c r="H1484" s="116"/>
      <c r="I1484" s="116"/>
      <c r="L1484" s="169">
        <v>44188</v>
      </c>
      <c r="M1484" s="116">
        <v>479.7</v>
      </c>
      <c r="N1484" s="116">
        <v>484</v>
      </c>
      <c r="O1484" s="116">
        <v>466</v>
      </c>
      <c r="P1484" s="116">
        <v>466</v>
      </c>
      <c r="Q1484" s="116">
        <v>479.7</v>
      </c>
      <c r="R1484">
        <v>257513</v>
      </c>
    </row>
    <row r="1485" spans="1:18" x14ac:dyDescent="0.25">
      <c r="A1485" s="169">
        <v>44200</v>
      </c>
      <c r="B1485" s="116">
        <v>14.49</v>
      </c>
      <c r="C1485" s="116">
        <v>14.49</v>
      </c>
      <c r="D1485" s="116">
        <v>12.8</v>
      </c>
      <c r="E1485" s="116">
        <v>12.8</v>
      </c>
      <c r="F1485" s="116">
        <v>14.49</v>
      </c>
      <c r="G1485">
        <v>992557</v>
      </c>
      <c r="H1485" s="116"/>
      <c r="I1485" s="116"/>
      <c r="L1485" s="169">
        <v>44189</v>
      </c>
      <c r="M1485" s="116">
        <v>487.3</v>
      </c>
      <c r="N1485" s="116">
        <v>489</v>
      </c>
      <c r="O1485" s="116">
        <v>476.15</v>
      </c>
      <c r="P1485" s="116">
        <v>483.6</v>
      </c>
      <c r="Q1485" s="116">
        <v>487.3</v>
      </c>
      <c r="R1485">
        <v>247208</v>
      </c>
    </row>
    <row r="1486" spans="1:18" x14ac:dyDescent="0.25">
      <c r="A1486" s="169">
        <v>44201</v>
      </c>
      <c r="B1486" s="116">
        <v>17.18</v>
      </c>
      <c r="C1486" s="116">
        <v>16.190000000000001</v>
      </c>
      <c r="D1486" s="116">
        <v>15.5</v>
      </c>
      <c r="E1486" s="116">
        <v>17.18</v>
      </c>
      <c r="F1486" s="116">
        <v>16.190000000000001</v>
      </c>
      <c r="G1486">
        <v>643923</v>
      </c>
      <c r="H1486" s="116"/>
      <c r="I1486" s="116"/>
      <c r="L1486" s="169">
        <v>44193</v>
      </c>
      <c r="M1486" s="116">
        <v>486.4</v>
      </c>
      <c r="N1486" s="116">
        <v>489</v>
      </c>
      <c r="O1486" s="116">
        <v>483</v>
      </c>
      <c r="P1486" s="116">
        <v>487</v>
      </c>
      <c r="Q1486" s="116">
        <v>486.4</v>
      </c>
      <c r="R1486">
        <v>203483</v>
      </c>
    </row>
    <row r="1487" spans="1:18" x14ac:dyDescent="0.25">
      <c r="A1487" s="169">
        <v>44202</v>
      </c>
      <c r="B1487" s="116">
        <v>17.489999999999998</v>
      </c>
      <c r="C1487" s="116">
        <v>16.21</v>
      </c>
      <c r="D1487" s="116">
        <v>15.5</v>
      </c>
      <c r="E1487" s="116">
        <v>16.8</v>
      </c>
      <c r="F1487" s="116">
        <v>16.21</v>
      </c>
      <c r="G1487">
        <v>539880</v>
      </c>
      <c r="H1487" s="116"/>
      <c r="I1487" s="116"/>
      <c r="L1487" s="169">
        <v>44194</v>
      </c>
      <c r="M1487" s="116">
        <v>501</v>
      </c>
      <c r="N1487" s="116">
        <v>504.9</v>
      </c>
      <c r="O1487" s="116">
        <v>485.2</v>
      </c>
      <c r="P1487" s="116">
        <v>490</v>
      </c>
      <c r="Q1487" s="116">
        <v>501</v>
      </c>
      <c r="R1487">
        <v>615885</v>
      </c>
    </row>
    <row r="1488" spans="1:18" x14ac:dyDescent="0.25">
      <c r="A1488" s="169">
        <v>44203</v>
      </c>
      <c r="B1488" s="116">
        <v>16.75</v>
      </c>
      <c r="C1488" s="116">
        <v>15.3</v>
      </c>
      <c r="D1488" s="116">
        <v>15.04</v>
      </c>
      <c r="E1488" s="116">
        <v>16.75</v>
      </c>
      <c r="F1488" s="116">
        <v>15.3</v>
      </c>
      <c r="G1488">
        <v>169265</v>
      </c>
      <c r="H1488" s="116"/>
      <c r="I1488" s="116"/>
      <c r="L1488" s="169">
        <v>44195</v>
      </c>
      <c r="M1488" s="116">
        <v>496.65</v>
      </c>
      <c r="N1488" s="116">
        <v>501</v>
      </c>
      <c r="O1488" s="116">
        <v>490</v>
      </c>
      <c r="P1488" s="116">
        <v>500</v>
      </c>
      <c r="Q1488" s="116">
        <v>496.65</v>
      </c>
      <c r="R1488">
        <v>310217</v>
      </c>
    </row>
    <row r="1489" spans="1:18" x14ac:dyDescent="0.25">
      <c r="A1489" s="169">
        <v>44204</v>
      </c>
      <c r="B1489" s="116">
        <v>16.55</v>
      </c>
      <c r="C1489" s="116">
        <v>16.2</v>
      </c>
      <c r="D1489" s="116">
        <v>14.56</v>
      </c>
      <c r="E1489" s="116">
        <v>15.3</v>
      </c>
      <c r="F1489" s="116">
        <v>16.2</v>
      </c>
      <c r="G1489">
        <v>263309</v>
      </c>
      <c r="H1489" s="116"/>
      <c r="I1489" s="116"/>
      <c r="L1489" s="169">
        <v>44196</v>
      </c>
      <c r="M1489" s="116">
        <v>499.4</v>
      </c>
      <c r="N1489" s="116">
        <v>501</v>
      </c>
      <c r="O1489" s="116">
        <v>490</v>
      </c>
      <c r="P1489" s="116">
        <v>492.05</v>
      </c>
      <c r="Q1489" s="116">
        <v>499.4</v>
      </c>
      <c r="R1489">
        <v>259328</v>
      </c>
    </row>
    <row r="1490" spans="1:18" x14ac:dyDescent="0.25">
      <c r="A1490" s="169">
        <v>44207</v>
      </c>
      <c r="B1490" s="116">
        <v>16.98</v>
      </c>
      <c r="C1490" s="116">
        <v>15.84</v>
      </c>
      <c r="D1490" s="116">
        <v>15.25</v>
      </c>
      <c r="E1490" s="116">
        <v>16.98</v>
      </c>
      <c r="F1490" s="116">
        <v>15.84</v>
      </c>
      <c r="G1490">
        <v>82628</v>
      </c>
      <c r="H1490" s="116"/>
      <c r="I1490" s="116"/>
      <c r="L1490" s="169">
        <v>44197</v>
      </c>
      <c r="M1490" s="116">
        <v>496.6</v>
      </c>
      <c r="N1490" s="116">
        <v>510.6</v>
      </c>
      <c r="O1490" s="116">
        <v>491.15</v>
      </c>
      <c r="P1490" s="116">
        <v>491.15</v>
      </c>
      <c r="Q1490" s="116">
        <v>496.6</v>
      </c>
      <c r="R1490">
        <v>370947</v>
      </c>
    </row>
    <row r="1491" spans="1:18" x14ac:dyDescent="0.25">
      <c r="A1491" s="169">
        <v>44208</v>
      </c>
      <c r="B1491" s="116">
        <v>15.68</v>
      </c>
      <c r="C1491" s="116">
        <v>14.72</v>
      </c>
      <c r="D1491" s="116">
        <v>14.4</v>
      </c>
      <c r="E1491" s="116">
        <v>15.01</v>
      </c>
      <c r="F1491" s="116">
        <v>14.72</v>
      </c>
      <c r="G1491">
        <v>308206</v>
      </c>
      <c r="H1491" s="116"/>
      <c r="I1491" s="116"/>
      <c r="L1491" s="169">
        <v>44200</v>
      </c>
      <c r="M1491" s="116">
        <v>492.6</v>
      </c>
      <c r="N1491" s="116">
        <v>504.85</v>
      </c>
      <c r="O1491" s="116">
        <v>489.5</v>
      </c>
      <c r="P1491" s="116">
        <v>501.95</v>
      </c>
      <c r="Q1491" s="116">
        <v>492.6</v>
      </c>
      <c r="R1491">
        <v>320398</v>
      </c>
    </row>
    <row r="1492" spans="1:18" x14ac:dyDescent="0.25">
      <c r="A1492" s="169">
        <v>44209</v>
      </c>
      <c r="B1492" s="116">
        <v>14.85</v>
      </c>
      <c r="C1492" s="116">
        <v>14</v>
      </c>
      <c r="D1492" s="116">
        <v>13.95</v>
      </c>
      <c r="E1492" s="116">
        <v>14.4</v>
      </c>
      <c r="F1492" s="116">
        <v>14</v>
      </c>
      <c r="G1492">
        <v>97499</v>
      </c>
      <c r="H1492" s="116"/>
      <c r="I1492" s="116"/>
      <c r="L1492" s="169">
        <v>44201</v>
      </c>
      <c r="M1492" s="116">
        <v>484.65</v>
      </c>
      <c r="N1492" s="116">
        <v>500.65</v>
      </c>
      <c r="O1492" s="116">
        <v>482.4</v>
      </c>
      <c r="P1492" s="116">
        <v>495</v>
      </c>
      <c r="Q1492" s="116">
        <v>484.65</v>
      </c>
      <c r="R1492">
        <v>601869</v>
      </c>
    </row>
    <row r="1493" spans="1:18" x14ac:dyDescent="0.25">
      <c r="A1493" s="169">
        <v>44210</v>
      </c>
      <c r="B1493" s="116">
        <v>14.51</v>
      </c>
      <c r="C1493" s="116">
        <v>13.73</v>
      </c>
      <c r="D1493" s="116">
        <v>13.5</v>
      </c>
      <c r="E1493" s="116">
        <v>14.3</v>
      </c>
      <c r="F1493" s="116">
        <v>13.73</v>
      </c>
      <c r="G1493">
        <v>44139</v>
      </c>
      <c r="H1493" s="116"/>
      <c r="I1493" s="116"/>
      <c r="L1493" s="169">
        <v>44202</v>
      </c>
      <c r="M1493" s="116">
        <v>482.7</v>
      </c>
      <c r="N1493" s="116">
        <v>499</v>
      </c>
      <c r="O1493" s="116">
        <v>480.3</v>
      </c>
      <c r="P1493" s="116">
        <v>488.9</v>
      </c>
      <c r="Q1493" s="116">
        <v>482.7</v>
      </c>
      <c r="R1493">
        <v>560531</v>
      </c>
    </row>
    <row r="1494" spans="1:18" x14ac:dyDescent="0.25">
      <c r="A1494" s="169">
        <v>44211</v>
      </c>
      <c r="B1494" s="116">
        <v>14</v>
      </c>
      <c r="C1494" s="116">
        <v>13.81</v>
      </c>
      <c r="D1494" s="116">
        <v>13.3</v>
      </c>
      <c r="E1494" s="116">
        <v>13.73</v>
      </c>
      <c r="F1494" s="116">
        <v>13.81</v>
      </c>
      <c r="G1494">
        <v>69372</v>
      </c>
      <c r="H1494" s="116"/>
      <c r="I1494" s="116"/>
      <c r="L1494" s="169">
        <v>44203</v>
      </c>
      <c r="M1494" s="116">
        <v>494.55</v>
      </c>
      <c r="N1494" s="116">
        <v>499</v>
      </c>
      <c r="O1494" s="116">
        <v>483.25</v>
      </c>
      <c r="P1494" s="116">
        <v>485.5</v>
      </c>
      <c r="Q1494" s="116">
        <v>494.55</v>
      </c>
      <c r="R1494">
        <v>581206</v>
      </c>
    </row>
    <row r="1495" spans="1:18" x14ac:dyDescent="0.25">
      <c r="A1495" s="169">
        <v>44214</v>
      </c>
      <c r="B1495" s="116">
        <v>14.18</v>
      </c>
      <c r="C1495" s="116">
        <v>13.56</v>
      </c>
      <c r="D1495" s="116">
        <v>13.15</v>
      </c>
      <c r="E1495" s="116">
        <v>14.08</v>
      </c>
      <c r="F1495" s="116">
        <v>13.56</v>
      </c>
      <c r="G1495">
        <v>54510</v>
      </c>
      <c r="H1495" s="116"/>
      <c r="I1495" s="116"/>
      <c r="L1495" s="169">
        <v>44204</v>
      </c>
      <c r="M1495" s="116">
        <v>503.5</v>
      </c>
      <c r="N1495" s="116">
        <v>509.5</v>
      </c>
      <c r="O1495" s="116">
        <v>491.2</v>
      </c>
      <c r="P1495" s="116">
        <v>497.85</v>
      </c>
      <c r="Q1495" s="116">
        <v>503.5</v>
      </c>
      <c r="R1495">
        <v>882576</v>
      </c>
    </row>
    <row r="1496" spans="1:18" x14ac:dyDescent="0.25">
      <c r="A1496" s="169">
        <v>44215</v>
      </c>
      <c r="B1496" s="116">
        <v>14.23</v>
      </c>
      <c r="C1496" s="116">
        <v>14.21</v>
      </c>
      <c r="D1496" s="116">
        <v>13.3</v>
      </c>
      <c r="E1496" s="116">
        <v>13.5</v>
      </c>
      <c r="F1496" s="116">
        <v>14.21</v>
      </c>
      <c r="G1496">
        <v>79305</v>
      </c>
      <c r="H1496" s="116"/>
      <c r="I1496" s="116"/>
      <c r="L1496" s="169">
        <v>44207</v>
      </c>
      <c r="M1496" s="116">
        <v>506.2</v>
      </c>
      <c r="N1496" s="116">
        <v>509</v>
      </c>
      <c r="O1496" s="116">
        <v>497.85</v>
      </c>
      <c r="P1496" s="116">
        <v>507.25</v>
      </c>
      <c r="Q1496" s="116">
        <v>506.2</v>
      </c>
      <c r="R1496">
        <v>418468</v>
      </c>
    </row>
    <row r="1497" spans="1:18" x14ac:dyDescent="0.25">
      <c r="A1497" s="169">
        <v>44216</v>
      </c>
      <c r="B1497" s="116">
        <v>14.4</v>
      </c>
      <c r="C1497" s="116">
        <v>14.02</v>
      </c>
      <c r="D1497" s="116">
        <v>13.8</v>
      </c>
      <c r="E1497" s="116">
        <v>14.25</v>
      </c>
      <c r="F1497" s="116">
        <v>14.02</v>
      </c>
      <c r="G1497">
        <v>50490</v>
      </c>
      <c r="H1497" s="116"/>
      <c r="I1497" s="116"/>
      <c r="L1497" s="169">
        <v>44208</v>
      </c>
      <c r="M1497" s="116">
        <v>497.6</v>
      </c>
      <c r="N1497" s="116">
        <v>507.1</v>
      </c>
      <c r="O1497" s="116">
        <v>496</v>
      </c>
      <c r="P1497" s="116">
        <v>506.2</v>
      </c>
      <c r="Q1497" s="116">
        <v>497.6</v>
      </c>
      <c r="R1497">
        <v>363157</v>
      </c>
    </row>
    <row r="1498" spans="1:18" x14ac:dyDescent="0.25">
      <c r="A1498" s="169">
        <v>44217</v>
      </c>
      <c r="B1498" s="116">
        <v>14.6</v>
      </c>
      <c r="C1498" s="116">
        <v>13.67</v>
      </c>
      <c r="D1498" s="116">
        <v>13.5</v>
      </c>
      <c r="E1498" s="116">
        <v>14.25</v>
      </c>
      <c r="F1498" s="116">
        <v>13.67</v>
      </c>
      <c r="G1498">
        <v>108487</v>
      </c>
      <c r="H1498" s="116"/>
      <c r="I1498" s="116"/>
      <c r="L1498" s="169">
        <v>44209</v>
      </c>
      <c r="M1498" s="116">
        <v>496</v>
      </c>
      <c r="N1498" s="116">
        <v>503.4</v>
      </c>
      <c r="O1498" s="116">
        <v>481</v>
      </c>
      <c r="P1498" s="116">
        <v>500</v>
      </c>
      <c r="Q1498" s="116">
        <v>496</v>
      </c>
      <c r="R1498">
        <v>603139</v>
      </c>
    </row>
    <row r="1499" spans="1:18" x14ac:dyDescent="0.25">
      <c r="A1499" s="169">
        <v>44218</v>
      </c>
      <c r="B1499" s="116">
        <v>14.09</v>
      </c>
      <c r="C1499" s="116">
        <v>13.53</v>
      </c>
      <c r="D1499" s="116">
        <v>13.16</v>
      </c>
      <c r="E1499" s="116">
        <v>14.09</v>
      </c>
      <c r="F1499" s="116">
        <v>13.53</v>
      </c>
      <c r="G1499">
        <v>23988</v>
      </c>
      <c r="H1499" s="116"/>
      <c r="I1499" s="116"/>
      <c r="L1499" s="169">
        <v>44210</v>
      </c>
      <c r="M1499" s="116">
        <v>499.95</v>
      </c>
      <c r="N1499" s="116">
        <v>506.55</v>
      </c>
      <c r="O1499" s="116">
        <v>492.15</v>
      </c>
      <c r="P1499" s="116">
        <v>492.15</v>
      </c>
      <c r="Q1499" s="116">
        <v>499.95</v>
      </c>
      <c r="R1499">
        <v>501092</v>
      </c>
    </row>
    <row r="1500" spans="1:18" x14ac:dyDescent="0.25">
      <c r="A1500" s="169">
        <v>44221</v>
      </c>
      <c r="B1500" s="116">
        <v>13.8</v>
      </c>
      <c r="C1500" s="116">
        <v>12.86</v>
      </c>
      <c r="D1500" s="116">
        <v>12.86</v>
      </c>
      <c r="E1500" s="116">
        <v>13.8</v>
      </c>
      <c r="F1500" s="116">
        <v>12.86</v>
      </c>
      <c r="G1500">
        <v>44582</v>
      </c>
      <c r="H1500" s="116"/>
      <c r="I1500" s="116"/>
      <c r="L1500" s="169">
        <v>44211</v>
      </c>
      <c r="M1500" s="116">
        <v>499.5</v>
      </c>
      <c r="N1500" s="116">
        <v>505.55</v>
      </c>
      <c r="O1500" s="116">
        <v>485.2</v>
      </c>
      <c r="P1500" s="116">
        <v>502.3</v>
      </c>
      <c r="Q1500" s="116">
        <v>499.5</v>
      </c>
      <c r="R1500">
        <v>410774</v>
      </c>
    </row>
    <row r="1501" spans="1:18" x14ac:dyDescent="0.25">
      <c r="A1501" s="169">
        <v>44223</v>
      </c>
      <c r="B1501" s="116">
        <v>13.39</v>
      </c>
      <c r="C1501" s="116">
        <v>12.48</v>
      </c>
      <c r="D1501" s="116">
        <v>12.22</v>
      </c>
      <c r="E1501" s="116">
        <v>13.39</v>
      </c>
      <c r="F1501" s="116">
        <v>12.48</v>
      </c>
      <c r="G1501">
        <v>71420</v>
      </c>
      <c r="H1501" s="116"/>
      <c r="I1501" s="116"/>
      <c r="L1501" s="169">
        <v>44214</v>
      </c>
      <c r="M1501" s="116">
        <v>500.9</v>
      </c>
      <c r="N1501" s="116">
        <v>502.7</v>
      </c>
      <c r="O1501" s="116">
        <v>490.55</v>
      </c>
      <c r="P1501" s="116">
        <v>498.5</v>
      </c>
      <c r="Q1501" s="116">
        <v>500.9</v>
      </c>
      <c r="R1501">
        <v>346706</v>
      </c>
    </row>
    <row r="1502" spans="1:18" x14ac:dyDescent="0.25">
      <c r="A1502" s="169">
        <v>44224</v>
      </c>
      <c r="B1502" s="116">
        <v>13</v>
      </c>
      <c r="C1502" s="116">
        <v>12.77</v>
      </c>
      <c r="D1502" s="116">
        <v>11.9</v>
      </c>
      <c r="E1502" s="116">
        <v>12.48</v>
      </c>
      <c r="F1502" s="116">
        <v>12.77</v>
      </c>
      <c r="G1502">
        <v>36616</v>
      </c>
      <c r="H1502" s="116"/>
      <c r="I1502" s="116"/>
      <c r="L1502" s="169">
        <v>44215</v>
      </c>
      <c r="M1502" s="116">
        <v>519.4</v>
      </c>
      <c r="N1502" s="116">
        <v>529.9</v>
      </c>
      <c r="O1502" s="116">
        <v>496.55</v>
      </c>
      <c r="P1502" s="116">
        <v>501.8</v>
      </c>
      <c r="Q1502" s="116">
        <v>519.4</v>
      </c>
      <c r="R1502">
        <v>1252370</v>
      </c>
    </row>
    <row r="1503" spans="1:18" x14ac:dyDescent="0.25">
      <c r="A1503" s="169">
        <v>44225</v>
      </c>
      <c r="B1503" s="116">
        <v>13.4</v>
      </c>
      <c r="C1503" s="116">
        <v>12.7</v>
      </c>
      <c r="D1503" s="116">
        <v>12.65</v>
      </c>
      <c r="E1503" s="116">
        <v>13.08</v>
      </c>
      <c r="F1503" s="116">
        <v>12.7</v>
      </c>
      <c r="G1503">
        <v>17307</v>
      </c>
      <c r="H1503" s="116"/>
      <c r="I1503" s="116"/>
      <c r="L1503" s="169">
        <v>44216</v>
      </c>
      <c r="M1503" s="116">
        <v>513.4</v>
      </c>
      <c r="N1503" s="116">
        <v>526.65</v>
      </c>
      <c r="O1503" s="116">
        <v>509.1</v>
      </c>
      <c r="P1503" s="116">
        <v>520</v>
      </c>
      <c r="Q1503" s="116">
        <v>513.4</v>
      </c>
      <c r="R1503">
        <v>462685</v>
      </c>
    </row>
    <row r="1504" spans="1:18" x14ac:dyDescent="0.25">
      <c r="A1504" s="169">
        <v>44228</v>
      </c>
      <c r="B1504" s="116">
        <v>13</v>
      </c>
      <c r="C1504" s="116">
        <v>12.74</v>
      </c>
      <c r="D1504" s="116">
        <v>12.08</v>
      </c>
      <c r="E1504" s="116">
        <v>12.95</v>
      </c>
      <c r="F1504" s="116">
        <v>12.74</v>
      </c>
      <c r="G1504">
        <v>39494</v>
      </c>
      <c r="H1504" s="116"/>
      <c r="I1504" s="116"/>
      <c r="L1504" s="169">
        <v>44217</v>
      </c>
      <c r="M1504" s="116">
        <v>508.55</v>
      </c>
      <c r="N1504" s="116">
        <v>519.79999999999995</v>
      </c>
      <c r="O1504" s="116">
        <v>506.1</v>
      </c>
      <c r="P1504" s="116">
        <v>516</v>
      </c>
      <c r="Q1504" s="116">
        <v>508.55</v>
      </c>
      <c r="R1504">
        <v>366230</v>
      </c>
    </row>
    <row r="1505" spans="1:18" x14ac:dyDescent="0.25">
      <c r="A1505" s="169">
        <v>44229</v>
      </c>
      <c r="B1505" s="116">
        <v>13</v>
      </c>
      <c r="C1505" s="116">
        <v>12.32</v>
      </c>
      <c r="D1505" s="116">
        <v>12.15</v>
      </c>
      <c r="E1505" s="116">
        <v>12.74</v>
      </c>
      <c r="F1505" s="116">
        <v>12.32</v>
      </c>
      <c r="G1505">
        <v>61214</v>
      </c>
      <c r="H1505" s="116"/>
      <c r="I1505" s="116"/>
      <c r="L1505" s="169">
        <v>44218</v>
      </c>
      <c r="M1505" s="116">
        <v>491.05</v>
      </c>
      <c r="N1505" s="116">
        <v>508.3</v>
      </c>
      <c r="O1505" s="116">
        <v>482.1</v>
      </c>
      <c r="P1505" s="116">
        <v>506.7</v>
      </c>
      <c r="Q1505" s="116">
        <v>491.05</v>
      </c>
      <c r="R1505">
        <v>359988</v>
      </c>
    </row>
    <row r="1506" spans="1:18" x14ac:dyDescent="0.25">
      <c r="A1506" s="169">
        <v>44230</v>
      </c>
      <c r="B1506" s="116">
        <v>12.75</v>
      </c>
      <c r="C1506" s="116">
        <v>12.17</v>
      </c>
      <c r="D1506" s="116">
        <v>12</v>
      </c>
      <c r="E1506" s="116">
        <v>12.5</v>
      </c>
      <c r="F1506" s="116">
        <v>12.17</v>
      </c>
      <c r="G1506">
        <v>64879</v>
      </c>
      <c r="H1506" s="116"/>
      <c r="I1506" s="116"/>
      <c r="L1506" s="169">
        <v>44221</v>
      </c>
      <c r="M1506" s="116">
        <v>480.85</v>
      </c>
      <c r="N1506" s="116">
        <v>498</v>
      </c>
      <c r="O1506" s="116">
        <v>476</v>
      </c>
      <c r="P1506" s="116">
        <v>495.8</v>
      </c>
      <c r="Q1506" s="116">
        <v>480.85</v>
      </c>
      <c r="R1506">
        <v>314380</v>
      </c>
    </row>
    <row r="1507" spans="1:18" x14ac:dyDescent="0.25">
      <c r="A1507" s="169">
        <v>44231</v>
      </c>
      <c r="B1507" s="116">
        <v>12.49</v>
      </c>
      <c r="C1507" s="116">
        <v>12.19</v>
      </c>
      <c r="D1507" s="116">
        <v>12</v>
      </c>
      <c r="E1507" s="116">
        <v>12.39</v>
      </c>
      <c r="F1507" s="116">
        <v>12.19</v>
      </c>
      <c r="G1507">
        <v>10855</v>
      </c>
      <c r="H1507" s="116"/>
      <c r="I1507" s="116"/>
      <c r="L1507" s="169">
        <v>44223</v>
      </c>
      <c r="M1507" s="116">
        <v>479.1</v>
      </c>
      <c r="N1507" s="116">
        <v>503</v>
      </c>
      <c r="O1507" s="116">
        <v>455.25</v>
      </c>
      <c r="P1507" s="116">
        <v>479</v>
      </c>
      <c r="Q1507" s="116">
        <v>479.1</v>
      </c>
      <c r="R1507">
        <v>1109995</v>
      </c>
    </row>
    <row r="1508" spans="1:18" x14ac:dyDescent="0.25">
      <c r="A1508" s="169">
        <v>44232</v>
      </c>
      <c r="B1508" s="116">
        <v>12.5</v>
      </c>
      <c r="C1508" s="116">
        <v>12.38</v>
      </c>
      <c r="D1508" s="116">
        <v>12.05</v>
      </c>
      <c r="E1508" s="116">
        <v>12.35</v>
      </c>
      <c r="F1508" s="116">
        <v>12.38</v>
      </c>
      <c r="G1508">
        <v>14737</v>
      </c>
      <c r="H1508" s="116"/>
      <c r="I1508" s="116"/>
      <c r="L1508" s="169">
        <v>44224</v>
      </c>
      <c r="M1508" s="116">
        <v>479.9</v>
      </c>
      <c r="N1508" s="116">
        <v>494.85</v>
      </c>
      <c r="O1508" s="116">
        <v>465.05</v>
      </c>
      <c r="P1508" s="116">
        <v>465.05</v>
      </c>
      <c r="Q1508" s="116">
        <v>479.9</v>
      </c>
      <c r="R1508">
        <v>586392</v>
      </c>
    </row>
    <row r="1509" spans="1:18" x14ac:dyDescent="0.25">
      <c r="A1509" s="169">
        <v>44235</v>
      </c>
      <c r="B1509" s="116">
        <v>12.35</v>
      </c>
      <c r="C1509" s="116">
        <v>12.3</v>
      </c>
      <c r="D1509" s="116">
        <v>11.77</v>
      </c>
      <c r="E1509" s="116">
        <v>12</v>
      </c>
      <c r="F1509" s="116">
        <v>12.3</v>
      </c>
      <c r="G1509">
        <v>22658</v>
      </c>
      <c r="H1509" s="116"/>
      <c r="I1509" s="116"/>
      <c r="L1509" s="169">
        <v>44225</v>
      </c>
      <c r="M1509" s="116">
        <v>480.3</v>
      </c>
      <c r="N1509" s="116">
        <v>493</v>
      </c>
      <c r="O1509" s="116">
        <v>477.75</v>
      </c>
      <c r="P1509" s="116">
        <v>493</v>
      </c>
      <c r="Q1509" s="116">
        <v>480.3</v>
      </c>
      <c r="R1509">
        <v>1056163</v>
      </c>
    </row>
    <row r="1510" spans="1:18" x14ac:dyDescent="0.25">
      <c r="A1510" s="169">
        <v>44236</v>
      </c>
      <c r="B1510" s="116">
        <v>12.3</v>
      </c>
      <c r="C1510" s="116">
        <v>12.06</v>
      </c>
      <c r="D1510" s="116">
        <v>11.7</v>
      </c>
      <c r="E1510" s="116">
        <v>12.3</v>
      </c>
      <c r="F1510" s="116">
        <v>12.06</v>
      </c>
      <c r="G1510">
        <v>36258</v>
      </c>
      <c r="H1510" s="116"/>
      <c r="I1510" s="116"/>
      <c r="L1510" s="169">
        <v>44228</v>
      </c>
      <c r="M1510" s="116">
        <v>484</v>
      </c>
      <c r="N1510" s="116">
        <v>496.95</v>
      </c>
      <c r="O1510" s="116">
        <v>477.25</v>
      </c>
      <c r="P1510" s="116">
        <v>483</v>
      </c>
      <c r="Q1510" s="116">
        <v>484</v>
      </c>
      <c r="R1510">
        <v>692638</v>
      </c>
    </row>
    <row r="1511" spans="1:18" x14ac:dyDescent="0.25">
      <c r="A1511" s="169">
        <v>44237</v>
      </c>
      <c r="B1511" s="116">
        <v>12.35</v>
      </c>
      <c r="C1511" s="116">
        <v>11.99</v>
      </c>
      <c r="D1511" s="116">
        <v>11.8</v>
      </c>
      <c r="E1511" s="116">
        <v>12.25</v>
      </c>
      <c r="F1511" s="116">
        <v>11.99</v>
      </c>
      <c r="G1511">
        <v>48754</v>
      </c>
      <c r="H1511" s="116"/>
      <c r="I1511" s="116"/>
      <c r="L1511" s="169">
        <v>44229</v>
      </c>
      <c r="M1511" s="116">
        <v>489.4</v>
      </c>
      <c r="N1511" s="116">
        <v>493.4</v>
      </c>
      <c r="O1511" s="116">
        <v>485</v>
      </c>
      <c r="P1511" s="116">
        <v>485.05</v>
      </c>
      <c r="Q1511" s="116">
        <v>489.4</v>
      </c>
      <c r="R1511">
        <v>662167</v>
      </c>
    </row>
    <row r="1512" spans="1:18" x14ac:dyDescent="0.25">
      <c r="A1512" s="169">
        <v>44238</v>
      </c>
      <c r="B1512" s="116">
        <v>12.35</v>
      </c>
      <c r="C1512" s="116">
        <v>12.27</v>
      </c>
      <c r="D1512" s="116">
        <v>11.95</v>
      </c>
      <c r="E1512" s="116">
        <v>11.95</v>
      </c>
      <c r="F1512" s="116">
        <v>12.27</v>
      </c>
      <c r="G1512">
        <v>45816</v>
      </c>
      <c r="H1512" s="116"/>
      <c r="I1512" s="116"/>
      <c r="L1512" s="169">
        <v>44230</v>
      </c>
      <c r="M1512" s="116">
        <v>491.5</v>
      </c>
      <c r="N1512" s="116">
        <v>498</v>
      </c>
      <c r="O1512" s="116">
        <v>488.5</v>
      </c>
      <c r="P1512" s="116">
        <v>492.8</v>
      </c>
      <c r="Q1512" s="116">
        <v>491.5</v>
      </c>
      <c r="R1512">
        <v>337331</v>
      </c>
    </row>
    <row r="1513" spans="1:18" x14ac:dyDescent="0.25">
      <c r="A1513" s="169">
        <v>44239</v>
      </c>
      <c r="B1513" s="116">
        <v>12.52</v>
      </c>
      <c r="C1513" s="116">
        <v>12.24</v>
      </c>
      <c r="D1513" s="116">
        <v>12</v>
      </c>
      <c r="E1513" s="116">
        <v>12.39</v>
      </c>
      <c r="F1513" s="116">
        <v>12.24</v>
      </c>
      <c r="G1513">
        <v>101512</v>
      </c>
      <c r="H1513" s="116"/>
      <c r="I1513" s="116"/>
      <c r="L1513" s="169">
        <v>44231</v>
      </c>
      <c r="M1513" s="116">
        <v>505.2</v>
      </c>
      <c r="N1513" s="116">
        <v>507.9</v>
      </c>
      <c r="O1513" s="116">
        <v>490</v>
      </c>
      <c r="P1513" s="116">
        <v>493</v>
      </c>
      <c r="Q1513" s="116">
        <v>505.2</v>
      </c>
      <c r="R1513">
        <v>457148</v>
      </c>
    </row>
    <row r="1514" spans="1:18" x14ac:dyDescent="0.25">
      <c r="A1514" s="169">
        <v>44242</v>
      </c>
      <c r="B1514" s="116">
        <v>12.49</v>
      </c>
      <c r="C1514" s="116">
        <v>11.66</v>
      </c>
      <c r="D1514" s="116">
        <v>11.63</v>
      </c>
      <c r="E1514" s="116">
        <v>12</v>
      </c>
      <c r="F1514" s="116">
        <v>11.66</v>
      </c>
      <c r="G1514">
        <v>47482</v>
      </c>
      <c r="H1514" s="116"/>
      <c r="I1514" s="116"/>
      <c r="L1514" s="169">
        <v>44232</v>
      </c>
      <c r="M1514" s="116">
        <v>498.95</v>
      </c>
      <c r="N1514" s="116">
        <v>514.6</v>
      </c>
      <c r="O1514" s="116">
        <v>496</v>
      </c>
      <c r="P1514" s="116">
        <v>507.65</v>
      </c>
      <c r="Q1514" s="116">
        <v>498.95</v>
      </c>
      <c r="R1514">
        <v>506970</v>
      </c>
    </row>
    <row r="1515" spans="1:18" x14ac:dyDescent="0.25">
      <c r="A1515" s="169">
        <v>44243</v>
      </c>
      <c r="B1515" s="116">
        <v>11.95</v>
      </c>
      <c r="C1515" s="116">
        <v>11.46</v>
      </c>
      <c r="D1515" s="116">
        <v>11.25</v>
      </c>
      <c r="E1515" s="116">
        <v>11.95</v>
      </c>
      <c r="F1515" s="116">
        <v>11.46</v>
      </c>
      <c r="G1515">
        <v>38826</v>
      </c>
      <c r="H1515" s="116"/>
      <c r="I1515" s="116"/>
      <c r="L1515" s="169">
        <v>44235</v>
      </c>
      <c r="M1515" s="116">
        <v>510.6</v>
      </c>
      <c r="N1515" s="116">
        <v>512.65</v>
      </c>
      <c r="O1515" s="116">
        <v>498.3</v>
      </c>
      <c r="P1515" s="116">
        <v>503.8</v>
      </c>
      <c r="Q1515" s="116">
        <v>510.6</v>
      </c>
      <c r="R1515">
        <v>311619</v>
      </c>
    </row>
    <row r="1516" spans="1:18" x14ac:dyDescent="0.25">
      <c r="A1516" s="169">
        <v>44244</v>
      </c>
      <c r="B1516" s="116">
        <v>11.77</v>
      </c>
      <c r="C1516" s="116">
        <v>11.04</v>
      </c>
      <c r="D1516" s="116">
        <v>10.95</v>
      </c>
      <c r="E1516" s="116">
        <v>11.46</v>
      </c>
      <c r="F1516" s="116">
        <v>11.04</v>
      </c>
      <c r="G1516">
        <v>91290</v>
      </c>
      <c r="H1516" s="116"/>
      <c r="I1516" s="116"/>
      <c r="L1516" s="169">
        <v>44236</v>
      </c>
      <c r="M1516" s="116">
        <v>500.55</v>
      </c>
      <c r="N1516" s="116">
        <v>509.8</v>
      </c>
      <c r="O1516" s="116">
        <v>496.6</v>
      </c>
      <c r="P1516" s="116">
        <v>507.1</v>
      </c>
      <c r="Q1516" s="116">
        <v>500.55</v>
      </c>
      <c r="R1516">
        <v>934318</v>
      </c>
    </row>
    <row r="1517" spans="1:18" x14ac:dyDescent="0.25">
      <c r="A1517" s="169">
        <v>44245</v>
      </c>
      <c r="B1517" s="116">
        <v>11.59</v>
      </c>
      <c r="C1517" s="116">
        <v>11.29</v>
      </c>
      <c r="D1517" s="116">
        <v>10.81</v>
      </c>
      <c r="E1517" s="116">
        <v>11.25</v>
      </c>
      <c r="F1517" s="116">
        <v>11.29</v>
      </c>
      <c r="G1517">
        <v>97159</v>
      </c>
      <c r="H1517" s="116"/>
      <c r="I1517" s="116"/>
      <c r="L1517" s="169">
        <v>44237</v>
      </c>
      <c r="M1517" s="116">
        <v>491</v>
      </c>
      <c r="N1517" s="116">
        <v>504.1</v>
      </c>
      <c r="O1517" s="116">
        <v>486.2</v>
      </c>
      <c r="P1517" s="116">
        <v>501</v>
      </c>
      <c r="Q1517" s="116">
        <v>491</v>
      </c>
      <c r="R1517">
        <v>177453</v>
      </c>
    </row>
    <row r="1518" spans="1:18" x14ac:dyDescent="0.25">
      <c r="A1518" s="169">
        <v>44246</v>
      </c>
      <c r="B1518" s="116">
        <v>11.6</v>
      </c>
      <c r="C1518" s="116">
        <v>11.48</v>
      </c>
      <c r="D1518" s="116">
        <v>11</v>
      </c>
      <c r="E1518" s="116">
        <v>11.06</v>
      </c>
      <c r="F1518" s="116">
        <v>11.48</v>
      </c>
      <c r="G1518">
        <v>16262</v>
      </c>
      <c r="H1518" s="116"/>
      <c r="I1518" s="116"/>
      <c r="L1518" s="169">
        <v>44238</v>
      </c>
      <c r="M1518" s="116">
        <v>489.3</v>
      </c>
      <c r="N1518" s="116">
        <v>502.4</v>
      </c>
      <c r="O1518" s="116">
        <v>485</v>
      </c>
      <c r="P1518" s="116">
        <v>490</v>
      </c>
      <c r="Q1518" s="116">
        <v>489.3</v>
      </c>
      <c r="R1518">
        <v>196321</v>
      </c>
    </row>
    <row r="1519" spans="1:18" x14ac:dyDescent="0.25">
      <c r="A1519" s="169">
        <v>44249</v>
      </c>
      <c r="B1519" s="116">
        <v>11.82</v>
      </c>
      <c r="C1519" s="116">
        <v>11.06</v>
      </c>
      <c r="D1519" s="116">
        <v>11</v>
      </c>
      <c r="E1519" s="116">
        <v>11.6</v>
      </c>
      <c r="F1519" s="116">
        <v>11.06</v>
      </c>
      <c r="G1519">
        <v>19614</v>
      </c>
      <c r="H1519" s="116"/>
      <c r="I1519" s="116"/>
      <c r="L1519" s="169">
        <v>44239</v>
      </c>
      <c r="M1519" s="116">
        <v>517.5</v>
      </c>
      <c r="N1519" s="116">
        <v>520</v>
      </c>
      <c r="O1519" s="116">
        <v>490.1</v>
      </c>
      <c r="P1519" s="116">
        <v>491</v>
      </c>
      <c r="Q1519" s="116">
        <v>517.5</v>
      </c>
      <c r="R1519">
        <v>1039146</v>
      </c>
    </row>
    <row r="1520" spans="1:18" x14ac:dyDescent="0.25">
      <c r="A1520" s="169">
        <v>44250</v>
      </c>
      <c r="B1520" s="116">
        <v>11.49</v>
      </c>
      <c r="C1520" s="116">
        <v>11.35</v>
      </c>
      <c r="D1520" s="116">
        <v>10.7</v>
      </c>
      <c r="E1520" s="116">
        <v>11.15</v>
      </c>
      <c r="F1520" s="116">
        <v>11.35</v>
      </c>
      <c r="G1520">
        <v>31008</v>
      </c>
      <c r="H1520" s="116"/>
      <c r="I1520" s="116"/>
      <c r="L1520" s="169">
        <v>44242</v>
      </c>
      <c r="M1520" s="116">
        <v>508.95</v>
      </c>
      <c r="N1520" s="116">
        <v>527.9</v>
      </c>
      <c r="O1520" s="116">
        <v>506</v>
      </c>
      <c r="P1520" s="116">
        <v>521.29999999999995</v>
      </c>
      <c r="Q1520" s="116">
        <v>508.95</v>
      </c>
      <c r="R1520">
        <v>829521</v>
      </c>
    </row>
    <row r="1521" spans="1:18" x14ac:dyDescent="0.25">
      <c r="A1521" s="169">
        <v>44251</v>
      </c>
      <c r="B1521" s="116">
        <v>11.4</v>
      </c>
      <c r="C1521" s="116">
        <v>11.3</v>
      </c>
      <c r="D1521" s="116">
        <v>10.85</v>
      </c>
      <c r="E1521" s="116">
        <v>11.4</v>
      </c>
      <c r="F1521" s="116">
        <v>11.3</v>
      </c>
      <c r="G1521">
        <v>41827</v>
      </c>
      <c r="H1521" s="116"/>
      <c r="I1521" s="116"/>
      <c r="L1521" s="169">
        <v>44243</v>
      </c>
      <c r="M1521" s="116">
        <v>512.70000000000005</v>
      </c>
      <c r="N1521" s="116">
        <v>525</v>
      </c>
      <c r="O1521" s="116">
        <v>510.15</v>
      </c>
      <c r="P1521" s="116">
        <v>511.9</v>
      </c>
      <c r="Q1521" s="116">
        <v>512.70000000000005</v>
      </c>
      <c r="R1521">
        <v>844561</v>
      </c>
    </row>
    <row r="1522" spans="1:18" x14ac:dyDescent="0.25">
      <c r="A1522" s="169">
        <v>44252</v>
      </c>
      <c r="B1522" s="116">
        <v>11.6</v>
      </c>
      <c r="C1522" s="116">
        <v>11.5</v>
      </c>
      <c r="D1522" s="116">
        <v>11.03</v>
      </c>
      <c r="E1522" s="116">
        <v>11.49</v>
      </c>
      <c r="F1522" s="116">
        <v>11.5</v>
      </c>
      <c r="G1522">
        <v>28982</v>
      </c>
      <c r="H1522" s="116"/>
      <c r="I1522" s="116"/>
      <c r="L1522" s="169">
        <v>44244</v>
      </c>
      <c r="M1522" s="116">
        <v>506.6</v>
      </c>
      <c r="N1522" s="116">
        <v>520</v>
      </c>
      <c r="O1522" s="116">
        <v>501.1</v>
      </c>
      <c r="P1522" s="116">
        <v>513</v>
      </c>
      <c r="Q1522" s="116">
        <v>506.6</v>
      </c>
      <c r="R1522">
        <v>525160</v>
      </c>
    </row>
    <row r="1523" spans="1:18" x14ac:dyDescent="0.25">
      <c r="A1523" s="169">
        <v>44253</v>
      </c>
      <c r="B1523" s="116">
        <v>11.7</v>
      </c>
      <c r="C1523" s="116">
        <v>11.13</v>
      </c>
      <c r="D1523" s="116">
        <v>11.06</v>
      </c>
      <c r="E1523" s="116">
        <v>11.5</v>
      </c>
      <c r="F1523" s="116">
        <v>11.13</v>
      </c>
      <c r="G1523">
        <v>42440</v>
      </c>
      <c r="H1523" s="116"/>
      <c r="I1523" s="116"/>
      <c r="L1523" s="169">
        <v>44245</v>
      </c>
      <c r="M1523" s="116">
        <v>511.1</v>
      </c>
      <c r="N1523" s="116">
        <v>534.4</v>
      </c>
      <c r="O1523" s="116">
        <v>508.9</v>
      </c>
      <c r="P1523" s="116">
        <v>509.2</v>
      </c>
      <c r="Q1523" s="116">
        <v>511.1</v>
      </c>
      <c r="R1523">
        <v>1151893</v>
      </c>
    </row>
    <row r="1524" spans="1:18" x14ac:dyDescent="0.25">
      <c r="A1524" s="169">
        <v>44256</v>
      </c>
      <c r="B1524" s="116">
        <v>11.59</v>
      </c>
      <c r="C1524" s="116">
        <v>10.92</v>
      </c>
      <c r="D1524" s="116">
        <v>10.62</v>
      </c>
      <c r="E1524" s="116">
        <v>11.49</v>
      </c>
      <c r="F1524" s="116">
        <v>10.92</v>
      </c>
      <c r="G1524">
        <v>32692</v>
      </c>
      <c r="H1524" s="116"/>
      <c r="I1524" s="116"/>
      <c r="L1524" s="169">
        <v>44246</v>
      </c>
      <c r="M1524" s="116">
        <v>515.5</v>
      </c>
      <c r="N1524" s="116">
        <v>522.54999999999995</v>
      </c>
      <c r="O1524" s="116">
        <v>506.35</v>
      </c>
      <c r="P1524" s="116">
        <v>512</v>
      </c>
      <c r="Q1524" s="116">
        <v>515.5</v>
      </c>
      <c r="R1524">
        <v>619454</v>
      </c>
    </row>
    <row r="1525" spans="1:18" x14ac:dyDescent="0.25">
      <c r="A1525" s="169">
        <v>44257</v>
      </c>
      <c r="B1525" s="116">
        <v>11.14</v>
      </c>
      <c r="C1525" s="116">
        <v>11.14</v>
      </c>
      <c r="D1525" s="116">
        <v>10.6</v>
      </c>
      <c r="E1525" s="116">
        <v>11</v>
      </c>
      <c r="F1525" s="116">
        <v>11.14</v>
      </c>
      <c r="G1525">
        <v>38974</v>
      </c>
      <c r="H1525" s="116"/>
      <c r="I1525" s="116"/>
      <c r="L1525" s="169">
        <v>44249</v>
      </c>
      <c r="M1525" s="116">
        <v>499.5</v>
      </c>
      <c r="N1525" s="116">
        <v>513.85</v>
      </c>
      <c r="O1525" s="116">
        <v>492.15</v>
      </c>
      <c r="P1525" s="116">
        <v>510.2</v>
      </c>
      <c r="Q1525" s="116">
        <v>499.5</v>
      </c>
      <c r="R1525">
        <v>330175</v>
      </c>
    </row>
    <row r="1526" spans="1:18" x14ac:dyDescent="0.25">
      <c r="A1526" s="169">
        <v>44258</v>
      </c>
      <c r="B1526" s="116">
        <v>11.69</v>
      </c>
      <c r="C1526" s="116">
        <v>11.55</v>
      </c>
      <c r="D1526" s="116">
        <v>10.81</v>
      </c>
      <c r="E1526" s="116">
        <v>11.45</v>
      </c>
      <c r="F1526" s="116">
        <v>11.55</v>
      </c>
      <c r="G1526">
        <v>45461</v>
      </c>
      <c r="H1526" s="116"/>
      <c r="I1526" s="116"/>
      <c r="L1526" s="169">
        <v>44250</v>
      </c>
      <c r="M1526" s="116">
        <v>485.85</v>
      </c>
      <c r="N1526" s="116">
        <v>503.85</v>
      </c>
      <c r="O1526" s="116">
        <v>484.3</v>
      </c>
      <c r="P1526" s="116">
        <v>500</v>
      </c>
      <c r="Q1526" s="116">
        <v>485.85</v>
      </c>
      <c r="R1526">
        <v>444424</v>
      </c>
    </row>
    <row r="1527" spans="1:18" x14ac:dyDescent="0.25">
      <c r="A1527" s="169">
        <v>44259</v>
      </c>
      <c r="B1527" s="116">
        <v>12</v>
      </c>
      <c r="C1527" s="116">
        <v>11.89</v>
      </c>
      <c r="D1527" s="116">
        <v>11.07</v>
      </c>
      <c r="E1527" s="116">
        <v>11.9</v>
      </c>
      <c r="F1527" s="116">
        <v>11.89</v>
      </c>
      <c r="G1527">
        <v>35900</v>
      </c>
      <c r="H1527" s="116"/>
      <c r="I1527" s="116"/>
      <c r="L1527" s="169">
        <v>44251</v>
      </c>
      <c r="M1527" s="116">
        <v>496.05</v>
      </c>
      <c r="N1527" s="116">
        <v>500</v>
      </c>
      <c r="O1527" s="116">
        <v>486</v>
      </c>
      <c r="P1527" s="116">
        <v>486</v>
      </c>
      <c r="Q1527" s="116">
        <v>496.05</v>
      </c>
      <c r="R1527">
        <v>172348</v>
      </c>
    </row>
    <row r="1528" spans="1:18" x14ac:dyDescent="0.25">
      <c r="A1528" s="169">
        <v>44260</v>
      </c>
      <c r="B1528" s="116">
        <v>12.48</v>
      </c>
      <c r="C1528" s="116">
        <v>12.43</v>
      </c>
      <c r="D1528" s="116">
        <v>11.6</v>
      </c>
      <c r="E1528" s="116">
        <v>11.9</v>
      </c>
      <c r="F1528" s="116">
        <v>12.43</v>
      </c>
      <c r="G1528">
        <v>44586</v>
      </c>
      <c r="H1528" s="116"/>
      <c r="I1528" s="116"/>
      <c r="L1528" s="169">
        <v>44252</v>
      </c>
      <c r="M1528" s="116">
        <v>489.3</v>
      </c>
      <c r="N1528" s="116">
        <v>513.25</v>
      </c>
      <c r="O1528" s="116">
        <v>488.35</v>
      </c>
      <c r="P1528" s="116">
        <v>496.15</v>
      </c>
      <c r="Q1528" s="116">
        <v>489.3</v>
      </c>
      <c r="R1528">
        <v>599512</v>
      </c>
    </row>
    <row r="1529" spans="1:18" x14ac:dyDescent="0.25">
      <c r="A1529" s="169">
        <v>44263</v>
      </c>
      <c r="B1529" s="116">
        <v>13</v>
      </c>
      <c r="C1529" s="116">
        <v>12.48</v>
      </c>
      <c r="D1529" s="116">
        <v>12.1</v>
      </c>
      <c r="E1529" s="116">
        <v>12.5</v>
      </c>
      <c r="F1529" s="116">
        <v>12.48</v>
      </c>
      <c r="G1529">
        <v>59466</v>
      </c>
      <c r="H1529" s="116"/>
      <c r="I1529" s="116"/>
      <c r="L1529" s="169">
        <v>44253</v>
      </c>
      <c r="M1529" s="116">
        <v>478.3</v>
      </c>
      <c r="N1529" s="116">
        <v>489.45</v>
      </c>
      <c r="O1529" s="116">
        <v>474.75</v>
      </c>
      <c r="P1529" s="116">
        <v>487.5</v>
      </c>
      <c r="Q1529" s="116">
        <v>478.3</v>
      </c>
      <c r="R1529">
        <v>434459</v>
      </c>
    </row>
    <row r="1530" spans="1:18" x14ac:dyDescent="0.25">
      <c r="A1530" s="169">
        <v>44264</v>
      </c>
      <c r="B1530" s="116">
        <v>12.98</v>
      </c>
      <c r="C1530" s="116">
        <v>12.15</v>
      </c>
      <c r="D1530" s="116">
        <v>11.86</v>
      </c>
      <c r="E1530" s="116">
        <v>12.97</v>
      </c>
      <c r="F1530" s="116">
        <v>12.15</v>
      </c>
      <c r="G1530">
        <v>35549</v>
      </c>
      <c r="H1530" s="116"/>
      <c r="I1530" s="116"/>
      <c r="L1530" s="169">
        <v>44256</v>
      </c>
      <c r="M1530" s="116">
        <v>474.7</v>
      </c>
      <c r="N1530" s="116">
        <v>490</v>
      </c>
      <c r="O1530" s="116">
        <v>473.5</v>
      </c>
      <c r="P1530" s="116">
        <v>483.4</v>
      </c>
      <c r="Q1530" s="116">
        <v>474.7</v>
      </c>
      <c r="R1530">
        <v>266573</v>
      </c>
    </row>
    <row r="1531" spans="1:18" x14ac:dyDescent="0.25">
      <c r="A1531" s="169">
        <v>44265</v>
      </c>
      <c r="B1531" s="116">
        <v>12.6</v>
      </c>
      <c r="C1531" s="116">
        <v>11.9</v>
      </c>
      <c r="D1531" s="116">
        <v>11.56</v>
      </c>
      <c r="E1531" s="116">
        <v>12.6</v>
      </c>
      <c r="F1531" s="116">
        <v>11.9</v>
      </c>
      <c r="G1531">
        <v>28613</v>
      </c>
      <c r="H1531" s="116"/>
      <c r="I1531" s="116"/>
      <c r="L1531" s="169">
        <v>44257</v>
      </c>
      <c r="M1531" s="116">
        <v>469.1</v>
      </c>
      <c r="N1531" s="116">
        <v>487.6</v>
      </c>
      <c r="O1531" s="116">
        <v>467.95</v>
      </c>
      <c r="P1531" s="116">
        <v>478.9</v>
      </c>
      <c r="Q1531" s="116">
        <v>469.1</v>
      </c>
      <c r="R1531">
        <v>418073</v>
      </c>
    </row>
    <row r="1532" spans="1:18" x14ac:dyDescent="0.25">
      <c r="A1532" s="169">
        <v>44267</v>
      </c>
      <c r="B1532" s="116">
        <v>12.39</v>
      </c>
      <c r="C1532" s="116">
        <v>12</v>
      </c>
      <c r="D1532" s="116">
        <v>11.31</v>
      </c>
      <c r="E1532" s="116">
        <v>12.39</v>
      </c>
      <c r="F1532" s="116">
        <v>12</v>
      </c>
      <c r="G1532">
        <v>57625</v>
      </c>
      <c r="H1532" s="116"/>
      <c r="I1532" s="116"/>
      <c r="L1532" s="169">
        <v>44258</v>
      </c>
      <c r="M1532" s="116">
        <v>486</v>
      </c>
      <c r="N1532" s="116">
        <v>490</v>
      </c>
      <c r="O1532" s="116">
        <v>471.15</v>
      </c>
      <c r="P1532" s="116">
        <v>474</v>
      </c>
      <c r="Q1532" s="116">
        <v>486</v>
      </c>
      <c r="R1532">
        <v>830146</v>
      </c>
    </row>
    <row r="1533" spans="1:18" x14ac:dyDescent="0.25">
      <c r="A1533" s="169">
        <v>44270</v>
      </c>
      <c r="B1533" s="116">
        <v>12.5</v>
      </c>
      <c r="C1533" s="116">
        <v>11.8</v>
      </c>
      <c r="D1533" s="116">
        <v>11.6</v>
      </c>
      <c r="E1533" s="116">
        <v>12.37</v>
      </c>
      <c r="F1533" s="116">
        <v>11.8</v>
      </c>
      <c r="G1533">
        <v>96111</v>
      </c>
      <c r="H1533" s="116"/>
      <c r="I1533" s="116"/>
      <c r="L1533" s="169">
        <v>44259</v>
      </c>
      <c r="M1533" s="116">
        <v>505.3</v>
      </c>
      <c r="N1533" s="116">
        <v>512.6</v>
      </c>
      <c r="O1533" s="116">
        <v>486</v>
      </c>
      <c r="P1533" s="116">
        <v>486</v>
      </c>
      <c r="Q1533" s="116">
        <v>505.3</v>
      </c>
      <c r="R1533">
        <v>1238853</v>
      </c>
    </row>
    <row r="1534" spans="1:18" x14ac:dyDescent="0.25">
      <c r="A1534" s="169">
        <v>44271</v>
      </c>
      <c r="B1534" s="116">
        <v>12.39</v>
      </c>
      <c r="C1534" s="116">
        <v>12.09</v>
      </c>
      <c r="D1534" s="116">
        <v>11.51</v>
      </c>
      <c r="E1534" s="116">
        <v>11.51</v>
      </c>
      <c r="F1534" s="116">
        <v>12.09</v>
      </c>
      <c r="G1534">
        <v>21128</v>
      </c>
      <c r="H1534" s="116"/>
      <c r="I1534" s="116"/>
      <c r="L1534" s="169">
        <v>44260</v>
      </c>
      <c r="M1534" s="116">
        <v>506.5</v>
      </c>
      <c r="N1534" s="116">
        <v>518</v>
      </c>
      <c r="O1534" s="116">
        <v>495.2</v>
      </c>
      <c r="P1534" s="116">
        <v>506.1</v>
      </c>
      <c r="Q1534" s="116">
        <v>506.5</v>
      </c>
      <c r="R1534">
        <v>615806</v>
      </c>
    </row>
    <row r="1535" spans="1:18" x14ac:dyDescent="0.25">
      <c r="A1535" s="169">
        <v>44272</v>
      </c>
      <c r="B1535" s="116">
        <v>12.3</v>
      </c>
      <c r="C1535" s="116">
        <v>11.94</v>
      </c>
      <c r="D1535" s="116">
        <v>11.65</v>
      </c>
      <c r="E1535" s="116">
        <v>11.7</v>
      </c>
      <c r="F1535" s="116">
        <v>11.94</v>
      </c>
      <c r="G1535">
        <v>110586</v>
      </c>
      <c r="H1535" s="116"/>
      <c r="I1535" s="116"/>
      <c r="L1535" s="169">
        <v>44263</v>
      </c>
      <c r="M1535" s="116">
        <v>510.4</v>
      </c>
      <c r="N1535" s="116">
        <v>517.1</v>
      </c>
      <c r="O1535" s="116">
        <v>508</v>
      </c>
      <c r="P1535" s="116">
        <v>515</v>
      </c>
      <c r="Q1535" s="116">
        <v>510.4</v>
      </c>
      <c r="R1535">
        <v>627464</v>
      </c>
    </row>
    <row r="1536" spans="1:18" x14ac:dyDescent="0.25">
      <c r="A1536" s="169">
        <v>44273</v>
      </c>
      <c r="B1536" s="116">
        <v>12.2</v>
      </c>
      <c r="C1536" s="116">
        <v>11.37</v>
      </c>
      <c r="D1536" s="116">
        <v>11.35</v>
      </c>
      <c r="E1536" s="116">
        <v>12.2</v>
      </c>
      <c r="F1536" s="116">
        <v>11.37</v>
      </c>
      <c r="G1536">
        <v>17512</v>
      </c>
      <c r="H1536" s="116"/>
      <c r="I1536" s="116"/>
      <c r="L1536" s="169">
        <v>44264</v>
      </c>
      <c r="M1536" s="116">
        <v>540.85</v>
      </c>
      <c r="N1536" s="116">
        <v>545</v>
      </c>
      <c r="O1536" s="116">
        <v>515</v>
      </c>
      <c r="P1536" s="116">
        <v>515</v>
      </c>
      <c r="Q1536" s="116">
        <v>540.85</v>
      </c>
      <c r="R1536">
        <v>2777682</v>
      </c>
    </row>
    <row r="1537" spans="1:18" x14ac:dyDescent="0.25">
      <c r="A1537" s="169">
        <v>44274</v>
      </c>
      <c r="B1537" s="116">
        <v>11.6</v>
      </c>
      <c r="C1537" s="116">
        <v>11.5</v>
      </c>
      <c r="D1537" s="116">
        <v>10.91</v>
      </c>
      <c r="E1537" s="116">
        <v>11.59</v>
      </c>
      <c r="F1537" s="116">
        <v>11.5</v>
      </c>
      <c r="G1537">
        <v>24387</v>
      </c>
      <c r="H1537" s="116"/>
      <c r="I1537" s="116"/>
      <c r="L1537" s="169">
        <v>44265</v>
      </c>
      <c r="M1537" s="116">
        <v>562.1</v>
      </c>
      <c r="N1537" s="116">
        <v>573.85</v>
      </c>
      <c r="O1537" s="116">
        <v>536.04999999999995</v>
      </c>
      <c r="P1537" s="116">
        <v>542.15</v>
      </c>
      <c r="Q1537" s="116">
        <v>562.1</v>
      </c>
      <c r="R1537">
        <v>3397677</v>
      </c>
    </row>
    <row r="1538" spans="1:18" x14ac:dyDescent="0.25">
      <c r="A1538" s="169">
        <v>44277</v>
      </c>
      <c r="B1538" s="116">
        <v>11.94</v>
      </c>
      <c r="C1538" s="116">
        <v>11.87</v>
      </c>
      <c r="D1538" s="116">
        <v>11.02</v>
      </c>
      <c r="E1538" s="116">
        <v>11.02</v>
      </c>
      <c r="F1538" s="116">
        <v>11.87</v>
      </c>
      <c r="G1538">
        <v>17276</v>
      </c>
      <c r="H1538" s="116"/>
      <c r="I1538" s="116"/>
      <c r="L1538" s="169">
        <v>44267</v>
      </c>
      <c r="M1538" s="116">
        <v>596.54999999999995</v>
      </c>
      <c r="N1538" s="116">
        <v>607.70000000000005</v>
      </c>
      <c r="O1538" s="116">
        <v>556</v>
      </c>
      <c r="P1538" s="116">
        <v>556</v>
      </c>
      <c r="Q1538" s="116">
        <v>596.54999999999995</v>
      </c>
      <c r="R1538">
        <v>4009397</v>
      </c>
    </row>
    <row r="1539" spans="1:18" x14ac:dyDescent="0.25">
      <c r="A1539" s="169">
        <v>44278</v>
      </c>
      <c r="B1539" s="116">
        <v>11.94</v>
      </c>
      <c r="C1539" s="116">
        <v>11.57</v>
      </c>
      <c r="D1539" s="116">
        <v>11.28</v>
      </c>
      <c r="E1539" s="116">
        <v>11.61</v>
      </c>
      <c r="F1539" s="116">
        <v>11.57</v>
      </c>
      <c r="G1539">
        <v>101307</v>
      </c>
      <c r="H1539" s="116"/>
      <c r="I1539" s="116"/>
      <c r="L1539" s="169">
        <v>44270</v>
      </c>
      <c r="M1539" s="116">
        <v>576.54999999999995</v>
      </c>
      <c r="N1539" s="116">
        <v>601.35</v>
      </c>
      <c r="O1539" s="116">
        <v>570.5</v>
      </c>
      <c r="P1539" s="116">
        <v>600.75</v>
      </c>
      <c r="Q1539" s="116">
        <v>576.54999999999995</v>
      </c>
      <c r="R1539">
        <v>936425</v>
      </c>
    </row>
    <row r="1540" spans="1:18" x14ac:dyDescent="0.25">
      <c r="A1540" s="169">
        <v>44279</v>
      </c>
      <c r="B1540" s="116">
        <v>11.9</v>
      </c>
      <c r="C1540" s="116">
        <v>11.35</v>
      </c>
      <c r="D1540" s="116">
        <v>11.25</v>
      </c>
      <c r="E1540" s="116">
        <v>11.57</v>
      </c>
      <c r="F1540" s="116">
        <v>11.35</v>
      </c>
      <c r="G1540">
        <v>25188</v>
      </c>
      <c r="H1540" s="116"/>
      <c r="I1540" s="116"/>
      <c r="L1540" s="169">
        <v>44271</v>
      </c>
      <c r="M1540" s="116">
        <v>566.70000000000005</v>
      </c>
      <c r="N1540" s="116">
        <v>596.9</v>
      </c>
      <c r="O1540" s="116">
        <v>563.6</v>
      </c>
      <c r="P1540" s="116">
        <v>576.54999999999995</v>
      </c>
      <c r="Q1540" s="116">
        <v>566.70000000000005</v>
      </c>
      <c r="R1540">
        <v>693433</v>
      </c>
    </row>
    <row r="1541" spans="1:18" x14ac:dyDescent="0.25">
      <c r="A1541" s="169">
        <v>44280</v>
      </c>
      <c r="B1541" s="116">
        <v>11.79</v>
      </c>
      <c r="C1541" s="116">
        <v>11.03</v>
      </c>
      <c r="D1541" s="116">
        <v>10.85</v>
      </c>
      <c r="E1541" s="116">
        <v>11.59</v>
      </c>
      <c r="F1541" s="116">
        <v>11.03</v>
      </c>
      <c r="G1541">
        <v>19406</v>
      </c>
      <c r="H1541" s="116"/>
      <c r="I1541" s="116"/>
      <c r="L1541" s="169">
        <v>44272</v>
      </c>
      <c r="M1541" s="116">
        <v>575.29999999999995</v>
      </c>
      <c r="N1541" s="116">
        <v>584.79999999999995</v>
      </c>
      <c r="O1541" s="116">
        <v>552</v>
      </c>
      <c r="P1541" s="116">
        <v>568</v>
      </c>
      <c r="Q1541" s="116">
        <v>575.29999999999995</v>
      </c>
      <c r="R1541">
        <v>662471</v>
      </c>
    </row>
    <row r="1542" spans="1:18" x14ac:dyDescent="0.25">
      <c r="A1542" s="169">
        <v>44281</v>
      </c>
      <c r="B1542" s="116">
        <v>11.36</v>
      </c>
      <c r="C1542" s="116">
        <v>11.03</v>
      </c>
      <c r="D1542" s="116">
        <v>10.48</v>
      </c>
      <c r="E1542" s="116">
        <v>11.2</v>
      </c>
      <c r="F1542" s="116">
        <v>11.03</v>
      </c>
      <c r="G1542">
        <v>155124</v>
      </c>
      <c r="H1542" s="116"/>
      <c r="I1542" s="116"/>
      <c r="L1542" s="169">
        <v>44273</v>
      </c>
      <c r="M1542" s="116">
        <v>568.5</v>
      </c>
      <c r="N1542" s="116">
        <v>582.25</v>
      </c>
      <c r="O1542" s="116">
        <v>558.6</v>
      </c>
      <c r="P1542" s="116">
        <v>581</v>
      </c>
      <c r="Q1542" s="116">
        <v>568.5</v>
      </c>
      <c r="R1542">
        <v>893766</v>
      </c>
    </row>
    <row r="1543" spans="1:18" x14ac:dyDescent="0.25">
      <c r="A1543" s="169">
        <v>44285</v>
      </c>
      <c r="B1543" s="116">
        <v>11.45</v>
      </c>
      <c r="C1543" s="116">
        <v>11.01</v>
      </c>
      <c r="D1543" s="116">
        <v>10.95</v>
      </c>
      <c r="E1543" s="116">
        <v>11.03</v>
      </c>
      <c r="F1543" s="116">
        <v>11.01</v>
      </c>
      <c r="G1543">
        <v>33266</v>
      </c>
      <c r="H1543" s="116"/>
      <c r="I1543" s="116"/>
      <c r="L1543" s="169">
        <v>44274</v>
      </c>
      <c r="M1543" s="116">
        <v>578.54999999999995</v>
      </c>
      <c r="N1543" s="116">
        <v>587.85</v>
      </c>
      <c r="O1543" s="116">
        <v>557</v>
      </c>
      <c r="P1543" s="116">
        <v>560</v>
      </c>
      <c r="Q1543" s="116">
        <v>578.54999999999995</v>
      </c>
      <c r="R1543">
        <v>755387</v>
      </c>
    </row>
    <row r="1544" spans="1:18" x14ac:dyDescent="0.25">
      <c r="A1544" s="169">
        <v>44286</v>
      </c>
      <c r="B1544" s="116">
        <v>11.23</v>
      </c>
      <c r="C1544" s="116">
        <v>11</v>
      </c>
      <c r="D1544" s="116">
        <v>10.6</v>
      </c>
      <c r="E1544" s="116">
        <v>11.22</v>
      </c>
      <c r="F1544" s="116">
        <v>11</v>
      </c>
      <c r="G1544">
        <v>46906</v>
      </c>
      <c r="H1544" s="116"/>
      <c r="I1544" s="116"/>
      <c r="L1544" s="169">
        <v>44277</v>
      </c>
      <c r="M1544" s="116">
        <v>602.4</v>
      </c>
      <c r="N1544" s="116">
        <v>612</v>
      </c>
      <c r="O1544" s="116">
        <v>577.95000000000005</v>
      </c>
      <c r="P1544" s="116">
        <v>580.95000000000005</v>
      </c>
      <c r="Q1544" s="116">
        <v>602.4</v>
      </c>
      <c r="R1544">
        <v>1378357</v>
      </c>
    </row>
    <row r="1545" spans="1:18" x14ac:dyDescent="0.25">
      <c r="A1545" s="169">
        <v>44287</v>
      </c>
      <c r="B1545" s="116">
        <v>11.2</v>
      </c>
      <c r="C1545" s="116">
        <v>11.2</v>
      </c>
      <c r="D1545" s="116">
        <v>10.61</v>
      </c>
      <c r="E1545" s="116">
        <v>11.18</v>
      </c>
      <c r="F1545" s="116">
        <v>11.2</v>
      </c>
      <c r="G1545">
        <v>27393</v>
      </c>
      <c r="H1545" s="116"/>
      <c r="I1545" s="116"/>
      <c r="L1545" s="169">
        <v>44278</v>
      </c>
      <c r="M1545" s="116">
        <v>602.65</v>
      </c>
      <c r="N1545" s="116">
        <v>619.79999999999995</v>
      </c>
      <c r="O1545" s="116">
        <v>592.4</v>
      </c>
      <c r="P1545" s="116">
        <v>603.5</v>
      </c>
      <c r="Q1545" s="116">
        <v>602.65</v>
      </c>
      <c r="R1545">
        <v>1200651</v>
      </c>
    </row>
    <row r="1546" spans="1:18" x14ac:dyDescent="0.25">
      <c r="A1546" s="169">
        <v>44291</v>
      </c>
      <c r="B1546" s="116">
        <v>11.45</v>
      </c>
      <c r="C1546" s="116">
        <v>11.04</v>
      </c>
      <c r="D1546" s="116">
        <v>10.71</v>
      </c>
      <c r="E1546" s="116">
        <v>11.44</v>
      </c>
      <c r="F1546" s="116">
        <v>11.04</v>
      </c>
      <c r="G1546">
        <v>7404</v>
      </c>
      <c r="H1546" s="116"/>
      <c r="I1546" s="116"/>
      <c r="L1546" s="169">
        <v>44279</v>
      </c>
      <c r="M1546" s="116">
        <v>578.6</v>
      </c>
      <c r="N1546" s="116">
        <v>602.1</v>
      </c>
      <c r="O1546" s="116">
        <v>575.1</v>
      </c>
      <c r="P1546" s="116">
        <v>595.25</v>
      </c>
      <c r="Q1546" s="116">
        <v>578.6</v>
      </c>
      <c r="R1546">
        <v>357208</v>
      </c>
    </row>
    <row r="1547" spans="1:18" x14ac:dyDescent="0.25">
      <c r="A1547" s="169">
        <v>44292</v>
      </c>
      <c r="B1547" s="116">
        <v>11.55</v>
      </c>
      <c r="C1547" s="116">
        <v>11.45</v>
      </c>
      <c r="D1547" s="116">
        <v>10.49</v>
      </c>
      <c r="E1547" s="116">
        <v>10.72</v>
      </c>
      <c r="F1547" s="116">
        <v>11.45</v>
      </c>
      <c r="G1547">
        <v>32505</v>
      </c>
      <c r="H1547" s="116"/>
      <c r="I1547" s="116"/>
      <c r="L1547" s="169">
        <v>44280</v>
      </c>
      <c r="M1547" s="116">
        <v>566.4</v>
      </c>
      <c r="N1547" s="116">
        <v>580</v>
      </c>
      <c r="O1547" s="116">
        <v>556.65</v>
      </c>
      <c r="P1547" s="116">
        <v>577.6</v>
      </c>
      <c r="Q1547" s="116">
        <v>566.4</v>
      </c>
      <c r="R1547">
        <v>654222</v>
      </c>
    </row>
    <row r="1548" spans="1:18" x14ac:dyDescent="0.25">
      <c r="A1548" s="169">
        <v>44293</v>
      </c>
      <c r="B1548" s="116">
        <v>12.02</v>
      </c>
      <c r="C1548" s="116">
        <v>11.79</v>
      </c>
      <c r="D1548" s="116">
        <v>10.88</v>
      </c>
      <c r="E1548" s="116">
        <v>12</v>
      </c>
      <c r="F1548" s="116">
        <v>11.79</v>
      </c>
      <c r="G1548">
        <v>90143</v>
      </c>
      <c r="H1548" s="116"/>
      <c r="I1548" s="116"/>
      <c r="L1548" s="169">
        <v>44281</v>
      </c>
      <c r="M1548" s="116">
        <v>575.95000000000005</v>
      </c>
      <c r="N1548" s="116">
        <v>591</v>
      </c>
      <c r="O1548" s="116">
        <v>565.65</v>
      </c>
      <c r="P1548" s="116">
        <v>574.75</v>
      </c>
      <c r="Q1548" s="116">
        <v>575.95000000000005</v>
      </c>
      <c r="R1548">
        <v>635685</v>
      </c>
    </row>
    <row r="1549" spans="1:18" x14ac:dyDescent="0.25">
      <c r="A1549" s="169">
        <v>44294</v>
      </c>
      <c r="B1549" s="116">
        <v>12.37</v>
      </c>
      <c r="C1549" s="116">
        <v>12.37</v>
      </c>
      <c r="D1549" s="116">
        <v>11.6</v>
      </c>
      <c r="E1549" s="116">
        <v>11.93</v>
      </c>
      <c r="F1549" s="116">
        <v>12.37</v>
      </c>
      <c r="G1549">
        <v>165564</v>
      </c>
      <c r="H1549" s="116"/>
      <c r="I1549" s="116"/>
      <c r="L1549" s="169">
        <v>44285</v>
      </c>
      <c r="M1549" s="116">
        <v>600.4</v>
      </c>
      <c r="N1549" s="116">
        <v>604.29999999999995</v>
      </c>
      <c r="O1549" s="116">
        <v>580</v>
      </c>
      <c r="P1549" s="116">
        <v>585.95000000000005</v>
      </c>
      <c r="Q1549" s="116">
        <v>600.4</v>
      </c>
      <c r="R1549">
        <v>424229</v>
      </c>
    </row>
    <row r="1550" spans="1:18" x14ac:dyDescent="0.25">
      <c r="A1550" s="169">
        <v>44295</v>
      </c>
      <c r="B1550" s="116">
        <v>12.98</v>
      </c>
      <c r="C1550" s="116">
        <v>12.81</v>
      </c>
      <c r="D1550" s="116">
        <v>11.81</v>
      </c>
      <c r="E1550" s="116">
        <v>12.39</v>
      </c>
      <c r="F1550" s="116">
        <v>12.81</v>
      </c>
      <c r="G1550">
        <v>101219</v>
      </c>
      <c r="H1550" s="116"/>
      <c r="I1550" s="116"/>
      <c r="L1550" s="169">
        <v>44286</v>
      </c>
      <c r="M1550" s="116">
        <v>613.75</v>
      </c>
      <c r="N1550" s="116">
        <v>619.4</v>
      </c>
      <c r="O1550" s="116">
        <v>585.4</v>
      </c>
      <c r="P1550" s="116">
        <v>601.9</v>
      </c>
      <c r="Q1550" s="116">
        <v>613.75</v>
      </c>
      <c r="R1550">
        <v>1105967</v>
      </c>
    </row>
    <row r="1551" spans="1:18" x14ac:dyDescent="0.25">
      <c r="A1551" s="169">
        <v>44298</v>
      </c>
      <c r="B1551" s="116">
        <v>13.45</v>
      </c>
      <c r="C1551" s="116">
        <v>13</v>
      </c>
      <c r="D1551" s="116">
        <v>12.8</v>
      </c>
      <c r="E1551" s="116">
        <v>13.45</v>
      </c>
      <c r="F1551" s="116">
        <v>13</v>
      </c>
      <c r="G1551">
        <v>208886</v>
      </c>
      <c r="H1551" s="116"/>
      <c r="I1551" s="116"/>
      <c r="L1551" s="169">
        <v>44287</v>
      </c>
      <c r="M1551" s="116">
        <v>611.45000000000005</v>
      </c>
      <c r="N1551" s="116">
        <v>619.9</v>
      </c>
      <c r="O1551" s="116">
        <v>602.54999999999995</v>
      </c>
      <c r="P1551" s="116">
        <v>617</v>
      </c>
      <c r="Q1551" s="116">
        <v>611.45000000000005</v>
      </c>
      <c r="R1551">
        <v>330083</v>
      </c>
    </row>
    <row r="1552" spans="1:18" x14ac:dyDescent="0.25">
      <c r="A1552" s="169">
        <v>44299</v>
      </c>
      <c r="B1552" s="116">
        <v>13.3</v>
      </c>
      <c r="C1552" s="116">
        <v>12.35</v>
      </c>
      <c r="D1552" s="116">
        <v>12.35</v>
      </c>
      <c r="E1552" s="116">
        <v>13.3</v>
      </c>
      <c r="F1552" s="116">
        <v>12.35</v>
      </c>
      <c r="G1552">
        <v>27875</v>
      </c>
      <c r="H1552" s="116"/>
      <c r="I1552" s="116"/>
      <c r="L1552" s="169">
        <v>44291</v>
      </c>
      <c r="M1552" s="116">
        <v>578.65</v>
      </c>
      <c r="N1552" s="116">
        <v>610</v>
      </c>
      <c r="O1552" s="116">
        <v>571.79999999999995</v>
      </c>
      <c r="P1552" s="116">
        <v>610</v>
      </c>
      <c r="Q1552" s="116">
        <v>578.65</v>
      </c>
      <c r="R1552">
        <v>395667</v>
      </c>
    </row>
    <row r="1553" spans="1:18" x14ac:dyDescent="0.25">
      <c r="A1553" s="169">
        <v>44301</v>
      </c>
      <c r="B1553" s="116">
        <v>12.84</v>
      </c>
      <c r="C1553" s="116">
        <v>12.47</v>
      </c>
      <c r="D1553" s="116">
        <v>11.85</v>
      </c>
      <c r="E1553" s="116">
        <v>12.5</v>
      </c>
      <c r="F1553" s="116">
        <v>12.47</v>
      </c>
      <c r="G1553">
        <v>26800</v>
      </c>
      <c r="H1553" s="116"/>
      <c r="I1553" s="116"/>
      <c r="L1553" s="169">
        <v>44292</v>
      </c>
      <c r="M1553" s="116">
        <v>567</v>
      </c>
      <c r="N1553" s="116">
        <v>582.20000000000005</v>
      </c>
      <c r="O1553" s="116">
        <v>564.45000000000005</v>
      </c>
      <c r="P1553" s="116">
        <v>581.70000000000005</v>
      </c>
      <c r="Q1553" s="116">
        <v>567</v>
      </c>
      <c r="R1553">
        <v>387239</v>
      </c>
    </row>
    <row r="1554" spans="1:18" x14ac:dyDescent="0.25">
      <c r="A1554" s="169">
        <v>44302</v>
      </c>
      <c r="B1554" s="116">
        <v>12.84</v>
      </c>
      <c r="C1554" s="116">
        <v>12.7</v>
      </c>
      <c r="D1554" s="116">
        <v>12</v>
      </c>
      <c r="E1554" s="116">
        <v>12.75</v>
      </c>
      <c r="F1554" s="116">
        <v>12.7</v>
      </c>
      <c r="G1554">
        <v>43012</v>
      </c>
      <c r="H1554" s="116"/>
      <c r="I1554" s="116"/>
      <c r="L1554" s="169">
        <v>44293</v>
      </c>
      <c r="M1554" s="116">
        <v>567.29999999999995</v>
      </c>
      <c r="N1554" s="116">
        <v>578</v>
      </c>
      <c r="O1554" s="116">
        <v>564.45000000000005</v>
      </c>
      <c r="P1554" s="116">
        <v>567</v>
      </c>
      <c r="Q1554" s="116">
        <v>567.29999999999995</v>
      </c>
      <c r="R1554">
        <v>363319</v>
      </c>
    </row>
    <row r="1555" spans="1:18" x14ac:dyDescent="0.25">
      <c r="A1555" s="169">
        <v>44305</v>
      </c>
      <c r="B1555" s="116">
        <v>13.33</v>
      </c>
      <c r="C1555" s="116">
        <v>12.82</v>
      </c>
      <c r="D1555" s="116">
        <v>12.11</v>
      </c>
      <c r="E1555" s="116">
        <v>12.75</v>
      </c>
      <c r="F1555" s="116">
        <v>12.82</v>
      </c>
      <c r="G1555">
        <v>45392</v>
      </c>
      <c r="H1555" s="116"/>
      <c r="I1555" s="116"/>
      <c r="L1555" s="169">
        <v>44294</v>
      </c>
      <c r="M1555" s="116">
        <v>566.79999999999995</v>
      </c>
      <c r="N1555" s="116">
        <v>573.29999999999995</v>
      </c>
      <c r="O1555" s="116">
        <v>565</v>
      </c>
      <c r="P1555" s="116">
        <v>573.29999999999995</v>
      </c>
      <c r="Q1555" s="116">
        <v>566.79999999999995</v>
      </c>
      <c r="R1555">
        <v>143346</v>
      </c>
    </row>
    <row r="1556" spans="1:18" x14ac:dyDescent="0.25">
      <c r="A1556" s="169">
        <v>44306</v>
      </c>
      <c r="B1556" s="116">
        <v>13.2</v>
      </c>
      <c r="C1556" s="116">
        <v>12.54</v>
      </c>
      <c r="D1556" s="116">
        <v>12.18</v>
      </c>
      <c r="E1556" s="116">
        <v>12.85</v>
      </c>
      <c r="F1556" s="116">
        <v>12.54</v>
      </c>
      <c r="G1556">
        <v>62357</v>
      </c>
      <c r="H1556" s="116"/>
      <c r="I1556" s="116"/>
      <c r="L1556" s="169">
        <v>44295</v>
      </c>
      <c r="M1556" s="116">
        <v>552.5</v>
      </c>
      <c r="N1556" s="116">
        <v>569.79999999999995</v>
      </c>
      <c r="O1556" s="116">
        <v>547.25</v>
      </c>
      <c r="P1556" s="116">
        <v>566.79999999999995</v>
      </c>
      <c r="Q1556" s="116">
        <v>552.5</v>
      </c>
      <c r="R1556">
        <v>373986</v>
      </c>
    </row>
    <row r="1557" spans="1:18" x14ac:dyDescent="0.25">
      <c r="A1557" s="169">
        <v>44308</v>
      </c>
      <c r="B1557" s="116">
        <v>12.88</v>
      </c>
      <c r="C1557" s="116">
        <v>12.41</v>
      </c>
      <c r="D1557" s="116">
        <v>12.01</v>
      </c>
      <c r="E1557" s="116">
        <v>12.3</v>
      </c>
      <c r="F1557" s="116">
        <v>12.41</v>
      </c>
      <c r="G1557">
        <v>50527</v>
      </c>
      <c r="H1557" s="116"/>
      <c r="I1557" s="116"/>
      <c r="L1557" s="169">
        <v>44298</v>
      </c>
      <c r="M1557" s="116">
        <v>512.15</v>
      </c>
      <c r="N1557" s="116">
        <v>546</v>
      </c>
      <c r="O1557" s="116">
        <v>494.25</v>
      </c>
      <c r="P1557" s="116">
        <v>544</v>
      </c>
      <c r="Q1557" s="116">
        <v>512.15</v>
      </c>
      <c r="R1557">
        <v>686602</v>
      </c>
    </row>
    <row r="1558" spans="1:18" x14ac:dyDescent="0.25">
      <c r="A1558" s="169">
        <v>44309</v>
      </c>
      <c r="B1558" s="116">
        <v>12.95</v>
      </c>
      <c r="C1558" s="116">
        <v>12.72</v>
      </c>
      <c r="D1558" s="116">
        <v>11.9</v>
      </c>
      <c r="E1558" s="116">
        <v>12.06</v>
      </c>
      <c r="F1558" s="116">
        <v>12.72</v>
      </c>
      <c r="G1558">
        <v>27758</v>
      </c>
      <c r="H1558" s="116"/>
      <c r="I1558" s="116"/>
      <c r="L1558" s="169">
        <v>44299</v>
      </c>
      <c r="M1558" s="116">
        <v>516.1</v>
      </c>
      <c r="N1558" s="116">
        <v>518</v>
      </c>
      <c r="O1558" s="116">
        <v>495.15</v>
      </c>
      <c r="P1558" s="116">
        <v>510.1</v>
      </c>
      <c r="Q1558" s="116">
        <v>516.1</v>
      </c>
      <c r="R1558">
        <v>399805</v>
      </c>
    </row>
    <row r="1559" spans="1:18" x14ac:dyDescent="0.25">
      <c r="A1559" s="169">
        <v>44312</v>
      </c>
      <c r="B1559" s="116">
        <v>12.9</v>
      </c>
      <c r="C1559" s="116">
        <v>12.72</v>
      </c>
      <c r="D1559" s="116">
        <v>12.65</v>
      </c>
      <c r="E1559" s="116">
        <v>12.72</v>
      </c>
      <c r="F1559" s="116">
        <v>12.72</v>
      </c>
      <c r="G1559">
        <v>23293</v>
      </c>
      <c r="H1559" s="116"/>
      <c r="I1559" s="116"/>
      <c r="L1559" s="169">
        <v>44301</v>
      </c>
      <c r="M1559" s="116">
        <v>512.6</v>
      </c>
      <c r="N1559" s="116">
        <v>527.95000000000005</v>
      </c>
      <c r="O1559" s="116">
        <v>502</v>
      </c>
      <c r="P1559" s="116">
        <v>507</v>
      </c>
      <c r="Q1559" s="116">
        <v>512.6</v>
      </c>
      <c r="R1559">
        <v>543655</v>
      </c>
    </row>
    <row r="1560" spans="1:18" x14ac:dyDescent="0.25">
      <c r="A1560" s="169">
        <v>44313</v>
      </c>
      <c r="B1560" s="116">
        <v>13.35</v>
      </c>
      <c r="C1560" s="116">
        <v>13.35</v>
      </c>
      <c r="D1560" s="116">
        <v>12.13</v>
      </c>
      <c r="E1560" s="116">
        <v>12.13</v>
      </c>
      <c r="F1560" s="116">
        <v>13.35</v>
      </c>
      <c r="G1560">
        <v>63714</v>
      </c>
      <c r="H1560" s="116"/>
      <c r="I1560" s="116"/>
      <c r="L1560" s="169">
        <v>44302</v>
      </c>
      <c r="M1560" s="116">
        <v>514.65</v>
      </c>
      <c r="N1560" s="116">
        <v>532</v>
      </c>
      <c r="O1560" s="116">
        <v>510.5</v>
      </c>
      <c r="P1560" s="116">
        <v>512.75</v>
      </c>
      <c r="Q1560" s="116">
        <v>514.65</v>
      </c>
      <c r="R1560">
        <v>515230</v>
      </c>
    </row>
    <row r="1561" spans="1:18" x14ac:dyDescent="0.25">
      <c r="A1561" s="169">
        <v>44314</v>
      </c>
      <c r="B1561" s="116">
        <v>14.01</v>
      </c>
      <c r="C1561" s="116">
        <v>14.01</v>
      </c>
      <c r="D1561" s="116">
        <v>13.6</v>
      </c>
      <c r="E1561" s="116">
        <v>13.75</v>
      </c>
      <c r="F1561" s="116">
        <v>14.01</v>
      </c>
      <c r="G1561">
        <v>87653</v>
      </c>
      <c r="H1561" s="116"/>
      <c r="I1561" s="116"/>
      <c r="L1561" s="169">
        <v>44305</v>
      </c>
      <c r="M1561" s="116">
        <v>500.6</v>
      </c>
      <c r="N1561" s="116">
        <v>505</v>
      </c>
      <c r="O1561" s="116">
        <v>489.2</v>
      </c>
      <c r="P1561" s="116">
        <v>498</v>
      </c>
      <c r="Q1561" s="116">
        <v>500.6</v>
      </c>
      <c r="R1561">
        <v>293658</v>
      </c>
    </row>
    <row r="1562" spans="1:18" x14ac:dyDescent="0.25">
      <c r="A1562" s="169">
        <v>44315</v>
      </c>
      <c r="B1562" s="116">
        <v>14.71</v>
      </c>
      <c r="C1562" s="116">
        <v>14.7</v>
      </c>
      <c r="D1562" s="116">
        <v>13.8</v>
      </c>
      <c r="E1562" s="116">
        <v>14.65</v>
      </c>
      <c r="F1562" s="116">
        <v>14.7</v>
      </c>
      <c r="G1562">
        <v>149258</v>
      </c>
      <c r="H1562" s="116"/>
      <c r="I1562" s="116"/>
      <c r="L1562" s="169">
        <v>44306</v>
      </c>
      <c r="M1562" s="116">
        <v>512.4</v>
      </c>
      <c r="N1562" s="116">
        <v>518</v>
      </c>
      <c r="O1562" s="116">
        <v>501.5</v>
      </c>
      <c r="P1562" s="116">
        <v>508</v>
      </c>
      <c r="Q1562" s="116">
        <v>512.4</v>
      </c>
      <c r="R1562">
        <v>253757</v>
      </c>
    </row>
    <row r="1563" spans="1:18" x14ac:dyDescent="0.25">
      <c r="A1563" s="169">
        <v>44316</v>
      </c>
      <c r="B1563" s="116">
        <v>15.43</v>
      </c>
      <c r="C1563" s="116">
        <v>15.03</v>
      </c>
      <c r="D1563" s="116">
        <v>14.51</v>
      </c>
      <c r="E1563" s="116">
        <v>14.7</v>
      </c>
      <c r="F1563" s="116">
        <v>15.03</v>
      </c>
      <c r="G1563">
        <v>178739</v>
      </c>
      <c r="H1563" s="116"/>
      <c r="I1563" s="116"/>
      <c r="L1563" s="169">
        <v>44308</v>
      </c>
      <c r="M1563" s="116">
        <v>508.75</v>
      </c>
      <c r="N1563" s="116">
        <v>519.9</v>
      </c>
      <c r="O1563" s="116">
        <v>503</v>
      </c>
      <c r="P1563" s="116">
        <v>508</v>
      </c>
      <c r="Q1563" s="116">
        <v>508.75</v>
      </c>
      <c r="R1563">
        <v>242353</v>
      </c>
    </row>
    <row r="1564" spans="1:18" x14ac:dyDescent="0.25">
      <c r="A1564" s="169">
        <v>44319</v>
      </c>
      <c r="B1564" s="116">
        <v>15.75</v>
      </c>
      <c r="C1564" s="116">
        <v>15.2</v>
      </c>
      <c r="D1564" s="116">
        <v>14.3</v>
      </c>
      <c r="E1564" s="116">
        <v>15.25</v>
      </c>
      <c r="F1564" s="116">
        <v>15.2</v>
      </c>
      <c r="G1564">
        <v>182397</v>
      </c>
      <c r="H1564" s="116"/>
      <c r="I1564" s="116"/>
      <c r="L1564" s="169">
        <v>44309</v>
      </c>
      <c r="M1564" s="116">
        <v>523.5</v>
      </c>
      <c r="N1564" s="116">
        <v>528.9</v>
      </c>
      <c r="O1564" s="116">
        <v>504.35</v>
      </c>
      <c r="P1564" s="116">
        <v>504.35</v>
      </c>
      <c r="Q1564" s="116">
        <v>523.5</v>
      </c>
      <c r="R1564">
        <v>996130</v>
      </c>
    </row>
    <row r="1565" spans="1:18" x14ac:dyDescent="0.25">
      <c r="A1565" s="169">
        <v>44320</v>
      </c>
      <c r="B1565" s="116">
        <v>15.95</v>
      </c>
      <c r="C1565" s="116">
        <v>15.95</v>
      </c>
      <c r="D1565" s="116">
        <v>15.2</v>
      </c>
      <c r="E1565" s="116">
        <v>15.6</v>
      </c>
      <c r="F1565" s="116">
        <v>15.95</v>
      </c>
      <c r="G1565">
        <v>350896</v>
      </c>
      <c r="H1565" s="116"/>
      <c r="I1565" s="116"/>
      <c r="L1565" s="169">
        <v>44312</v>
      </c>
      <c r="M1565" s="116">
        <v>570.29999999999995</v>
      </c>
      <c r="N1565" s="116">
        <v>586.25</v>
      </c>
      <c r="O1565" s="116">
        <v>525</v>
      </c>
      <c r="P1565" s="116">
        <v>525</v>
      </c>
      <c r="Q1565" s="116">
        <v>570.29999999999995</v>
      </c>
      <c r="R1565">
        <v>1404552</v>
      </c>
    </row>
    <row r="1566" spans="1:18" x14ac:dyDescent="0.25">
      <c r="A1566" s="169">
        <v>44321</v>
      </c>
      <c r="B1566" s="116">
        <v>16.7</v>
      </c>
      <c r="C1566" s="116">
        <v>16.7</v>
      </c>
      <c r="D1566" s="116">
        <v>16.350000000000001</v>
      </c>
      <c r="E1566" s="116">
        <v>16.350000000000001</v>
      </c>
      <c r="F1566" s="116">
        <v>16.7</v>
      </c>
      <c r="G1566">
        <v>156946</v>
      </c>
      <c r="H1566" s="116"/>
      <c r="I1566" s="116"/>
      <c r="L1566" s="169">
        <v>44313</v>
      </c>
      <c r="M1566" s="116">
        <v>572.65</v>
      </c>
      <c r="N1566" s="116">
        <v>579.54999999999995</v>
      </c>
      <c r="O1566" s="116">
        <v>566.15</v>
      </c>
      <c r="P1566" s="116">
        <v>574</v>
      </c>
      <c r="Q1566" s="116">
        <v>572.65</v>
      </c>
      <c r="R1566">
        <v>410664</v>
      </c>
    </row>
    <row r="1567" spans="1:18" x14ac:dyDescent="0.25">
      <c r="A1567" s="169">
        <v>44322</v>
      </c>
      <c r="B1567" s="116">
        <v>17.5</v>
      </c>
      <c r="C1567" s="116">
        <v>17.5</v>
      </c>
      <c r="D1567" s="116">
        <v>17.5</v>
      </c>
      <c r="E1567" s="116">
        <v>17.5</v>
      </c>
      <c r="F1567" s="116">
        <v>17.5</v>
      </c>
      <c r="G1567">
        <v>109793</v>
      </c>
      <c r="H1567" s="116"/>
      <c r="I1567" s="116"/>
      <c r="L1567" s="169">
        <v>44314</v>
      </c>
      <c r="M1567" s="116">
        <v>593.25</v>
      </c>
      <c r="N1567" s="116">
        <v>598</v>
      </c>
      <c r="O1567" s="116">
        <v>572.6</v>
      </c>
      <c r="P1567" s="116">
        <v>572.65</v>
      </c>
      <c r="Q1567" s="116">
        <v>593.25</v>
      </c>
      <c r="R1567">
        <v>544308</v>
      </c>
    </row>
    <row r="1568" spans="1:18" x14ac:dyDescent="0.25">
      <c r="A1568" s="169">
        <v>44323</v>
      </c>
      <c r="B1568" s="116">
        <v>18.350000000000001</v>
      </c>
      <c r="C1568" s="116">
        <v>18.350000000000001</v>
      </c>
      <c r="D1568" s="116">
        <v>18.350000000000001</v>
      </c>
      <c r="E1568" s="116">
        <v>18.350000000000001</v>
      </c>
      <c r="F1568" s="116">
        <v>18.350000000000001</v>
      </c>
      <c r="G1568">
        <v>95368</v>
      </c>
      <c r="H1568" s="116"/>
      <c r="I1568" s="116"/>
      <c r="L1568" s="169">
        <v>44315</v>
      </c>
      <c r="M1568" s="116">
        <v>580.29999999999995</v>
      </c>
      <c r="N1568" s="116">
        <v>606</v>
      </c>
      <c r="O1568" s="116">
        <v>576</v>
      </c>
      <c r="P1568" s="116">
        <v>597.20000000000005</v>
      </c>
      <c r="Q1568" s="116">
        <v>580.29999999999995</v>
      </c>
      <c r="R1568">
        <v>1115398</v>
      </c>
    </row>
    <row r="1569" spans="1:18" x14ac:dyDescent="0.25">
      <c r="A1569" s="169">
        <v>44326</v>
      </c>
      <c r="B1569" s="116">
        <v>19.25</v>
      </c>
      <c r="C1569" s="116">
        <v>19.25</v>
      </c>
      <c r="D1569" s="116">
        <v>19.25</v>
      </c>
      <c r="E1569" s="116">
        <v>19.25</v>
      </c>
      <c r="F1569" s="116">
        <v>19.25</v>
      </c>
      <c r="G1569">
        <v>65929</v>
      </c>
      <c r="H1569" s="116"/>
      <c r="I1569" s="116"/>
      <c r="L1569" s="169">
        <v>44316</v>
      </c>
      <c r="M1569" s="116">
        <v>581.45000000000005</v>
      </c>
      <c r="N1569" s="116">
        <v>589.20000000000005</v>
      </c>
      <c r="O1569" s="116">
        <v>570.6</v>
      </c>
      <c r="P1569" s="116">
        <v>571.1</v>
      </c>
      <c r="Q1569" s="116">
        <v>581.45000000000005</v>
      </c>
      <c r="R1569">
        <v>291905</v>
      </c>
    </row>
    <row r="1570" spans="1:18" x14ac:dyDescent="0.25">
      <c r="A1570" s="169">
        <v>44327</v>
      </c>
      <c r="B1570" s="116">
        <v>20.2</v>
      </c>
      <c r="C1570" s="116">
        <v>20.2</v>
      </c>
      <c r="D1570" s="116">
        <v>20.2</v>
      </c>
      <c r="E1570" s="116">
        <v>20.2</v>
      </c>
      <c r="F1570" s="116">
        <v>20.2</v>
      </c>
      <c r="G1570">
        <v>101418</v>
      </c>
      <c r="H1570" s="116"/>
      <c r="I1570" s="116"/>
      <c r="L1570" s="169">
        <v>44319</v>
      </c>
      <c r="M1570" s="116">
        <v>547.75</v>
      </c>
      <c r="N1570" s="116">
        <v>568</v>
      </c>
      <c r="O1570" s="116">
        <v>545.5</v>
      </c>
      <c r="P1570" s="116">
        <v>565</v>
      </c>
      <c r="Q1570" s="116">
        <v>547.75</v>
      </c>
      <c r="R1570">
        <v>714057</v>
      </c>
    </row>
    <row r="1571" spans="1:18" x14ac:dyDescent="0.25">
      <c r="A1571" s="169">
        <v>44328</v>
      </c>
      <c r="B1571" s="116">
        <v>20.6</v>
      </c>
      <c r="C1571" s="116">
        <v>19.8</v>
      </c>
      <c r="D1571" s="116">
        <v>19.8</v>
      </c>
      <c r="E1571" s="116">
        <v>20.6</v>
      </c>
      <c r="F1571" s="116">
        <v>19.8</v>
      </c>
      <c r="G1571">
        <v>935245</v>
      </c>
      <c r="H1571" s="116"/>
      <c r="I1571" s="116"/>
      <c r="L1571" s="169">
        <v>44320</v>
      </c>
      <c r="M1571" s="116">
        <v>526.35</v>
      </c>
      <c r="N1571" s="116">
        <v>560.65</v>
      </c>
      <c r="O1571" s="116">
        <v>522.20000000000005</v>
      </c>
      <c r="P1571" s="116">
        <v>550</v>
      </c>
      <c r="Q1571" s="116">
        <v>526.35</v>
      </c>
      <c r="R1571">
        <v>463277</v>
      </c>
    </row>
    <row r="1572" spans="1:18" x14ac:dyDescent="0.25">
      <c r="A1572" s="169">
        <v>44330</v>
      </c>
      <c r="B1572" s="116">
        <v>20.149999999999999</v>
      </c>
      <c r="C1572" s="116">
        <v>20.149999999999999</v>
      </c>
      <c r="D1572" s="116">
        <v>19.45</v>
      </c>
      <c r="E1572" s="116">
        <v>20.149999999999999</v>
      </c>
      <c r="F1572" s="116">
        <v>20.149999999999999</v>
      </c>
      <c r="G1572">
        <v>649723</v>
      </c>
      <c r="H1572" s="116"/>
      <c r="I1572" s="116"/>
      <c r="L1572" s="169">
        <v>44321</v>
      </c>
      <c r="M1572" s="116">
        <v>532.85</v>
      </c>
      <c r="N1572" s="116">
        <v>538.04999999999995</v>
      </c>
      <c r="O1572" s="116">
        <v>530.1</v>
      </c>
      <c r="P1572" s="116">
        <v>534</v>
      </c>
      <c r="Q1572" s="116">
        <v>532.85</v>
      </c>
      <c r="R1572">
        <v>515577</v>
      </c>
    </row>
    <row r="1573" spans="1:18" x14ac:dyDescent="0.25">
      <c r="A1573" s="169">
        <v>44333</v>
      </c>
      <c r="B1573" s="116">
        <v>20.55</v>
      </c>
      <c r="C1573" s="116">
        <v>20.55</v>
      </c>
      <c r="D1573" s="116">
        <v>20.55</v>
      </c>
      <c r="E1573" s="116">
        <v>20.55</v>
      </c>
      <c r="F1573" s="116">
        <v>20.55</v>
      </c>
      <c r="G1573">
        <v>195765</v>
      </c>
      <c r="H1573" s="116"/>
      <c r="I1573" s="116"/>
      <c r="L1573" s="169">
        <v>44322</v>
      </c>
      <c r="M1573" s="116">
        <v>524.29999999999995</v>
      </c>
      <c r="N1573" s="116">
        <v>537.54999999999995</v>
      </c>
      <c r="O1573" s="116">
        <v>521</v>
      </c>
      <c r="P1573" s="116">
        <v>532.85</v>
      </c>
      <c r="Q1573" s="116">
        <v>524.29999999999995</v>
      </c>
      <c r="R1573">
        <v>209855</v>
      </c>
    </row>
    <row r="1574" spans="1:18" x14ac:dyDescent="0.25">
      <c r="A1574" s="169">
        <v>44334</v>
      </c>
      <c r="B1574" s="116">
        <v>20.95</v>
      </c>
      <c r="C1574" s="116">
        <v>20.95</v>
      </c>
      <c r="D1574" s="116">
        <v>20.95</v>
      </c>
      <c r="E1574" s="116">
        <v>20.95</v>
      </c>
      <c r="F1574" s="116">
        <v>20.95</v>
      </c>
      <c r="G1574">
        <v>30936</v>
      </c>
      <c r="H1574" s="116"/>
      <c r="I1574" s="116"/>
      <c r="L1574" s="169">
        <v>44323</v>
      </c>
      <c r="M1574" s="116">
        <v>522.75</v>
      </c>
      <c r="N1574" s="116">
        <v>532.5</v>
      </c>
      <c r="O1574" s="116">
        <v>521.04999999999995</v>
      </c>
      <c r="P1574" s="116">
        <v>529.29999999999995</v>
      </c>
      <c r="Q1574" s="116">
        <v>522.75</v>
      </c>
      <c r="R1574">
        <v>144514</v>
      </c>
    </row>
    <row r="1575" spans="1:18" x14ac:dyDescent="0.25">
      <c r="A1575" s="169">
        <v>44335</v>
      </c>
      <c r="B1575" s="116">
        <v>21.35</v>
      </c>
      <c r="C1575" s="116">
        <v>21.35</v>
      </c>
      <c r="D1575" s="116">
        <v>21.35</v>
      </c>
      <c r="E1575" s="116">
        <v>21.35</v>
      </c>
      <c r="F1575" s="116">
        <v>21.35</v>
      </c>
      <c r="G1575">
        <v>89444</v>
      </c>
      <c r="H1575" s="116"/>
      <c r="I1575" s="116"/>
      <c r="L1575" s="169">
        <v>44326</v>
      </c>
      <c r="M1575" s="116">
        <v>513.1</v>
      </c>
      <c r="N1575" s="116">
        <v>528</v>
      </c>
      <c r="O1575" s="116">
        <v>510.05</v>
      </c>
      <c r="P1575" s="116">
        <v>523.5</v>
      </c>
      <c r="Q1575" s="116">
        <v>513.1</v>
      </c>
      <c r="R1575">
        <v>304134</v>
      </c>
    </row>
    <row r="1576" spans="1:18" x14ac:dyDescent="0.25">
      <c r="A1576" s="169">
        <v>44336</v>
      </c>
      <c r="B1576" s="116">
        <v>21.75</v>
      </c>
      <c r="C1576" s="116">
        <v>21.75</v>
      </c>
      <c r="D1576" s="116">
        <v>21.75</v>
      </c>
      <c r="E1576" s="116">
        <v>21.75</v>
      </c>
      <c r="F1576" s="116">
        <v>21.75</v>
      </c>
      <c r="G1576">
        <v>79207</v>
      </c>
      <c r="H1576" s="116"/>
      <c r="I1576" s="116"/>
      <c r="L1576" s="169">
        <v>44327</v>
      </c>
      <c r="M1576" s="116">
        <v>512.5</v>
      </c>
      <c r="N1576" s="116">
        <v>520.75</v>
      </c>
      <c r="O1576" s="116">
        <v>505.5</v>
      </c>
      <c r="P1576" s="116">
        <v>505.5</v>
      </c>
      <c r="Q1576" s="116">
        <v>512.5</v>
      </c>
      <c r="R1576">
        <v>1121580</v>
      </c>
    </row>
    <row r="1577" spans="1:18" x14ac:dyDescent="0.25">
      <c r="A1577" s="169">
        <v>44337</v>
      </c>
      <c r="B1577" s="116">
        <v>22.15</v>
      </c>
      <c r="C1577" s="116">
        <v>22.15</v>
      </c>
      <c r="D1577" s="116">
        <v>22.15</v>
      </c>
      <c r="E1577" s="116">
        <v>22.15</v>
      </c>
      <c r="F1577" s="116">
        <v>22.15</v>
      </c>
      <c r="G1577">
        <v>77988</v>
      </c>
      <c r="H1577" s="116"/>
      <c r="I1577" s="116"/>
      <c r="L1577" s="169">
        <v>44328</v>
      </c>
      <c r="M1577" s="116">
        <v>507.2</v>
      </c>
      <c r="N1577" s="116">
        <v>520.1</v>
      </c>
      <c r="O1577" s="116">
        <v>505.55</v>
      </c>
      <c r="P1577" s="116">
        <v>517.9</v>
      </c>
      <c r="Q1577" s="116">
        <v>507.2</v>
      </c>
      <c r="R1577">
        <v>331193</v>
      </c>
    </row>
    <row r="1578" spans="1:18" x14ac:dyDescent="0.25">
      <c r="A1578" s="169">
        <v>44340</v>
      </c>
      <c r="B1578" s="116">
        <v>23.25</v>
      </c>
      <c r="C1578" s="116">
        <v>23.25</v>
      </c>
      <c r="D1578" s="116">
        <v>23.25</v>
      </c>
      <c r="E1578" s="116">
        <v>23.25</v>
      </c>
      <c r="F1578" s="116">
        <v>23.25</v>
      </c>
      <c r="G1578">
        <v>265955</v>
      </c>
      <c r="H1578" s="116"/>
      <c r="I1578" s="116"/>
      <c r="L1578" s="169">
        <v>44330</v>
      </c>
      <c r="M1578" s="116">
        <v>509.3</v>
      </c>
      <c r="N1578" s="116">
        <v>526.4</v>
      </c>
      <c r="O1578" s="116">
        <v>502.45</v>
      </c>
      <c r="P1578" s="116">
        <v>511</v>
      </c>
      <c r="Q1578" s="116">
        <v>509.3</v>
      </c>
      <c r="R1578">
        <v>455418</v>
      </c>
    </row>
    <row r="1579" spans="1:18" x14ac:dyDescent="0.25">
      <c r="A1579" s="169">
        <v>44341</v>
      </c>
      <c r="B1579" s="116">
        <v>24.4</v>
      </c>
      <c r="C1579" s="116">
        <v>24.4</v>
      </c>
      <c r="D1579" s="116">
        <v>24.4</v>
      </c>
      <c r="E1579" s="116">
        <v>24.4</v>
      </c>
      <c r="F1579" s="116">
        <v>24.4</v>
      </c>
      <c r="G1579">
        <v>161457</v>
      </c>
      <c r="H1579" s="116"/>
      <c r="I1579" s="116"/>
      <c r="L1579" s="169">
        <v>44333</v>
      </c>
      <c r="M1579" s="116">
        <v>511.5</v>
      </c>
      <c r="N1579" s="116">
        <v>518.9</v>
      </c>
      <c r="O1579" s="116">
        <v>506.25</v>
      </c>
      <c r="P1579" s="116">
        <v>516.4</v>
      </c>
      <c r="Q1579" s="116">
        <v>511.5</v>
      </c>
      <c r="R1579">
        <v>763043</v>
      </c>
    </row>
    <row r="1580" spans="1:18" x14ac:dyDescent="0.25">
      <c r="A1580" s="169">
        <v>44342</v>
      </c>
      <c r="B1580" s="116">
        <v>25.6</v>
      </c>
      <c r="C1580" s="116">
        <v>25.6</v>
      </c>
      <c r="D1580" s="116">
        <v>25.6</v>
      </c>
      <c r="E1580" s="116">
        <v>25.6</v>
      </c>
      <c r="F1580" s="116">
        <v>25.6</v>
      </c>
      <c r="G1580">
        <v>206894</v>
      </c>
      <c r="H1580" s="116"/>
      <c r="I1580" s="116"/>
      <c r="L1580" s="169">
        <v>44334</v>
      </c>
      <c r="M1580" s="116">
        <v>526.54999999999995</v>
      </c>
      <c r="N1580" s="116">
        <v>529.6</v>
      </c>
      <c r="O1580" s="116">
        <v>512.5</v>
      </c>
      <c r="P1580" s="116">
        <v>514.29999999999995</v>
      </c>
      <c r="Q1580" s="116">
        <v>526.54999999999995</v>
      </c>
      <c r="R1580">
        <v>381638</v>
      </c>
    </row>
    <row r="1581" spans="1:18" x14ac:dyDescent="0.25">
      <c r="A1581" s="169">
        <v>44343</v>
      </c>
      <c r="B1581" s="116">
        <v>26.85</v>
      </c>
      <c r="C1581" s="116">
        <v>26.85</v>
      </c>
      <c r="D1581" s="116">
        <v>24.35</v>
      </c>
      <c r="E1581" s="116">
        <v>26.85</v>
      </c>
      <c r="F1581" s="116">
        <v>26.85</v>
      </c>
      <c r="G1581">
        <v>2093805</v>
      </c>
      <c r="H1581" s="116"/>
      <c r="I1581" s="116"/>
      <c r="L1581" s="169">
        <v>44335</v>
      </c>
      <c r="M1581" s="116">
        <v>521.85</v>
      </c>
      <c r="N1581" s="116">
        <v>534.4</v>
      </c>
      <c r="O1581" s="116">
        <v>520</v>
      </c>
      <c r="P1581" s="116">
        <v>524.25</v>
      </c>
      <c r="Q1581" s="116">
        <v>521.85</v>
      </c>
      <c r="R1581">
        <v>332627</v>
      </c>
    </row>
    <row r="1582" spans="1:18" x14ac:dyDescent="0.25">
      <c r="A1582" s="169">
        <v>44344</v>
      </c>
      <c r="B1582" s="116">
        <v>28.15</v>
      </c>
      <c r="C1582" s="116">
        <v>28.15</v>
      </c>
      <c r="D1582" s="116">
        <v>27</v>
      </c>
      <c r="E1582" s="116">
        <v>28.15</v>
      </c>
      <c r="F1582" s="116">
        <v>28.15</v>
      </c>
      <c r="G1582">
        <v>595185</v>
      </c>
      <c r="H1582" s="116"/>
      <c r="I1582" s="116"/>
      <c r="L1582" s="169">
        <v>44336</v>
      </c>
      <c r="M1582" s="116">
        <v>516.9</v>
      </c>
      <c r="N1582" s="116">
        <v>528.65</v>
      </c>
      <c r="O1582" s="116">
        <v>514.1</v>
      </c>
      <c r="P1582" s="116">
        <v>521.85</v>
      </c>
      <c r="Q1582" s="116">
        <v>516.9</v>
      </c>
      <c r="R1582">
        <v>139809</v>
      </c>
    </row>
    <row r="1583" spans="1:18" x14ac:dyDescent="0.25">
      <c r="A1583" s="169">
        <v>44347</v>
      </c>
      <c r="B1583" s="116">
        <v>29.55</v>
      </c>
      <c r="C1583" s="116">
        <v>29.55</v>
      </c>
      <c r="D1583" s="116">
        <v>29.55</v>
      </c>
      <c r="E1583" s="116">
        <v>29.55</v>
      </c>
      <c r="F1583" s="116">
        <v>29.55</v>
      </c>
      <c r="G1583">
        <v>160480</v>
      </c>
      <c r="H1583" s="116"/>
      <c r="I1583" s="116"/>
      <c r="L1583" s="169">
        <v>44337</v>
      </c>
      <c r="M1583" s="116">
        <v>511.45</v>
      </c>
      <c r="N1583" s="116">
        <v>523.75</v>
      </c>
      <c r="O1583" s="116">
        <v>507.9</v>
      </c>
      <c r="P1583" s="116">
        <v>521.5</v>
      </c>
      <c r="Q1583" s="116">
        <v>511.45</v>
      </c>
      <c r="R1583">
        <v>376779</v>
      </c>
    </row>
    <row r="1584" spans="1:18" x14ac:dyDescent="0.25">
      <c r="A1584" s="169">
        <v>44348</v>
      </c>
      <c r="B1584" s="116">
        <v>30.1</v>
      </c>
      <c r="C1584" s="116">
        <v>30.1</v>
      </c>
      <c r="D1584" s="116">
        <v>30.1</v>
      </c>
      <c r="E1584" s="116">
        <v>30.1</v>
      </c>
      <c r="F1584" s="116">
        <v>30.1</v>
      </c>
      <c r="G1584">
        <v>112780</v>
      </c>
      <c r="H1584" s="116"/>
      <c r="I1584" s="116"/>
      <c r="L1584" s="169">
        <v>44340</v>
      </c>
      <c r="M1584" s="116">
        <v>536.65</v>
      </c>
      <c r="N1584" s="116">
        <v>540</v>
      </c>
      <c r="O1584" s="116">
        <v>513.95000000000005</v>
      </c>
      <c r="P1584" s="116">
        <v>514</v>
      </c>
      <c r="Q1584" s="116">
        <v>536.65</v>
      </c>
      <c r="R1584">
        <v>567469</v>
      </c>
    </row>
    <row r="1585" spans="1:18" x14ac:dyDescent="0.25">
      <c r="A1585" s="169">
        <v>44349</v>
      </c>
      <c r="B1585" s="116">
        <v>30.7</v>
      </c>
      <c r="C1585" s="116">
        <v>30.7</v>
      </c>
      <c r="D1585" s="116">
        <v>30.7</v>
      </c>
      <c r="E1585" s="116">
        <v>30.7</v>
      </c>
      <c r="F1585" s="116">
        <v>30.7</v>
      </c>
      <c r="G1585">
        <v>57265</v>
      </c>
      <c r="H1585" s="116"/>
      <c r="I1585" s="116"/>
      <c r="L1585" s="169">
        <v>44341</v>
      </c>
      <c r="M1585" s="116">
        <v>525.75</v>
      </c>
      <c r="N1585" s="116">
        <v>557</v>
      </c>
      <c r="O1585" s="116">
        <v>516.20000000000005</v>
      </c>
      <c r="P1585" s="116">
        <v>548</v>
      </c>
      <c r="Q1585" s="116">
        <v>525.75</v>
      </c>
      <c r="R1585">
        <v>1037883</v>
      </c>
    </row>
    <row r="1586" spans="1:18" x14ac:dyDescent="0.25">
      <c r="A1586" s="169">
        <v>44350</v>
      </c>
      <c r="B1586" s="116">
        <v>31.3</v>
      </c>
      <c r="C1586" s="116">
        <v>31.3</v>
      </c>
      <c r="D1586" s="116">
        <v>31.3</v>
      </c>
      <c r="E1586" s="116">
        <v>31.3</v>
      </c>
      <c r="F1586" s="116">
        <v>31.3</v>
      </c>
      <c r="G1586">
        <v>80570</v>
      </c>
      <c r="H1586" s="116"/>
      <c r="I1586" s="116"/>
      <c r="L1586" s="169">
        <v>44342</v>
      </c>
      <c r="M1586" s="116">
        <v>538.95000000000005</v>
      </c>
      <c r="N1586" s="116">
        <v>541.45000000000005</v>
      </c>
      <c r="O1586" s="116">
        <v>522.4</v>
      </c>
      <c r="P1586" s="116">
        <v>526.9</v>
      </c>
      <c r="Q1586" s="116">
        <v>538.95000000000005</v>
      </c>
      <c r="R1586">
        <v>329298</v>
      </c>
    </row>
    <row r="1587" spans="1:18" x14ac:dyDescent="0.25">
      <c r="A1587" s="169">
        <v>44351</v>
      </c>
      <c r="B1587" s="116">
        <v>31.9</v>
      </c>
      <c r="C1587" s="116">
        <v>31.9</v>
      </c>
      <c r="D1587" s="116">
        <v>31.9</v>
      </c>
      <c r="E1587" s="116">
        <v>31.9</v>
      </c>
      <c r="F1587" s="116">
        <v>31.9</v>
      </c>
      <c r="G1587">
        <v>32123</v>
      </c>
      <c r="H1587" s="116"/>
      <c r="I1587" s="116"/>
      <c r="L1587" s="169">
        <v>44343</v>
      </c>
      <c r="M1587" s="116">
        <v>546.70000000000005</v>
      </c>
      <c r="N1587" s="116">
        <v>553</v>
      </c>
      <c r="O1587" s="116">
        <v>539.4</v>
      </c>
      <c r="P1587" s="116">
        <v>539.4</v>
      </c>
      <c r="Q1587" s="116">
        <v>546.70000000000005</v>
      </c>
      <c r="R1587">
        <v>910226</v>
      </c>
    </row>
    <row r="1588" spans="1:18" x14ac:dyDescent="0.25">
      <c r="A1588" s="169">
        <v>44354</v>
      </c>
      <c r="B1588" s="116">
        <v>32.5</v>
      </c>
      <c r="C1588" s="116">
        <v>32.5</v>
      </c>
      <c r="D1588" s="116">
        <v>32.5</v>
      </c>
      <c r="E1588" s="116">
        <v>32.5</v>
      </c>
      <c r="F1588" s="116">
        <v>32.5</v>
      </c>
      <c r="G1588">
        <v>65972</v>
      </c>
      <c r="H1588" s="116"/>
      <c r="I1588" s="116"/>
      <c r="L1588" s="169">
        <v>44344</v>
      </c>
      <c r="M1588" s="116">
        <v>531.04999999999995</v>
      </c>
      <c r="N1588" s="116">
        <v>552</v>
      </c>
      <c r="O1588" s="116">
        <v>528.20000000000005</v>
      </c>
      <c r="P1588" s="116">
        <v>551</v>
      </c>
      <c r="Q1588" s="116">
        <v>531.04999999999995</v>
      </c>
      <c r="R1588">
        <v>242956</v>
      </c>
    </row>
    <row r="1589" spans="1:18" x14ac:dyDescent="0.25">
      <c r="A1589" s="169">
        <v>44355</v>
      </c>
      <c r="B1589" s="116">
        <v>33.15</v>
      </c>
      <c r="C1589" s="116">
        <v>33.15</v>
      </c>
      <c r="D1589" s="116">
        <v>33.15</v>
      </c>
      <c r="E1589" s="116">
        <v>33.15</v>
      </c>
      <c r="F1589" s="116">
        <v>33.15</v>
      </c>
      <c r="G1589">
        <v>40431</v>
      </c>
      <c r="H1589" s="116"/>
      <c r="I1589" s="116"/>
      <c r="L1589" s="169">
        <v>44347</v>
      </c>
      <c r="M1589" s="116">
        <v>548.4</v>
      </c>
      <c r="N1589" s="116">
        <v>596.6</v>
      </c>
      <c r="O1589" s="116">
        <v>526.65</v>
      </c>
      <c r="P1589" s="116">
        <v>533.79999999999995</v>
      </c>
      <c r="Q1589" s="116">
        <v>548.4</v>
      </c>
      <c r="R1589">
        <v>3623605</v>
      </c>
    </row>
    <row r="1590" spans="1:18" x14ac:dyDescent="0.25">
      <c r="A1590" s="169">
        <v>44356</v>
      </c>
      <c r="B1590" s="116">
        <v>33.799999999999997</v>
      </c>
      <c r="C1590" s="116">
        <v>33.799999999999997</v>
      </c>
      <c r="D1590" s="116">
        <v>33.799999999999997</v>
      </c>
      <c r="E1590" s="116">
        <v>33.799999999999997</v>
      </c>
      <c r="F1590" s="116">
        <v>33.799999999999997</v>
      </c>
      <c r="G1590">
        <v>2140920</v>
      </c>
      <c r="H1590" s="116"/>
      <c r="I1590" s="116"/>
      <c r="L1590" s="169">
        <v>44348</v>
      </c>
      <c r="M1590" s="116">
        <v>557.45000000000005</v>
      </c>
      <c r="N1590" s="116">
        <v>570</v>
      </c>
      <c r="O1590" s="116">
        <v>550.54999999999995</v>
      </c>
      <c r="P1590" s="116">
        <v>557.79999999999995</v>
      </c>
      <c r="Q1590" s="116">
        <v>557.45000000000005</v>
      </c>
      <c r="R1590">
        <v>1158218</v>
      </c>
    </row>
    <row r="1591" spans="1:18" x14ac:dyDescent="0.25">
      <c r="A1591" s="169">
        <v>44357</v>
      </c>
      <c r="B1591" s="116">
        <v>34.450000000000003</v>
      </c>
      <c r="C1591" s="116">
        <v>34.450000000000003</v>
      </c>
      <c r="D1591" s="116">
        <v>34.450000000000003</v>
      </c>
      <c r="E1591" s="116">
        <v>34.450000000000003</v>
      </c>
      <c r="F1591" s="116">
        <v>34.450000000000003</v>
      </c>
      <c r="G1591">
        <v>159734</v>
      </c>
      <c r="H1591" s="116"/>
      <c r="I1591" s="116"/>
      <c r="L1591" s="169">
        <v>44349</v>
      </c>
      <c r="M1591" s="116">
        <v>555.5</v>
      </c>
      <c r="N1591" s="116">
        <v>561</v>
      </c>
      <c r="O1591" s="116">
        <v>550.25</v>
      </c>
      <c r="P1591" s="116">
        <v>557.70000000000005</v>
      </c>
      <c r="Q1591" s="116">
        <v>555.5</v>
      </c>
      <c r="R1591">
        <v>401535</v>
      </c>
    </row>
    <row r="1592" spans="1:18" x14ac:dyDescent="0.25">
      <c r="A1592" s="169">
        <v>44358</v>
      </c>
      <c r="B1592" s="116">
        <v>35.1</v>
      </c>
      <c r="C1592" s="116">
        <v>35.1</v>
      </c>
      <c r="D1592" s="116">
        <v>35.1</v>
      </c>
      <c r="E1592" s="116">
        <v>35.1</v>
      </c>
      <c r="F1592" s="116">
        <v>35.1</v>
      </c>
      <c r="G1592">
        <v>297204</v>
      </c>
      <c r="H1592" s="116"/>
      <c r="I1592" s="116"/>
      <c r="L1592" s="169">
        <v>44350</v>
      </c>
      <c r="M1592" s="116">
        <v>542.1</v>
      </c>
      <c r="N1592" s="116">
        <v>564.95000000000005</v>
      </c>
      <c r="O1592" s="116">
        <v>540.6</v>
      </c>
      <c r="P1592" s="116">
        <v>559.70000000000005</v>
      </c>
      <c r="Q1592" s="116">
        <v>542.1</v>
      </c>
      <c r="R1592">
        <v>937648</v>
      </c>
    </row>
    <row r="1593" spans="1:18" x14ac:dyDescent="0.25">
      <c r="A1593" s="169">
        <v>44361</v>
      </c>
      <c r="B1593" s="116">
        <v>36.85</v>
      </c>
      <c r="C1593" s="116">
        <v>36.85</v>
      </c>
      <c r="D1593" s="116">
        <v>36.85</v>
      </c>
      <c r="E1593" s="116">
        <v>36.85</v>
      </c>
      <c r="F1593" s="116">
        <v>36.85</v>
      </c>
      <c r="G1593">
        <v>546287</v>
      </c>
      <c r="H1593" s="116"/>
      <c r="I1593" s="116"/>
      <c r="L1593" s="169">
        <v>44351</v>
      </c>
      <c r="M1593" s="116">
        <v>550.6</v>
      </c>
      <c r="N1593" s="116">
        <v>562</v>
      </c>
      <c r="O1593" s="116">
        <v>542.1</v>
      </c>
      <c r="P1593" s="116">
        <v>545.1</v>
      </c>
      <c r="Q1593" s="116">
        <v>550.6</v>
      </c>
      <c r="R1593">
        <v>1293219</v>
      </c>
    </row>
    <row r="1594" spans="1:18" x14ac:dyDescent="0.25">
      <c r="A1594" s="169">
        <v>44362</v>
      </c>
      <c r="B1594" s="116">
        <v>38.65</v>
      </c>
      <c r="C1594" s="116">
        <v>38.65</v>
      </c>
      <c r="D1594" s="116">
        <v>38.65</v>
      </c>
      <c r="E1594" s="116">
        <v>38.65</v>
      </c>
      <c r="F1594" s="116">
        <v>38.65</v>
      </c>
      <c r="G1594">
        <v>486591</v>
      </c>
      <c r="H1594" s="116"/>
      <c r="I1594" s="116"/>
      <c r="L1594" s="169">
        <v>44354</v>
      </c>
      <c r="M1594" s="116">
        <v>544</v>
      </c>
      <c r="N1594" s="116">
        <v>557.9</v>
      </c>
      <c r="O1594" s="116">
        <v>541.54999999999995</v>
      </c>
      <c r="P1594" s="116">
        <v>557.5</v>
      </c>
      <c r="Q1594" s="116">
        <v>544</v>
      </c>
      <c r="R1594">
        <v>453616</v>
      </c>
    </row>
    <row r="1595" spans="1:18" x14ac:dyDescent="0.25">
      <c r="A1595" s="169">
        <v>44363</v>
      </c>
      <c r="B1595" s="116">
        <v>40.549999999999997</v>
      </c>
      <c r="C1595" s="116">
        <v>40.549999999999997</v>
      </c>
      <c r="D1595" s="116">
        <v>40.549999999999997</v>
      </c>
      <c r="E1595" s="116">
        <v>40.549999999999997</v>
      </c>
      <c r="F1595" s="116">
        <v>40.549999999999997</v>
      </c>
      <c r="G1595">
        <v>2894063</v>
      </c>
      <c r="H1595" s="116"/>
      <c r="I1595" s="116"/>
      <c r="L1595" s="169">
        <v>44355</v>
      </c>
      <c r="M1595" s="116">
        <v>543.25</v>
      </c>
      <c r="N1595" s="116">
        <v>548.45000000000005</v>
      </c>
      <c r="O1595" s="116">
        <v>541</v>
      </c>
      <c r="P1595" s="116">
        <v>544</v>
      </c>
      <c r="Q1595" s="116">
        <v>543.25</v>
      </c>
      <c r="R1595">
        <v>634050</v>
      </c>
    </row>
    <row r="1596" spans="1:18" x14ac:dyDescent="0.25">
      <c r="A1596" s="169">
        <v>44364</v>
      </c>
      <c r="B1596" s="116">
        <v>42.55</v>
      </c>
      <c r="C1596" s="116">
        <v>42.55</v>
      </c>
      <c r="D1596" s="116">
        <v>41</v>
      </c>
      <c r="E1596" s="116">
        <v>42.5</v>
      </c>
      <c r="F1596" s="116">
        <v>42.55</v>
      </c>
      <c r="G1596">
        <v>1317628</v>
      </c>
      <c r="H1596" s="116"/>
      <c r="I1596" s="116"/>
      <c r="L1596" s="169">
        <v>44356</v>
      </c>
      <c r="M1596" s="116">
        <v>529.1</v>
      </c>
      <c r="N1596" s="116">
        <v>547</v>
      </c>
      <c r="O1596" s="116">
        <v>523</v>
      </c>
      <c r="P1596" s="116">
        <v>543.5</v>
      </c>
      <c r="Q1596" s="116">
        <v>529.1</v>
      </c>
      <c r="R1596">
        <v>546046</v>
      </c>
    </row>
    <row r="1597" spans="1:18" x14ac:dyDescent="0.25">
      <c r="A1597" s="169">
        <v>44365</v>
      </c>
      <c r="B1597" s="116">
        <v>44.65</v>
      </c>
      <c r="C1597" s="116">
        <v>44.65</v>
      </c>
      <c r="D1597" s="116">
        <v>43.5</v>
      </c>
      <c r="E1597" s="116">
        <v>44.65</v>
      </c>
      <c r="F1597" s="116">
        <v>44.65</v>
      </c>
      <c r="G1597">
        <v>1505249</v>
      </c>
      <c r="H1597" s="116"/>
      <c r="I1597" s="116"/>
      <c r="L1597" s="169">
        <v>44357</v>
      </c>
      <c r="M1597" s="116">
        <v>520.04999999999995</v>
      </c>
      <c r="N1597" s="116">
        <v>531.29999999999995</v>
      </c>
      <c r="O1597" s="116">
        <v>519.45000000000005</v>
      </c>
      <c r="P1597" s="116">
        <v>530</v>
      </c>
      <c r="Q1597" s="116">
        <v>520.04999999999995</v>
      </c>
      <c r="R1597">
        <v>1236333</v>
      </c>
    </row>
    <row r="1598" spans="1:18" x14ac:dyDescent="0.25">
      <c r="A1598" s="169">
        <v>44368</v>
      </c>
      <c r="B1598" s="116">
        <v>46.85</v>
      </c>
      <c r="C1598" s="116">
        <v>45.3</v>
      </c>
      <c r="D1598" s="116">
        <v>42.45</v>
      </c>
      <c r="E1598" s="116">
        <v>46.85</v>
      </c>
      <c r="F1598" s="116">
        <v>45.3</v>
      </c>
      <c r="G1598">
        <v>1565043</v>
      </c>
      <c r="H1598" s="116"/>
      <c r="I1598" s="116"/>
      <c r="L1598" s="169">
        <v>44358</v>
      </c>
      <c r="M1598" s="116">
        <v>527.29999999999995</v>
      </c>
      <c r="N1598" s="116">
        <v>567</v>
      </c>
      <c r="O1598" s="116">
        <v>522.25</v>
      </c>
      <c r="P1598" s="116">
        <v>527.25</v>
      </c>
      <c r="Q1598" s="116">
        <v>527.29999999999995</v>
      </c>
      <c r="R1598">
        <v>3113067</v>
      </c>
    </row>
    <row r="1599" spans="1:18" x14ac:dyDescent="0.25">
      <c r="A1599" s="169">
        <v>44369</v>
      </c>
      <c r="B1599" s="116">
        <v>46.75</v>
      </c>
      <c r="C1599" s="116">
        <v>45.1</v>
      </c>
      <c r="D1599" s="116">
        <v>43.05</v>
      </c>
      <c r="E1599" s="116">
        <v>45.5</v>
      </c>
      <c r="F1599" s="116">
        <v>45.1</v>
      </c>
      <c r="G1599">
        <v>1042894</v>
      </c>
      <c r="H1599" s="116"/>
      <c r="I1599" s="116"/>
      <c r="L1599" s="169">
        <v>44361</v>
      </c>
      <c r="M1599" s="116">
        <v>522.35</v>
      </c>
      <c r="N1599" s="116">
        <v>529.95000000000005</v>
      </c>
      <c r="O1599" s="116">
        <v>515</v>
      </c>
      <c r="P1599" s="116">
        <v>529.1</v>
      </c>
      <c r="Q1599" s="116">
        <v>522.35</v>
      </c>
      <c r="R1599">
        <v>567181</v>
      </c>
    </row>
    <row r="1600" spans="1:18" x14ac:dyDescent="0.25">
      <c r="A1600" s="169">
        <v>44370</v>
      </c>
      <c r="B1600" s="116">
        <v>45.9</v>
      </c>
      <c r="C1600" s="116">
        <v>44</v>
      </c>
      <c r="D1600" s="116">
        <v>43.5</v>
      </c>
      <c r="E1600" s="116">
        <v>45.9</v>
      </c>
      <c r="F1600" s="116">
        <v>44</v>
      </c>
      <c r="G1600">
        <v>285357</v>
      </c>
      <c r="H1600" s="116"/>
      <c r="I1600" s="116"/>
      <c r="L1600" s="169">
        <v>44362</v>
      </c>
      <c r="M1600" s="116">
        <v>522.95000000000005</v>
      </c>
      <c r="N1600" s="116">
        <v>531.70000000000005</v>
      </c>
      <c r="O1600" s="116">
        <v>521.35</v>
      </c>
      <c r="P1600" s="116">
        <v>524.65</v>
      </c>
      <c r="Q1600" s="116">
        <v>522.95000000000005</v>
      </c>
      <c r="R1600">
        <v>487744</v>
      </c>
    </row>
    <row r="1601" spans="1:18" x14ac:dyDescent="0.25">
      <c r="A1601" s="169">
        <v>44371</v>
      </c>
      <c r="B1601" s="116">
        <v>44</v>
      </c>
      <c r="C1601" s="116">
        <v>41.9</v>
      </c>
      <c r="D1601" s="116">
        <v>41.8</v>
      </c>
      <c r="E1601" s="116">
        <v>43.2</v>
      </c>
      <c r="F1601" s="116">
        <v>41.9</v>
      </c>
      <c r="G1601">
        <v>495468</v>
      </c>
      <c r="H1601" s="116"/>
      <c r="I1601" s="116"/>
      <c r="L1601" s="169">
        <v>44363</v>
      </c>
      <c r="M1601" s="116">
        <v>518.20000000000005</v>
      </c>
      <c r="N1601" s="116">
        <v>528.70000000000005</v>
      </c>
      <c r="O1601" s="116">
        <v>516</v>
      </c>
      <c r="P1601" s="116">
        <v>523</v>
      </c>
      <c r="Q1601" s="116">
        <v>518.20000000000005</v>
      </c>
      <c r="R1601">
        <v>371289</v>
      </c>
    </row>
    <row r="1602" spans="1:18" x14ac:dyDescent="0.25">
      <c r="A1602" s="169">
        <v>44372</v>
      </c>
      <c r="B1602" s="116">
        <v>43.95</v>
      </c>
      <c r="C1602" s="116">
        <v>43.95</v>
      </c>
      <c r="D1602" s="116">
        <v>39.85</v>
      </c>
      <c r="E1602" s="116">
        <v>39.85</v>
      </c>
      <c r="F1602" s="116">
        <v>43.95</v>
      </c>
      <c r="G1602">
        <v>483931</v>
      </c>
      <c r="H1602" s="116"/>
      <c r="I1602" s="116"/>
      <c r="L1602" s="169">
        <v>44364</v>
      </c>
      <c r="M1602" s="116">
        <v>514.54999999999995</v>
      </c>
      <c r="N1602" s="116">
        <v>524.95000000000005</v>
      </c>
      <c r="O1602" s="116">
        <v>511.45</v>
      </c>
      <c r="P1602" s="116">
        <v>515.5</v>
      </c>
      <c r="Q1602" s="116">
        <v>514.54999999999995</v>
      </c>
      <c r="R1602">
        <v>344276</v>
      </c>
    </row>
    <row r="1603" spans="1:18" x14ac:dyDescent="0.25">
      <c r="A1603" s="169">
        <v>44375</v>
      </c>
      <c r="B1603" s="116">
        <v>46.1</v>
      </c>
      <c r="C1603" s="116">
        <v>46.1</v>
      </c>
      <c r="D1603" s="116">
        <v>46.1</v>
      </c>
      <c r="E1603" s="116">
        <v>46.1</v>
      </c>
      <c r="F1603" s="116">
        <v>46.1</v>
      </c>
      <c r="G1603">
        <v>281393</v>
      </c>
      <c r="H1603" s="116"/>
      <c r="I1603" s="116"/>
      <c r="L1603" s="169">
        <v>44365</v>
      </c>
      <c r="M1603" s="116">
        <v>513.35</v>
      </c>
      <c r="N1603" s="116">
        <v>518.79999999999995</v>
      </c>
      <c r="O1603" s="116">
        <v>501.5</v>
      </c>
      <c r="P1603" s="116">
        <v>518.4</v>
      </c>
      <c r="Q1603" s="116">
        <v>513.35</v>
      </c>
      <c r="R1603">
        <v>993857</v>
      </c>
    </row>
    <row r="1604" spans="1:18" x14ac:dyDescent="0.25">
      <c r="A1604" s="169">
        <v>44376</v>
      </c>
      <c r="B1604" s="116">
        <v>48.4</v>
      </c>
      <c r="C1604" s="116">
        <v>48.4</v>
      </c>
      <c r="D1604" s="116">
        <v>48.4</v>
      </c>
      <c r="E1604" s="116">
        <v>48.4</v>
      </c>
      <c r="F1604" s="116">
        <v>48.4</v>
      </c>
      <c r="G1604">
        <v>451344</v>
      </c>
      <c r="H1604" s="116"/>
      <c r="I1604" s="116"/>
      <c r="L1604" s="169">
        <v>44368</v>
      </c>
      <c r="M1604" s="116">
        <v>510.5</v>
      </c>
      <c r="N1604" s="116">
        <v>520</v>
      </c>
      <c r="O1604" s="116">
        <v>506.2</v>
      </c>
      <c r="P1604" s="116">
        <v>506.2</v>
      </c>
      <c r="Q1604" s="116">
        <v>510.5</v>
      </c>
      <c r="R1604">
        <v>558627</v>
      </c>
    </row>
    <row r="1605" spans="1:18" x14ac:dyDescent="0.25">
      <c r="A1605" s="169">
        <v>44377</v>
      </c>
      <c r="B1605" s="116">
        <v>50.8</v>
      </c>
      <c r="C1605" s="116">
        <v>50.8</v>
      </c>
      <c r="D1605" s="116">
        <v>50.8</v>
      </c>
      <c r="E1605" s="116">
        <v>50.8</v>
      </c>
      <c r="F1605" s="116">
        <v>50.8</v>
      </c>
      <c r="G1605">
        <v>484250</v>
      </c>
      <c r="H1605" s="116"/>
      <c r="I1605" s="116"/>
      <c r="L1605" s="169">
        <v>44369</v>
      </c>
      <c r="M1605" s="116">
        <v>524.4</v>
      </c>
      <c r="N1605" s="116">
        <v>531</v>
      </c>
      <c r="O1605" s="116">
        <v>513.20000000000005</v>
      </c>
      <c r="P1605" s="116">
        <v>514.79999999999995</v>
      </c>
      <c r="Q1605" s="116">
        <v>524.4</v>
      </c>
      <c r="R1605">
        <v>902175</v>
      </c>
    </row>
    <row r="1606" spans="1:18" x14ac:dyDescent="0.25">
      <c r="A1606" s="169">
        <v>44378</v>
      </c>
      <c r="B1606" s="116">
        <v>53.3</v>
      </c>
      <c r="C1606" s="116">
        <v>53.3</v>
      </c>
      <c r="D1606" s="116">
        <v>51</v>
      </c>
      <c r="E1606" s="116">
        <v>53.3</v>
      </c>
      <c r="F1606" s="116">
        <v>53.3</v>
      </c>
      <c r="G1606">
        <v>882701</v>
      </c>
      <c r="H1606" s="116"/>
      <c r="I1606" s="116"/>
      <c r="L1606" s="169">
        <v>44370</v>
      </c>
      <c r="M1606" s="116">
        <v>514.95000000000005</v>
      </c>
      <c r="N1606" s="116">
        <v>527.04999999999995</v>
      </c>
      <c r="O1606" s="116">
        <v>511.6</v>
      </c>
      <c r="P1606" s="116">
        <v>527.04999999999995</v>
      </c>
      <c r="Q1606" s="116">
        <v>514.95000000000005</v>
      </c>
      <c r="R1606">
        <v>288604</v>
      </c>
    </row>
    <row r="1607" spans="1:18" x14ac:dyDescent="0.25">
      <c r="A1607" s="169">
        <v>44379</v>
      </c>
      <c r="B1607" s="116">
        <v>55.95</v>
      </c>
      <c r="C1607" s="116">
        <v>55.95</v>
      </c>
      <c r="D1607" s="116">
        <v>55</v>
      </c>
      <c r="E1607" s="116">
        <v>55.95</v>
      </c>
      <c r="F1607" s="116">
        <v>55.95</v>
      </c>
      <c r="G1607">
        <v>650895</v>
      </c>
      <c r="H1607" s="116"/>
      <c r="I1607" s="116"/>
      <c r="L1607" s="169">
        <v>44371</v>
      </c>
      <c r="M1607" s="116">
        <v>519.15</v>
      </c>
      <c r="N1607" s="116">
        <v>523.4</v>
      </c>
      <c r="O1607" s="116">
        <v>516.04999999999995</v>
      </c>
      <c r="P1607" s="116">
        <v>518.79999999999995</v>
      </c>
      <c r="Q1607" s="116">
        <v>519.15</v>
      </c>
      <c r="R1607">
        <v>230353</v>
      </c>
    </row>
    <row r="1608" spans="1:18" x14ac:dyDescent="0.25">
      <c r="A1608" s="169">
        <v>44382</v>
      </c>
      <c r="B1608" s="116">
        <v>58.7</v>
      </c>
      <c r="C1608" s="116">
        <v>57.75</v>
      </c>
      <c r="D1608" s="116">
        <v>55</v>
      </c>
      <c r="E1608" s="116">
        <v>58.7</v>
      </c>
      <c r="F1608" s="116">
        <v>57.75</v>
      </c>
      <c r="G1608">
        <v>710409</v>
      </c>
      <c r="H1608" s="116"/>
      <c r="I1608" s="116"/>
      <c r="L1608" s="169">
        <v>44372</v>
      </c>
      <c r="M1608" s="116">
        <v>520.04999999999995</v>
      </c>
      <c r="N1608" s="116">
        <v>527.9</v>
      </c>
      <c r="O1608" s="116">
        <v>516.25</v>
      </c>
      <c r="P1608" s="116">
        <v>520.70000000000005</v>
      </c>
      <c r="Q1608" s="116">
        <v>520.04999999999995</v>
      </c>
      <c r="R1608">
        <v>480434</v>
      </c>
    </row>
    <row r="1609" spans="1:18" x14ac:dyDescent="0.25">
      <c r="A1609" s="169">
        <v>44383</v>
      </c>
      <c r="B1609" s="116">
        <v>58.4</v>
      </c>
      <c r="C1609" s="116">
        <v>54.9</v>
      </c>
      <c r="D1609" s="116">
        <v>54.9</v>
      </c>
      <c r="E1609" s="116">
        <v>58.4</v>
      </c>
      <c r="F1609" s="116">
        <v>54.9</v>
      </c>
      <c r="G1609">
        <v>134576</v>
      </c>
      <c r="H1609" s="116"/>
      <c r="I1609" s="116"/>
      <c r="L1609" s="169">
        <v>44375</v>
      </c>
      <c r="M1609" s="116">
        <v>520.65</v>
      </c>
      <c r="N1609" s="116">
        <v>525.29999999999995</v>
      </c>
      <c r="O1609" s="116">
        <v>518</v>
      </c>
      <c r="P1609" s="116">
        <v>520.04999999999995</v>
      </c>
      <c r="Q1609" s="116">
        <v>520.65</v>
      </c>
      <c r="R1609">
        <v>222232</v>
      </c>
    </row>
    <row r="1610" spans="1:18" x14ac:dyDescent="0.25">
      <c r="A1610" s="169">
        <v>44384</v>
      </c>
      <c r="B1610" s="116">
        <v>52.2</v>
      </c>
      <c r="C1610" s="116">
        <v>52.2</v>
      </c>
      <c r="D1610" s="116">
        <v>52.2</v>
      </c>
      <c r="E1610" s="116">
        <v>52.2</v>
      </c>
      <c r="F1610" s="116">
        <v>52.2</v>
      </c>
      <c r="G1610">
        <v>66366</v>
      </c>
      <c r="H1610" s="116"/>
      <c r="I1610" s="116"/>
      <c r="L1610" s="169">
        <v>44376</v>
      </c>
      <c r="M1610" s="116">
        <v>520.04999999999995</v>
      </c>
      <c r="N1610" s="116">
        <v>526.79999999999995</v>
      </c>
      <c r="O1610" s="116">
        <v>514.5</v>
      </c>
      <c r="P1610" s="116">
        <v>521</v>
      </c>
      <c r="Q1610" s="116">
        <v>520.04999999999995</v>
      </c>
      <c r="R1610">
        <v>434086</v>
      </c>
    </row>
    <row r="1611" spans="1:18" x14ac:dyDescent="0.25">
      <c r="A1611" s="169">
        <v>44385</v>
      </c>
      <c r="B1611" s="116">
        <v>52.2</v>
      </c>
      <c r="C1611" s="116">
        <v>49.7</v>
      </c>
      <c r="D1611" s="116">
        <v>49.6</v>
      </c>
      <c r="E1611" s="116">
        <v>49.6</v>
      </c>
      <c r="F1611" s="116">
        <v>49.7</v>
      </c>
      <c r="G1611">
        <v>420345</v>
      </c>
      <c r="H1611" s="116"/>
      <c r="I1611" s="116"/>
      <c r="L1611" s="169">
        <v>44377</v>
      </c>
      <c r="M1611" s="116">
        <v>523.54999999999995</v>
      </c>
      <c r="N1611" s="116">
        <v>525.85</v>
      </c>
      <c r="O1611" s="116">
        <v>518.15</v>
      </c>
      <c r="P1611" s="116">
        <v>522</v>
      </c>
      <c r="Q1611" s="116">
        <v>523.54999999999995</v>
      </c>
      <c r="R1611">
        <v>339827</v>
      </c>
    </row>
    <row r="1612" spans="1:18" x14ac:dyDescent="0.25">
      <c r="A1612" s="169">
        <v>44386</v>
      </c>
      <c r="B1612" s="116">
        <v>52.15</v>
      </c>
      <c r="C1612" s="116">
        <v>49.25</v>
      </c>
      <c r="D1612" s="116">
        <v>47.25</v>
      </c>
      <c r="E1612" s="116">
        <v>47.35</v>
      </c>
      <c r="F1612" s="116">
        <v>49.25</v>
      </c>
      <c r="G1612">
        <v>374672</v>
      </c>
      <c r="H1612" s="116"/>
      <c r="I1612" s="116"/>
      <c r="L1612" s="169">
        <v>44378</v>
      </c>
      <c r="M1612" s="116">
        <v>521.1</v>
      </c>
      <c r="N1612" s="116">
        <v>525.85</v>
      </c>
      <c r="O1612" s="116">
        <v>519.1</v>
      </c>
      <c r="P1612" s="116">
        <v>523.54999999999995</v>
      </c>
      <c r="Q1612" s="116">
        <v>521.1</v>
      </c>
      <c r="R1612">
        <v>193516</v>
      </c>
    </row>
    <row r="1613" spans="1:18" x14ac:dyDescent="0.25">
      <c r="A1613" s="169">
        <v>44389</v>
      </c>
      <c r="B1613" s="116">
        <v>51.7</v>
      </c>
      <c r="C1613" s="116">
        <v>51.7</v>
      </c>
      <c r="D1613" s="116">
        <v>49.5</v>
      </c>
      <c r="E1613" s="116">
        <v>51.6</v>
      </c>
      <c r="F1613" s="116">
        <v>51.7</v>
      </c>
      <c r="G1613">
        <v>349859</v>
      </c>
      <c r="H1613" s="116"/>
      <c r="I1613" s="116"/>
      <c r="L1613" s="169">
        <v>44379</v>
      </c>
      <c r="M1613" s="116">
        <v>518.29999999999995</v>
      </c>
      <c r="N1613" s="116">
        <v>525.25</v>
      </c>
      <c r="O1613" s="116">
        <v>517.1</v>
      </c>
      <c r="P1613" s="116">
        <v>522</v>
      </c>
      <c r="Q1613" s="116">
        <v>518.29999999999995</v>
      </c>
      <c r="R1613">
        <v>356535</v>
      </c>
    </row>
    <row r="1614" spans="1:18" x14ac:dyDescent="0.25">
      <c r="A1614" s="169">
        <v>44390</v>
      </c>
      <c r="B1614" s="116">
        <v>54.25</v>
      </c>
      <c r="C1614" s="116">
        <v>54.25</v>
      </c>
      <c r="D1614" s="116">
        <v>52.1</v>
      </c>
      <c r="E1614" s="116">
        <v>54.2</v>
      </c>
      <c r="F1614" s="116">
        <v>54.25</v>
      </c>
      <c r="G1614">
        <v>396193</v>
      </c>
      <c r="H1614" s="116"/>
      <c r="I1614" s="116"/>
      <c r="L1614" s="169">
        <v>44382</v>
      </c>
      <c r="M1614" s="116">
        <v>518.6</v>
      </c>
      <c r="N1614" s="116">
        <v>522.79999999999995</v>
      </c>
      <c r="O1614" s="116">
        <v>515.6</v>
      </c>
      <c r="P1614" s="116">
        <v>518.5</v>
      </c>
      <c r="Q1614" s="116">
        <v>518.6</v>
      </c>
      <c r="R1614">
        <v>222638</v>
      </c>
    </row>
    <row r="1615" spans="1:18" x14ac:dyDescent="0.25">
      <c r="A1615" s="169">
        <v>44391</v>
      </c>
      <c r="B1615" s="116">
        <v>56</v>
      </c>
      <c r="C1615" s="116">
        <v>53.15</v>
      </c>
      <c r="D1615" s="116">
        <v>52.75</v>
      </c>
      <c r="E1615" s="116">
        <v>53.25</v>
      </c>
      <c r="F1615" s="116">
        <v>53.15</v>
      </c>
      <c r="G1615">
        <v>148675</v>
      </c>
      <c r="H1615" s="116"/>
      <c r="I1615" s="116"/>
      <c r="L1615" s="169">
        <v>44383</v>
      </c>
      <c r="M1615" s="116">
        <v>513.15</v>
      </c>
      <c r="N1615" s="116">
        <v>529.65</v>
      </c>
      <c r="O1615" s="116">
        <v>512</v>
      </c>
      <c r="P1615" s="116">
        <v>518.6</v>
      </c>
      <c r="Q1615" s="116">
        <v>513.15</v>
      </c>
      <c r="R1615">
        <v>499395</v>
      </c>
    </row>
    <row r="1616" spans="1:18" x14ac:dyDescent="0.25">
      <c r="A1616" s="169">
        <v>44392</v>
      </c>
      <c r="B1616" s="116">
        <v>55.75</v>
      </c>
      <c r="C1616" s="116">
        <v>54.7</v>
      </c>
      <c r="D1616" s="116">
        <v>50.5</v>
      </c>
      <c r="E1616" s="116">
        <v>52.15</v>
      </c>
      <c r="F1616" s="116">
        <v>54.7</v>
      </c>
      <c r="G1616">
        <v>419230</v>
      </c>
      <c r="H1616" s="116"/>
      <c r="I1616" s="116"/>
      <c r="L1616" s="169">
        <v>44384</v>
      </c>
      <c r="M1616" s="116">
        <v>514</v>
      </c>
      <c r="N1616" s="116">
        <v>517.9</v>
      </c>
      <c r="O1616" s="116">
        <v>512.1</v>
      </c>
      <c r="P1616" s="116">
        <v>513.65</v>
      </c>
      <c r="Q1616" s="116">
        <v>514</v>
      </c>
      <c r="R1616">
        <v>193141</v>
      </c>
    </row>
    <row r="1617" spans="1:18" x14ac:dyDescent="0.25">
      <c r="A1617" s="169">
        <v>44393</v>
      </c>
      <c r="B1617" s="116">
        <v>56.85</v>
      </c>
      <c r="C1617" s="116">
        <v>53.6</v>
      </c>
      <c r="D1617" s="116">
        <v>52.2</v>
      </c>
      <c r="E1617" s="116">
        <v>55</v>
      </c>
      <c r="F1617" s="116">
        <v>53.6</v>
      </c>
      <c r="G1617">
        <v>151253</v>
      </c>
      <c r="H1617" s="116"/>
      <c r="I1617" s="116"/>
      <c r="L1617" s="169">
        <v>44385</v>
      </c>
      <c r="M1617" s="116">
        <v>512.20000000000005</v>
      </c>
      <c r="N1617" s="116">
        <v>515.70000000000005</v>
      </c>
      <c r="O1617" s="116">
        <v>508.5</v>
      </c>
      <c r="P1617" s="116">
        <v>512</v>
      </c>
      <c r="Q1617" s="116">
        <v>512.20000000000005</v>
      </c>
      <c r="R1617">
        <v>236505</v>
      </c>
    </row>
    <row r="1618" spans="1:18" x14ac:dyDescent="0.25">
      <c r="A1618" s="169">
        <v>44396</v>
      </c>
      <c r="B1618" s="116">
        <v>55.25</v>
      </c>
      <c r="C1618" s="116">
        <v>53.45</v>
      </c>
      <c r="D1618" s="116">
        <v>51</v>
      </c>
      <c r="E1618" s="116">
        <v>55.25</v>
      </c>
      <c r="F1618" s="116">
        <v>53.45</v>
      </c>
      <c r="G1618">
        <v>116081</v>
      </c>
      <c r="H1618" s="116"/>
      <c r="I1618" s="116"/>
      <c r="L1618" s="169">
        <v>44386</v>
      </c>
      <c r="M1618" s="116">
        <v>513.9</v>
      </c>
      <c r="N1618" s="116">
        <v>519.54999999999995</v>
      </c>
      <c r="O1618" s="116">
        <v>510.8</v>
      </c>
      <c r="P1618" s="116">
        <v>513.4</v>
      </c>
      <c r="Q1618" s="116">
        <v>513.9</v>
      </c>
      <c r="R1618">
        <v>403505</v>
      </c>
    </row>
    <row r="1619" spans="1:18" x14ac:dyDescent="0.25">
      <c r="A1619" s="169">
        <v>44397</v>
      </c>
      <c r="B1619" s="116">
        <v>55.6</v>
      </c>
      <c r="C1619" s="116">
        <v>51.8</v>
      </c>
      <c r="D1619" s="116">
        <v>50.8</v>
      </c>
      <c r="E1619" s="116">
        <v>55.6</v>
      </c>
      <c r="F1619" s="116">
        <v>51.8</v>
      </c>
      <c r="G1619">
        <v>119255</v>
      </c>
      <c r="H1619" s="116"/>
      <c r="I1619" s="116"/>
      <c r="L1619" s="169">
        <v>44389</v>
      </c>
      <c r="M1619" s="116">
        <v>521.04999999999995</v>
      </c>
      <c r="N1619" s="116">
        <v>522.5</v>
      </c>
      <c r="O1619" s="116">
        <v>513.20000000000005</v>
      </c>
      <c r="P1619" s="116">
        <v>517.79999999999995</v>
      </c>
      <c r="Q1619" s="116">
        <v>521.04999999999995</v>
      </c>
      <c r="R1619">
        <v>365050</v>
      </c>
    </row>
    <row r="1620" spans="1:18" x14ac:dyDescent="0.25">
      <c r="A1620" s="169">
        <v>44399</v>
      </c>
      <c r="B1620" s="116">
        <v>53</v>
      </c>
      <c r="C1620" s="116">
        <v>51.7</v>
      </c>
      <c r="D1620" s="116">
        <v>51</v>
      </c>
      <c r="E1620" s="116">
        <v>52.2</v>
      </c>
      <c r="F1620" s="116">
        <v>51.7</v>
      </c>
      <c r="G1620">
        <v>60002</v>
      </c>
      <c r="H1620" s="116"/>
      <c r="I1620" s="116"/>
      <c r="L1620" s="169">
        <v>44390</v>
      </c>
      <c r="M1620" s="116">
        <v>552.1</v>
      </c>
      <c r="N1620" s="116">
        <v>555</v>
      </c>
      <c r="O1620" s="116">
        <v>521.54999999999995</v>
      </c>
      <c r="P1620" s="116">
        <v>523.4</v>
      </c>
      <c r="Q1620" s="116">
        <v>552.1</v>
      </c>
      <c r="R1620">
        <v>2960464</v>
      </c>
    </row>
    <row r="1621" spans="1:18" x14ac:dyDescent="0.25">
      <c r="A1621" s="169">
        <v>44400</v>
      </c>
      <c r="B1621" s="116">
        <v>52.9</v>
      </c>
      <c r="C1621" s="116">
        <v>49.6</v>
      </c>
      <c r="D1621" s="116">
        <v>49.15</v>
      </c>
      <c r="E1621" s="116">
        <v>52.9</v>
      </c>
      <c r="F1621" s="116">
        <v>49.6</v>
      </c>
      <c r="G1621">
        <v>557635</v>
      </c>
      <c r="H1621" s="116"/>
      <c r="I1621" s="116"/>
      <c r="L1621" s="169">
        <v>44391</v>
      </c>
      <c r="M1621" s="116">
        <v>548.85</v>
      </c>
      <c r="N1621" s="116">
        <v>552.29999999999995</v>
      </c>
      <c r="O1621" s="116">
        <v>540.25</v>
      </c>
      <c r="P1621" s="116">
        <v>552</v>
      </c>
      <c r="Q1621" s="116">
        <v>548.85</v>
      </c>
      <c r="R1621">
        <v>868297</v>
      </c>
    </row>
    <row r="1622" spans="1:18" x14ac:dyDescent="0.25">
      <c r="A1622" s="169">
        <v>44403</v>
      </c>
      <c r="B1622" s="116">
        <v>51.9</v>
      </c>
      <c r="C1622" s="116">
        <v>50.75</v>
      </c>
      <c r="D1622" s="116">
        <v>47.85</v>
      </c>
      <c r="E1622" s="116">
        <v>51.9</v>
      </c>
      <c r="F1622" s="116">
        <v>50.75</v>
      </c>
      <c r="G1622">
        <v>285376</v>
      </c>
      <c r="H1622" s="116"/>
      <c r="I1622" s="116"/>
      <c r="L1622" s="169">
        <v>44392</v>
      </c>
      <c r="M1622" s="116">
        <v>542.85</v>
      </c>
      <c r="N1622" s="116">
        <v>549.79999999999995</v>
      </c>
      <c r="O1622" s="116">
        <v>535.25</v>
      </c>
      <c r="P1622" s="116">
        <v>548.85</v>
      </c>
      <c r="Q1622" s="116">
        <v>542.85</v>
      </c>
      <c r="R1622">
        <v>342663</v>
      </c>
    </row>
    <row r="1623" spans="1:18" x14ac:dyDescent="0.25">
      <c r="A1623" s="169">
        <v>44404</v>
      </c>
      <c r="B1623" s="116">
        <v>53.25</v>
      </c>
      <c r="C1623" s="116">
        <v>53.05</v>
      </c>
      <c r="D1623" s="116">
        <v>51</v>
      </c>
      <c r="E1623" s="116">
        <v>52.2</v>
      </c>
      <c r="F1623" s="116">
        <v>53.05</v>
      </c>
      <c r="G1623">
        <v>207801</v>
      </c>
      <c r="H1623" s="116"/>
      <c r="I1623" s="116"/>
      <c r="L1623" s="169">
        <v>44393</v>
      </c>
      <c r="M1623" s="116">
        <v>540.65</v>
      </c>
      <c r="N1623" s="116">
        <v>553.35</v>
      </c>
      <c r="O1623" s="116">
        <v>536.35</v>
      </c>
      <c r="P1623" s="116">
        <v>545</v>
      </c>
      <c r="Q1623" s="116">
        <v>540.65</v>
      </c>
      <c r="R1623">
        <v>1256498</v>
      </c>
    </row>
    <row r="1624" spans="1:18" x14ac:dyDescent="0.25">
      <c r="A1624" s="169">
        <v>44405</v>
      </c>
      <c r="B1624" s="116">
        <v>55</v>
      </c>
      <c r="C1624" s="116">
        <v>54.3</v>
      </c>
      <c r="D1624" s="116">
        <v>51</v>
      </c>
      <c r="E1624" s="116">
        <v>52.25</v>
      </c>
      <c r="F1624" s="116">
        <v>54.3</v>
      </c>
      <c r="G1624">
        <v>137463</v>
      </c>
      <c r="H1624" s="116"/>
      <c r="I1624" s="116"/>
      <c r="L1624" s="169">
        <v>44396</v>
      </c>
      <c r="M1624" s="116">
        <v>533.1</v>
      </c>
      <c r="N1624" s="116">
        <v>541.9</v>
      </c>
      <c r="O1624" s="116">
        <v>530.95000000000005</v>
      </c>
      <c r="P1624" s="116">
        <v>534.65</v>
      </c>
      <c r="Q1624" s="116">
        <v>533.1</v>
      </c>
      <c r="R1624">
        <v>238485</v>
      </c>
    </row>
    <row r="1625" spans="1:18" x14ac:dyDescent="0.25">
      <c r="A1625" s="169">
        <v>44406</v>
      </c>
      <c r="B1625" s="116">
        <v>56</v>
      </c>
      <c r="C1625" s="116">
        <v>54.95</v>
      </c>
      <c r="D1625" s="116">
        <v>53</v>
      </c>
      <c r="E1625" s="116">
        <v>54</v>
      </c>
      <c r="F1625" s="116">
        <v>54.95</v>
      </c>
      <c r="G1625">
        <v>121134</v>
      </c>
      <c r="H1625" s="116"/>
      <c r="I1625" s="116"/>
      <c r="L1625" s="169">
        <v>44397</v>
      </c>
      <c r="M1625" s="116">
        <v>527.79999999999995</v>
      </c>
      <c r="N1625" s="116">
        <v>535.1</v>
      </c>
      <c r="O1625" s="116">
        <v>523.15</v>
      </c>
      <c r="P1625" s="116">
        <v>535</v>
      </c>
      <c r="Q1625" s="116">
        <v>527.79999999999995</v>
      </c>
      <c r="R1625">
        <v>446010</v>
      </c>
    </row>
    <row r="1626" spans="1:18" x14ac:dyDescent="0.25">
      <c r="A1626" s="169">
        <v>44407</v>
      </c>
      <c r="B1626" s="116">
        <v>57</v>
      </c>
      <c r="C1626" s="116">
        <v>55.7</v>
      </c>
      <c r="D1626" s="116">
        <v>53.8</v>
      </c>
      <c r="E1626" s="116">
        <v>55.5</v>
      </c>
      <c r="F1626" s="116">
        <v>55.7</v>
      </c>
      <c r="G1626">
        <v>155138</v>
      </c>
      <c r="H1626" s="116"/>
      <c r="I1626" s="116"/>
      <c r="L1626" s="169">
        <v>44399</v>
      </c>
      <c r="M1626" s="116">
        <v>544.15</v>
      </c>
      <c r="N1626" s="116">
        <v>549.4</v>
      </c>
      <c r="O1626" s="116">
        <v>532.29999999999995</v>
      </c>
      <c r="P1626" s="116">
        <v>532.70000000000005</v>
      </c>
      <c r="Q1626" s="116">
        <v>544.15</v>
      </c>
      <c r="R1626">
        <v>595914</v>
      </c>
    </row>
    <row r="1627" spans="1:18" x14ac:dyDescent="0.25">
      <c r="A1627" s="169">
        <v>44410</v>
      </c>
      <c r="B1627" s="116">
        <v>58.45</v>
      </c>
      <c r="C1627" s="116">
        <v>58.45</v>
      </c>
      <c r="D1627" s="116">
        <v>55</v>
      </c>
      <c r="E1627" s="116">
        <v>57</v>
      </c>
      <c r="F1627" s="116">
        <v>58.45</v>
      </c>
      <c r="G1627">
        <v>248355</v>
      </c>
      <c r="H1627" s="116"/>
      <c r="I1627" s="116"/>
      <c r="L1627" s="169">
        <v>44400</v>
      </c>
      <c r="M1627" s="116">
        <v>532.29999999999995</v>
      </c>
      <c r="N1627" s="116">
        <v>553</v>
      </c>
      <c r="O1627" s="116">
        <v>529.15</v>
      </c>
      <c r="P1627" s="116">
        <v>548.5</v>
      </c>
      <c r="Q1627" s="116">
        <v>532.29999999999995</v>
      </c>
      <c r="R1627">
        <v>559213</v>
      </c>
    </row>
    <row r="1628" spans="1:18" x14ac:dyDescent="0.25">
      <c r="A1628" s="169">
        <v>44411</v>
      </c>
      <c r="B1628" s="116">
        <v>61</v>
      </c>
      <c r="C1628" s="116">
        <v>60.15</v>
      </c>
      <c r="D1628" s="116">
        <v>58.45</v>
      </c>
      <c r="E1628" s="116">
        <v>60.9</v>
      </c>
      <c r="F1628" s="116">
        <v>60.15</v>
      </c>
      <c r="G1628">
        <v>491500</v>
      </c>
      <c r="H1628" s="116"/>
      <c r="I1628" s="116"/>
      <c r="L1628" s="169">
        <v>44403</v>
      </c>
      <c r="M1628" s="116">
        <v>558.9</v>
      </c>
      <c r="N1628" s="116">
        <v>564</v>
      </c>
      <c r="O1628" s="116">
        <v>534.79999999999995</v>
      </c>
      <c r="P1628" s="116">
        <v>535.1</v>
      </c>
      <c r="Q1628" s="116">
        <v>558.9</v>
      </c>
      <c r="R1628">
        <v>2785377</v>
      </c>
    </row>
    <row r="1629" spans="1:18" x14ac:dyDescent="0.25">
      <c r="A1629" s="169">
        <v>44412</v>
      </c>
      <c r="B1629" s="116">
        <v>63.15</v>
      </c>
      <c r="C1629" s="116">
        <v>63.15</v>
      </c>
      <c r="D1629" s="116">
        <v>60</v>
      </c>
      <c r="E1629" s="116">
        <v>61.9</v>
      </c>
      <c r="F1629" s="116">
        <v>63.15</v>
      </c>
      <c r="G1629">
        <v>722986</v>
      </c>
      <c r="H1629" s="116"/>
      <c r="I1629" s="116"/>
      <c r="L1629" s="169">
        <v>44404</v>
      </c>
      <c r="M1629" s="116">
        <v>550.45000000000005</v>
      </c>
      <c r="N1629" s="116">
        <v>568.75</v>
      </c>
      <c r="O1629" s="116">
        <v>542.20000000000005</v>
      </c>
      <c r="P1629" s="116">
        <v>560</v>
      </c>
      <c r="Q1629" s="116">
        <v>550.45000000000005</v>
      </c>
      <c r="R1629">
        <v>822382</v>
      </c>
    </row>
    <row r="1630" spans="1:18" x14ac:dyDescent="0.25">
      <c r="A1630" s="169">
        <v>44413</v>
      </c>
      <c r="B1630" s="116">
        <v>66.3</v>
      </c>
      <c r="C1630" s="116">
        <v>66.150000000000006</v>
      </c>
      <c r="D1630" s="116">
        <v>60</v>
      </c>
      <c r="E1630" s="116">
        <v>66.3</v>
      </c>
      <c r="F1630" s="116">
        <v>66.150000000000006</v>
      </c>
      <c r="G1630">
        <v>395409</v>
      </c>
      <c r="H1630" s="116"/>
      <c r="I1630" s="116"/>
      <c r="L1630" s="169">
        <v>44405</v>
      </c>
      <c r="M1630" s="116">
        <v>554.35</v>
      </c>
      <c r="N1630" s="116">
        <v>565.70000000000005</v>
      </c>
      <c r="O1630" s="116">
        <v>547</v>
      </c>
      <c r="P1630" s="116">
        <v>553.9</v>
      </c>
      <c r="Q1630" s="116">
        <v>554.35</v>
      </c>
      <c r="R1630">
        <v>726157</v>
      </c>
    </row>
    <row r="1631" spans="1:18" x14ac:dyDescent="0.25">
      <c r="A1631" s="169">
        <v>44414</v>
      </c>
      <c r="B1631" s="116">
        <v>69.400000000000006</v>
      </c>
      <c r="C1631" s="116">
        <v>69</v>
      </c>
      <c r="D1631" s="116">
        <v>64.3</v>
      </c>
      <c r="E1631" s="116">
        <v>66.3</v>
      </c>
      <c r="F1631" s="116">
        <v>69</v>
      </c>
      <c r="G1631">
        <v>454623</v>
      </c>
      <c r="H1631" s="116"/>
      <c r="I1631" s="116"/>
      <c r="L1631" s="169">
        <v>44406</v>
      </c>
      <c r="M1631" s="116">
        <v>547.6</v>
      </c>
      <c r="N1631" s="116">
        <v>558.75</v>
      </c>
      <c r="O1631" s="116">
        <v>545</v>
      </c>
      <c r="P1631" s="116">
        <v>558.70000000000005</v>
      </c>
      <c r="Q1631" s="116">
        <v>547.6</v>
      </c>
      <c r="R1631">
        <v>628596</v>
      </c>
    </row>
    <row r="1632" spans="1:18" x14ac:dyDescent="0.25">
      <c r="A1632" s="169">
        <v>44417</v>
      </c>
      <c r="B1632" s="116">
        <v>72.45</v>
      </c>
      <c r="C1632" s="116">
        <v>72.45</v>
      </c>
      <c r="D1632" s="116">
        <v>70</v>
      </c>
      <c r="E1632" s="116">
        <v>70</v>
      </c>
      <c r="F1632" s="116">
        <v>72.45</v>
      </c>
      <c r="G1632">
        <v>821715</v>
      </c>
      <c r="H1632" s="116"/>
      <c r="I1632" s="116"/>
      <c r="L1632" s="169">
        <v>44407</v>
      </c>
      <c r="M1632" s="116">
        <v>539.79999999999995</v>
      </c>
      <c r="N1632" s="116">
        <v>551.5</v>
      </c>
      <c r="O1632" s="116">
        <v>538.35</v>
      </c>
      <c r="P1632" s="116">
        <v>547.29999999999995</v>
      </c>
      <c r="Q1632" s="116">
        <v>539.79999999999995</v>
      </c>
      <c r="R1632">
        <v>287922</v>
      </c>
    </row>
    <row r="1633" spans="1:18" x14ac:dyDescent="0.25">
      <c r="A1633" s="169">
        <v>44418</v>
      </c>
      <c r="B1633" s="116">
        <v>76.05</v>
      </c>
      <c r="C1633" s="116">
        <v>70.25</v>
      </c>
      <c r="D1633" s="116">
        <v>68.849999999999994</v>
      </c>
      <c r="E1633" s="116">
        <v>75.5</v>
      </c>
      <c r="F1633" s="116">
        <v>70.25</v>
      </c>
      <c r="G1633">
        <v>839710</v>
      </c>
      <c r="H1633" s="116"/>
      <c r="I1633" s="116"/>
      <c r="L1633" s="169">
        <v>44410</v>
      </c>
      <c r="M1633" s="116">
        <v>554.65</v>
      </c>
      <c r="N1633" s="116">
        <v>566</v>
      </c>
      <c r="O1633" s="116">
        <v>540.45000000000005</v>
      </c>
      <c r="P1633" s="116">
        <v>542</v>
      </c>
      <c r="Q1633" s="116">
        <v>554.65</v>
      </c>
      <c r="R1633">
        <v>737707</v>
      </c>
    </row>
    <row r="1634" spans="1:18" x14ac:dyDescent="0.25">
      <c r="A1634" s="169">
        <v>44419</v>
      </c>
      <c r="B1634" s="116">
        <v>73</v>
      </c>
      <c r="C1634" s="116">
        <v>72.400000000000006</v>
      </c>
      <c r="D1634" s="116">
        <v>66.75</v>
      </c>
      <c r="E1634" s="116">
        <v>69.599999999999994</v>
      </c>
      <c r="F1634" s="116">
        <v>72.400000000000006</v>
      </c>
      <c r="G1634">
        <v>519494</v>
      </c>
      <c r="H1634" s="116"/>
      <c r="I1634" s="116"/>
      <c r="L1634" s="169">
        <v>44411</v>
      </c>
      <c r="M1634" s="116">
        <v>552.4</v>
      </c>
      <c r="N1634" s="116">
        <v>559</v>
      </c>
      <c r="O1634" s="116">
        <v>545.25</v>
      </c>
      <c r="P1634" s="116">
        <v>556.79999999999995</v>
      </c>
      <c r="Q1634" s="116">
        <v>552.4</v>
      </c>
      <c r="R1634">
        <v>525462</v>
      </c>
    </row>
    <row r="1635" spans="1:18" x14ac:dyDescent="0.25">
      <c r="A1635" s="169">
        <v>44420</v>
      </c>
      <c r="B1635" s="116">
        <v>72.900000000000006</v>
      </c>
      <c r="C1635" s="116">
        <v>70.7</v>
      </c>
      <c r="D1635" s="116">
        <v>68.8</v>
      </c>
      <c r="E1635" s="116">
        <v>70.5</v>
      </c>
      <c r="F1635" s="116">
        <v>70.7</v>
      </c>
      <c r="G1635">
        <v>150906</v>
      </c>
      <c r="H1635" s="116"/>
      <c r="I1635" s="116"/>
      <c r="L1635" s="169">
        <v>44412</v>
      </c>
      <c r="M1635" s="116">
        <v>566.25</v>
      </c>
      <c r="N1635" s="116">
        <v>577.9</v>
      </c>
      <c r="O1635" s="116">
        <v>549.95000000000005</v>
      </c>
      <c r="P1635" s="116">
        <v>553.5</v>
      </c>
      <c r="Q1635" s="116">
        <v>566.25</v>
      </c>
      <c r="R1635">
        <v>2316101</v>
      </c>
    </row>
    <row r="1636" spans="1:18" x14ac:dyDescent="0.25">
      <c r="A1636" s="169">
        <v>44421</v>
      </c>
      <c r="B1636" s="116">
        <v>72.349999999999994</v>
      </c>
      <c r="C1636" s="116">
        <v>68.650000000000006</v>
      </c>
      <c r="D1636" s="116">
        <v>67.599999999999994</v>
      </c>
      <c r="E1636" s="116">
        <v>70.7</v>
      </c>
      <c r="F1636" s="116">
        <v>68.650000000000006</v>
      </c>
      <c r="G1636">
        <v>165089</v>
      </c>
      <c r="H1636" s="116"/>
      <c r="I1636" s="116"/>
      <c r="L1636" s="169">
        <v>44413</v>
      </c>
      <c r="M1636" s="116">
        <v>569.70000000000005</v>
      </c>
      <c r="N1636" s="116">
        <v>576</v>
      </c>
      <c r="O1636" s="116">
        <v>558.70000000000005</v>
      </c>
      <c r="P1636" s="116">
        <v>566.65</v>
      </c>
      <c r="Q1636" s="116">
        <v>569.70000000000005</v>
      </c>
      <c r="R1636">
        <v>1028455</v>
      </c>
    </row>
    <row r="1637" spans="1:18" x14ac:dyDescent="0.25">
      <c r="A1637" s="169">
        <v>44424</v>
      </c>
      <c r="B1637" s="116">
        <v>71.900000000000006</v>
      </c>
      <c r="C1637" s="116">
        <v>69.900000000000006</v>
      </c>
      <c r="D1637" s="116">
        <v>68.650000000000006</v>
      </c>
      <c r="E1637" s="116">
        <v>69.099999999999994</v>
      </c>
      <c r="F1637" s="116">
        <v>69.900000000000006</v>
      </c>
      <c r="G1637">
        <v>472644</v>
      </c>
      <c r="H1637" s="116"/>
      <c r="I1637" s="116"/>
      <c r="L1637" s="169">
        <v>44414</v>
      </c>
      <c r="M1637" s="116">
        <v>554.35</v>
      </c>
      <c r="N1637" s="116">
        <v>571.5</v>
      </c>
      <c r="O1637" s="116">
        <v>550.5</v>
      </c>
      <c r="P1637" s="116">
        <v>571</v>
      </c>
      <c r="Q1637" s="116">
        <v>554.35</v>
      </c>
      <c r="R1637">
        <v>494479</v>
      </c>
    </row>
    <row r="1638" spans="1:18" x14ac:dyDescent="0.25">
      <c r="A1638" s="169">
        <v>44425</v>
      </c>
      <c r="B1638" s="116">
        <v>71.3</v>
      </c>
      <c r="C1638" s="116">
        <v>67.55</v>
      </c>
      <c r="D1638" s="116">
        <v>67.3</v>
      </c>
      <c r="E1638" s="116">
        <v>67.3</v>
      </c>
      <c r="F1638" s="116">
        <v>67.55</v>
      </c>
      <c r="G1638">
        <v>386915</v>
      </c>
      <c r="H1638" s="116"/>
      <c r="I1638" s="116"/>
      <c r="L1638" s="169">
        <v>44417</v>
      </c>
      <c r="M1638" s="116">
        <v>543.15</v>
      </c>
      <c r="N1638" s="116">
        <v>556.70000000000005</v>
      </c>
      <c r="O1638" s="116">
        <v>539</v>
      </c>
      <c r="P1638" s="116">
        <v>555.25</v>
      </c>
      <c r="Q1638" s="116">
        <v>543.15</v>
      </c>
      <c r="R1638">
        <v>255643</v>
      </c>
    </row>
    <row r="1639" spans="1:18" x14ac:dyDescent="0.25">
      <c r="A1639" s="169">
        <v>44426</v>
      </c>
      <c r="B1639" s="116">
        <v>69</v>
      </c>
      <c r="C1639" s="116">
        <v>65.05</v>
      </c>
      <c r="D1639" s="116">
        <v>64.55</v>
      </c>
      <c r="E1639" s="116">
        <v>69</v>
      </c>
      <c r="F1639" s="116">
        <v>65.05</v>
      </c>
      <c r="G1639">
        <v>106483</v>
      </c>
      <c r="H1639" s="116"/>
      <c r="I1639" s="116"/>
      <c r="L1639" s="169">
        <v>44418</v>
      </c>
      <c r="M1639" s="116">
        <v>523.70000000000005</v>
      </c>
      <c r="N1639" s="116">
        <v>561.95000000000005</v>
      </c>
      <c r="O1639" s="116">
        <v>518.25</v>
      </c>
      <c r="P1639" s="116">
        <v>550.20000000000005</v>
      </c>
      <c r="Q1639" s="116">
        <v>523.70000000000005</v>
      </c>
      <c r="R1639">
        <v>991385</v>
      </c>
    </row>
    <row r="1640" spans="1:18" x14ac:dyDescent="0.25">
      <c r="A1640" s="169">
        <v>44428</v>
      </c>
      <c r="B1640" s="116">
        <v>65.05</v>
      </c>
      <c r="C1640" s="116">
        <v>62.2</v>
      </c>
      <c r="D1640" s="116">
        <v>62.05</v>
      </c>
      <c r="E1640" s="116">
        <v>65</v>
      </c>
      <c r="F1640" s="116">
        <v>62.2</v>
      </c>
      <c r="G1640">
        <v>206254</v>
      </c>
      <c r="H1640" s="116"/>
      <c r="I1640" s="116"/>
      <c r="L1640" s="169">
        <v>44419</v>
      </c>
      <c r="M1640" s="116">
        <v>523.4</v>
      </c>
      <c r="N1640" s="116">
        <v>549.70000000000005</v>
      </c>
      <c r="O1640" s="116">
        <v>511.7</v>
      </c>
      <c r="P1640" s="116">
        <v>525.70000000000005</v>
      </c>
      <c r="Q1640" s="116">
        <v>523.4</v>
      </c>
      <c r="R1640">
        <v>665743</v>
      </c>
    </row>
    <row r="1641" spans="1:18" x14ac:dyDescent="0.25">
      <c r="A1641" s="169">
        <v>44431</v>
      </c>
      <c r="B1641" s="116">
        <v>64.900000000000006</v>
      </c>
      <c r="C1641" s="116">
        <v>60.5</v>
      </c>
      <c r="D1641" s="116">
        <v>59.2</v>
      </c>
      <c r="E1641" s="116">
        <v>62.2</v>
      </c>
      <c r="F1641" s="116">
        <v>60.5</v>
      </c>
      <c r="G1641">
        <v>155393</v>
      </c>
      <c r="H1641" s="116"/>
      <c r="I1641" s="116"/>
      <c r="L1641" s="169">
        <v>44420</v>
      </c>
      <c r="M1641" s="116">
        <v>529</v>
      </c>
      <c r="N1641" s="116">
        <v>536</v>
      </c>
      <c r="O1641" s="116">
        <v>523.5</v>
      </c>
      <c r="P1641" s="116">
        <v>524.95000000000005</v>
      </c>
      <c r="Q1641" s="116">
        <v>529</v>
      </c>
      <c r="R1641">
        <v>275121</v>
      </c>
    </row>
    <row r="1642" spans="1:18" x14ac:dyDescent="0.25">
      <c r="A1642" s="169">
        <v>44432</v>
      </c>
      <c r="B1642" s="116">
        <v>62</v>
      </c>
      <c r="C1642" s="116">
        <v>60.2</v>
      </c>
      <c r="D1642" s="116">
        <v>57.6</v>
      </c>
      <c r="E1642" s="116">
        <v>57.6</v>
      </c>
      <c r="F1642" s="116">
        <v>60.2</v>
      </c>
      <c r="G1642">
        <v>218085</v>
      </c>
      <c r="H1642" s="116"/>
      <c r="I1642" s="116"/>
      <c r="L1642" s="169">
        <v>44421</v>
      </c>
      <c r="M1642" s="116">
        <v>524.29999999999995</v>
      </c>
      <c r="N1642" s="116">
        <v>531</v>
      </c>
      <c r="O1642" s="116">
        <v>523.29999999999995</v>
      </c>
      <c r="P1642" s="116">
        <v>531</v>
      </c>
      <c r="Q1642" s="116">
        <v>524.29999999999995</v>
      </c>
      <c r="R1642">
        <v>149090</v>
      </c>
    </row>
    <row r="1643" spans="1:18" x14ac:dyDescent="0.25">
      <c r="A1643" s="169">
        <v>44433</v>
      </c>
      <c r="B1643" s="116">
        <v>62</v>
      </c>
      <c r="C1643" s="116">
        <v>61.45</v>
      </c>
      <c r="D1643" s="116">
        <v>59.4</v>
      </c>
      <c r="E1643" s="116">
        <v>60.05</v>
      </c>
      <c r="F1643" s="116">
        <v>61.45</v>
      </c>
      <c r="G1643">
        <v>1156910</v>
      </c>
      <c r="H1643" s="116"/>
      <c r="I1643" s="116"/>
      <c r="L1643" s="169">
        <v>44424</v>
      </c>
      <c r="M1643" s="116">
        <v>519.54999999999995</v>
      </c>
      <c r="N1643" s="116">
        <v>531.25</v>
      </c>
      <c r="O1643" s="116">
        <v>516.54999999999995</v>
      </c>
      <c r="P1643" s="116">
        <v>526.4</v>
      </c>
      <c r="Q1643" s="116">
        <v>519.54999999999995</v>
      </c>
      <c r="R1643">
        <v>336208</v>
      </c>
    </row>
    <row r="1644" spans="1:18" x14ac:dyDescent="0.25">
      <c r="A1644" s="169">
        <v>44434</v>
      </c>
      <c r="B1644" s="116">
        <v>63</v>
      </c>
      <c r="C1644" s="116">
        <v>63</v>
      </c>
      <c r="D1644" s="116">
        <v>61.25</v>
      </c>
      <c r="E1644" s="116">
        <v>61.5</v>
      </c>
      <c r="F1644" s="116">
        <v>63</v>
      </c>
      <c r="G1644">
        <v>523809</v>
      </c>
      <c r="H1644" s="116"/>
      <c r="I1644" s="116"/>
      <c r="L1644" s="169">
        <v>44425</v>
      </c>
      <c r="M1644" s="116">
        <v>519.95000000000005</v>
      </c>
      <c r="N1644" s="116">
        <v>523.45000000000005</v>
      </c>
      <c r="O1644" s="116">
        <v>516</v>
      </c>
      <c r="P1644" s="116">
        <v>519.70000000000005</v>
      </c>
      <c r="Q1644" s="116">
        <v>519.95000000000005</v>
      </c>
      <c r="R1644">
        <v>279262</v>
      </c>
    </row>
    <row r="1645" spans="1:18" x14ac:dyDescent="0.25">
      <c r="A1645" s="169">
        <v>44435</v>
      </c>
      <c r="B1645" s="116">
        <v>66.150000000000006</v>
      </c>
      <c r="C1645" s="116">
        <v>66.150000000000006</v>
      </c>
      <c r="D1645" s="116">
        <v>61.25</v>
      </c>
      <c r="E1645" s="116">
        <v>63</v>
      </c>
      <c r="F1645" s="116">
        <v>66.150000000000006</v>
      </c>
      <c r="G1645">
        <v>311834</v>
      </c>
      <c r="H1645" s="116"/>
      <c r="I1645" s="116"/>
      <c r="L1645" s="169">
        <v>44426</v>
      </c>
      <c r="M1645" s="116">
        <v>515.54999999999995</v>
      </c>
      <c r="N1645" s="116">
        <v>527.5</v>
      </c>
      <c r="O1645" s="116">
        <v>509</v>
      </c>
      <c r="P1645" s="116">
        <v>522.5</v>
      </c>
      <c r="Q1645" s="116">
        <v>515.54999999999995</v>
      </c>
      <c r="R1645">
        <v>554030</v>
      </c>
    </row>
    <row r="1646" spans="1:18" x14ac:dyDescent="0.25">
      <c r="A1646" s="169">
        <v>44438</v>
      </c>
      <c r="B1646" s="116">
        <v>69.45</v>
      </c>
      <c r="C1646" s="116">
        <v>69.05</v>
      </c>
      <c r="D1646" s="116">
        <v>66.150000000000006</v>
      </c>
      <c r="E1646" s="116">
        <v>66.150000000000006</v>
      </c>
      <c r="F1646" s="116">
        <v>69.05</v>
      </c>
      <c r="G1646">
        <v>93601</v>
      </c>
      <c r="H1646" s="116"/>
      <c r="I1646" s="116"/>
      <c r="L1646" s="169">
        <v>44428</v>
      </c>
      <c r="M1646" s="116">
        <v>500.3</v>
      </c>
      <c r="N1646" s="116">
        <v>513.1</v>
      </c>
      <c r="O1646" s="116">
        <v>496.35</v>
      </c>
      <c r="P1646" s="116">
        <v>510.55</v>
      </c>
      <c r="Q1646" s="116">
        <v>500.3</v>
      </c>
      <c r="R1646">
        <v>538194</v>
      </c>
    </row>
    <row r="1647" spans="1:18" x14ac:dyDescent="0.25">
      <c r="A1647" s="169">
        <v>44439</v>
      </c>
      <c r="B1647" s="116">
        <v>69.400000000000006</v>
      </c>
      <c r="C1647" s="116">
        <v>66.3</v>
      </c>
      <c r="D1647" s="116">
        <v>65.599999999999994</v>
      </c>
      <c r="E1647" s="116">
        <v>69.400000000000006</v>
      </c>
      <c r="F1647" s="116">
        <v>66.3</v>
      </c>
      <c r="G1647">
        <v>79776</v>
      </c>
      <c r="H1647" s="116"/>
      <c r="I1647" s="116"/>
      <c r="L1647" s="169">
        <v>44431</v>
      </c>
      <c r="M1647" s="116">
        <v>502.4</v>
      </c>
      <c r="N1647" s="116">
        <v>512.65</v>
      </c>
      <c r="O1647" s="116">
        <v>491.8</v>
      </c>
      <c r="P1647" s="116">
        <v>502.9</v>
      </c>
      <c r="Q1647" s="116">
        <v>502.4</v>
      </c>
      <c r="R1647">
        <v>597596</v>
      </c>
    </row>
    <row r="1648" spans="1:18" x14ac:dyDescent="0.25">
      <c r="A1648" s="169">
        <v>44440</v>
      </c>
      <c r="B1648" s="116">
        <v>68.5</v>
      </c>
      <c r="C1648" s="116">
        <v>65.5</v>
      </c>
      <c r="D1648" s="116">
        <v>64.8</v>
      </c>
      <c r="E1648" s="116">
        <v>67.900000000000006</v>
      </c>
      <c r="F1648" s="116">
        <v>65.5</v>
      </c>
      <c r="G1648">
        <v>65168</v>
      </c>
      <c r="H1648" s="116"/>
      <c r="I1648" s="116"/>
      <c r="L1648" s="169">
        <v>44432</v>
      </c>
      <c r="M1648" s="116">
        <v>503.7</v>
      </c>
      <c r="N1648" s="116">
        <v>514.9</v>
      </c>
      <c r="O1648" s="116">
        <v>498.45</v>
      </c>
      <c r="P1648" s="116">
        <v>503.45</v>
      </c>
      <c r="Q1648" s="116">
        <v>503.7</v>
      </c>
      <c r="R1648">
        <v>261702</v>
      </c>
    </row>
    <row r="1649" spans="1:18" x14ac:dyDescent="0.25">
      <c r="A1649" s="169">
        <v>44441</v>
      </c>
      <c r="B1649" s="116">
        <v>68.75</v>
      </c>
      <c r="C1649" s="116">
        <v>68.75</v>
      </c>
      <c r="D1649" s="116">
        <v>64.2</v>
      </c>
      <c r="E1649" s="116">
        <v>64.2</v>
      </c>
      <c r="F1649" s="116">
        <v>68.75</v>
      </c>
      <c r="G1649">
        <v>59985</v>
      </c>
      <c r="H1649" s="116"/>
      <c r="I1649" s="116"/>
      <c r="L1649" s="169">
        <v>44433</v>
      </c>
      <c r="M1649" s="116">
        <v>506.2</v>
      </c>
      <c r="N1649" s="116">
        <v>517.95000000000005</v>
      </c>
      <c r="O1649" s="116">
        <v>503.9</v>
      </c>
      <c r="P1649" s="116">
        <v>505.2</v>
      </c>
      <c r="Q1649" s="116">
        <v>506.2</v>
      </c>
      <c r="R1649">
        <v>333604</v>
      </c>
    </row>
    <row r="1650" spans="1:18" x14ac:dyDescent="0.25">
      <c r="A1650" s="169">
        <v>44442</v>
      </c>
      <c r="B1650" s="116">
        <v>72.150000000000006</v>
      </c>
      <c r="C1650" s="116">
        <v>71</v>
      </c>
      <c r="D1650" s="116">
        <v>69</v>
      </c>
      <c r="E1650" s="116">
        <v>72.150000000000006</v>
      </c>
      <c r="F1650" s="116">
        <v>71</v>
      </c>
      <c r="G1650">
        <v>255423</v>
      </c>
      <c r="H1650" s="116"/>
      <c r="I1650" s="116"/>
      <c r="L1650" s="169">
        <v>44434</v>
      </c>
      <c r="M1650" s="116">
        <v>516.45000000000005</v>
      </c>
      <c r="N1650" s="116">
        <v>523.04999999999995</v>
      </c>
      <c r="O1650" s="116">
        <v>507.65</v>
      </c>
      <c r="P1650" s="116">
        <v>507.65</v>
      </c>
      <c r="Q1650" s="116">
        <v>516.45000000000005</v>
      </c>
      <c r="R1650">
        <v>1392172</v>
      </c>
    </row>
    <row r="1651" spans="1:18" x14ac:dyDescent="0.25">
      <c r="A1651" s="169">
        <v>44445</v>
      </c>
      <c r="B1651" s="116">
        <v>72</v>
      </c>
      <c r="C1651" s="116">
        <v>71.349999999999994</v>
      </c>
      <c r="D1651" s="116">
        <v>67.45</v>
      </c>
      <c r="E1651" s="116">
        <v>71</v>
      </c>
      <c r="F1651" s="116">
        <v>71.349999999999994</v>
      </c>
      <c r="G1651">
        <v>71784</v>
      </c>
      <c r="H1651" s="116"/>
      <c r="I1651" s="116"/>
      <c r="L1651" s="169">
        <v>44435</v>
      </c>
      <c r="M1651" s="116">
        <v>525.25</v>
      </c>
      <c r="N1651" s="116">
        <v>530</v>
      </c>
      <c r="O1651" s="116">
        <v>515</v>
      </c>
      <c r="P1651" s="116">
        <v>518.95000000000005</v>
      </c>
      <c r="Q1651" s="116">
        <v>525.25</v>
      </c>
      <c r="R1651">
        <v>885947</v>
      </c>
    </row>
    <row r="1652" spans="1:18" x14ac:dyDescent="0.25">
      <c r="A1652" s="169">
        <v>44446</v>
      </c>
      <c r="B1652" s="116">
        <v>73</v>
      </c>
      <c r="C1652" s="116">
        <v>72.150000000000006</v>
      </c>
      <c r="D1652" s="116">
        <v>68.55</v>
      </c>
      <c r="E1652" s="116">
        <v>71.349999999999994</v>
      </c>
      <c r="F1652" s="116">
        <v>72.150000000000006</v>
      </c>
      <c r="G1652">
        <v>89617</v>
      </c>
      <c r="H1652" s="116"/>
      <c r="I1652" s="116"/>
      <c r="L1652" s="169">
        <v>44438</v>
      </c>
      <c r="M1652" s="116">
        <v>566.5</v>
      </c>
      <c r="N1652" s="116">
        <v>573.79999999999995</v>
      </c>
      <c r="O1652" s="116">
        <v>525</v>
      </c>
      <c r="P1652" s="116">
        <v>529</v>
      </c>
      <c r="Q1652" s="116">
        <v>566.5</v>
      </c>
      <c r="R1652">
        <v>3468672</v>
      </c>
    </row>
    <row r="1653" spans="1:18" x14ac:dyDescent="0.25">
      <c r="A1653" s="169">
        <v>44447</v>
      </c>
      <c r="B1653" s="116">
        <v>73</v>
      </c>
      <c r="C1653" s="116">
        <v>72.8</v>
      </c>
      <c r="D1653" s="116">
        <v>69.150000000000006</v>
      </c>
      <c r="E1653" s="116">
        <v>71.5</v>
      </c>
      <c r="F1653" s="116">
        <v>72.8</v>
      </c>
      <c r="G1653">
        <v>51154</v>
      </c>
      <c r="H1653" s="116"/>
      <c r="I1653" s="116"/>
      <c r="L1653" s="169">
        <v>44439</v>
      </c>
      <c r="M1653" s="116">
        <v>570.95000000000005</v>
      </c>
      <c r="N1653" s="116">
        <v>600</v>
      </c>
      <c r="O1653" s="116">
        <v>561</v>
      </c>
      <c r="P1653" s="116">
        <v>566.45000000000005</v>
      </c>
      <c r="Q1653" s="116">
        <v>570.95000000000005</v>
      </c>
      <c r="R1653">
        <v>4417283</v>
      </c>
    </row>
    <row r="1654" spans="1:18" x14ac:dyDescent="0.25">
      <c r="A1654" s="169">
        <v>44448</v>
      </c>
      <c r="B1654" s="116">
        <v>74.900000000000006</v>
      </c>
      <c r="C1654" s="116">
        <v>74.650000000000006</v>
      </c>
      <c r="D1654" s="116">
        <v>69.650000000000006</v>
      </c>
      <c r="E1654" s="116">
        <v>73</v>
      </c>
      <c r="F1654" s="116">
        <v>74.650000000000006</v>
      </c>
      <c r="G1654">
        <v>216803</v>
      </c>
      <c r="H1654" s="116"/>
      <c r="I1654" s="116"/>
      <c r="L1654" s="169">
        <v>44440</v>
      </c>
      <c r="M1654" s="116">
        <v>582.20000000000005</v>
      </c>
      <c r="N1654" s="116">
        <v>599</v>
      </c>
      <c r="O1654" s="116">
        <v>550.04999999999995</v>
      </c>
      <c r="P1654" s="116">
        <v>573</v>
      </c>
      <c r="Q1654" s="116">
        <v>582.20000000000005</v>
      </c>
      <c r="R1654">
        <v>3216736</v>
      </c>
    </row>
    <row r="1655" spans="1:18" x14ac:dyDescent="0.25">
      <c r="A1655" s="169">
        <v>44452</v>
      </c>
      <c r="B1655" s="116">
        <v>78.349999999999994</v>
      </c>
      <c r="C1655" s="116">
        <v>78.25</v>
      </c>
      <c r="D1655" s="116">
        <v>75</v>
      </c>
      <c r="E1655" s="116">
        <v>76</v>
      </c>
      <c r="F1655" s="116">
        <v>78.25</v>
      </c>
      <c r="G1655">
        <v>526796</v>
      </c>
      <c r="H1655" s="116"/>
      <c r="I1655" s="116"/>
      <c r="L1655" s="169">
        <v>44441</v>
      </c>
      <c r="M1655" s="116">
        <v>586.4</v>
      </c>
      <c r="N1655" s="116">
        <v>594.54999999999995</v>
      </c>
      <c r="O1655" s="116">
        <v>575.25</v>
      </c>
      <c r="P1655" s="116">
        <v>584.70000000000005</v>
      </c>
      <c r="Q1655" s="116">
        <v>586.4</v>
      </c>
      <c r="R1655">
        <v>1327183</v>
      </c>
    </row>
    <row r="1656" spans="1:18" x14ac:dyDescent="0.25">
      <c r="A1656" s="169">
        <v>44453</v>
      </c>
      <c r="B1656" s="116">
        <v>82.15</v>
      </c>
      <c r="C1656" s="116">
        <v>82.15</v>
      </c>
      <c r="D1656" s="116">
        <v>79.099999999999994</v>
      </c>
      <c r="E1656" s="116">
        <v>80.900000000000006</v>
      </c>
      <c r="F1656" s="116">
        <v>82.15</v>
      </c>
      <c r="G1656">
        <v>390247</v>
      </c>
      <c r="H1656" s="116"/>
      <c r="I1656" s="116"/>
      <c r="L1656" s="169">
        <v>44442</v>
      </c>
      <c r="M1656" s="116">
        <v>586.04999999999995</v>
      </c>
      <c r="N1656" s="116">
        <v>598.9</v>
      </c>
      <c r="O1656" s="116">
        <v>580.20000000000005</v>
      </c>
      <c r="P1656" s="116">
        <v>589.79999999999995</v>
      </c>
      <c r="Q1656" s="116">
        <v>586.04999999999995</v>
      </c>
      <c r="R1656">
        <v>1468037</v>
      </c>
    </row>
    <row r="1657" spans="1:18" x14ac:dyDescent="0.25">
      <c r="A1657" s="169">
        <v>44454</v>
      </c>
      <c r="B1657" s="116">
        <v>85.9</v>
      </c>
      <c r="C1657" s="116">
        <v>79.900000000000006</v>
      </c>
      <c r="D1657" s="116">
        <v>79</v>
      </c>
      <c r="E1657" s="116">
        <v>85.9</v>
      </c>
      <c r="F1657" s="116">
        <v>79.900000000000006</v>
      </c>
      <c r="G1657">
        <v>140439</v>
      </c>
      <c r="H1657" s="116"/>
      <c r="I1657" s="116"/>
      <c r="L1657" s="169">
        <v>44445</v>
      </c>
      <c r="M1657" s="116">
        <v>591.95000000000005</v>
      </c>
      <c r="N1657" s="116">
        <v>598.79999999999995</v>
      </c>
      <c r="O1657" s="116">
        <v>578.29999999999995</v>
      </c>
      <c r="P1657" s="116">
        <v>587.4</v>
      </c>
      <c r="Q1657" s="116">
        <v>591.95000000000005</v>
      </c>
      <c r="R1657">
        <v>1172449</v>
      </c>
    </row>
    <row r="1658" spans="1:18" x14ac:dyDescent="0.25">
      <c r="A1658" s="169">
        <v>44455</v>
      </c>
      <c r="B1658" s="116">
        <v>82</v>
      </c>
      <c r="C1658" s="116">
        <v>78.900000000000006</v>
      </c>
      <c r="D1658" s="116">
        <v>78.099999999999994</v>
      </c>
      <c r="E1658" s="116">
        <v>82</v>
      </c>
      <c r="F1658" s="116">
        <v>78.900000000000006</v>
      </c>
      <c r="G1658">
        <v>60265</v>
      </c>
      <c r="H1658" s="116"/>
      <c r="I1658" s="116"/>
      <c r="L1658" s="169">
        <v>44446</v>
      </c>
      <c r="M1658" s="116">
        <v>615.70000000000005</v>
      </c>
      <c r="N1658" s="116">
        <v>635</v>
      </c>
      <c r="O1658" s="116">
        <v>601</v>
      </c>
      <c r="P1658" s="116">
        <v>601</v>
      </c>
      <c r="Q1658" s="116">
        <v>615.70000000000005</v>
      </c>
      <c r="R1658">
        <v>10419013</v>
      </c>
    </row>
    <row r="1659" spans="1:18" x14ac:dyDescent="0.25">
      <c r="A1659" s="169">
        <v>44456</v>
      </c>
      <c r="B1659" s="116">
        <v>79.7</v>
      </c>
      <c r="C1659" s="116">
        <v>75.3</v>
      </c>
      <c r="D1659" s="116">
        <v>75</v>
      </c>
      <c r="E1659" s="116">
        <v>78.5</v>
      </c>
      <c r="F1659" s="116">
        <v>75.3</v>
      </c>
      <c r="G1659">
        <v>93534</v>
      </c>
      <c r="H1659" s="116"/>
      <c r="I1659" s="116"/>
      <c r="L1659" s="169">
        <v>44447</v>
      </c>
      <c r="M1659" s="116">
        <v>639.9</v>
      </c>
      <c r="N1659" s="116">
        <v>651.35</v>
      </c>
      <c r="O1659" s="116">
        <v>616</v>
      </c>
      <c r="P1659" s="116">
        <v>620.1</v>
      </c>
      <c r="Q1659" s="116">
        <v>639.9</v>
      </c>
      <c r="R1659">
        <v>6550645</v>
      </c>
    </row>
    <row r="1660" spans="1:18" x14ac:dyDescent="0.25">
      <c r="A1660" s="169">
        <v>44459</v>
      </c>
      <c r="B1660" s="116">
        <v>73.849999999999994</v>
      </c>
      <c r="C1660" s="116">
        <v>71.55</v>
      </c>
      <c r="D1660" s="116">
        <v>71.55</v>
      </c>
      <c r="E1660" s="116">
        <v>71.55</v>
      </c>
      <c r="F1660" s="116">
        <v>71.55</v>
      </c>
      <c r="G1660">
        <v>88628</v>
      </c>
      <c r="H1660" s="116"/>
      <c r="I1660" s="116"/>
      <c r="L1660" s="169">
        <v>44448</v>
      </c>
      <c r="M1660" s="116">
        <v>624.75</v>
      </c>
      <c r="N1660" s="116">
        <v>653</v>
      </c>
      <c r="O1660" s="116">
        <v>622.75</v>
      </c>
      <c r="P1660" s="116">
        <v>639.4</v>
      </c>
      <c r="Q1660" s="116">
        <v>624.75</v>
      </c>
      <c r="R1660">
        <v>4215589</v>
      </c>
    </row>
    <row r="1661" spans="1:18" x14ac:dyDescent="0.25">
      <c r="A1661" s="169">
        <v>44460</v>
      </c>
      <c r="B1661" s="116">
        <v>72</v>
      </c>
      <c r="C1661" s="116">
        <v>70.099999999999994</v>
      </c>
      <c r="D1661" s="116">
        <v>68</v>
      </c>
      <c r="E1661" s="116">
        <v>71.55</v>
      </c>
      <c r="F1661" s="116">
        <v>70.099999999999994</v>
      </c>
      <c r="G1661">
        <v>169168</v>
      </c>
      <c r="H1661" s="116"/>
      <c r="I1661" s="116"/>
      <c r="L1661" s="169">
        <v>44452</v>
      </c>
      <c r="M1661" s="116">
        <v>631.75</v>
      </c>
      <c r="N1661" s="116">
        <v>641.4</v>
      </c>
      <c r="O1661" s="116">
        <v>624.9</v>
      </c>
      <c r="P1661" s="116">
        <v>627</v>
      </c>
      <c r="Q1661" s="116">
        <v>631.75</v>
      </c>
      <c r="R1661">
        <v>2204782</v>
      </c>
    </row>
    <row r="1662" spans="1:18" x14ac:dyDescent="0.25">
      <c r="A1662" s="169">
        <v>44461</v>
      </c>
      <c r="B1662" s="116">
        <v>71.900000000000006</v>
      </c>
      <c r="C1662" s="116">
        <v>69.5</v>
      </c>
      <c r="D1662" s="116">
        <v>68</v>
      </c>
      <c r="E1662" s="116">
        <v>70.099999999999994</v>
      </c>
      <c r="F1662" s="116">
        <v>69.5</v>
      </c>
      <c r="G1662">
        <v>55263</v>
      </c>
      <c r="H1662" s="116"/>
      <c r="I1662" s="116"/>
      <c r="L1662" s="169">
        <v>44453</v>
      </c>
      <c r="M1662" s="116">
        <v>630.35</v>
      </c>
      <c r="N1662" s="116">
        <v>641.5</v>
      </c>
      <c r="O1662" s="116">
        <v>627.5</v>
      </c>
      <c r="P1662" s="116">
        <v>634.70000000000005</v>
      </c>
      <c r="Q1662" s="116">
        <v>630.35</v>
      </c>
      <c r="R1662">
        <v>1204646</v>
      </c>
    </row>
    <row r="1663" spans="1:18" x14ac:dyDescent="0.25">
      <c r="A1663" s="169">
        <v>44462</v>
      </c>
      <c r="B1663" s="116">
        <v>72.900000000000006</v>
      </c>
      <c r="C1663" s="116">
        <v>71.95</v>
      </c>
      <c r="D1663" s="116">
        <v>68.150000000000006</v>
      </c>
      <c r="E1663" s="116">
        <v>68.150000000000006</v>
      </c>
      <c r="F1663" s="116">
        <v>71.95</v>
      </c>
      <c r="G1663">
        <v>65608</v>
      </c>
      <c r="H1663" s="116"/>
      <c r="I1663" s="116"/>
      <c r="L1663" s="169">
        <v>44454</v>
      </c>
      <c r="M1663" s="116">
        <v>626.9</v>
      </c>
      <c r="N1663" s="116">
        <v>642.85</v>
      </c>
      <c r="O1663" s="116">
        <v>625</v>
      </c>
      <c r="P1663" s="116">
        <v>630.35</v>
      </c>
      <c r="Q1663" s="116">
        <v>626.9</v>
      </c>
      <c r="R1663">
        <v>1541851</v>
      </c>
    </row>
    <row r="1664" spans="1:18" x14ac:dyDescent="0.25">
      <c r="A1664" s="169">
        <v>44463</v>
      </c>
      <c r="B1664" s="116">
        <v>75.5</v>
      </c>
      <c r="C1664" s="116">
        <v>75.05</v>
      </c>
      <c r="D1664" s="116">
        <v>69.3</v>
      </c>
      <c r="E1664" s="116">
        <v>73</v>
      </c>
      <c r="F1664" s="116">
        <v>75.05</v>
      </c>
      <c r="G1664">
        <v>298995</v>
      </c>
      <c r="H1664" s="116"/>
      <c r="I1664" s="116"/>
      <c r="L1664" s="169">
        <v>44455</v>
      </c>
      <c r="M1664" s="116">
        <v>623.75</v>
      </c>
      <c r="N1664" s="116">
        <v>633.20000000000005</v>
      </c>
      <c r="O1664" s="116">
        <v>620.6</v>
      </c>
      <c r="P1664" s="116">
        <v>626.20000000000005</v>
      </c>
      <c r="Q1664" s="116">
        <v>623.75</v>
      </c>
      <c r="R1664">
        <v>893167</v>
      </c>
    </row>
    <row r="1665" spans="1:18" x14ac:dyDescent="0.25">
      <c r="A1665" s="169">
        <v>44466</v>
      </c>
      <c r="B1665" s="116">
        <v>78.8</v>
      </c>
      <c r="C1665" s="116">
        <v>78.8</v>
      </c>
      <c r="D1665" s="116">
        <v>76</v>
      </c>
      <c r="E1665" s="116">
        <v>76</v>
      </c>
      <c r="F1665" s="116">
        <v>78.8</v>
      </c>
      <c r="G1665">
        <v>216131</v>
      </c>
      <c r="H1665" s="116"/>
      <c r="I1665" s="116"/>
      <c r="L1665" s="169">
        <v>44456</v>
      </c>
      <c r="M1665" s="116">
        <v>608</v>
      </c>
      <c r="N1665" s="116">
        <v>628.20000000000005</v>
      </c>
      <c r="O1665" s="116">
        <v>594.25</v>
      </c>
      <c r="P1665" s="116">
        <v>626.6</v>
      </c>
      <c r="Q1665" s="116">
        <v>608</v>
      </c>
      <c r="R1665">
        <v>1939736</v>
      </c>
    </row>
    <row r="1666" spans="1:18" x14ac:dyDescent="0.25">
      <c r="A1666" s="169">
        <v>44467</v>
      </c>
      <c r="B1666" s="116">
        <v>82.7</v>
      </c>
      <c r="C1666" s="116">
        <v>82.7</v>
      </c>
      <c r="D1666" s="116">
        <v>78.8</v>
      </c>
      <c r="E1666" s="116">
        <v>78.8</v>
      </c>
      <c r="F1666" s="116">
        <v>82.7</v>
      </c>
      <c r="G1666">
        <v>158710</v>
      </c>
      <c r="H1666" s="116"/>
      <c r="I1666" s="116"/>
      <c r="L1666" s="169">
        <v>44459</v>
      </c>
      <c r="M1666" s="116">
        <v>599.45000000000005</v>
      </c>
      <c r="N1666" s="116">
        <v>621</v>
      </c>
      <c r="O1666" s="116">
        <v>594.15</v>
      </c>
      <c r="P1666" s="116">
        <v>602</v>
      </c>
      <c r="Q1666" s="116">
        <v>599.45000000000005</v>
      </c>
      <c r="R1666">
        <v>1224826</v>
      </c>
    </row>
    <row r="1667" spans="1:18" x14ac:dyDescent="0.25">
      <c r="A1667" s="169">
        <v>44468</v>
      </c>
      <c r="B1667" s="116">
        <v>86.8</v>
      </c>
      <c r="C1667" s="116">
        <v>86.8</v>
      </c>
      <c r="D1667" s="116">
        <v>84.7</v>
      </c>
      <c r="E1667" s="116">
        <v>86.8</v>
      </c>
      <c r="F1667" s="116">
        <v>86.8</v>
      </c>
      <c r="G1667">
        <v>147370</v>
      </c>
      <c r="H1667" s="116"/>
      <c r="I1667" s="116"/>
      <c r="L1667" s="169">
        <v>44460</v>
      </c>
      <c r="M1667" s="116">
        <v>625.45000000000005</v>
      </c>
      <c r="N1667" s="116">
        <v>627.95000000000005</v>
      </c>
      <c r="O1667" s="116">
        <v>588.15</v>
      </c>
      <c r="P1667" s="116">
        <v>601.20000000000005</v>
      </c>
      <c r="Q1667" s="116">
        <v>625.45000000000005</v>
      </c>
      <c r="R1667">
        <v>2325089</v>
      </c>
    </row>
    <row r="1668" spans="1:18" x14ac:dyDescent="0.25">
      <c r="A1668" s="169">
        <v>44469</v>
      </c>
      <c r="B1668" s="116">
        <v>91.1</v>
      </c>
      <c r="C1668" s="116">
        <v>91.1</v>
      </c>
      <c r="D1668" s="116">
        <v>91.1</v>
      </c>
      <c r="E1668" s="116">
        <v>91.1</v>
      </c>
      <c r="F1668" s="116">
        <v>91.1</v>
      </c>
      <c r="G1668">
        <v>86198</v>
      </c>
      <c r="H1668" s="116"/>
      <c r="I1668" s="116"/>
      <c r="L1668" s="169">
        <v>44461</v>
      </c>
      <c r="M1668" s="116">
        <v>653.6</v>
      </c>
      <c r="N1668" s="116">
        <v>664.85</v>
      </c>
      <c r="O1668" s="116">
        <v>627.29999999999995</v>
      </c>
      <c r="P1668" s="116">
        <v>628</v>
      </c>
      <c r="Q1668" s="116">
        <v>653.6</v>
      </c>
      <c r="R1668">
        <v>4338651</v>
      </c>
    </row>
    <row r="1669" spans="1:18" x14ac:dyDescent="0.25">
      <c r="A1669" s="169">
        <v>44470</v>
      </c>
      <c r="B1669" s="116">
        <v>95.65</v>
      </c>
      <c r="C1669" s="116">
        <v>95.65</v>
      </c>
      <c r="D1669" s="116">
        <v>93.5</v>
      </c>
      <c r="E1669" s="116">
        <v>95.65</v>
      </c>
      <c r="F1669" s="116">
        <v>95.65</v>
      </c>
      <c r="G1669">
        <v>609465</v>
      </c>
      <c r="H1669" s="116"/>
      <c r="I1669" s="116"/>
      <c r="L1669" s="169">
        <v>44462</v>
      </c>
      <c r="M1669" s="116">
        <v>681.15</v>
      </c>
      <c r="N1669" s="116">
        <v>691</v>
      </c>
      <c r="O1669" s="116">
        <v>653.79999999999995</v>
      </c>
      <c r="P1669" s="116">
        <v>659.25</v>
      </c>
      <c r="Q1669" s="116">
        <v>681.15</v>
      </c>
      <c r="R1669">
        <v>4587858</v>
      </c>
    </row>
    <row r="1670" spans="1:18" x14ac:dyDescent="0.25">
      <c r="A1670" s="169">
        <v>44473</v>
      </c>
      <c r="B1670" s="116">
        <v>100.4</v>
      </c>
      <c r="C1670" s="116">
        <v>94.65</v>
      </c>
      <c r="D1670" s="116">
        <v>90.9</v>
      </c>
      <c r="E1670" s="116">
        <v>99.95</v>
      </c>
      <c r="F1670" s="116">
        <v>94.65</v>
      </c>
      <c r="G1670">
        <v>721920</v>
      </c>
      <c r="H1670" s="116"/>
      <c r="I1670" s="116"/>
      <c r="L1670" s="169">
        <v>44463</v>
      </c>
      <c r="M1670" s="116">
        <v>657.75</v>
      </c>
      <c r="N1670" s="116">
        <v>686.6</v>
      </c>
      <c r="O1670" s="116">
        <v>655</v>
      </c>
      <c r="P1670" s="116">
        <v>681.5</v>
      </c>
      <c r="Q1670" s="116">
        <v>657.75</v>
      </c>
      <c r="R1670">
        <v>1424233</v>
      </c>
    </row>
    <row r="1671" spans="1:18" x14ac:dyDescent="0.25">
      <c r="A1671" s="169">
        <v>44474</v>
      </c>
      <c r="B1671" s="116">
        <v>98.5</v>
      </c>
      <c r="C1671" s="116">
        <v>96.3</v>
      </c>
      <c r="D1671" s="116">
        <v>89.95</v>
      </c>
      <c r="E1671" s="116">
        <v>94.1</v>
      </c>
      <c r="F1671" s="116">
        <v>96.3</v>
      </c>
      <c r="G1671">
        <v>282866</v>
      </c>
      <c r="H1671" s="116"/>
      <c r="I1671" s="116"/>
      <c r="L1671" s="169">
        <v>44466</v>
      </c>
      <c r="M1671" s="116">
        <v>670</v>
      </c>
      <c r="N1671" s="116">
        <v>687.6</v>
      </c>
      <c r="O1671" s="116">
        <v>656</v>
      </c>
      <c r="P1671" s="116">
        <v>662.7</v>
      </c>
      <c r="Q1671" s="116">
        <v>670</v>
      </c>
      <c r="R1671">
        <v>2183181</v>
      </c>
    </row>
    <row r="1672" spans="1:18" x14ac:dyDescent="0.25">
      <c r="A1672" s="169">
        <v>44475</v>
      </c>
      <c r="B1672" s="116">
        <v>97.9</v>
      </c>
      <c r="C1672" s="116">
        <v>91.6</v>
      </c>
      <c r="D1672" s="116">
        <v>91.5</v>
      </c>
      <c r="E1672" s="116">
        <v>97.9</v>
      </c>
      <c r="F1672" s="116">
        <v>91.6</v>
      </c>
      <c r="G1672">
        <v>148588</v>
      </c>
      <c r="H1672" s="116"/>
      <c r="I1672" s="116"/>
      <c r="L1672" s="169">
        <v>44467</v>
      </c>
      <c r="M1672" s="116">
        <v>653.75</v>
      </c>
      <c r="N1672" s="116">
        <v>674.8</v>
      </c>
      <c r="O1672" s="116">
        <v>641.1</v>
      </c>
      <c r="P1672" s="116">
        <v>674.7</v>
      </c>
      <c r="Q1672" s="116">
        <v>653.75</v>
      </c>
      <c r="R1672">
        <v>1552352</v>
      </c>
    </row>
    <row r="1673" spans="1:18" x14ac:dyDescent="0.25">
      <c r="A1673" s="169">
        <v>44476</v>
      </c>
      <c r="B1673" s="116">
        <v>96.1</v>
      </c>
      <c r="C1673" s="116">
        <v>94.2</v>
      </c>
      <c r="D1673" s="116">
        <v>92</v>
      </c>
      <c r="E1673" s="116">
        <v>92</v>
      </c>
      <c r="F1673" s="116">
        <v>94.2</v>
      </c>
      <c r="G1673">
        <v>80433</v>
      </c>
      <c r="H1673" s="116"/>
      <c r="I1673" s="116"/>
      <c r="L1673" s="169">
        <v>44468</v>
      </c>
      <c r="M1673" s="116">
        <v>652.45000000000005</v>
      </c>
      <c r="N1673" s="116">
        <v>667.6</v>
      </c>
      <c r="O1673" s="116">
        <v>642.04999999999995</v>
      </c>
      <c r="P1673" s="116">
        <v>646.70000000000005</v>
      </c>
      <c r="Q1673" s="116">
        <v>652.45000000000005</v>
      </c>
      <c r="R1673">
        <v>1440451</v>
      </c>
    </row>
    <row r="1674" spans="1:18" x14ac:dyDescent="0.25">
      <c r="A1674" s="169">
        <v>44477</v>
      </c>
      <c r="B1674" s="116">
        <v>98.8</v>
      </c>
      <c r="C1674" s="116">
        <v>94</v>
      </c>
      <c r="D1674" s="116">
        <v>92.1</v>
      </c>
      <c r="E1674" s="116">
        <v>97.5</v>
      </c>
      <c r="F1674" s="116">
        <v>94</v>
      </c>
      <c r="G1674">
        <v>106002</v>
      </c>
      <c r="H1674" s="116"/>
      <c r="I1674" s="116"/>
      <c r="L1674" s="169">
        <v>44469</v>
      </c>
      <c r="M1674" s="116">
        <v>686.8</v>
      </c>
      <c r="N1674" s="116">
        <v>691</v>
      </c>
      <c r="O1674" s="116">
        <v>650.25</v>
      </c>
      <c r="P1674" s="116">
        <v>652.79999999999995</v>
      </c>
      <c r="Q1674" s="116">
        <v>686.8</v>
      </c>
      <c r="R1674">
        <v>2713429</v>
      </c>
    </row>
    <row r="1675" spans="1:18" x14ac:dyDescent="0.25">
      <c r="A1675" s="169">
        <v>44480</v>
      </c>
      <c r="B1675" s="116">
        <v>98</v>
      </c>
      <c r="C1675" s="116">
        <v>95.1</v>
      </c>
      <c r="D1675" s="116">
        <v>92.65</v>
      </c>
      <c r="E1675" s="116">
        <v>98</v>
      </c>
      <c r="F1675" s="116">
        <v>95.1</v>
      </c>
      <c r="G1675">
        <v>89209</v>
      </c>
      <c r="H1675" s="116"/>
      <c r="I1675" s="116"/>
      <c r="L1675" s="169">
        <v>44470</v>
      </c>
      <c r="M1675" s="116">
        <v>671.15</v>
      </c>
      <c r="N1675" s="116">
        <v>695</v>
      </c>
      <c r="O1675" s="116">
        <v>666.3</v>
      </c>
      <c r="P1675" s="116">
        <v>686.2</v>
      </c>
      <c r="Q1675" s="116">
        <v>671.15</v>
      </c>
      <c r="R1675">
        <v>3145379</v>
      </c>
    </row>
    <row r="1676" spans="1:18" x14ac:dyDescent="0.25">
      <c r="A1676" s="169">
        <v>44481</v>
      </c>
      <c r="B1676" s="116">
        <v>96.75</v>
      </c>
      <c r="C1676" s="116">
        <v>93.3</v>
      </c>
      <c r="D1676" s="116">
        <v>92.3</v>
      </c>
      <c r="E1676" s="116">
        <v>95.85</v>
      </c>
      <c r="F1676" s="116">
        <v>93.3</v>
      </c>
      <c r="G1676">
        <v>101452</v>
      </c>
      <c r="H1676" s="116"/>
      <c r="I1676" s="116"/>
      <c r="L1676" s="169">
        <v>44473</v>
      </c>
      <c r="M1676" s="116">
        <v>710.5</v>
      </c>
      <c r="N1676" s="116">
        <v>720</v>
      </c>
      <c r="O1676" s="116">
        <v>671.15</v>
      </c>
      <c r="P1676" s="116">
        <v>675</v>
      </c>
      <c r="Q1676" s="116">
        <v>710.5</v>
      </c>
      <c r="R1676">
        <v>5407700</v>
      </c>
    </row>
    <row r="1677" spans="1:18" x14ac:dyDescent="0.25">
      <c r="A1677" s="169">
        <v>44482</v>
      </c>
      <c r="B1677" s="116">
        <v>95.2</v>
      </c>
      <c r="C1677" s="116">
        <v>93.05</v>
      </c>
      <c r="D1677" s="116">
        <v>92</v>
      </c>
      <c r="E1677" s="116">
        <v>95.2</v>
      </c>
      <c r="F1677" s="116">
        <v>93.05</v>
      </c>
      <c r="G1677">
        <v>61274</v>
      </c>
      <c r="H1677" s="116"/>
      <c r="I1677" s="116"/>
      <c r="L1677" s="169">
        <v>44474</v>
      </c>
      <c r="M1677" s="116">
        <v>699.7</v>
      </c>
      <c r="N1677" s="116">
        <v>714.9</v>
      </c>
      <c r="O1677" s="116">
        <v>696</v>
      </c>
      <c r="P1677" s="116">
        <v>710.4</v>
      </c>
      <c r="Q1677" s="116">
        <v>699.7</v>
      </c>
      <c r="R1677">
        <v>1137539</v>
      </c>
    </row>
    <row r="1678" spans="1:18" x14ac:dyDescent="0.25">
      <c r="A1678" s="169">
        <v>44483</v>
      </c>
      <c r="B1678" s="116">
        <v>95</v>
      </c>
      <c r="C1678" s="116">
        <v>90.65</v>
      </c>
      <c r="D1678" s="116">
        <v>89</v>
      </c>
      <c r="E1678" s="116">
        <v>93.9</v>
      </c>
      <c r="F1678" s="116">
        <v>90.65</v>
      </c>
      <c r="G1678">
        <v>54752</v>
      </c>
      <c r="H1678" s="116"/>
      <c r="I1678" s="116"/>
      <c r="L1678" s="169">
        <v>44475</v>
      </c>
      <c r="M1678" s="116">
        <v>669.45</v>
      </c>
      <c r="N1678" s="116">
        <v>711.65</v>
      </c>
      <c r="O1678" s="116">
        <v>667</v>
      </c>
      <c r="P1678" s="116">
        <v>703</v>
      </c>
      <c r="Q1678" s="116">
        <v>669.45</v>
      </c>
      <c r="R1678">
        <v>2054046</v>
      </c>
    </row>
    <row r="1679" spans="1:18" x14ac:dyDescent="0.25">
      <c r="A1679" s="169">
        <v>44487</v>
      </c>
      <c r="B1679" s="116">
        <v>93.9</v>
      </c>
      <c r="C1679" s="116">
        <v>89.6</v>
      </c>
      <c r="D1679" s="116">
        <v>86.15</v>
      </c>
      <c r="E1679" s="116">
        <v>93.9</v>
      </c>
      <c r="F1679" s="116">
        <v>89.6</v>
      </c>
      <c r="G1679">
        <v>167011</v>
      </c>
      <c r="H1679" s="116"/>
      <c r="I1679" s="116"/>
      <c r="L1679" s="169">
        <v>44476</v>
      </c>
      <c r="M1679" s="116">
        <v>689.5</v>
      </c>
      <c r="N1679" s="116">
        <v>707</v>
      </c>
      <c r="O1679" s="116">
        <v>676.1</v>
      </c>
      <c r="P1679" s="116">
        <v>676.1</v>
      </c>
      <c r="Q1679" s="116">
        <v>689.5</v>
      </c>
      <c r="R1679">
        <v>1881513</v>
      </c>
    </row>
    <row r="1680" spans="1:18" x14ac:dyDescent="0.25">
      <c r="A1680" s="169">
        <v>44488</v>
      </c>
      <c r="B1680" s="116">
        <v>92.8</v>
      </c>
      <c r="C1680" s="116">
        <v>88.95</v>
      </c>
      <c r="D1680" s="116">
        <v>86.3</v>
      </c>
      <c r="E1680" s="116">
        <v>91</v>
      </c>
      <c r="F1680" s="116">
        <v>88.95</v>
      </c>
      <c r="G1680">
        <v>83250</v>
      </c>
      <c r="H1680" s="116"/>
      <c r="I1680" s="116"/>
      <c r="L1680" s="169">
        <v>44477</v>
      </c>
      <c r="M1680" s="116">
        <v>683.1</v>
      </c>
      <c r="N1680" s="116">
        <v>699.9</v>
      </c>
      <c r="O1680" s="116">
        <v>681.05</v>
      </c>
      <c r="P1680" s="116">
        <v>690.9</v>
      </c>
      <c r="Q1680" s="116">
        <v>683.1</v>
      </c>
      <c r="R1680">
        <v>1045747</v>
      </c>
    </row>
    <row r="1681" spans="1:18" x14ac:dyDescent="0.25">
      <c r="A1681" s="169">
        <v>44489</v>
      </c>
      <c r="B1681" s="116">
        <v>90.6</v>
      </c>
      <c r="C1681" s="116">
        <v>85.5</v>
      </c>
      <c r="D1681" s="116">
        <v>84.75</v>
      </c>
      <c r="E1681" s="116">
        <v>88.95</v>
      </c>
      <c r="F1681" s="116">
        <v>85.5</v>
      </c>
      <c r="G1681">
        <v>47751</v>
      </c>
      <c r="H1681" s="116"/>
      <c r="I1681" s="116"/>
      <c r="L1681" s="169">
        <v>44480</v>
      </c>
      <c r="M1681" s="116">
        <v>695.6</v>
      </c>
      <c r="N1681" s="116">
        <v>721</v>
      </c>
      <c r="O1681" s="116">
        <v>680</v>
      </c>
      <c r="P1681" s="116">
        <v>684.8</v>
      </c>
      <c r="Q1681" s="116">
        <v>695.6</v>
      </c>
      <c r="R1681">
        <v>2398779</v>
      </c>
    </row>
    <row r="1682" spans="1:18" x14ac:dyDescent="0.25">
      <c r="A1682" s="169">
        <v>44490</v>
      </c>
      <c r="B1682" s="116">
        <v>89.75</v>
      </c>
      <c r="C1682" s="116">
        <v>89.75</v>
      </c>
      <c r="D1682" s="116">
        <v>85</v>
      </c>
      <c r="E1682" s="116">
        <v>85.65</v>
      </c>
      <c r="F1682" s="116">
        <v>89.75</v>
      </c>
      <c r="G1682">
        <v>173943</v>
      </c>
      <c r="H1682" s="116"/>
      <c r="I1682" s="116"/>
      <c r="L1682" s="169">
        <v>44481</v>
      </c>
      <c r="M1682" s="116">
        <v>698.7</v>
      </c>
      <c r="N1682" s="116">
        <v>709</v>
      </c>
      <c r="O1682" s="116">
        <v>692.25</v>
      </c>
      <c r="P1682" s="116">
        <v>694.8</v>
      </c>
      <c r="Q1682" s="116">
        <v>698.7</v>
      </c>
      <c r="R1682">
        <v>1100145</v>
      </c>
    </row>
    <row r="1683" spans="1:18" x14ac:dyDescent="0.25">
      <c r="A1683" s="169">
        <v>44491</v>
      </c>
      <c r="B1683" s="116">
        <v>92.7</v>
      </c>
      <c r="C1683" s="116">
        <v>86.45</v>
      </c>
      <c r="D1683" s="116">
        <v>86</v>
      </c>
      <c r="E1683" s="116">
        <v>88.05</v>
      </c>
      <c r="F1683" s="116">
        <v>86.45</v>
      </c>
      <c r="G1683">
        <v>94537</v>
      </c>
      <c r="H1683" s="116"/>
      <c r="I1683" s="116"/>
      <c r="L1683" s="169">
        <v>44482</v>
      </c>
      <c r="M1683" s="116">
        <v>689.35</v>
      </c>
      <c r="N1683" s="116">
        <v>708.5</v>
      </c>
      <c r="O1683" s="116">
        <v>687</v>
      </c>
      <c r="P1683" s="116">
        <v>699</v>
      </c>
      <c r="Q1683" s="116">
        <v>689.35</v>
      </c>
      <c r="R1683">
        <v>756337</v>
      </c>
    </row>
    <row r="1684" spans="1:18" x14ac:dyDescent="0.25">
      <c r="A1684" s="169">
        <v>44494</v>
      </c>
      <c r="B1684" s="116">
        <v>90.75</v>
      </c>
      <c r="C1684" s="116">
        <v>87.65</v>
      </c>
      <c r="D1684" s="116">
        <v>85</v>
      </c>
      <c r="E1684" s="116">
        <v>85</v>
      </c>
      <c r="F1684" s="116">
        <v>87.65</v>
      </c>
      <c r="G1684">
        <v>107815</v>
      </c>
      <c r="H1684" s="116"/>
      <c r="I1684" s="116"/>
      <c r="L1684" s="169">
        <v>44483</v>
      </c>
      <c r="M1684" s="116">
        <v>699.5</v>
      </c>
      <c r="N1684" s="116">
        <v>705.4</v>
      </c>
      <c r="O1684" s="116">
        <v>688.1</v>
      </c>
      <c r="P1684" s="116">
        <v>693.3</v>
      </c>
      <c r="Q1684" s="116">
        <v>699.5</v>
      </c>
      <c r="R1684">
        <v>836846</v>
      </c>
    </row>
    <row r="1685" spans="1:18" x14ac:dyDescent="0.25">
      <c r="A1685" s="169">
        <v>44495</v>
      </c>
      <c r="B1685" s="116">
        <v>91.85</v>
      </c>
      <c r="C1685" s="116">
        <v>90.7</v>
      </c>
      <c r="D1685" s="116">
        <v>87.1</v>
      </c>
      <c r="E1685" s="116">
        <v>89.4</v>
      </c>
      <c r="F1685" s="116">
        <v>90.7</v>
      </c>
      <c r="G1685">
        <v>66093</v>
      </c>
      <c r="H1685" s="116"/>
      <c r="I1685" s="116"/>
      <c r="L1685" s="169">
        <v>44487</v>
      </c>
      <c r="M1685" s="116">
        <v>701.55</v>
      </c>
      <c r="N1685" s="116">
        <v>722</v>
      </c>
      <c r="O1685" s="116">
        <v>699.6</v>
      </c>
      <c r="P1685" s="116">
        <v>705</v>
      </c>
      <c r="Q1685" s="116">
        <v>701.55</v>
      </c>
      <c r="R1685">
        <v>1274926</v>
      </c>
    </row>
    <row r="1686" spans="1:18" x14ac:dyDescent="0.25">
      <c r="A1686" s="169">
        <v>44496</v>
      </c>
      <c r="B1686" s="116">
        <v>95</v>
      </c>
      <c r="C1686" s="116">
        <v>92.1</v>
      </c>
      <c r="D1686" s="116">
        <v>87.55</v>
      </c>
      <c r="E1686" s="116">
        <v>92.95</v>
      </c>
      <c r="F1686" s="116">
        <v>92.1</v>
      </c>
      <c r="G1686">
        <v>175461</v>
      </c>
      <c r="H1686" s="116"/>
      <c r="I1686" s="116"/>
      <c r="L1686" s="169">
        <v>44488</v>
      </c>
      <c r="M1686" s="116">
        <v>682.25</v>
      </c>
      <c r="N1686" s="116">
        <v>712.45</v>
      </c>
      <c r="O1686" s="116">
        <v>675.1</v>
      </c>
      <c r="P1686" s="116">
        <v>706.8</v>
      </c>
      <c r="Q1686" s="116">
        <v>682.25</v>
      </c>
      <c r="R1686">
        <v>966728</v>
      </c>
    </row>
    <row r="1687" spans="1:18" x14ac:dyDescent="0.25">
      <c r="A1687" s="169">
        <v>44497</v>
      </c>
      <c r="B1687" s="116">
        <v>96</v>
      </c>
      <c r="C1687" s="116">
        <v>91.2</v>
      </c>
      <c r="D1687" s="116">
        <v>90</v>
      </c>
      <c r="E1687" s="116">
        <v>95.15</v>
      </c>
      <c r="F1687" s="116">
        <v>91.2</v>
      </c>
      <c r="G1687">
        <v>86426</v>
      </c>
      <c r="H1687" s="116"/>
      <c r="I1687" s="116"/>
      <c r="L1687" s="169">
        <v>44489</v>
      </c>
      <c r="M1687" s="116">
        <v>682.85</v>
      </c>
      <c r="N1687" s="116">
        <v>697.25</v>
      </c>
      <c r="O1687" s="116">
        <v>668.6</v>
      </c>
      <c r="P1687" s="116">
        <v>682</v>
      </c>
      <c r="Q1687" s="116">
        <v>682.85</v>
      </c>
      <c r="R1687">
        <v>1227535</v>
      </c>
    </row>
    <row r="1688" spans="1:18" x14ac:dyDescent="0.25">
      <c r="A1688" s="169">
        <v>44498</v>
      </c>
      <c r="B1688" s="116">
        <v>94</v>
      </c>
      <c r="C1688" s="116">
        <v>89.45</v>
      </c>
      <c r="D1688" s="116">
        <v>87.1</v>
      </c>
      <c r="E1688" s="116">
        <v>90.1</v>
      </c>
      <c r="F1688" s="116">
        <v>89.45</v>
      </c>
      <c r="G1688">
        <v>63375</v>
      </c>
      <c r="H1688" s="116"/>
      <c r="I1688" s="116"/>
      <c r="L1688" s="169">
        <v>44490</v>
      </c>
      <c r="M1688" s="116">
        <v>699.05</v>
      </c>
      <c r="N1688" s="116">
        <v>703</v>
      </c>
      <c r="O1688" s="116">
        <v>670</v>
      </c>
      <c r="P1688" s="116">
        <v>689</v>
      </c>
      <c r="Q1688" s="116">
        <v>699.05</v>
      </c>
      <c r="R1688">
        <v>1681526</v>
      </c>
    </row>
    <row r="1689" spans="1:18" x14ac:dyDescent="0.25">
      <c r="A1689" s="169">
        <v>44501</v>
      </c>
      <c r="B1689" s="116">
        <v>92.5</v>
      </c>
      <c r="C1689" s="116">
        <v>88.8</v>
      </c>
      <c r="D1689" s="116">
        <v>85</v>
      </c>
      <c r="E1689" s="116">
        <v>91.25</v>
      </c>
      <c r="F1689" s="116">
        <v>88.8</v>
      </c>
      <c r="G1689">
        <v>42289</v>
      </c>
      <c r="H1689" s="116"/>
      <c r="I1689" s="116"/>
      <c r="L1689" s="169">
        <v>44491</v>
      </c>
      <c r="M1689" s="116">
        <v>657.5</v>
      </c>
      <c r="N1689" s="116">
        <v>698.15</v>
      </c>
      <c r="O1689" s="116">
        <v>633.15</v>
      </c>
      <c r="P1689" s="116">
        <v>689.4</v>
      </c>
      <c r="Q1689" s="116">
        <v>657.5</v>
      </c>
      <c r="R1689">
        <v>5598243</v>
      </c>
    </row>
    <row r="1690" spans="1:18" x14ac:dyDescent="0.25">
      <c r="A1690" s="169">
        <v>44502</v>
      </c>
      <c r="B1690" s="116">
        <v>91.8</v>
      </c>
      <c r="C1690" s="116">
        <v>89</v>
      </c>
      <c r="D1690" s="116">
        <v>85.5</v>
      </c>
      <c r="E1690" s="116">
        <v>88.65</v>
      </c>
      <c r="F1690" s="116">
        <v>89</v>
      </c>
      <c r="G1690">
        <v>52620</v>
      </c>
      <c r="H1690" s="116"/>
      <c r="I1690" s="116"/>
      <c r="L1690" s="169">
        <v>44494</v>
      </c>
      <c r="M1690" s="116">
        <v>652.6</v>
      </c>
      <c r="N1690" s="116">
        <v>668.05</v>
      </c>
      <c r="O1690" s="116">
        <v>639.70000000000005</v>
      </c>
      <c r="P1690" s="116">
        <v>660</v>
      </c>
      <c r="Q1690" s="116">
        <v>652.6</v>
      </c>
      <c r="R1690">
        <v>1417194</v>
      </c>
    </row>
    <row r="1691" spans="1:18" x14ac:dyDescent="0.25">
      <c r="A1691" s="169">
        <v>44503</v>
      </c>
      <c r="B1691" s="116">
        <v>90.9</v>
      </c>
      <c r="C1691" s="116">
        <v>88.05</v>
      </c>
      <c r="D1691" s="116">
        <v>86</v>
      </c>
      <c r="E1691" s="116">
        <v>90.9</v>
      </c>
      <c r="F1691" s="116">
        <v>88.05</v>
      </c>
      <c r="G1691">
        <v>78696</v>
      </c>
      <c r="H1691" s="116"/>
      <c r="I1691" s="116"/>
      <c r="L1691" s="169">
        <v>44495</v>
      </c>
      <c r="M1691" s="116">
        <v>656.45</v>
      </c>
      <c r="N1691" s="116">
        <v>669.6</v>
      </c>
      <c r="O1691" s="116">
        <v>646</v>
      </c>
      <c r="P1691" s="116">
        <v>652</v>
      </c>
      <c r="Q1691" s="116">
        <v>656.45</v>
      </c>
      <c r="R1691">
        <v>757028</v>
      </c>
    </row>
    <row r="1692" spans="1:18" x14ac:dyDescent="0.25">
      <c r="A1692" s="169">
        <v>44504</v>
      </c>
      <c r="B1692" s="116">
        <v>90</v>
      </c>
      <c r="C1692" s="116">
        <v>89.15</v>
      </c>
      <c r="D1692" s="116">
        <v>87</v>
      </c>
      <c r="E1692" s="116">
        <v>90</v>
      </c>
      <c r="F1692" s="116">
        <v>89.15</v>
      </c>
      <c r="G1692">
        <v>20082</v>
      </c>
      <c r="H1692" s="116"/>
      <c r="I1692" s="116"/>
      <c r="L1692" s="169">
        <v>44496</v>
      </c>
      <c r="M1692" s="116">
        <v>644.35</v>
      </c>
      <c r="N1692" s="116">
        <v>663.45</v>
      </c>
      <c r="O1692" s="116">
        <v>636.1</v>
      </c>
      <c r="P1692" s="116">
        <v>658</v>
      </c>
      <c r="Q1692" s="116">
        <v>644.35</v>
      </c>
      <c r="R1692">
        <v>823474</v>
      </c>
    </row>
    <row r="1693" spans="1:18" x14ac:dyDescent="0.25">
      <c r="A1693" s="169">
        <v>44508</v>
      </c>
      <c r="B1693" s="116">
        <v>89.8</v>
      </c>
      <c r="C1693" s="116">
        <v>89.1</v>
      </c>
      <c r="D1693" s="116">
        <v>86.85</v>
      </c>
      <c r="E1693" s="116">
        <v>88</v>
      </c>
      <c r="F1693" s="116">
        <v>89.1</v>
      </c>
      <c r="G1693">
        <v>62422</v>
      </c>
      <c r="H1693" s="116"/>
      <c r="I1693" s="116"/>
      <c r="L1693" s="169">
        <v>44497</v>
      </c>
      <c r="M1693" s="116">
        <v>628.15</v>
      </c>
      <c r="N1693" s="116">
        <v>649.45000000000005</v>
      </c>
      <c r="O1693" s="116">
        <v>621.45000000000005</v>
      </c>
      <c r="P1693" s="116">
        <v>642</v>
      </c>
      <c r="Q1693" s="116">
        <v>628.15</v>
      </c>
      <c r="R1693">
        <v>953292</v>
      </c>
    </row>
    <row r="1694" spans="1:18" x14ac:dyDescent="0.25">
      <c r="A1694" s="169">
        <v>44509</v>
      </c>
      <c r="B1694" s="116">
        <v>90.9</v>
      </c>
      <c r="C1694" s="116">
        <v>89.9</v>
      </c>
      <c r="D1694" s="116">
        <v>87.2</v>
      </c>
      <c r="E1694" s="116">
        <v>90.9</v>
      </c>
      <c r="F1694" s="116">
        <v>89.9</v>
      </c>
      <c r="G1694">
        <v>42306</v>
      </c>
      <c r="H1694" s="116"/>
      <c r="I1694" s="116"/>
      <c r="L1694" s="169">
        <v>44498</v>
      </c>
      <c r="M1694" s="116">
        <v>626.85</v>
      </c>
      <c r="N1694" s="116">
        <v>634.95000000000005</v>
      </c>
      <c r="O1694" s="116">
        <v>614.29999999999995</v>
      </c>
      <c r="P1694" s="116">
        <v>623.95000000000005</v>
      </c>
      <c r="Q1694" s="116">
        <v>626.85</v>
      </c>
      <c r="R1694">
        <v>671284</v>
      </c>
    </row>
    <row r="1695" spans="1:18" x14ac:dyDescent="0.25">
      <c r="A1695" s="169">
        <v>44510</v>
      </c>
      <c r="B1695" s="116">
        <v>92.5</v>
      </c>
      <c r="C1695" s="116">
        <v>91.9</v>
      </c>
      <c r="D1695" s="116">
        <v>87.3</v>
      </c>
      <c r="E1695" s="116">
        <v>91.7</v>
      </c>
      <c r="F1695" s="116">
        <v>91.9</v>
      </c>
      <c r="G1695">
        <v>89027</v>
      </c>
      <c r="H1695" s="116"/>
      <c r="I1695" s="116"/>
      <c r="L1695" s="169">
        <v>44501</v>
      </c>
      <c r="M1695" s="116">
        <v>636.75</v>
      </c>
      <c r="N1695" s="116">
        <v>644</v>
      </c>
      <c r="O1695" s="116">
        <v>622.1</v>
      </c>
      <c r="P1695" s="116">
        <v>625</v>
      </c>
      <c r="Q1695" s="116">
        <v>636.75</v>
      </c>
      <c r="R1695">
        <v>1248064</v>
      </c>
    </row>
    <row r="1696" spans="1:18" x14ac:dyDescent="0.25">
      <c r="A1696" s="169">
        <v>44511</v>
      </c>
      <c r="B1696" s="116">
        <v>96</v>
      </c>
      <c r="C1696" s="116">
        <v>90.85</v>
      </c>
      <c r="D1696" s="116">
        <v>88.1</v>
      </c>
      <c r="E1696" s="116">
        <v>92.5</v>
      </c>
      <c r="F1696" s="116">
        <v>90.85</v>
      </c>
      <c r="G1696">
        <v>98345</v>
      </c>
      <c r="H1696" s="116"/>
      <c r="I1696" s="116"/>
      <c r="L1696" s="169">
        <v>44502</v>
      </c>
      <c r="M1696" s="116">
        <v>652.54999999999995</v>
      </c>
      <c r="N1696" s="116">
        <v>657.6</v>
      </c>
      <c r="O1696" s="116">
        <v>637</v>
      </c>
      <c r="P1696" s="116">
        <v>637</v>
      </c>
      <c r="Q1696" s="116">
        <v>652.54999999999995</v>
      </c>
      <c r="R1696">
        <v>1046610</v>
      </c>
    </row>
    <row r="1697" spans="1:18" x14ac:dyDescent="0.25">
      <c r="A1697" s="169">
        <v>44512</v>
      </c>
      <c r="B1697" s="116">
        <v>92.9</v>
      </c>
      <c r="C1697" s="116">
        <v>87.5</v>
      </c>
      <c r="D1697" s="116">
        <v>86.65</v>
      </c>
      <c r="E1697" s="116">
        <v>92.9</v>
      </c>
      <c r="F1697" s="116">
        <v>87.5</v>
      </c>
      <c r="G1697">
        <v>72395</v>
      </c>
      <c r="H1697" s="116"/>
      <c r="I1697" s="116"/>
      <c r="L1697" s="169">
        <v>44503</v>
      </c>
      <c r="M1697" s="116">
        <v>645.9</v>
      </c>
      <c r="N1697" s="116">
        <v>662.4</v>
      </c>
      <c r="O1697" s="116">
        <v>641</v>
      </c>
      <c r="P1697" s="116">
        <v>658</v>
      </c>
      <c r="Q1697" s="116">
        <v>645.9</v>
      </c>
      <c r="R1697">
        <v>528077</v>
      </c>
    </row>
    <row r="1698" spans="1:18" x14ac:dyDescent="0.25">
      <c r="A1698" s="169">
        <v>44515</v>
      </c>
      <c r="B1698" s="116">
        <v>88.95</v>
      </c>
      <c r="C1698" s="116">
        <v>84.2</v>
      </c>
      <c r="D1698" s="116">
        <v>83.15</v>
      </c>
      <c r="E1698" s="116">
        <v>87</v>
      </c>
      <c r="F1698" s="116">
        <v>84.2</v>
      </c>
      <c r="G1698">
        <v>112707</v>
      </c>
      <c r="H1698" s="116"/>
      <c r="I1698" s="116"/>
      <c r="L1698" s="169">
        <v>44504</v>
      </c>
      <c r="M1698" s="116">
        <v>648.95000000000005</v>
      </c>
      <c r="N1698" s="116">
        <v>650.9</v>
      </c>
      <c r="O1698" s="116">
        <v>642.29999999999995</v>
      </c>
      <c r="P1698" s="116">
        <v>648.79999999999995</v>
      </c>
      <c r="Q1698" s="116">
        <v>648.95000000000005</v>
      </c>
      <c r="R1698">
        <v>93585</v>
      </c>
    </row>
    <row r="1699" spans="1:18" x14ac:dyDescent="0.25">
      <c r="A1699" s="169">
        <v>44516</v>
      </c>
      <c r="B1699" s="116">
        <v>84.95</v>
      </c>
      <c r="C1699" s="116">
        <v>80</v>
      </c>
      <c r="D1699" s="116">
        <v>80</v>
      </c>
      <c r="E1699" s="116">
        <v>84.95</v>
      </c>
      <c r="F1699" s="116">
        <v>80</v>
      </c>
      <c r="G1699">
        <v>103638</v>
      </c>
      <c r="H1699" s="116"/>
      <c r="I1699" s="116"/>
      <c r="L1699" s="169">
        <v>44508</v>
      </c>
      <c r="M1699" s="116">
        <v>653.9</v>
      </c>
      <c r="N1699" s="116">
        <v>659.85</v>
      </c>
      <c r="O1699" s="116">
        <v>640.6</v>
      </c>
      <c r="P1699" s="116">
        <v>649.1</v>
      </c>
      <c r="Q1699" s="116">
        <v>653.9</v>
      </c>
      <c r="R1699">
        <v>522310</v>
      </c>
    </row>
    <row r="1700" spans="1:18" x14ac:dyDescent="0.25">
      <c r="A1700" s="169">
        <v>44517</v>
      </c>
      <c r="B1700" s="116">
        <v>83.95</v>
      </c>
      <c r="C1700" s="116">
        <v>80.150000000000006</v>
      </c>
      <c r="D1700" s="116">
        <v>76</v>
      </c>
      <c r="E1700" s="116">
        <v>76</v>
      </c>
      <c r="F1700" s="116">
        <v>80.150000000000006</v>
      </c>
      <c r="G1700">
        <v>384670</v>
      </c>
      <c r="H1700" s="116"/>
      <c r="I1700" s="116"/>
      <c r="L1700" s="169">
        <v>44509</v>
      </c>
      <c r="M1700" s="116">
        <v>652.45000000000005</v>
      </c>
      <c r="N1700" s="116">
        <v>658.65</v>
      </c>
      <c r="O1700" s="116">
        <v>647.15</v>
      </c>
      <c r="P1700" s="116">
        <v>655</v>
      </c>
      <c r="Q1700" s="116">
        <v>652.45000000000005</v>
      </c>
      <c r="R1700">
        <v>353473</v>
      </c>
    </row>
    <row r="1701" spans="1:18" x14ac:dyDescent="0.25">
      <c r="A1701" s="169">
        <v>44518</v>
      </c>
      <c r="B1701" s="116">
        <v>81.95</v>
      </c>
      <c r="C1701" s="116">
        <v>78.7</v>
      </c>
      <c r="D1701" s="116">
        <v>78.25</v>
      </c>
      <c r="E1701" s="116">
        <v>81.75</v>
      </c>
      <c r="F1701" s="116">
        <v>78.7</v>
      </c>
      <c r="G1701">
        <v>58070</v>
      </c>
      <c r="H1701" s="116"/>
      <c r="I1701" s="116"/>
      <c r="L1701" s="169">
        <v>44510</v>
      </c>
      <c r="M1701" s="116">
        <v>647.15</v>
      </c>
      <c r="N1701" s="116">
        <v>659.35</v>
      </c>
      <c r="O1701" s="116">
        <v>644.6</v>
      </c>
      <c r="P1701" s="116">
        <v>653.75</v>
      </c>
      <c r="Q1701" s="116">
        <v>647.15</v>
      </c>
      <c r="R1701">
        <v>450054</v>
      </c>
    </row>
    <row r="1702" spans="1:18" x14ac:dyDescent="0.25">
      <c r="A1702" s="169">
        <v>44522</v>
      </c>
      <c r="B1702" s="116">
        <v>80.45</v>
      </c>
      <c r="C1702" s="116">
        <v>77.2</v>
      </c>
      <c r="D1702" s="116">
        <v>75.55</v>
      </c>
      <c r="E1702" s="116">
        <v>75.55</v>
      </c>
      <c r="F1702" s="116">
        <v>77.2</v>
      </c>
      <c r="G1702">
        <v>65867</v>
      </c>
      <c r="H1702" s="116"/>
      <c r="I1702" s="116"/>
      <c r="L1702" s="169">
        <v>44511</v>
      </c>
      <c r="M1702" s="116">
        <v>639.20000000000005</v>
      </c>
      <c r="N1702" s="116">
        <v>649.5</v>
      </c>
      <c r="O1702" s="116">
        <v>633</v>
      </c>
      <c r="P1702" s="116">
        <v>645</v>
      </c>
      <c r="Q1702" s="116">
        <v>639.20000000000005</v>
      </c>
      <c r="R1702">
        <v>416132</v>
      </c>
    </row>
    <row r="1703" spans="1:18" x14ac:dyDescent="0.25">
      <c r="A1703" s="169">
        <v>44523</v>
      </c>
      <c r="B1703" s="116">
        <v>80.849999999999994</v>
      </c>
      <c r="C1703" s="116">
        <v>80.400000000000006</v>
      </c>
      <c r="D1703" s="116">
        <v>76.05</v>
      </c>
      <c r="E1703" s="116">
        <v>80</v>
      </c>
      <c r="F1703" s="116">
        <v>80.400000000000006</v>
      </c>
      <c r="G1703">
        <v>92572</v>
      </c>
      <c r="H1703" s="116"/>
      <c r="I1703" s="116"/>
      <c r="L1703" s="169">
        <v>44512</v>
      </c>
      <c r="M1703" s="116">
        <v>650.20000000000005</v>
      </c>
      <c r="N1703" s="116">
        <v>654.9</v>
      </c>
      <c r="O1703" s="116">
        <v>639.6</v>
      </c>
      <c r="P1703" s="116">
        <v>643.6</v>
      </c>
      <c r="Q1703" s="116">
        <v>650.20000000000005</v>
      </c>
      <c r="R1703">
        <v>543969</v>
      </c>
    </row>
    <row r="1704" spans="1:18" x14ac:dyDescent="0.25">
      <c r="A1704" s="169">
        <v>44524</v>
      </c>
      <c r="B1704" s="116">
        <v>83</v>
      </c>
      <c r="C1704" s="116">
        <v>81.3</v>
      </c>
      <c r="D1704" s="116">
        <v>80.8</v>
      </c>
      <c r="E1704" s="116">
        <v>80.8</v>
      </c>
      <c r="F1704" s="116">
        <v>81.3</v>
      </c>
      <c r="G1704">
        <v>37886</v>
      </c>
      <c r="H1704" s="116"/>
      <c r="I1704" s="116"/>
      <c r="L1704" s="169">
        <v>44515</v>
      </c>
      <c r="M1704" s="116">
        <v>668.4</v>
      </c>
      <c r="N1704" s="116">
        <v>673.2</v>
      </c>
      <c r="O1704" s="116">
        <v>642.70000000000005</v>
      </c>
      <c r="P1704" s="116">
        <v>650.20000000000005</v>
      </c>
      <c r="Q1704" s="116">
        <v>668.4</v>
      </c>
      <c r="R1704">
        <v>876850</v>
      </c>
    </row>
    <row r="1705" spans="1:18" x14ac:dyDescent="0.25">
      <c r="A1705" s="169">
        <v>44525</v>
      </c>
      <c r="B1705" s="116">
        <v>82.7</v>
      </c>
      <c r="C1705" s="116">
        <v>81.05</v>
      </c>
      <c r="D1705" s="116">
        <v>78.150000000000006</v>
      </c>
      <c r="E1705" s="116">
        <v>78.150000000000006</v>
      </c>
      <c r="F1705" s="116">
        <v>81.05</v>
      </c>
      <c r="G1705">
        <v>50741</v>
      </c>
      <c r="H1705" s="116"/>
      <c r="I1705" s="116"/>
      <c r="L1705" s="169">
        <v>44516</v>
      </c>
      <c r="M1705" s="116">
        <v>651.54999999999995</v>
      </c>
      <c r="N1705" s="116">
        <v>675.45</v>
      </c>
      <c r="O1705" s="116">
        <v>647</v>
      </c>
      <c r="P1705" s="116">
        <v>674.45</v>
      </c>
      <c r="Q1705" s="116">
        <v>651.54999999999995</v>
      </c>
      <c r="R1705">
        <v>1111077</v>
      </c>
    </row>
    <row r="1706" spans="1:18" x14ac:dyDescent="0.25">
      <c r="A1706" s="169">
        <v>44526</v>
      </c>
      <c r="B1706" s="116">
        <v>83.9</v>
      </c>
      <c r="C1706" s="116">
        <v>82</v>
      </c>
      <c r="D1706" s="116">
        <v>78.25</v>
      </c>
      <c r="E1706" s="116">
        <v>78.25</v>
      </c>
      <c r="F1706" s="116">
        <v>82</v>
      </c>
      <c r="G1706">
        <v>79071</v>
      </c>
      <c r="H1706" s="116"/>
      <c r="I1706" s="116"/>
      <c r="L1706" s="169">
        <v>44517</v>
      </c>
      <c r="M1706" s="116">
        <v>662</v>
      </c>
      <c r="N1706" s="116">
        <v>672.8</v>
      </c>
      <c r="O1706" s="116">
        <v>643.4</v>
      </c>
      <c r="P1706" s="116">
        <v>648</v>
      </c>
      <c r="Q1706" s="116">
        <v>662</v>
      </c>
      <c r="R1706">
        <v>960904</v>
      </c>
    </row>
    <row r="1707" spans="1:18" x14ac:dyDescent="0.25">
      <c r="A1707" s="169">
        <v>44529</v>
      </c>
      <c r="B1707" s="116">
        <v>83</v>
      </c>
      <c r="C1707" s="116">
        <v>79.650000000000006</v>
      </c>
      <c r="D1707" s="116">
        <v>78.05</v>
      </c>
      <c r="E1707" s="116">
        <v>78.2</v>
      </c>
      <c r="F1707" s="116">
        <v>79.650000000000006</v>
      </c>
      <c r="G1707">
        <v>36646</v>
      </c>
      <c r="H1707" s="116"/>
      <c r="I1707" s="116"/>
      <c r="L1707" s="169">
        <v>44518</v>
      </c>
      <c r="M1707" s="116">
        <v>645.4</v>
      </c>
      <c r="N1707" s="116">
        <v>666.45</v>
      </c>
      <c r="O1707" s="116">
        <v>640.65</v>
      </c>
      <c r="P1707" s="116">
        <v>662</v>
      </c>
      <c r="Q1707" s="116">
        <v>645.4</v>
      </c>
      <c r="R1707">
        <v>636240</v>
      </c>
    </row>
    <row r="1708" spans="1:18" x14ac:dyDescent="0.25">
      <c r="A1708" s="169">
        <v>44530</v>
      </c>
      <c r="B1708" s="116">
        <v>80.599999999999994</v>
      </c>
      <c r="C1708" s="116">
        <v>78.75</v>
      </c>
      <c r="D1708" s="116">
        <v>76.599999999999994</v>
      </c>
      <c r="E1708" s="116">
        <v>76.599999999999994</v>
      </c>
      <c r="F1708" s="116">
        <v>78.75</v>
      </c>
      <c r="G1708">
        <v>36747</v>
      </c>
      <c r="H1708" s="116"/>
      <c r="I1708" s="116"/>
      <c r="L1708" s="169">
        <v>44522</v>
      </c>
      <c r="M1708" s="116">
        <v>621.85</v>
      </c>
      <c r="N1708" s="116">
        <v>644.1</v>
      </c>
      <c r="O1708" s="116">
        <v>603.9</v>
      </c>
      <c r="P1708" s="116">
        <v>641.15</v>
      </c>
      <c r="Q1708" s="116">
        <v>621.85</v>
      </c>
      <c r="R1708">
        <v>1262555</v>
      </c>
    </row>
    <row r="1709" spans="1:18" x14ac:dyDescent="0.25">
      <c r="A1709" s="169">
        <v>44531</v>
      </c>
      <c r="B1709" s="116">
        <v>79.8</v>
      </c>
      <c r="C1709" s="116">
        <v>76.05</v>
      </c>
      <c r="D1709" s="116">
        <v>75.25</v>
      </c>
      <c r="E1709" s="116">
        <v>79.75</v>
      </c>
      <c r="F1709" s="116">
        <v>76.05</v>
      </c>
      <c r="G1709">
        <v>270438</v>
      </c>
      <c r="H1709" s="116"/>
      <c r="I1709" s="116"/>
      <c r="L1709" s="169">
        <v>44523</v>
      </c>
      <c r="M1709" s="116">
        <v>626.5</v>
      </c>
      <c r="N1709" s="116">
        <v>630.5</v>
      </c>
      <c r="O1709" s="116">
        <v>611.85</v>
      </c>
      <c r="P1709" s="116">
        <v>614.29999999999995</v>
      </c>
      <c r="Q1709" s="116">
        <v>626.5</v>
      </c>
      <c r="R1709">
        <v>679383</v>
      </c>
    </row>
    <row r="1710" spans="1:18" x14ac:dyDescent="0.25">
      <c r="A1710" s="169">
        <v>44532</v>
      </c>
      <c r="B1710" s="116">
        <v>79.849999999999994</v>
      </c>
      <c r="C1710" s="116">
        <v>76.150000000000006</v>
      </c>
      <c r="D1710" s="116">
        <v>75.25</v>
      </c>
      <c r="E1710" s="116">
        <v>75.5</v>
      </c>
      <c r="F1710" s="116">
        <v>76.150000000000006</v>
      </c>
      <c r="G1710">
        <v>75585</v>
      </c>
      <c r="H1710" s="116"/>
      <c r="I1710" s="116"/>
      <c r="L1710" s="169">
        <v>44524</v>
      </c>
      <c r="M1710" s="116">
        <v>622.29999999999995</v>
      </c>
      <c r="N1710" s="116">
        <v>635.75</v>
      </c>
      <c r="O1710" s="116">
        <v>618.29999999999995</v>
      </c>
      <c r="P1710" s="116">
        <v>626.5</v>
      </c>
      <c r="Q1710" s="116">
        <v>622.29999999999995</v>
      </c>
      <c r="R1710">
        <v>313771</v>
      </c>
    </row>
    <row r="1711" spans="1:18" x14ac:dyDescent="0.25">
      <c r="A1711" s="169">
        <v>44533</v>
      </c>
      <c r="B1711" s="116">
        <v>79.95</v>
      </c>
      <c r="C1711" s="116">
        <v>79.650000000000006</v>
      </c>
      <c r="D1711" s="116">
        <v>75.349999999999994</v>
      </c>
      <c r="E1711" s="116">
        <v>78</v>
      </c>
      <c r="F1711" s="116">
        <v>79.650000000000006</v>
      </c>
      <c r="G1711">
        <v>68581</v>
      </c>
      <c r="H1711" s="116"/>
      <c r="I1711" s="116"/>
      <c r="L1711" s="169">
        <v>44525</v>
      </c>
      <c r="M1711" s="116">
        <v>614.85</v>
      </c>
      <c r="N1711" s="116">
        <v>623.9</v>
      </c>
      <c r="O1711" s="116">
        <v>608.5</v>
      </c>
      <c r="P1711" s="116">
        <v>622.5</v>
      </c>
      <c r="Q1711" s="116">
        <v>614.85</v>
      </c>
      <c r="R1711">
        <v>887895</v>
      </c>
    </row>
    <row r="1712" spans="1:18" x14ac:dyDescent="0.25">
      <c r="A1712" s="169">
        <v>44536</v>
      </c>
      <c r="B1712" s="116">
        <v>83.6</v>
      </c>
      <c r="C1712" s="116">
        <v>83.6</v>
      </c>
      <c r="D1712" s="116">
        <v>80.5</v>
      </c>
      <c r="E1712" s="116">
        <v>83.6</v>
      </c>
      <c r="F1712" s="116">
        <v>83.6</v>
      </c>
      <c r="G1712">
        <v>164256</v>
      </c>
      <c r="H1712" s="116"/>
      <c r="I1712" s="116"/>
      <c r="L1712" s="169">
        <v>44526</v>
      </c>
      <c r="M1712" s="116">
        <v>587.54999999999995</v>
      </c>
      <c r="N1712" s="116">
        <v>614.6</v>
      </c>
      <c r="O1712" s="116">
        <v>582.25</v>
      </c>
      <c r="P1712" s="116">
        <v>610</v>
      </c>
      <c r="Q1712" s="116">
        <v>587.54999999999995</v>
      </c>
      <c r="R1712">
        <v>946633</v>
      </c>
    </row>
    <row r="1713" spans="1:18" x14ac:dyDescent="0.25">
      <c r="A1713" s="169">
        <v>44537</v>
      </c>
      <c r="B1713" s="116">
        <v>87.75</v>
      </c>
      <c r="C1713" s="116">
        <v>86.1</v>
      </c>
      <c r="D1713" s="116">
        <v>85.2</v>
      </c>
      <c r="E1713" s="116">
        <v>87.6</v>
      </c>
      <c r="F1713" s="116">
        <v>86.1</v>
      </c>
      <c r="G1713">
        <v>54274</v>
      </c>
      <c r="H1713" s="116"/>
      <c r="I1713" s="116"/>
      <c r="L1713" s="169">
        <v>44529</v>
      </c>
      <c r="M1713" s="116">
        <v>580.45000000000005</v>
      </c>
      <c r="N1713" s="116">
        <v>591</v>
      </c>
      <c r="O1713" s="116">
        <v>573.65</v>
      </c>
      <c r="P1713" s="116">
        <v>587.5</v>
      </c>
      <c r="Q1713" s="116">
        <v>580.45000000000005</v>
      </c>
      <c r="R1713">
        <v>699989</v>
      </c>
    </row>
    <row r="1714" spans="1:18" x14ac:dyDescent="0.25">
      <c r="A1714" s="169">
        <v>44538</v>
      </c>
      <c r="B1714" s="116">
        <v>89.75</v>
      </c>
      <c r="C1714" s="116">
        <v>84.15</v>
      </c>
      <c r="D1714" s="116">
        <v>81.8</v>
      </c>
      <c r="E1714" s="116">
        <v>89.75</v>
      </c>
      <c r="F1714" s="116">
        <v>84.15</v>
      </c>
      <c r="G1714">
        <v>31428</v>
      </c>
      <c r="H1714" s="116"/>
      <c r="I1714" s="116"/>
      <c r="L1714" s="169">
        <v>44530</v>
      </c>
      <c r="M1714" s="116">
        <v>590.1</v>
      </c>
      <c r="N1714" s="116">
        <v>596.15</v>
      </c>
      <c r="O1714" s="116">
        <v>574.29999999999995</v>
      </c>
      <c r="P1714" s="116">
        <v>583.5</v>
      </c>
      <c r="Q1714" s="116">
        <v>590.1</v>
      </c>
      <c r="R1714">
        <v>1474487</v>
      </c>
    </row>
    <row r="1715" spans="1:18" x14ac:dyDescent="0.25">
      <c r="A1715" s="169">
        <v>44539</v>
      </c>
      <c r="B1715" s="116">
        <v>84.95</v>
      </c>
      <c r="C1715" s="116">
        <v>83.8</v>
      </c>
      <c r="D1715" s="116">
        <v>81</v>
      </c>
      <c r="E1715" s="116">
        <v>84.95</v>
      </c>
      <c r="F1715" s="116">
        <v>83.8</v>
      </c>
      <c r="G1715">
        <v>61079</v>
      </c>
      <c r="H1715" s="116"/>
      <c r="I1715" s="116"/>
      <c r="L1715" s="169">
        <v>44531</v>
      </c>
      <c r="M1715" s="116">
        <v>593.25</v>
      </c>
      <c r="N1715" s="116">
        <v>596.85</v>
      </c>
      <c r="O1715" s="116">
        <v>581.04999999999995</v>
      </c>
      <c r="P1715" s="116">
        <v>590.95000000000005</v>
      </c>
      <c r="Q1715" s="116">
        <v>593.25</v>
      </c>
      <c r="R1715">
        <v>550030</v>
      </c>
    </row>
    <row r="1716" spans="1:18" x14ac:dyDescent="0.25">
      <c r="A1716" s="169">
        <v>44540</v>
      </c>
      <c r="B1716" s="116">
        <v>87.7</v>
      </c>
      <c r="C1716" s="116">
        <v>84.1</v>
      </c>
      <c r="D1716" s="116">
        <v>81.55</v>
      </c>
      <c r="E1716" s="116">
        <v>87.7</v>
      </c>
      <c r="F1716" s="116">
        <v>84.1</v>
      </c>
      <c r="G1716">
        <v>37552</v>
      </c>
      <c r="H1716" s="116"/>
      <c r="I1716" s="116"/>
      <c r="L1716" s="169">
        <v>44532</v>
      </c>
      <c r="M1716" s="116">
        <v>588.15</v>
      </c>
      <c r="N1716" s="116">
        <v>597.85</v>
      </c>
      <c r="O1716" s="116">
        <v>584</v>
      </c>
      <c r="P1716" s="116">
        <v>588</v>
      </c>
      <c r="Q1716" s="116">
        <v>588.15</v>
      </c>
      <c r="R1716">
        <v>861851</v>
      </c>
    </row>
    <row r="1717" spans="1:18" x14ac:dyDescent="0.25">
      <c r="A1717" s="169">
        <v>44543</v>
      </c>
      <c r="B1717" s="116">
        <v>86.65</v>
      </c>
      <c r="C1717" s="116">
        <v>83.4</v>
      </c>
      <c r="D1717" s="116">
        <v>82</v>
      </c>
      <c r="E1717" s="116">
        <v>86.65</v>
      </c>
      <c r="F1717" s="116">
        <v>83.4</v>
      </c>
      <c r="G1717">
        <v>68438</v>
      </c>
      <c r="H1717" s="116"/>
      <c r="I1717" s="116"/>
      <c r="L1717" s="169">
        <v>44533</v>
      </c>
      <c r="M1717" s="116">
        <v>582.29999999999995</v>
      </c>
      <c r="N1717" s="116">
        <v>595.20000000000005</v>
      </c>
      <c r="O1717" s="116">
        <v>574</v>
      </c>
      <c r="P1717" s="116">
        <v>591.1</v>
      </c>
      <c r="Q1717" s="116">
        <v>582.29999999999995</v>
      </c>
      <c r="R1717">
        <v>1008850</v>
      </c>
    </row>
    <row r="1718" spans="1:18" x14ac:dyDescent="0.25">
      <c r="A1718" s="169">
        <v>44544</v>
      </c>
      <c r="B1718" s="116">
        <v>84</v>
      </c>
      <c r="C1718" s="116">
        <v>79.5</v>
      </c>
      <c r="D1718" s="116">
        <v>79.25</v>
      </c>
      <c r="E1718" s="116">
        <v>84</v>
      </c>
      <c r="F1718" s="116">
        <v>79.5</v>
      </c>
      <c r="G1718">
        <v>106843</v>
      </c>
      <c r="H1718" s="116"/>
      <c r="I1718" s="116"/>
      <c r="L1718" s="169">
        <v>44536</v>
      </c>
      <c r="M1718" s="116">
        <v>570.6</v>
      </c>
      <c r="N1718" s="116">
        <v>580.70000000000005</v>
      </c>
      <c r="O1718" s="116">
        <v>565.75</v>
      </c>
      <c r="P1718" s="116">
        <v>575.45000000000005</v>
      </c>
      <c r="Q1718" s="116">
        <v>570.6</v>
      </c>
      <c r="R1718">
        <v>937877</v>
      </c>
    </row>
    <row r="1719" spans="1:18" x14ac:dyDescent="0.25">
      <c r="A1719" s="169">
        <v>44545</v>
      </c>
      <c r="B1719" s="116">
        <v>80.95</v>
      </c>
      <c r="C1719" s="116">
        <v>79.8</v>
      </c>
      <c r="D1719" s="116">
        <v>78</v>
      </c>
      <c r="E1719" s="116">
        <v>80.95</v>
      </c>
      <c r="F1719" s="116">
        <v>79.8</v>
      </c>
      <c r="G1719">
        <v>40152</v>
      </c>
      <c r="H1719" s="116"/>
      <c r="I1719" s="116"/>
      <c r="L1719" s="169">
        <v>44537</v>
      </c>
      <c r="M1719" s="116">
        <v>583.29999999999995</v>
      </c>
      <c r="N1719" s="116">
        <v>588</v>
      </c>
      <c r="O1719" s="116">
        <v>571.79999999999995</v>
      </c>
      <c r="P1719" s="116">
        <v>572.04999999999995</v>
      </c>
      <c r="Q1719" s="116">
        <v>583.29999999999995</v>
      </c>
      <c r="R1719">
        <v>994353</v>
      </c>
    </row>
    <row r="1720" spans="1:18" x14ac:dyDescent="0.25">
      <c r="A1720" s="169">
        <v>44546</v>
      </c>
      <c r="B1720" s="116">
        <v>81.400000000000006</v>
      </c>
      <c r="C1720" s="116">
        <v>77.55</v>
      </c>
      <c r="D1720" s="116">
        <v>76.75</v>
      </c>
      <c r="E1720" s="116">
        <v>80.5</v>
      </c>
      <c r="F1720" s="116">
        <v>77.55</v>
      </c>
      <c r="G1720">
        <v>58098</v>
      </c>
      <c r="H1720" s="116"/>
      <c r="I1720" s="116"/>
      <c r="L1720" s="169">
        <v>44538</v>
      </c>
      <c r="M1720" s="116">
        <v>587.6</v>
      </c>
      <c r="N1720" s="116">
        <v>591.95000000000005</v>
      </c>
      <c r="O1720" s="116">
        <v>581.54999999999995</v>
      </c>
      <c r="P1720" s="116">
        <v>584.9</v>
      </c>
      <c r="Q1720" s="116">
        <v>587.6</v>
      </c>
      <c r="R1720">
        <v>458949</v>
      </c>
    </row>
    <row r="1721" spans="1:18" x14ac:dyDescent="0.25">
      <c r="A1721" s="169">
        <v>44547</v>
      </c>
      <c r="B1721" s="116">
        <v>80</v>
      </c>
      <c r="C1721" s="116">
        <v>79.3</v>
      </c>
      <c r="D1721" s="116">
        <v>76.150000000000006</v>
      </c>
      <c r="E1721" s="116">
        <v>78.95</v>
      </c>
      <c r="F1721" s="116">
        <v>79.3</v>
      </c>
      <c r="G1721">
        <v>85046</v>
      </c>
      <c r="H1721" s="116"/>
      <c r="I1721" s="116"/>
      <c r="L1721" s="169">
        <v>44539</v>
      </c>
      <c r="M1721" s="116">
        <v>608.70000000000005</v>
      </c>
      <c r="N1721" s="116">
        <v>619.9</v>
      </c>
      <c r="O1721" s="116">
        <v>596.29999999999995</v>
      </c>
      <c r="P1721" s="116">
        <v>597.5</v>
      </c>
      <c r="Q1721" s="116">
        <v>608.70000000000005</v>
      </c>
      <c r="R1721">
        <v>3438042</v>
      </c>
    </row>
    <row r="1722" spans="1:18" x14ac:dyDescent="0.25">
      <c r="A1722" s="169">
        <v>44550</v>
      </c>
      <c r="B1722" s="116">
        <v>78.2</v>
      </c>
      <c r="C1722" s="116">
        <v>75.349999999999994</v>
      </c>
      <c r="D1722" s="116">
        <v>75.349999999999994</v>
      </c>
      <c r="E1722" s="116">
        <v>75.55</v>
      </c>
      <c r="F1722" s="116">
        <v>75.349999999999994</v>
      </c>
      <c r="G1722">
        <v>59745</v>
      </c>
      <c r="H1722" s="116"/>
      <c r="I1722" s="116"/>
      <c r="L1722" s="169">
        <v>44540</v>
      </c>
      <c r="M1722" s="116">
        <v>602.6</v>
      </c>
      <c r="N1722" s="116">
        <v>609</v>
      </c>
      <c r="O1722" s="116">
        <v>600</v>
      </c>
      <c r="P1722" s="116">
        <v>609</v>
      </c>
      <c r="Q1722" s="116">
        <v>602.6</v>
      </c>
      <c r="R1722">
        <v>422997</v>
      </c>
    </row>
    <row r="1723" spans="1:18" x14ac:dyDescent="0.25">
      <c r="A1723" s="169">
        <v>44551</v>
      </c>
      <c r="B1723" s="116">
        <v>78</v>
      </c>
      <c r="C1723" s="116">
        <v>74.849999999999994</v>
      </c>
      <c r="D1723" s="116">
        <v>71.599999999999994</v>
      </c>
      <c r="E1723" s="116">
        <v>73.849999999999994</v>
      </c>
      <c r="F1723" s="116">
        <v>74.849999999999994</v>
      </c>
      <c r="G1723">
        <v>43919</v>
      </c>
      <c r="H1723" s="116"/>
      <c r="I1723" s="116"/>
      <c r="L1723" s="169">
        <v>44543</v>
      </c>
      <c r="M1723" s="116">
        <v>600.35</v>
      </c>
      <c r="N1723" s="116">
        <v>611.4</v>
      </c>
      <c r="O1723" s="116">
        <v>595.29999999999995</v>
      </c>
      <c r="P1723" s="116">
        <v>606</v>
      </c>
      <c r="Q1723" s="116">
        <v>600.35</v>
      </c>
      <c r="R1723">
        <v>374767</v>
      </c>
    </row>
    <row r="1724" spans="1:18" x14ac:dyDescent="0.25">
      <c r="A1724" s="169">
        <v>44552</v>
      </c>
      <c r="B1724" s="116">
        <v>77.900000000000006</v>
      </c>
      <c r="C1724" s="116">
        <v>76.599999999999994</v>
      </c>
      <c r="D1724" s="116">
        <v>72.3</v>
      </c>
      <c r="E1724" s="116">
        <v>72.3</v>
      </c>
      <c r="F1724" s="116">
        <v>76.599999999999994</v>
      </c>
      <c r="G1724">
        <v>54776</v>
      </c>
      <c r="H1724" s="116"/>
      <c r="I1724" s="116"/>
      <c r="L1724" s="169">
        <v>44544</v>
      </c>
      <c r="M1724" s="116">
        <v>598.5</v>
      </c>
      <c r="N1724" s="116">
        <v>601.70000000000005</v>
      </c>
      <c r="O1724" s="116">
        <v>589.29999999999995</v>
      </c>
      <c r="P1724" s="116">
        <v>595.35</v>
      </c>
      <c r="Q1724" s="116">
        <v>598.5</v>
      </c>
      <c r="R1724">
        <v>426115</v>
      </c>
    </row>
    <row r="1725" spans="1:18" x14ac:dyDescent="0.25">
      <c r="A1725" s="169">
        <v>44553</v>
      </c>
      <c r="B1725" s="116">
        <v>79.900000000000006</v>
      </c>
      <c r="C1725" s="116">
        <v>79.349999999999994</v>
      </c>
      <c r="D1725" s="116">
        <v>75.5</v>
      </c>
      <c r="E1725" s="116">
        <v>77.45</v>
      </c>
      <c r="F1725" s="116">
        <v>79.349999999999994</v>
      </c>
      <c r="G1725">
        <v>21540</v>
      </c>
      <c r="H1725" s="116"/>
      <c r="I1725" s="116"/>
      <c r="L1725" s="169">
        <v>44545</v>
      </c>
      <c r="M1725" s="116">
        <v>599.95000000000005</v>
      </c>
      <c r="N1725" s="116">
        <v>602.54999999999995</v>
      </c>
      <c r="O1725" s="116">
        <v>592.79999999999995</v>
      </c>
      <c r="P1725" s="116">
        <v>600</v>
      </c>
      <c r="Q1725" s="116">
        <v>599.95000000000005</v>
      </c>
      <c r="R1725">
        <v>413080</v>
      </c>
    </row>
    <row r="1726" spans="1:18" x14ac:dyDescent="0.25">
      <c r="A1726" s="169">
        <v>44554</v>
      </c>
      <c r="B1726" s="116">
        <v>82.7</v>
      </c>
      <c r="C1726" s="116">
        <v>80.650000000000006</v>
      </c>
      <c r="D1726" s="116">
        <v>78.2</v>
      </c>
      <c r="E1726" s="116">
        <v>82.7</v>
      </c>
      <c r="F1726" s="116">
        <v>80.650000000000006</v>
      </c>
      <c r="G1726">
        <v>46848</v>
      </c>
      <c r="H1726" s="116"/>
      <c r="I1726" s="116"/>
      <c r="L1726" s="169">
        <v>44546</v>
      </c>
      <c r="M1726" s="116">
        <v>588.25</v>
      </c>
      <c r="N1726" s="116">
        <v>606</v>
      </c>
      <c r="O1726" s="116">
        <v>583.54999999999995</v>
      </c>
      <c r="P1726" s="116">
        <v>602</v>
      </c>
      <c r="Q1726" s="116">
        <v>588.25</v>
      </c>
      <c r="R1726">
        <v>398446</v>
      </c>
    </row>
    <row r="1727" spans="1:18" x14ac:dyDescent="0.25">
      <c r="A1727" s="169">
        <v>44557</v>
      </c>
      <c r="B1727" s="116">
        <v>84.65</v>
      </c>
      <c r="C1727" s="116">
        <v>84.25</v>
      </c>
      <c r="D1727" s="116">
        <v>78</v>
      </c>
      <c r="E1727" s="116">
        <v>82.5</v>
      </c>
      <c r="F1727" s="116">
        <v>84.25</v>
      </c>
      <c r="G1727">
        <v>79903</v>
      </c>
      <c r="H1727" s="116"/>
      <c r="I1727" s="116"/>
      <c r="L1727" s="169">
        <v>44547</v>
      </c>
      <c r="M1727" s="116">
        <v>549.79999999999995</v>
      </c>
      <c r="N1727" s="116">
        <v>587.45000000000005</v>
      </c>
      <c r="O1727" s="116">
        <v>546.6</v>
      </c>
      <c r="P1727" s="116">
        <v>587.45000000000005</v>
      </c>
      <c r="Q1727" s="116">
        <v>549.79999999999995</v>
      </c>
      <c r="R1727">
        <v>1173080</v>
      </c>
    </row>
    <row r="1728" spans="1:18" x14ac:dyDescent="0.25">
      <c r="A1728" s="169">
        <v>44558</v>
      </c>
      <c r="B1728" s="116">
        <v>88.45</v>
      </c>
      <c r="C1728" s="116">
        <v>88.45</v>
      </c>
      <c r="D1728" s="116">
        <v>85.1</v>
      </c>
      <c r="E1728" s="116">
        <v>87.95</v>
      </c>
      <c r="F1728" s="116">
        <v>88.45</v>
      </c>
      <c r="G1728">
        <v>126392</v>
      </c>
      <c r="H1728" s="116"/>
      <c r="I1728" s="116"/>
      <c r="L1728" s="169">
        <v>44550</v>
      </c>
      <c r="M1728" s="116">
        <v>537.75</v>
      </c>
      <c r="N1728" s="116">
        <v>545.15</v>
      </c>
      <c r="O1728" s="116">
        <v>518.25</v>
      </c>
      <c r="P1728" s="116">
        <v>543.5</v>
      </c>
      <c r="Q1728" s="116">
        <v>537.75</v>
      </c>
      <c r="R1728">
        <v>967416</v>
      </c>
    </row>
    <row r="1729" spans="1:18" x14ac:dyDescent="0.25">
      <c r="A1729" s="169">
        <v>44559</v>
      </c>
      <c r="B1729" s="116">
        <v>92.85</v>
      </c>
      <c r="C1729" s="116">
        <v>92.85</v>
      </c>
      <c r="D1729" s="116">
        <v>92.85</v>
      </c>
      <c r="E1729" s="116">
        <v>92.85</v>
      </c>
      <c r="F1729" s="116">
        <v>92.85</v>
      </c>
      <c r="G1729">
        <v>77955</v>
      </c>
      <c r="H1729" s="116"/>
      <c r="I1729" s="116"/>
      <c r="L1729" s="169">
        <v>44551</v>
      </c>
      <c r="M1729" s="116">
        <v>532.6</v>
      </c>
      <c r="N1729" s="116">
        <v>549.1</v>
      </c>
      <c r="O1729" s="116">
        <v>527.6</v>
      </c>
      <c r="P1729" s="116">
        <v>537.75</v>
      </c>
      <c r="Q1729" s="116">
        <v>532.6</v>
      </c>
      <c r="R1729">
        <v>719160</v>
      </c>
    </row>
    <row r="1730" spans="1:18" x14ac:dyDescent="0.25">
      <c r="A1730" s="169">
        <v>44560</v>
      </c>
      <c r="B1730" s="116">
        <v>97.45</v>
      </c>
      <c r="C1730" s="116">
        <v>97.45</v>
      </c>
      <c r="D1730" s="116">
        <v>93</v>
      </c>
      <c r="E1730" s="116">
        <v>97.45</v>
      </c>
      <c r="F1730" s="116">
        <v>97.45</v>
      </c>
      <c r="G1730">
        <v>508430</v>
      </c>
      <c r="H1730" s="116"/>
      <c r="I1730" s="116"/>
      <c r="L1730" s="169">
        <v>44552</v>
      </c>
      <c r="M1730" s="116">
        <v>543.4</v>
      </c>
      <c r="N1730" s="116">
        <v>548.65</v>
      </c>
      <c r="O1730" s="116">
        <v>535.79999999999995</v>
      </c>
      <c r="P1730" s="116">
        <v>538.9</v>
      </c>
      <c r="Q1730" s="116">
        <v>543.4</v>
      </c>
      <c r="R1730">
        <v>473377</v>
      </c>
    </row>
    <row r="1731" spans="1:18" x14ac:dyDescent="0.25">
      <c r="A1731" s="169">
        <v>44561</v>
      </c>
      <c r="B1731" s="116">
        <v>101.8</v>
      </c>
      <c r="C1731" s="116">
        <v>100.4</v>
      </c>
      <c r="D1731" s="116">
        <v>99</v>
      </c>
      <c r="E1731" s="116">
        <v>99</v>
      </c>
      <c r="F1731" s="116">
        <v>100.4</v>
      </c>
      <c r="G1731">
        <v>176276</v>
      </c>
      <c r="H1731" s="116"/>
      <c r="I1731" s="116"/>
      <c r="L1731" s="169">
        <v>44553</v>
      </c>
      <c r="M1731" s="116">
        <v>555.65</v>
      </c>
      <c r="N1731" s="116">
        <v>559.54999999999995</v>
      </c>
      <c r="O1731" s="116">
        <v>542</v>
      </c>
      <c r="P1731" s="116">
        <v>542</v>
      </c>
      <c r="Q1731" s="116">
        <v>555.65</v>
      </c>
      <c r="R1731">
        <v>753650</v>
      </c>
    </row>
    <row r="1732" spans="1:18" x14ac:dyDescent="0.25">
      <c r="A1732" s="169">
        <v>44564</v>
      </c>
      <c r="B1732" s="116">
        <v>105.4</v>
      </c>
      <c r="C1732" s="116">
        <v>105.4</v>
      </c>
      <c r="D1732" s="116">
        <v>102.45</v>
      </c>
      <c r="E1732" s="116">
        <v>105</v>
      </c>
      <c r="F1732" s="116">
        <v>105.4</v>
      </c>
      <c r="G1732">
        <v>130553</v>
      </c>
      <c r="H1732" s="116"/>
      <c r="I1732" s="116"/>
      <c r="L1732" s="169">
        <v>44554</v>
      </c>
      <c r="M1732" s="116">
        <v>551.4</v>
      </c>
      <c r="N1732" s="116">
        <v>565</v>
      </c>
      <c r="O1732" s="116">
        <v>547.70000000000005</v>
      </c>
      <c r="P1732" s="116">
        <v>560</v>
      </c>
      <c r="Q1732" s="116">
        <v>551.4</v>
      </c>
      <c r="R1732">
        <v>582941</v>
      </c>
    </row>
    <row r="1733" spans="1:18" x14ac:dyDescent="0.25">
      <c r="A1733" s="169">
        <v>44565</v>
      </c>
      <c r="B1733" s="116">
        <v>110.65</v>
      </c>
      <c r="C1733" s="116">
        <v>110.65</v>
      </c>
      <c r="D1733" s="116">
        <v>105.9</v>
      </c>
      <c r="E1733" s="116">
        <v>110.65</v>
      </c>
      <c r="F1733" s="116">
        <v>110.65</v>
      </c>
      <c r="G1733">
        <v>325767</v>
      </c>
      <c r="H1733" s="116"/>
      <c r="I1733" s="116"/>
      <c r="L1733" s="169">
        <v>44557</v>
      </c>
      <c r="M1733" s="116">
        <v>556.65</v>
      </c>
      <c r="N1733" s="116">
        <v>562.4</v>
      </c>
      <c r="O1733" s="116">
        <v>528.70000000000005</v>
      </c>
      <c r="P1733" s="116">
        <v>547.4</v>
      </c>
      <c r="Q1733" s="116">
        <v>556.65</v>
      </c>
      <c r="R1733">
        <v>758343</v>
      </c>
    </row>
    <row r="1734" spans="1:18" x14ac:dyDescent="0.25">
      <c r="A1734" s="169">
        <v>44566</v>
      </c>
      <c r="B1734" s="116">
        <v>116.15</v>
      </c>
      <c r="C1734" s="116">
        <v>116.15</v>
      </c>
      <c r="D1734" s="116">
        <v>106.15</v>
      </c>
      <c r="E1734" s="116">
        <v>115.5</v>
      </c>
      <c r="F1734" s="116">
        <v>116.15</v>
      </c>
      <c r="G1734">
        <v>331146</v>
      </c>
      <c r="H1734" s="116"/>
      <c r="I1734" s="116"/>
      <c r="L1734" s="169">
        <v>44558</v>
      </c>
      <c r="M1734" s="116">
        <v>564.54999999999995</v>
      </c>
      <c r="N1734" s="116">
        <v>569.5</v>
      </c>
      <c r="O1734" s="116">
        <v>557.54999999999995</v>
      </c>
      <c r="P1734" s="116">
        <v>558.5</v>
      </c>
      <c r="Q1734" s="116">
        <v>564.54999999999995</v>
      </c>
      <c r="R1734">
        <v>506762</v>
      </c>
    </row>
    <row r="1735" spans="1:18" x14ac:dyDescent="0.25">
      <c r="A1735" s="169">
        <v>44567</v>
      </c>
      <c r="B1735" s="116">
        <v>121.95</v>
      </c>
      <c r="C1735" s="116">
        <v>121.95</v>
      </c>
      <c r="D1735" s="116">
        <v>115</v>
      </c>
      <c r="E1735" s="116">
        <v>121.95</v>
      </c>
      <c r="F1735" s="116">
        <v>121.95</v>
      </c>
      <c r="G1735">
        <v>267831</v>
      </c>
      <c r="H1735" s="116"/>
      <c r="I1735" s="116"/>
      <c r="L1735" s="169">
        <v>44559</v>
      </c>
      <c r="M1735" s="116">
        <v>554.4</v>
      </c>
      <c r="N1735" s="116">
        <v>568.4</v>
      </c>
      <c r="O1735" s="116">
        <v>550.6</v>
      </c>
      <c r="P1735" s="116">
        <v>561.04999999999995</v>
      </c>
      <c r="Q1735" s="116">
        <v>554.4</v>
      </c>
      <c r="R1735">
        <v>378205</v>
      </c>
    </row>
    <row r="1736" spans="1:18" x14ac:dyDescent="0.25">
      <c r="A1736" s="169">
        <v>44568</v>
      </c>
      <c r="B1736" s="116">
        <v>128</v>
      </c>
      <c r="C1736" s="116">
        <v>128</v>
      </c>
      <c r="D1736" s="116">
        <v>125</v>
      </c>
      <c r="E1736" s="116">
        <v>128</v>
      </c>
      <c r="F1736" s="116">
        <v>128</v>
      </c>
      <c r="G1736">
        <v>750702</v>
      </c>
      <c r="H1736" s="116"/>
      <c r="I1736" s="116"/>
      <c r="L1736" s="169">
        <v>44560</v>
      </c>
      <c r="M1736" s="116">
        <v>554.5</v>
      </c>
      <c r="N1736" s="116">
        <v>559.85</v>
      </c>
      <c r="O1736" s="116">
        <v>550.1</v>
      </c>
      <c r="P1736" s="116">
        <v>556</v>
      </c>
      <c r="Q1736" s="116">
        <v>554.5</v>
      </c>
      <c r="R1736">
        <v>451790</v>
      </c>
    </row>
    <row r="1737" spans="1:18" x14ac:dyDescent="0.25">
      <c r="A1737" s="169">
        <v>44571</v>
      </c>
      <c r="B1737" s="116">
        <v>134.4</v>
      </c>
      <c r="C1737" s="116">
        <v>132.05000000000001</v>
      </c>
      <c r="D1737" s="116">
        <v>123</v>
      </c>
      <c r="E1737" s="116">
        <v>133.9</v>
      </c>
      <c r="F1737" s="116">
        <v>132.05000000000001</v>
      </c>
      <c r="G1737">
        <v>850400</v>
      </c>
      <c r="H1737" s="116"/>
      <c r="I1737" s="116"/>
      <c r="L1737" s="169">
        <v>44561</v>
      </c>
      <c r="M1737" s="116">
        <v>552.95000000000005</v>
      </c>
      <c r="N1737" s="116">
        <v>562.85</v>
      </c>
      <c r="O1737" s="116">
        <v>551</v>
      </c>
      <c r="P1737" s="116">
        <v>551</v>
      </c>
      <c r="Q1737" s="116">
        <v>552.95000000000005</v>
      </c>
      <c r="R1737">
        <v>703962</v>
      </c>
    </row>
    <row r="1738" spans="1:18" x14ac:dyDescent="0.25">
      <c r="A1738" s="169">
        <v>44572</v>
      </c>
      <c r="B1738" s="116">
        <v>138.65</v>
      </c>
      <c r="C1738" s="116">
        <v>138.44999999999999</v>
      </c>
      <c r="D1738" s="116">
        <v>129</v>
      </c>
      <c r="E1738" s="116">
        <v>137.80000000000001</v>
      </c>
      <c r="F1738" s="116">
        <v>138.44999999999999</v>
      </c>
      <c r="G1738">
        <v>763683</v>
      </c>
      <c r="H1738" s="116"/>
      <c r="I1738" s="116"/>
      <c r="L1738" s="169">
        <v>44564</v>
      </c>
      <c r="M1738" s="116">
        <v>574</v>
      </c>
      <c r="N1738" s="116">
        <v>577.79999999999995</v>
      </c>
      <c r="O1738" s="116">
        <v>554.04999999999995</v>
      </c>
      <c r="P1738" s="116">
        <v>555</v>
      </c>
      <c r="Q1738" s="116">
        <v>574</v>
      </c>
      <c r="R1738">
        <v>701600</v>
      </c>
    </row>
    <row r="1739" spans="1:18" x14ac:dyDescent="0.25">
      <c r="A1739" s="169">
        <v>44573</v>
      </c>
      <c r="B1739" s="116">
        <v>145</v>
      </c>
      <c r="C1739" s="116">
        <v>131.55000000000001</v>
      </c>
      <c r="D1739" s="116">
        <v>131.55000000000001</v>
      </c>
      <c r="E1739" s="116">
        <v>144.9</v>
      </c>
      <c r="F1739" s="116">
        <v>131.55000000000001</v>
      </c>
      <c r="G1739">
        <v>521607</v>
      </c>
      <c r="H1739" s="116"/>
      <c r="I1739" s="116"/>
      <c r="L1739" s="169">
        <v>44565</v>
      </c>
      <c r="M1739" s="116">
        <v>581.04999999999995</v>
      </c>
      <c r="N1739" s="116">
        <v>583.20000000000005</v>
      </c>
      <c r="O1739" s="116">
        <v>568.20000000000005</v>
      </c>
      <c r="P1739" s="116">
        <v>575</v>
      </c>
      <c r="Q1739" s="116">
        <v>581.04999999999995</v>
      </c>
      <c r="R1739">
        <v>534568</v>
      </c>
    </row>
    <row r="1740" spans="1:18" x14ac:dyDescent="0.25">
      <c r="A1740" s="169">
        <v>44574</v>
      </c>
      <c r="B1740" s="116">
        <v>128.75</v>
      </c>
      <c r="C1740" s="116">
        <v>125</v>
      </c>
      <c r="D1740" s="116">
        <v>125</v>
      </c>
      <c r="E1740" s="116">
        <v>125</v>
      </c>
      <c r="F1740" s="116">
        <v>125</v>
      </c>
      <c r="G1740">
        <v>75688</v>
      </c>
      <c r="H1740" s="116"/>
      <c r="I1740" s="116"/>
      <c r="L1740" s="169">
        <v>44566</v>
      </c>
      <c r="M1740" s="116">
        <v>592.75</v>
      </c>
      <c r="N1740" s="116">
        <v>596</v>
      </c>
      <c r="O1740" s="116">
        <v>571.20000000000005</v>
      </c>
      <c r="P1740" s="116">
        <v>580</v>
      </c>
      <c r="Q1740" s="116">
        <v>592.75</v>
      </c>
      <c r="R1740">
        <v>560391</v>
      </c>
    </row>
    <row r="1741" spans="1:18" x14ac:dyDescent="0.25">
      <c r="A1741" s="169">
        <v>44575</v>
      </c>
      <c r="B1741" s="116">
        <v>127</v>
      </c>
      <c r="C1741" s="116">
        <v>122.9</v>
      </c>
      <c r="D1741" s="116">
        <v>118.75</v>
      </c>
      <c r="E1741" s="116">
        <v>118.75</v>
      </c>
      <c r="F1741" s="116">
        <v>122.9</v>
      </c>
      <c r="G1741">
        <v>802684</v>
      </c>
      <c r="H1741" s="116"/>
      <c r="I1741" s="116"/>
      <c r="L1741" s="169">
        <v>44567</v>
      </c>
      <c r="M1741" s="116">
        <v>588.95000000000005</v>
      </c>
      <c r="N1741" s="116">
        <v>590.45000000000005</v>
      </c>
      <c r="O1741" s="116">
        <v>578</v>
      </c>
      <c r="P1741" s="116">
        <v>585</v>
      </c>
      <c r="Q1741" s="116">
        <v>588.95000000000005</v>
      </c>
      <c r="R1741">
        <v>329892</v>
      </c>
    </row>
    <row r="1742" spans="1:18" x14ac:dyDescent="0.25">
      <c r="A1742" s="169">
        <v>44578</v>
      </c>
      <c r="B1742" s="116">
        <v>129</v>
      </c>
      <c r="C1742" s="116">
        <v>129</v>
      </c>
      <c r="D1742" s="116">
        <v>123</v>
      </c>
      <c r="E1742" s="116">
        <v>123</v>
      </c>
      <c r="F1742" s="116">
        <v>129</v>
      </c>
      <c r="G1742">
        <v>481488</v>
      </c>
      <c r="H1742" s="116"/>
      <c r="I1742" s="116"/>
      <c r="L1742" s="169">
        <v>44568</v>
      </c>
      <c r="M1742" s="116">
        <v>583.5</v>
      </c>
      <c r="N1742" s="116">
        <v>602</v>
      </c>
      <c r="O1742" s="116">
        <v>580.20000000000005</v>
      </c>
      <c r="P1742" s="116">
        <v>591</v>
      </c>
      <c r="Q1742" s="116">
        <v>583.5</v>
      </c>
      <c r="R1742">
        <v>484745</v>
      </c>
    </row>
    <row r="1743" spans="1:18" x14ac:dyDescent="0.25">
      <c r="A1743" s="169">
        <v>44579</v>
      </c>
      <c r="B1743" s="116">
        <v>134.4</v>
      </c>
      <c r="C1743" s="116">
        <v>126.35</v>
      </c>
      <c r="D1743" s="116">
        <v>125.5</v>
      </c>
      <c r="E1743" s="116">
        <v>134</v>
      </c>
      <c r="F1743" s="116">
        <v>126.35</v>
      </c>
      <c r="G1743">
        <v>289455</v>
      </c>
      <c r="H1743" s="116"/>
      <c r="I1743" s="116"/>
      <c r="L1743" s="169">
        <v>44571</v>
      </c>
      <c r="M1743" s="116">
        <v>597.45000000000005</v>
      </c>
      <c r="N1743" s="116">
        <v>601.79999999999995</v>
      </c>
      <c r="O1743" s="116">
        <v>586</v>
      </c>
      <c r="P1743" s="116">
        <v>586</v>
      </c>
      <c r="Q1743" s="116">
        <v>597.45000000000005</v>
      </c>
      <c r="R1743">
        <v>672720</v>
      </c>
    </row>
    <row r="1744" spans="1:18" x14ac:dyDescent="0.25">
      <c r="A1744" s="169">
        <v>44580</v>
      </c>
      <c r="B1744" s="116">
        <v>126.9</v>
      </c>
      <c r="C1744" s="116">
        <v>120.2</v>
      </c>
      <c r="D1744" s="116">
        <v>120.05</v>
      </c>
      <c r="E1744" s="116">
        <v>125</v>
      </c>
      <c r="F1744" s="116">
        <v>120.2</v>
      </c>
      <c r="G1744">
        <v>229313</v>
      </c>
      <c r="H1744" s="116"/>
      <c r="I1744" s="116"/>
      <c r="L1744" s="169">
        <v>44572</v>
      </c>
      <c r="M1744" s="116">
        <v>596.25</v>
      </c>
      <c r="N1744" s="116">
        <v>605.15</v>
      </c>
      <c r="O1744" s="116">
        <v>587.9</v>
      </c>
      <c r="P1744" s="116">
        <v>596.85</v>
      </c>
      <c r="Q1744" s="116">
        <v>596.25</v>
      </c>
      <c r="R1744">
        <v>592198</v>
      </c>
    </row>
    <row r="1745" spans="1:18" x14ac:dyDescent="0.25">
      <c r="A1745" s="169">
        <v>44581</v>
      </c>
      <c r="B1745" s="116">
        <v>123</v>
      </c>
      <c r="C1745" s="116">
        <v>115.1</v>
      </c>
      <c r="D1745" s="116">
        <v>114.4</v>
      </c>
      <c r="E1745" s="116">
        <v>117.1</v>
      </c>
      <c r="F1745" s="116">
        <v>115.1</v>
      </c>
      <c r="G1745">
        <v>268457</v>
      </c>
      <c r="H1745" s="116"/>
      <c r="I1745" s="116"/>
      <c r="L1745" s="169">
        <v>44573</v>
      </c>
      <c r="M1745" s="116">
        <v>607</v>
      </c>
      <c r="N1745" s="116">
        <v>616.75</v>
      </c>
      <c r="O1745" s="116">
        <v>598.9</v>
      </c>
      <c r="P1745" s="116">
        <v>599.25</v>
      </c>
      <c r="Q1745" s="116">
        <v>607</v>
      </c>
      <c r="R1745">
        <v>659631</v>
      </c>
    </row>
    <row r="1746" spans="1:18" x14ac:dyDescent="0.25">
      <c r="A1746" s="169">
        <v>44582</v>
      </c>
      <c r="B1746" s="116">
        <v>116.7</v>
      </c>
      <c r="C1746" s="116">
        <v>112.95</v>
      </c>
      <c r="D1746" s="116">
        <v>109.55</v>
      </c>
      <c r="E1746" s="116">
        <v>110.5</v>
      </c>
      <c r="F1746" s="116">
        <v>112.95</v>
      </c>
      <c r="G1746">
        <v>190429</v>
      </c>
      <c r="H1746" s="116"/>
      <c r="I1746" s="116"/>
      <c r="L1746" s="169">
        <v>44574</v>
      </c>
      <c r="M1746" s="116">
        <v>603.6</v>
      </c>
      <c r="N1746" s="116">
        <v>614.29999999999995</v>
      </c>
      <c r="O1746" s="116">
        <v>601</v>
      </c>
      <c r="P1746" s="116">
        <v>609.85</v>
      </c>
      <c r="Q1746" s="116">
        <v>603.6</v>
      </c>
      <c r="R1746">
        <v>579280</v>
      </c>
    </row>
    <row r="1747" spans="1:18" x14ac:dyDescent="0.25">
      <c r="A1747" s="169">
        <v>44585</v>
      </c>
      <c r="B1747" s="116">
        <v>112.7</v>
      </c>
      <c r="C1747" s="116">
        <v>107.35</v>
      </c>
      <c r="D1747" s="116">
        <v>107.35</v>
      </c>
      <c r="E1747" s="116">
        <v>107.35</v>
      </c>
      <c r="F1747" s="116">
        <v>107.35</v>
      </c>
      <c r="G1747">
        <v>293598</v>
      </c>
      <c r="H1747" s="116"/>
      <c r="I1747" s="116"/>
      <c r="L1747" s="169">
        <v>44575</v>
      </c>
      <c r="M1747" s="116">
        <v>605.75</v>
      </c>
      <c r="N1747" s="116">
        <v>611.04999999999995</v>
      </c>
      <c r="O1747" s="116">
        <v>594.04999999999995</v>
      </c>
      <c r="P1747" s="116">
        <v>602.5</v>
      </c>
      <c r="Q1747" s="116">
        <v>605.75</v>
      </c>
      <c r="R1747">
        <v>500557</v>
      </c>
    </row>
    <row r="1748" spans="1:18" x14ac:dyDescent="0.25">
      <c r="A1748" s="169">
        <v>44586</v>
      </c>
      <c r="B1748" s="116">
        <v>112.7</v>
      </c>
      <c r="C1748" s="116">
        <v>112.2</v>
      </c>
      <c r="D1748" s="116">
        <v>102.7</v>
      </c>
      <c r="E1748" s="116">
        <v>103.1</v>
      </c>
      <c r="F1748" s="116">
        <v>112.2</v>
      </c>
      <c r="G1748">
        <v>545302</v>
      </c>
      <c r="H1748" s="116"/>
      <c r="I1748" s="116"/>
      <c r="L1748" s="169">
        <v>44578</v>
      </c>
      <c r="M1748" s="116">
        <v>627.5</v>
      </c>
      <c r="N1748" s="116">
        <v>632.35</v>
      </c>
      <c r="O1748" s="116">
        <v>605.20000000000005</v>
      </c>
      <c r="P1748" s="116">
        <v>605.45000000000005</v>
      </c>
      <c r="Q1748" s="116">
        <v>627.5</v>
      </c>
      <c r="R1748">
        <v>1397472</v>
      </c>
    </row>
    <row r="1749" spans="1:18" x14ac:dyDescent="0.25">
      <c r="A1749" s="169">
        <v>44588</v>
      </c>
      <c r="B1749" s="116">
        <v>117.8</v>
      </c>
      <c r="C1749" s="116">
        <v>117.8</v>
      </c>
      <c r="D1749" s="116">
        <v>109</v>
      </c>
      <c r="E1749" s="116">
        <v>116</v>
      </c>
      <c r="F1749" s="116">
        <v>117.8</v>
      </c>
      <c r="G1749">
        <v>97743</v>
      </c>
      <c r="H1749" s="116"/>
      <c r="I1749" s="116"/>
      <c r="L1749" s="169">
        <v>44579</v>
      </c>
      <c r="M1749" s="116">
        <v>616.35</v>
      </c>
      <c r="N1749" s="116">
        <v>638.75</v>
      </c>
      <c r="O1749" s="116">
        <v>611.29999999999995</v>
      </c>
      <c r="P1749" s="116">
        <v>632.95000000000005</v>
      </c>
      <c r="Q1749" s="116">
        <v>616.35</v>
      </c>
      <c r="R1749">
        <v>1506793</v>
      </c>
    </row>
    <row r="1750" spans="1:18" x14ac:dyDescent="0.25">
      <c r="A1750" s="169">
        <v>44589</v>
      </c>
      <c r="B1750" s="116">
        <v>123.65</v>
      </c>
      <c r="C1750" s="116">
        <v>123.65</v>
      </c>
      <c r="D1750" s="116">
        <v>120.2</v>
      </c>
      <c r="E1750" s="116">
        <v>120.2</v>
      </c>
      <c r="F1750" s="116">
        <v>123.65</v>
      </c>
      <c r="G1750">
        <v>91331</v>
      </c>
      <c r="H1750" s="116"/>
      <c r="I1750" s="116"/>
      <c r="L1750" s="169">
        <v>44580</v>
      </c>
      <c r="M1750" s="116">
        <v>612.35</v>
      </c>
      <c r="N1750" s="116">
        <v>617</v>
      </c>
      <c r="O1750" s="116">
        <v>596.4</v>
      </c>
      <c r="P1750" s="116">
        <v>617</v>
      </c>
      <c r="Q1750" s="116">
        <v>612.35</v>
      </c>
      <c r="R1750">
        <v>445496</v>
      </c>
    </row>
    <row r="1751" spans="1:18" x14ac:dyDescent="0.25">
      <c r="A1751" s="169">
        <v>44592</v>
      </c>
      <c r="B1751" s="116">
        <v>129.80000000000001</v>
      </c>
      <c r="C1751" s="116">
        <v>129.80000000000001</v>
      </c>
      <c r="D1751" s="116">
        <v>129.80000000000001</v>
      </c>
      <c r="E1751" s="116">
        <v>129.80000000000001</v>
      </c>
      <c r="F1751" s="116">
        <v>129.80000000000001</v>
      </c>
      <c r="G1751">
        <v>117172</v>
      </c>
      <c r="H1751" s="116"/>
      <c r="I1751" s="116"/>
      <c r="L1751" s="169">
        <v>44581</v>
      </c>
      <c r="M1751" s="116">
        <v>616.4</v>
      </c>
      <c r="N1751" s="116">
        <v>632</v>
      </c>
      <c r="O1751" s="116">
        <v>607.45000000000005</v>
      </c>
      <c r="P1751" s="116">
        <v>609.9</v>
      </c>
      <c r="Q1751" s="116">
        <v>616.4</v>
      </c>
      <c r="R1751">
        <v>713771</v>
      </c>
    </row>
    <row r="1752" spans="1:18" x14ac:dyDescent="0.25">
      <c r="A1752" s="169">
        <v>44593</v>
      </c>
      <c r="B1752" s="116">
        <v>135.5</v>
      </c>
      <c r="C1752" s="116">
        <v>134.9</v>
      </c>
      <c r="D1752" s="116">
        <v>124</v>
      </c>
      <c r="E1752" s="116">
        <v>135.5</v>
      </c>
      <c r="F1752" s="116">
        <v>134.9</v>
      </c>
      <c r="G1752">
        <v>319298</v>
      </c>
      <c r="H1752" s="116"/>
      <c r="I1752" s="116"/>
      <c r="L1752" s="169">
        <v>44582</v>
      </c>
      <c r="M1752" s="116">
        <v>594.70000000000005</v>
      </c>
      <c r="N1752" s="116">
        <v>616.4</v>
      </c>
      <c r="O1752" s="116">
        <v>589.29999999999995</v>
      </c>
      <c r="P1752" s="116">
        <v>611</v>
      </c>
      <c r="Q1752" s="116">
        <v>594.70000000000005</v>
      </c>
      <c r="R1752">
        <v>827479</v>
      </c>
    </row>
    <row r="1753" spans="1:18" x14ac:dyDescent="0.25">
      <c r="A1753" s="169">
        <v>44594</v>
      </c>
      <c r="B1753" s="116">
        <v>141.6</v>
      </c>
      <c r="C1753" s="116">
        <v>141.6</v>
      </c>
      <c r="D1753" s="116">
        <v>135.1</v>
      </c>
      <c r="E1753" s="116">
        <v>137</v>
      </c>
      <c r="F1753" s="116">
        <v>141.6</v>
      </c>
      <c r="G1753">
        <v>273356</v>
      </c>
      <c r="H1753" s="116"/>
      <c r="I1753" s="116"/>
      <c r="L1753" s="169">
        <v>44585</v>
      </c>
      <c r="M1753" s="116">
        <v>573.4</v>
      </c>
      <c r="N1753" s="116">
        <v>598.20000000000005</v>
      </c>
      <c r="O1753" s="116">
        <v>567.75</v>
      </c>
      <c r="P1753" s="116">
        <v>598.20000000000005</v>
      </c>
      <c r="Q1753" s="116">
        <v>573.4</v>
      </c>
      <c r="R1753">
        <v>1093320</v>
      </c>
    </row>
    <row r="1754" spans="1:18" x14ac:dyDescent="0.25">
      <c r="A1754" s="169">
        <v>44595</v>
      </c>
      <c r="B1754" s="116">
        <v>148.65</v>
      </c>
      <c r="C1754" s="116">
        <v>144.4</v>
      </c>
      <c r="D1754" s="116">
        <v>140.15</v>
      </c>
      <c r="E1754" s="116">
        <v>148.65</v>
      </c>
      <c r="F1754" s="116">
        <v>144.4</v>
      </c>
      <c r="G1754">
        <v>292962</v>
      </c>
      <c r="H1754" s="116"/>
      <c r="I1754" s="116"/>
      <c r="L1754" s="169">
        <v>44586</v>
      </c>
      <c r="M1754" s="116">
        <v>601.15</v>
      </c>
      <c r="N1754" s="116">
        <v>606.95000000000005</v>
      </c>
      <c r="O1754" s="116">
        <v>555.95000000000005</v>
      </c>
      <c r="P1754" s="116">
        <v>557</v>
      </c>
      <c r="Q1754" s="116">
        <v>601.15</v>
      </c>
      <c r="R1754">
        <v>874035</v>
      </c>
    </row>
    <row r="1755" spans="1:18" x14ac:dyDescent="0.25">
      <c r="A1755" s="169">
        <v>44596</v>
      </c>
      <c r="B1755" s="116">
        <v>148</v>
      </c>
      <c r="C1755" s="116">
        <v>138</v>
      </c>
      <c r="D1755" s="116">
        <v>137.19999999999999</v>
      </c>
      <c r="E1755" s="116">
        <v>147.30000000000001</v>
      </c>
      <c r="F1755" s="116">
        <v>138</v>
      </c>
      <c r="G1755">
        <v>245599</v>
      </c>
      <c r="H1755" s="116"/>
      <c r="I1755" s="116"/>
      <c r="L1755" s="169">
        <v>44588</v>
      </c>
      <c r="M1755" s="116">
        <v>576.25</v>
      </c>
      <c r="N1755" s="116">
        <v>614.9</v>
      </c>
      <c r="O1755" s="116">
        <v>570</v>
      </c>
      <c r="P1755" s="116">
        <v>571</v>
      </c>
      <c r="Q1755" s="116">
        <v>576.25</v>
      </c>
      <c r="R1755">
        <v>2242844</v>
      </c>
    </row>
    <row r="1756" spans="1:18" x14ac:dyDescent="0.25">
      <c r="A1756" s="169">
        <v>44599</v>
      </c>
      <c r="B1756" s="116">
        <v>142.85</v>
      </c>
      <c r="C1756" s="116">
        <v>134.25</v>
      </c>
      <c r="D1756" s="116">
        <v>132</v>
      </c>
      <c r="E1756" s="116">
        <v>137.19999999999999</v>
      </c>
      <c r="F1756" s="116">
        <v>134.25</v>
      </c>
      <c r="G1756">
        <v>108277</v>
      </c>
      <c r="H1756" s="116"/>
      <c r="I1756" s="116"/>
      <c r="L1756" s="169">
        <v>44589</v>
      </c>
      <c r="M1756" s="116">
        <v>616</v>
      </c>
      <c r="N1756" s="116">
        <v>642</v>
      </c>
      <c r="O1756" s="116">
        <v>580</v>
      </c>
      <c r="P1756" s="116">
        <v>581</v>
      </c>
      <c r="Q1756" s="116">
        <v>616</v>
      </c>
      <c r="R1756">
        <v>3364415</v>
      </c>
    </row>
    <row r="1757" spans="1:18" x14ac:dyDescent="0.25">
      <c r="A1757" s="169">
        <v>44600</v>
      </c>
      <c r="B1757" s="116">
        <v>139.4</v>
      </c>
      <c r="C1757" s="116">
        <v>133.19999999999999</v>
      </c>
      <c r="D1757" s="116">
        <v>130</v>
      </c>
      <c r="E1757" s="116">
        <v>136.9</v>
      </c>
      <c r="F1757" s="116">
        <v>133.19999999999999</v>
      </c>
      <c r="G1757">
        <v>177502</v>
      </c>
      <c r="H1757" s="116"/>
      <c r="I1757" s="116"/>
      <c r="L1757" s="169">
        <v>44592</v>
      </c>
      <c r="M1757" s="116">
        <v>616.15</v>
      </c>
      <c r="N1757" s="116">
        <v>626</v>
      </c>
      <c r="O1757" s="116">
        <v>606.5</v>
      </c>
      <c r="P1757" s="116">
        <v>622.4</v>
      </c>
      <c r="Q1757" s="116">
        <v>616.15</v>
      </c>
      <c r="R1757">
        <v>767444</v>
      </c>
    </row>
    <row r="1758" spans="1:18" x14ac:dyDescent="0.25">
      <c r="A1758" s="169">
        <v>44601</v>
      </c>
      <c r="B1758" s="116">
        <v>137</v>
      </c>
      <c r="C1758" s="116">
        <v>127.85</v>
      </c>
      <c r="D1758" s="116">
        <v>126.55</v>
      </c>
      <c r="E1758" s="116">
        <v>136.75</v>
      </c>
      <c r="F1758" s="116">
        <v>127.85</v>
      </c>
      <c r="G1758">
        <v>199386</v>
      </c>
      <c r="H1758" s="116"/>
      <c r="I1758" s="116"/>
      <c r="L1758" s="169">
        <v>44593</v>
      </c>
      <c r="M1758" s="116">
        <v>624.20000000000005</v>
      </c>
      <c r="N1758" s="116">
        <v>637.95000000000005</v>
      </c>
      <c r="O1758" s="116">
        <v>613.4</v>
      </c>
      <c r="P1758" s="116">
        <v>625</v>
      </c>
      <c r="Q1758" s="116">
        <v>624.20000000000005</v>
      </c>
      <c r="R1758">
        <v>1365607</v>
      </c>
    </row>
    <row r="1759" spans="1:18" x14ac:dyDescent="0.25">
      <c r="A1759" s="169">
        <v>44602</v>
      </c>
      <c r="B1759" s="116">
        <v>133.5</v>
      </c>
      <c r="C1759" s="116">
        <v>131.65</v>
      </c>
      <c r="D1759" s="116">
        <v>123.05</v>
      </c>
      <c r="E1759" s="116">
        <v>130</v>
      </c>
      <c r="F1759" s="116">
        <v>131.65</v>
      </c>
      <c r="G1759">
        <v>115059</v>
      </c>
      <c r="H1759" s="116"/>
      <c r="I1759" s="116"/>
      <c r="L1759" s="169">
        <v>44594</v>
      </c>
      <c r="M1759" s="116">
        <v>667.55</v>
      </c>
      <c r="N1759" s="116">
        <v>669.95</v>
      </c>
      <c r="O1759" s="116">
        <v>628.75</v>
      </c>
      <c r="P1759" s="116">
        <v>631.04999999999995</v>
      </c>
      <c r="Q1759" s="116">
        <v>667.55</v>
      </c>
      <c r="R1759">
        <v>3287808</v>
      </c>
    </row>
    <row r="1760" spans="1:18" x14ac:dyDescent="0.25">
      <c r="A1760" s="169">
        <v>44603</v>
      </c>
      <c r="B1760" s="116">
        <v>133</v>
      </c>
      <c r="C1760" s="116">
        <v>126.05</v>
      </c>
      <c r="D1760" s="116">
        <v>125.25</v>
      </c>
      <c r="E1760" s="116">
        <v>133</v>
      </c>
      <c r="F1760" s="116">
        <v>126.05</v>
      </c>
      <c r="G1760">
        <v>243549</v>
      </c>
      <c r="H1760" s="116"/>
      <c r="I1760" s="116"/>
      <c r="L1760" s="169">
        <v>44595</v>
      </c>
      <c r="M1760" s="116">
        <v>658.3</v>
      </c>
      <c r="N1760" s="116">
        <v>668</v>
      </c>
      <c r="O1760" s="116">
        <v>654</v>
      </c>
      <c r="P1760" s="116">
        <v>667.55</v>
      </c>
      <c r="Q1760" s="116">
        <v>658.3</v>
      </c>
      <c r="R1760">
        <v>786241</v>
      </c>
    </row>
    <row r="1761" spans="1:18" x14ac:dyDescent="0.25">
      <c r="A1761" s="169">
        <v>44606</v>
      </c>
      <c r="B1761" s="116">
        <v>126.8</v>
      </c>
      <c r="C1761" s="116">
        <v>120.4</v>
      </c>
      <c r="D1761" s="116">
        <v>119.75</v>
      </c>
      <c r="E1761" s="116">
        <v>121.1</v>
      </c>
      <c r="F1761" s="116">
        <v>120.4</v>
      </c>
      <c r="G1761">
        <v>217166</v>
      </c>
      <c r="H1761" s="116"/>
      <c r="I1761" s="116"/>
      <c r="L1761" s="169">
        <v>44596</v>
      </c>
      <c r="M1761" s="116">
        <v>642.04999999999995</v>
      </c>
      <c r="N1761" s="116">
        <v>661.45</v>
      </c>
      <c r="O1761" s="116">
        <v>640</v>
      </c>
      <c r="P1761" s="116">
        <v>658.9</v>
      </c>
      <c r="Q1761" s="116">
        <v>642.04999999999995</v>
      </c>
      <c r="R1761">
        <v>612782</v>
      </c>
    </row>
    <row r="1762" spans="1:18" x14ac:dyDescent="0.25">
      <c r="A1762" s="169">
        <v>44607</v>
      </c>
      <c r="B1762" s="116">
        <v>126.4</v>
      </c>
      <c r="C1762" s="116">
        <v>126.4</v>
      </c>
      <c r="D1762" s="116">
        <v>120.05</v>
      </c>
      <c r="E1762" s="116">
        <v>120.05</v>
      </c>
      <c r="F1762" s="116">
        <v>126.4</v>
      </c>
      <c r="G1762">
        <v>134076</v>
      </c>
      <c r="H1762" s="116"/>
      <c r="I1762" s="116"/>
      <c r="L1762" s="169">
        <v>44599</v>
      </c>
      <c r="M1762" s="116">
        <v>632.5</v>
      </c>
      <c r="N1762" s="116">
        <v>643.9</v>
      </c>
      <c r="O1762" s="116">
        <v>627.35</v>
      </c>
      <c r="P1762" s="116">
        <v>642</v>
      </c>
      <c r="Q1762" s="116">
        <v>632.5</v>
      </c>
      <c r="R1762">
        <v>403952</v>
      </c>
    </row>
    <row r="1763" spans="1:18" x14ac:dyDescent="0.25">
      <c r="A1763" s="169">
        <v>44608</v>
      </c>
      <c r="B1763" s="116">
        <v>132.69999999999999</v>
      </c>
      <c r="C1763" s="116">
        <v>132.69999999999999</v>
      </c>
      <c r="D1763" s="116">
        <v>128.94999999999999</v>
      </c>
      <c r="E1763" s="116">
        <v>132.69999999999999</v>
      </c>
      <c r="F1763" s="116">
        <v>132.69999999999999</v>
      </c>
      <c r="G1763">
        <v>116904</v>
      </c>
      <c r="H1763" s="116"/>
      <c r="I1763" s="116"/>
      <c r="L1763" s="169">
        <v>44600</v>
      </c>
      <c r="M1763" s="116">
        <v>629.15</v>
      </c>
      <c r="N1763" s="116">
        <v>637.5</v>
      </c>
      <c r="O1763" s="116">
        <v>614</v>
      </c>
      <c r="P1763" s="116">
        <v>632</v>
      </c>
      <c r="Q1763" s="116">
        <v>629.15</v>
      </c>
      <c r="R1763">
        <v>426956</v>
      </c>
    </row>
    <row r="1764" spans="1:18" x14ac:dyDescent="0.25">
      <c r="A1764" s="169">
        <v>44609</v>
      </c>
      <c r="B1764" s="116">
        <v>139.30000000000001</v>
      </c>
      <c r="C1764" s="116">
        <v>134.30000000000001</v>
      </c>
      <c r="D1764" s="116">
        <v>129</v>
      </c>
      <c r="E1764" s="116">
        <v>139.30000000000001</v>
      </c>
      <c r="F1764" s="116">
        <v>134.30000000000001</v>
      </c>
      <c r="G1764">
        <v>514464</v>
      </c>
      <c r="H1764" s="116"/>
      <c r="I1764" s="116"/>
      <c r="L1764" s="169">
        <v>44601</v>
      </c>
      <c r="M1764" s="116">
        <v>628.85</v>
      </c>
      <c r="N1764" s="116">
        <v>636.15</v>
      </c>
      <c r="O1764" s="116">
        <v>623.95000000000005</v>
      </c>
      <c r="P1764" s="116">
        <v>632.20000000000005</v>
      </c>
      <c r="Q1764" s="116">
        <v>628.85</v>
      </c>
      <c r="R1764">
        <v>410572</v>
      </c>
    </row>
    <row r="1765" spans="1:18" x14ac:dyDescent="0.25">
      <c r="A1765" s="169">
        <v>44610</v>
      </c>
      <c r="B1765" s="116">
        <v>136.5</v>
      </c>
      <c r="C1765" s="116">
        <v>129.9</v>
      </c>
      <c r="D1765" s="116">
        <v>128.1</v>
      </c>
      <c r="E1765" s="116">
        <v>136.5</v>
      </c>
      <c r="F1765" s="116">
        <v>129.9</v>
      </c>
      <c r="G1765">
        <v>216048</v>
      </c>
      <c r="H1765" s="116"/>
      <c r="I1765" s="116"/>
      <c r="L1765" s="169">
        <v>44602</v>
      </c>
      <c r="M1765" s="116">
        <v>640.54999999999995</v>
      </c>
      <c r="N1765" s="116">
        <v>653.4</v>
      </c>
      <c r="O1765" s="116">
        <v>627.29999999999995</v>
      </c>
      <c r="P1765" s="116">
        <v>631</v>
      </c>
      <c r="Q1765" s="116">
        <v>640.54999999999995</v>
      </c>
      <c r="R1765">
        <v>542867</v>
      </c>
    </row>
    <row r="1766" spans="1:18" x14ac:dyDescent="0.25">
      <c r="A1766" s="169">
        <v>44613</v>
      </c>
      <c r="B1766" s="116">
        <v>131.9</v>
      </c>
      <c r="C1766" s="116">
        <v>123.7</v>
      </c>
      <c r="D1766" s="116">
        <v>123.45</v>
      </c>
      <c r="E1766" s="116">
        <v>131.9</v>
      </c>
      <c r="F1766" s="116">
        <v>123.7</v>
      </c>
      <c r="G1766">
        <v>439501</v>
      </c>
      <c r="H1766" s="116"/>
      <c r="I1766" s="116"/>
      <c r="L1766" s="169">
        <v>44603</v>
      </c>
      <c r="M1766" s="116">
        <v>621.54999999999995</v>
      </c>
      <c r="N1766" s="116">
        <v>636.85</v>
      </c>
      <c r="O1766" s="116">
        <v>617.20000000000005</v>
      </c>
      <c r="P1766" s="116">
        <v>631</v>
      </c>
      <c r="Q1766" s="116">
        <v>621.54999999999995</v>
      </c>
      <c r="R1766">
        <v>450527</v>
      </c>
    </row>
    <row r="1767" spans="1:18" x14ac:dyDescent="0.25">
      <c r="A1767" s="169">
        <v>44614</v>
      </c>
      <c r="B1767" s="116">
        <v>119.95</v>
      </c>
      <c r="C1767" s="116">
        <v>117.55</v>
      </c>
      <c r="D1767" s="116">
        <v>117.55</v>
      </c>
      <c r="E1767" s="116">
        <v>117.55</v>
      </c>
      <c r="F1767" s="116">
        <v>117.55</v>
      </c>
      <c r="G1767">
        <v>116806</v>
      </c>
      <c r="H1767" s="116"/>
      <c r="I1767" s="116"/>
      <c r="L1767" s="169">
        <v>44606</v>
      </c>
      <c r="M1767" s="116">
        <v>593.25</v>
      </c>
      <c r="N1767" s="116">
        <v>619</v>
      </c>
      <c r="O1767" s="116">
        <v>588.85</v>
      </c>
      <c r="P1767" s="116">
        <v>608</v>
      </c>
      <c r="Q1767" s="116">
        <v>593.25</v>
      </c>
      <c r="R1767">
        <v>653140</v>
      </c>
    </row>
    <row r="1768" spans="1:18" x14ac:dyDescent="0.25">
      <c r="A1768" s="169">
        <v>44615</v>
      </c>
      <c r="B1768" s="116">
        <v>123.4</v>
      </c>
      <c r="C1768" s="116">
        <v>122.05</v>
      </c>
      <c r="D1768" s="116">
        <v>117</v>
      </c>
      <c r="E1768" s="116">
        <v>117.55</v>
      </c>
      <c r="F1768" s="116">
        <v>122.05</v>
      </c>
      <c r="G1768">
        <v>125909</v>
      </c>
      <c r="H1768" s="116"/>
      <c r="I1768" s="116"/>
      <c r="L1768" s="169">
        <v>44607</v>
      </c>
      <c r="M1768" s="116">
        <v>624.20000000000005</v>
      </c>
      <c r="N1768" s="116">
        <v>627.9</v>
      </c>
      <c r="O1768" s="116">
        <v>580</v>
      </c>
      <c r="P1768" s="116">
        <v>594</v>
      </c>
      <c r="Q1768" s="116">
        <v>624.20000000000005</v>
      </c>
      <c r="R1768">
        <v>1115065</v>
      </c>
    </row>
    <row r="1769" spans="1:18" x14ac:dyDescent="0.25">
      <c r="A1769" s="169">
        <v>44616</v>
      </c>
      <c r="B1769" s="116">
        <v>118.75</v>
      </c>
      <c r="C1769" s="116">
        <v>115.95</v>
      </c>
      <c r="D1769" s="116">
        <v>115.95</v>
      </c>
      <c r="E1769" s="116">
        <v>115.95</v>
      </c>
      <c r="F1769" s="116">
        <v>115.95</v>
      </c>
      <c r="G1769">
        <v>243077</v>
      </c>
      <c r="H1769" s="116"/>
      <c r="I1769" s="116"/>
      <c r="L1769" s="169">
        <v>44608</v>
      </c>
      <c r="M1769" s="116">
        <v>616.65</v>
      </c>
      <c r="N1769" s="116">
        <v>641.79999999999995</v>
      </c>
      <c r="O1769" s="116">
        <v>612.75</v>
      </c>
      <c r="P1769" s="116">
        <v>630.5</v>
      </c>
      <c r="Q1769" s="116">
        <v>616.65</v>
      </c>
      <c r="R1769">
        <v>1211460</v>
      </c>
    </row>
    <row r="1770" spans="1:18" x14ac:dyDescent="0.25">
      <c r="A1770" s="169">
        <v>44617</v>
      </c>
      <c r="B1770" s="116">
        <v>121.7</v>
      </c>
      <c r="C1770" s="116">
        <v>121.7</v>
      </c>
      <c r="D1770" s="116">
        <v>118</v>
      </c>
      <c r="E1770" s="116">
        <v>118</v>
      </c>
      <c r="F1770" s="116">
        <v>121.7</v>
      </c>
      <c r="G1770">
        <v>95301</v>
      </c>
      <c r="H1770" s="116"/>
      <c r="I1770" s="116"/>
      <c r="L1770" s="169">
        <v>44609</v>
      </c>
      <c r="M1770" s="116">
        <v>606.15</v>
      </c>
      <c r="N1770" s="116">
        <v>624.85</v>
      </c>
      <c r="O1770" s="116">
        <v>603.9</v>
      </c>
      <c r="P1770" s="116">
        <v>620</v>
      </c>
      <c r="Q1770" s="116">
        <v>606.15</v>
      </c>
      <c r="R1770">
        <v>420282</v>
      </c>
    </row>
    <row r="1771" spans="1:18" x14ac:dyDescent="0.25">
      <c r="A1771" s="169">
        <v>44620</v>
      </c>
      <c r="B1771" s="116">
        <v>122.65</v>
      </c>
      <c r="C1771" s="116">
        <v>115.8</v>
      </c>
      <c r="D1771" s="116">
        <v>115.65</v>
      </c>
      <c r="E1771" s="116">
        <v>121.75</v>
      </c>
      <c r="F1771" s="116">
        <v>115.8</v>
      </c>
      <c r="G1771">
        <v>1011022</v>
      </c>
      <c r="H1771" s="116"/>
      <c r="I1771" s="116"/>
      <c r="L1771" s="169">
        <v>44610</v>
      </c>
      <c r="M1771" s="116">
        <v>599.5</v>
      </c>
      <c r="N1771" s="116">
        <v>613.85</v>
      </c>
      <c r="O1771" s="116">
        <v>595.65</v>
      </c>
      <c r="P1771" s="116">
        <v>605</v>
      </c>
      <c r="Q1771" s="116">
        <v>599.5</v>
      </c>
      <c r="R1771">
        <v>301083</v>
      </c>
    </row>
    <row r="1772" spans="1:18" x14ac:dyDescent="0.25">
      <c r="A1772" s="169">
        <v>44622</v>
      </c>
      <c r="B1772" s="116">
        <v>117.6</v>
      </c>
      <c r="C1772" s="116">
        <v>111</v>
      </c>
      <c r="D1772" s="116">
        <v>110.7</v>
      </c>
      <c r="E1772" s="116">
        <v>117.6</v>
      </c>
      <c r="F1772" s="116">
        <v>111</v>
      </c>
      <c r="G1772">
        <v>326491</v>
      </c>
      <c r="H1772" s="116"/>
      <c r="I1772" s="116"/>
      <c r="L1772" s="169">
        <v>44613</v>
      </c>
      <c r="M1772" s="116">
        <v>592.5</v>
      </c>
      <c r="N1772" s="116">
        <v>606.85</v>
      </c>
      <c r="O1772" s="116">
        <v>585.85</v>
      </c>
      <c r="P1772" s="116">
        <v>595.54999999999995</v>
      </c>
      <c r="Q1772" s="116">
        <v>592.5</v>
      </c>
      <c r="R1772">
        <v>464557</v>
      </c>
    </row>
    <row r="1773" spans="1:18" x14ac:dyDescent="0.25">
      <c r="A1773" s="169">
        <v>44623</v>
      </c>
      <c r="B1773" s="116">
        <v>116.55</v>
      </c>
      <c r="C1773" s="116">
        <v>116.55</v>
      </c>
      <c r="D1773" s="116">
        <v>111.3</v>
      </c>
      <c r="E1773" s="116">
        <v>111.3</v>
      </c>
      <c r="F1773" s="116">
        <v>116.55</v>
      </c>
      <c r="G1773">
        <v>100770</v>
      </c>
      <c r="H1773" s="116"/>
      <c r="I1773" s="116"/>
      <c r="L1773" s="169">
        <v>44614</v>
      </c>
      <c r="M1773" s="116">
        <v>586.45000000000005</v>
      </c>
      <c r="N1773" s="116">
        <v>588.9</v>
      </c>
      <c r="O1773" s="116">
        <v>572.20000000000005</v>
      </c>
      <c r="P1773" s="116">
        <v>578.95000000000005</v>
      </c>
      <c r="Q1773" s="116">
        <v>586.45000000000005</v>
      </c>
      <c r="R1773">
        <v>620643</v>
      </c>
    </row>
    <row r="1774" spans="1:18" x14ac:dyDescent="0.25">
      <c r="A1774" s="169">
        <v>44624</v>
      </c>
      <c r="B1774" s="116">
        <v>122.35</v>
      </c>
      <c r="C1774" s="116">
        <v>116.35</v>
      </c>
      <c r="D1774" s="116">
        <v>112.55</v>
      </c>
      <c r="E1774" s="116">
        <v>122.35</v>
      </c>
      <c r="F1774" s="116">
        <v>116.35</v>
      </c>
      <c r="G1774">
        <v>6928672</v>
      </c>
      <c r="H1774" s="116"/>
      <c r="I1774" s="116"/>
      <c r="L1774" s="169">
        <v>44615</v>
      </c>
      <c r="M1774" s="116">
        <v>589.79999999999995</v>
      </c>
      <c r="N1774" s="116">
        <v>605</v>
      </c>
      <c r="O1774" s="116">
        <v>584.20000000000005</v>
      </c>
      <c r="P1774" s="116">
        <v>591.79999999999995</v>
      </c>
      <c r="Q1774" s="116">
        <v>589.79999999999995</v>
      </c>
      <c r="R1774">
        <v>607240</v>
      </c>
    </row>
    <row r="1775" spans="1:18" x14ac:dyDescent="0.25">
      <c r="A1775" s="169">
        <v>44627</v>
      </c>
      <c r="B1775" s="116">
        <v>122.15</v>
      </c>
      <c r="C1775" s="116">
        <v>122.15</v>
      </c>
      <c r="D1775" s="116">
        <v>112.15</v>
      </c>
      <c r="E1775" s="116">
        <v>112.15</v>
      </c>
      <c r="F1775" s="116">
        <v>122.15</v>
      </c>
      <c r="G1775">
        <v>176401</v>
      </c>
      <c r="H1775" s="116"/>
      <c r="I1775" s="116"/>
      <c r="L1775" s="169">
        <v>44616</v>
      </c>
      <c r="M1775" s="116">
        <v>547.29999999999995</v>
      </c>
      <c r="N1775" s="116">
        <v>582.5</v>
      </c>
      <c r="O1775" s="116">
        <v>542.1</v>
      </c>
      <c r="P1775" s="116">
        <v>569.79999999999995</v>
      </c>
      <c r="Q1775" s="116">
        <v>547.29999999999995</v>
      </c>
      <c r="R1775">
        <v>1299065</v>
      </c>
    </row>
    <row r="1776" spans="1:18" x14ac:dyDescent="0.25">
      <c r="A1776" s="169">
        <v>44628</v>
      </c>
      <c r="B1776" s="116">
        <v>128.25</v>
      </c>
      <c r="C1776" s="116">
        <v>128.25</v>
      </c>
      <c r="D1776" s="116">
        <v>128.25</v>
      </c>
      <c r="E1776" s="116">
        <v>128.25</v>
      </c>
      <c r="F1776" s="116">
        <v>128.25</v>
      </c>
      <c r="G1776">
        <v>202756</v>
      </c>
      <c r="H1776" s="116"/>
      <c r="I1776" s="116"/>
      <c r="L1776" s="169">
        <v>44617</v>
      </c>
      <c r="M1776" s="116">
        <v>573.04999999999995</v>
      </c>
      <c r="N1776" s="116">
        <v>578.54999999999995</v>
      </c>
      <c r="O1776" s="116">
        <v>557.20000000000005</v>
      </c>
      <c r="P1776" s="116">
        <v>559</v>
      </c>
      <c r="Q1776" s="116">
        <v>573.04999999999995</v>
      </c>
      <c r="R1776">
        <v>723982</v>
      </c>
    </row>
    <row r="1777" spans="1:18" x14ac:dyDescent="0.25">
      <c r="A1777" s="169">
        <v>44629</v>
      </c>
      <c r="B1777" s="116">
        <v>134.65</v>
      </c>
      <c r="C1777" s="116">
        <v>134.65</v>
      </c>
      <c r="D1777" s="116">
        <v>134.65</v>
      </c>
      <c r="E1777" s="116">
        <v>134.65</v>
      </c>
      <c r="F1777" s="116">
        <v>134.65</v>
      </c>
      <c r="G1777">
        <v>6807858</v>
      </c>
      <c r="H1777" s="116"/>
      <c r="I1777" s="116"/>
      <c r="L1777" s="169">
        <v>44620</v>
      </c>
      <c r="M1777" s="116">
        <v>580.5</v>
      </c>
      <c r="N1777" s="116">
        <v>583.35</v>
      </c>
      <c r="O1777" s="116">
        <v>560.45000000000005</v>
      </c>
      <c r="P1777" s="116">
        <v>570.5</v>
      </c>
      <c r="Q1777" s="116">
        <v>580.5</v>
      </c>
      <c r="R1777">
        <v>540106</v>
      </c>
    </row>
    <row r="1778" spans="1:18" x14ac:dyDescent="0.25">
      <c r="A1778" s="169">
        <v>44630</v>
      </c>
      <c r="B1778" s="116">
        <v>141.35</v>
      </c>
      <c r="C1778" s="116">
        <v>136.94999999999999</v>
      </c>
      <c r="D1778" s="116">
        <v>130.69999999999999</v>
      </c>
      <c r="E1778" s="116">
        <v>141.35</v>
      </c>
      <c r="F1778" s="116">
        <v>136.94999999999999</v>
      </c>
      <c r="G1778">
        <v>358674</v>
      </c>
      <c r="H1778" s="116"/>
      <c r="I1778" s="116"/>
      <c r="L1778" s="169">
        <v>44622</v>
      </c>
      <c r="M1778" s="116">
        <v>572.79999999999995</v>
      </c>
      <c r="N1778" s="116">
        <v>582.29999999999995</v>
      </c>
      <c r="O1778" s="116">
        <v>561.6</v>
      </c>
      <c r="P1778" s="116">
        <v>569.70000000000005</v>
      </c>
      <c r="Q1778" s="116">
        <v>572.79999999999995</v>
      </c>
      <c r="R1778">
        <v>301513</v>
      </c>
    </row>
    <row r="1779" spans="1:18" x14ac:dyDescent="0.25">
      <c r="A1779" s="169">
        <v>44631</v>
      </c>
      <c r="B1779" s="116">
        <v>140</v>
      </c>
      <c r="C1779" s="116">
        <v>135.05000000000001</v>
      </c>
      <c r="D1779" s="116">
        <v>133.9</v>
      </c>
      <c r="E1779" s="116">
        <v>140</v>
      </c>
      <c r="F1779" s="116">
        <v>135.05000000000001</v>
      </c>
      <c r="G1779">
        <v>144200</v>
      </c>
      <c r="H1779" s="116"/>
      <c r="I1779" s="116"/>
      <c r="L1779" s="169">
        <v>44623</v>
      </c>
      <c r="M1779" s="116">
        <v>561.54999999999995</v>
      </c>
      <c r="N1779" s="116">
        <v>580.70000000000005</v>
      </c>
      <c r="O1779" s="116">
        <v>555</v>
      </c>
      <c r="P1779" s="116">
        <v>580</v>
      </c>
      <c r="Q1779" s="116">
        <v>561.54999999999995</v>
      </c>
      <c r="R1779">
        <v>325436</v>
      </c>
    </row>
    <row r="1780" spans="1:18" x14ac:dyDescent="0.25">
      <c r="A1780" s="169">
        <v>44634</v>
      </c>
      <c r="B1780" s="116">
        <v>141.80000000000001</v>
      </c>
      <c r="C1780" s="116">
        <v>134.4</v>
      </c>
      <c r="D1780" s="116">
        <v>132.6</v>
      </c>
      <c r="E1780" s="116">
        <v>132.6</v>
      </c>
      <c r="F1780" s="116">
        <v>134.4</v>
      </c>
      <c r="G1780">
        <v>266292</v>
      </c>
      <c r="H1780" s="116"/>
      <c r="I1780" s="116"/>
      <c r="L1780" s="169">
        <v>44624</v>
      </c>
      <c r="M1780" s="116">
        <v>561.4</v>
      </c>
      <c r="N1780" s="116">
        <v>573.9</v>
      </c>
      <c r="O1780" s="116">
        <v>544.5</v>
      </c>
      <c r="P1780" s="116">
        <v>552.29999999999995</v>
      </c>
      <c r="Q1780" s="116">
        <v>561.4</v>
      </c>
      <c r="R1780">
        <v>1057331</v>
      </c>
    </row>
    <row r="1781" spans="1:18" x14ac:dyDescent="0.25">
      <c r="A1781" s="169">
        <v>44635</v>
      </c>
      <c r="B1781" s="116">
        <v>137</v>
      </c>
      <c r="C1781" s="116">
        <v>133.25</v>
      </c>
      <c r="D1781" s="116">
        <v>130.65</v>
      </c>
      <c r="E1781" s="116">
        <v>137</v>
      </c>
      <c r="F1781" s="116">
        <v>133.25</v>
      </c>
      <c r="G1781">
        <v>133730</v>
      </c>
      <c r="H1781" s="116"/>
      <c r="I1781" s="116"/>
      <c r="L1781" s="169">
        <v>44627</v>
      </c>
      <c r="M1781" s="116">
        <v>542.4</v>
      </c>
      <c r="N1781" s="116">
        <v>557.1</v>
      </c>
      <c r="O1781" s="116">
        <v>520.20000000000005</v>
      </c>
      <c r="P1781" s="116">
        <v>557.1</v>
      </c>
      <c r="Q1781" s="116">
        <v>542.4</v>
      </c>
      <c r="R1781">
        <v>819961</v>
      </c>
    </row>
    <row r="1782" spans="1:18" x14ac:dyDescent="0.25">
      <c r="A1782" s="169">
        <v>44636</v>
      </c>
      <c r="B1782" s="116">
        <v>137.5</v>
      </c>
      <c r="C1782" s="116">
        <v>134.80000000000001</v>
      </c>
      <c r="D1782" s="116">
        <v>132.05000000000001</v>
      </c>
      <c r="E1782" s="116">
        <v>132.05000000000001</v>
      </c>
      <c r="F1782" s="116">
        <v>134.80000000000001</v>
      </c>
      <c r="G1782">
        <v>66384</v>
      </c>
      <c r="H1782" s="116"/>
      <c r="I1782" s="116"/>
      <c r="L1782" s="169">
        <v>44628</v>
      </c>
      <c r="M1782" s="116">
        <v>560.20000000000005</v>
      </c>
      <c r="N1782" s="116">
        <v>563.70000000000005</v>
      </c>
      <c r="O1782" s="116">
        <v>543</v>
      </c>
      <c r="P1782" s="116">
        <v>544</v>
      </c>
      <c r="Q1782" s="116">
        <v>560.20000000000005</v>
      </c>
      <c r="R1782">
        <v>447423</v>
      </c>
    </row>
    <row r="1783" spans="1:18" x14ac:dyDescent="0.25">
      <c r="A1783" s="169">
        <v>44637</v>
      </c>
      <c r="B1783" s="116">
        <v>138.94999999999999</v>
      </c>
      <c r="C1783" s="116">
        <v>135.9</v>
      </c>
      <c r="D1783" s="116">
        <v>132.5</v>
      </c>
      <c r="E1783" s="116">
        <v>138</v>
      </c>
      <c r="F1783" s="116">
        <v>135.9</v>
      </c>
      <c r="G1783">
        <v>76666</v>
      </c>
      <c r="H1783" s="116"/>
      <c r="I1783" s="116"/>
      <c r="L1783" s="169">
        <v>44629</v>
      </c>
      <c r="M1783" s="116">
        <v>573.35</v>
      </c>
      <c r="N1783" s="116">
        <v>584.65</v>
      </c>
      <c r="O1783" s="116">
        <v>560.5</v>
      </c>
      <c r="P1783" s="116">
        <v>570</v>
      </c>
      <c r="Q1783" s="116">
        <v>573.35</v>
      </c>
      <c r="R1783">
        <v>533606</v>
      </c>
    </row>
    <row r="1784" spans="1:18" x14ac:dyDescent="0.25">
      <c r="A1784" s="169">
        <v>44641</v>
      </c>
      <c r="B1784" s="116">
        <v>139</v>
      </c>
      <c r="C1784" s="116">
        <v>136.19999999999999</v>
      </c>
      <c r="D1784" s="116">
        <v>132.6</v>
      </c>
      <c r="E1784" s="116">
        <v>137.4</v>
      </c>
      <c r="F1784" s="116">
        <v>136.19999999999999</v>
      </c>
      <c r="G1784">
        <v>74288</v>
      </c>
      <c r="H1784" s="116"/>
      <c r="I1784" s="116"/>
      <c r="L1784" s="169">
        <v>44630</v>
      </c>
      <c r="M1784" s="116">
        <v>591.20000000000005</v>
      </c>
      <c r="N1784" s="116">
        <v>606.6</v>
      </c>
      <c r="O1784" s="116">
        <v>585.4</v>
      </c>
      <c r="P1784" s="116">
        <v>586.6</v>
      </c>
      <c r="Q1784" s="116">
        <v>591.20000000000005</v>
      </c>
      <c r="R1784">
        <v>1157062</v>
      </c>
    </row>
    <row r="1785" spans="1:18" x14ac:dyDescent="0.25">
      <c r="A1785" s="169">
        <v>44642</v>
      </c>
      <c r="B1785" s="116">
        <v>138.5</v>
      </c>
      <c r="C1785" s="116">
        <v>135.75</v>
      </c>
      <c r="D1785" s="116">
        <v>132.6</v>
      </c>
      <c r="E1785" s="116">
        <v>137.94999999999999</v>
      </c>
      <c r="F1785" s="116">
        <v>135.75</v>
      </c>
      <c r="G1785">
        <v>59350</v>
      </c>
      <c r="H1785" s="116"/>
      <c r="I1785" s="116"/>
      <c r="L1785" s="169">
        <v>44631</v>
      </c>
      <c r="M1785" s="116">
        <v>586.9</v>
      </c>
      <c r="N1785" s="116">
        <v>597.5</v>
      </c>
      <c r="O1785" s="116">
        <v>578</v>
      </c>
      <c r="P1785" s="116">
        <v>585.70000000000005</v>
      </c>
      <c r="Q1785" s="116">
        <v>586.9</v>
      </c>
      <c r="R1785">
        <v>495078</v>
      </c>
    </row>
    <row r="1786" spans="1:18" x14ac:dyDescent="0.25">
      <c r="A1786" s="169">
        <v>44643</v>
      </c>
      <c r="B1786" s="116">
        <v>138.44999999999999</v>
      </c>
      <c r="C1786" s="116">
        <v>135.65</v>
      </c>
      <c r="D1786" s="116">
        <v>133.05000000000001</v>
      </c>
      <c r="E1786" s="116">
        <v>138.44999999999999</v>
      </c>
      <c r="F1786" s="116">
        <v>135.65</v>
      </c>
      <c r="G1786">
        <v>65724</v>
      </c>
      <c r="H1786" s="116"/>
      <c r="I1786" s="116"/>
      <c r="L1786" s="169">
        <v>44634</v>
      </c>
      <c r="M1786" s="116">
        <v>591.6</v>
      </c>
      <c r="N1786" s="116">
        <v>596.5</v>
      </c>
      <c r="O1786" s="116">
        <v>579.29999999999995</v>
      </c>
      <c r="P1786" s="116">
        <v>585</v>
      </c>
      <c r="Q1786" s="116">
        <v>591.6</v>
      </c>
      <c r="R1786">
        <v>385590</v>
      </c>
    </row>
    <row r="1787" spans="1:18" x14ac:dyDescent="0.25">
      <c r="A1787" s="169">
        <v>44644</v>
      </c>
      <c r="B1787" s="116">
        <v>136</v>
      </c>
      <c r="C1787" s="116">
        <v>132.25</v>
      </c>
      <c r="D1787" s="116">
        <v>132.05000000000001</v>
      </c>
      <c r="E1787" s="116">
        <v>135.65</v>
      </c>
      <c r="F1787" s="116">
        <v>132.25</v>
      </c>
      <c r="G1787">
        <v>105371</v>
      </c>
      <c r="H1787" s="116"/>
      <c r="I1787" s="116"/>
      <c r="L1787" s="169">
        <v>44635</v>
      </c>
      <c r="M1787" s="116">
        <v>578.79999999999995</v>
      </c>
      <c r="N1787" s="116">
        <v>607.9</v>
      </c>
      <c r="O1787" s="116">
        <v>566</v>
      </c>
      <c r="P1787" s="116">
        <v>591.6</v>
      </c>
      <c r="Q1787" s="116">
        <v>578.79999999999995</v>
      </c>
      <c r="R1787">
        <v>916480</v>
      </c>
    </row>
    <row r="1788" spans="1:18" x14ac:dyDescent="0.25">
      <c r="A1788" s="169">
        <v>44645</v>
      </c>
      <c r="B1788" s="116">
        <v>134.9</v>
      </c>
      <c r="C1788" s="116">
        <v>128.30000000000001</v>
      </c>
      <c r="D1788" s="116">
        <v>127.4</v>
      </c>
      <c r="E1788" s="116">
        <v>132.65</v>
      </c>
      <c r="F1788" s="116">
        <v>128.30000000000001</v>
      </c>
      <c r="G1788">
        <v>179578</v>
      </c>
      <c r="H1788" s="116"/>
      <c r="I1788" s="116"/>
      <c r="L1788" s="169">
        <v>44636</v>
      </c>
      <c r="M1788" s="116">
        <v>600.35</v>
      </c>
      <c r="N1788" s="116">
        <v>602</v>
      </c>
      <c r="O1788" s="116">
        <v>579.1</v>
      </c>
      <c r="P1788" s="116">
        <v>590</v>
      </c>
      <c r="Q1788" s="116">
        <v>600.35</v>
      </c>
      <c r="R1788">
        <v>934412</v>
      </c>
    </row>
    <row r="1789" spans="1:18" x14ac:dyDescent="0.25">
      <c r="A1789" s="169">
        <v>44648</v>
      </c>
      <c r="B1789" s="116">
        <v>131.1</v>
      </c>
      <c r="C1789" s="116">
        <v>129.25</v>
      </c>
      <c r="D1789" s="116">
        <v>126.75</v>
      </c>
      <c r="E1789" s="116">
        <v>131.1</v>
      </c>
      <c r="F1789" s="116">
        <v>129.25</v>
      </c>
      <c r="G1789">
        <v>105180</v>
      </c>
      <c r="H1789" s="116"/>
      <c r="I1789" s="116"/>
      <c r="L1789" s="169">
        <v>44637</v>
      </c>
      <c r="M1789" s="116">
        <v>609.75</v>
      </c>
      <c r="N1789" s="116">
        <v>622</v>
      </c>
      <c r="O1789" s="116">
        <v>602.1</v>
      </c>
      <c r="P1789" s="116">
        <v>606.20000000000005</v>
      </c>
      <c r="Q1789" s="116">
        <v>609.75</v>
      </c>
      <c r="R1789">
        <v>788598</v>
      </c>
    </row>
    <row r="1790" spans="1:18" x14ac:dyDescent="0.25">
      <c r="A1790" s="169">
        <v>44649</v>
      </c>
      <c r="B1790" s="116">
        <v>134</v>
      </c>
      <c r="C1790" s="116">
        <v>131.55000000000001</v>
      </c>
      <c r="D1790" s="116">
        <v>126.8</v>
      </c>
      <c r="E1790" s="116">
        <v>129.94999999999999</v>
      </c>
      <c r="F1790" s="116">
        <v>131.55000000000001</v>
      </c>
      <c r="G1790">
        <v>69578</v>
      </c>
      <c r="H1790" s="116"/>
      <c r="I1790" s="116"/>
      <c r="L1790" s="169">
        <v>44641</v>
      </c>
      <c r="M1790" s="116">
        <v>600.20000000000005</v>
      </c>
      <c r="N1790" s="116">
        <v>613</v>
      </c>
      <c r="O1790" s="116">
        <v>593.5</v>
      </c>
      <c r="P1790" s="116">
        <v>611.95000000000005</v>
      </c>
      <c r="Q1790" s="116">
        <v>600.20000000000005</v>
      </c>
      <c r="R1790">
        <v>460459</v>
      </c>
    </row>
    <row r="1791" spans="1:18" x14ac:dyDescent="0.25">
      <c r="A1791" s="169">
        <v>44650</v>
      </c>
      <c r="B1791" s="116">
        <v>136.35</v>
      </c>
      <c r="C1791" s="116">
        <v>134.9</v>
      </c>
      <c r="D1791" s="116">
        <v>131.05000000000001</v>
      </c>
      <c r="E1791" s="116">
        <v>134.6</v>
      </c>
      <c r="F1791" s="116">
        <v>134.9</v>
      </c>
      <c r="G1791">
        <v>60827</v>
      </c>
      <c r="H1791" s="116"/>
      <c r="I1791" s="116"/>
      <c r="L1791" s="169">
        <v>44642</v>
      </c>
      <c r="M1791" s="116">
        <v>601.54999999999995</v>
      </c>
      <c r="N1791" s="116">
        <v>611.45000000000005</v>
      </c>
      <c r="O1791" s="116">
        <v>593.95000000000005</v>
      </c>
      <c r="P1791" s="116">
        <v>600</v>
      </c>
      <c r="Q1791" s="116">
        <v>601.54999999999995</v>
      </c>
      <c r="R1791">
        <v>583635</v>
      </c>
    </row>
    <row r="1792" spans="1:18" x14ac:dyDescent="0.25">
      <c r="A1792" s="169">
        <v>44651</v>
      </c>
      <c r="B1792" s="116">
        <v>136.69999999999999</v>
      </c>
      <c r="C1792" s="116">
        <v>132.65</v>
      </c>
      <c r="D1792" s="116">
        <v>132.25</v>
      </c>
      <c r="E1792" s="116">
        <v>134.5</v>
      </c>
      <c r="F1792" s="116">
        <v>132.65</v>
      </c>
      <c r="G1792">
        <v>50307</v>
      </c>
      <c r="H1792" s="116"/>
      <c r="I1792" s="116"/>
      <c r="L1792" s="169">
        <v>44643</v>
      </c>
      <c r="M1792" s="116">
        <v>605</v>
      </c>
      <c r="N1792" s="116">
        <v>611.95000000000005</v>
      </c>
      <c r="O1792" s="116">
        <v>595.9</v>
      </c>
      <c r="P1792" s="116">
        <v>608.70000000000005</v>
      </c>
      <c r="Q1792" s="116">
        <v>605</v>
      </c>
      <c r="R1792">
        <v>519551</v>
      </c>
    </row>
    <row r="1793" spans="1:18" x14ac:dyDescent="0.25">
      <c r="A1793" s="169">
        <v>44652</v>
      </c>
      <c r="B1793" s="116">
        <v>139.25</v>
      </c>
      <c r="C1793" s="116">
        <v>139.25</v>
      </c>
      <c r="D1793" s="116">
        <v>130.05000000000001</v>
      </c>
      <c r="E1793" s="116">
        <v>135</v>
      </c>
      <c r="F1793" s="116">
        <v>139.25</v>
      </c>
      <c r="G1793">
        <v>120444</v>
      </c>
      <c r="H1793" s="116"/>
      <c r="I1793" s="116"/>
      <c r="L1793" s="169">
        <v>44644</v>
      </c>
      <c r="M1793" s="116">
        <v>599.20000000000005</v>
      </c>
      <c r="N1793" s="116">
        <v>604.85</v>
      </c>
      <c r="O1793" s="116">
        <v>594.5</v>
      </c>
      <c r="P1793" s="116">
        <v>603.9</v>
      </c>
      <c r="Q1793" s="116">
        <v>599.20000000000005</v>
      </c>
      <c r="R1793">
        <v>330823</v>
      </c>
    </row>
    <row r="1794" spans="1:18" x14ac:dyDescent="0.25">
      <c r="A1794" s="169">
        <v>44655</v>
      </c>
      <c r="B1794" s="116">
        <v>146.19999999999999</v>
      </c>
      <c r="C1794" s="116">
        <v>146.19999999999999</v>
      </c>
      <c r="D1794" s="116">
        <v>142.5</v>
      </c>
      <c r="E1794" s="116">
        <v>145</v>
      </c>
      <c r="F1794" s="116">
        <v>146.19999999999999</v>
      </c>
      <c r="G1794">
        <v>183420</v>
      </c>
      <c r="H1794" s="116"/>
      <c r="I1794" s="116"/>
      <c r="L1794" s="169">
        <v>44645</v>
      </c>
      <c r="M1794" s="116">
        <v>601.15</v>
      </c>
      <c r="N1794" s="116">
        <v>605.04999999999995</v>
      </c>
      <c r="O1794" s="116">
        <v>597.15</v>
      </c>
      <c r="P1794" s="116">
        <v>605.04999999999995</v>
      </c>
      <c r="Q1794" s="116">
        <v>601.15</v>
      </c>
      <c r="R1794">
        <v>242606</v>
      </c>
    </row>
    <row r="1795" spans="1:18" x14ac:dyDescent="0.25">
      <c r="A1795" s="169">
        <v>44656</v>
      </c>
      <c r="B1795" s="116">
        <v>151.94999999999999</v>
      </c>
      <c r="C1795" s="116">
        <v>148.35</v>
      </c>
      <c r="D1795" s="116">
        <v>140.5</v>
      </c>
      <c r="E1795" s="116">
        <v>151.69999999999999</v>
      </c>
      <c r="F1795" s="116">
        <v>148.35</v>
      </c>
      <c r="G1795">
        <v>175721</v>
      </c>
      <c r="H1795" s="116"/>
      <c r="I1795" s="116"/>
      <c r="L1795" s="169">
        <v>44648</v>
      </c>
      <c r="M1795" s="116">
        <v>599.25</v>
      </c>
      <c r="N1795" s="116">
        <v>603.75</v>
      </c>
      <c r="O1795" s="116">
        <v>588.29999999999995</v>
      </c>
      <c r="P1795" s="116">
        <v>596.29999999999995</v>
      </c>
      <c r="Q1795" s="116">
        <v>599.25</v>
      </c>
      <c r="R1795">
        <v>280172</v>
      </c>
    </row>
    <row r="1796" spans="1:18" x14ac:dyDescent="0.25">
      <c r="A1796" s="169">
        <v>44657</v>
      </c>
      <c r="B1796" s="116">
        <v>155.75</v>
      </c>
      <c r="C1796" s="116">
        <v>150.9</v>
      </c>
      <c r="D1796" s="116">
        <v>144.80000000000001</v>
      </c>
      <c r="E1796" s="116">
        <v>151</v>
      </c>
      <c r="F1796" s="116">
        <v>150.9</v>
      </c>
      <c r="G1796">
        <v>199687</v>
      </c>
      <c r="H1796" s="116"/>
      <c r="I1796" s="116"/>
      <c r="L1796" s="169">
        <v>44649</v>
      </c>
      <c r="M1796" s="116">
        <v>605.20000000000005</v>
      </c>
      <c r="N1796" s="116">
        <v>609</v>
      </c>
      <c r="O1796" s="116">
        <v>592.45000000000005</v>
      </c>
      <c r="P1796" s="116">
        <v>600</v>
      </c>
      <c r="Q1796" s="116">
        <v>605.20000000000005</v>
      </c>
      <c r="R1796">
        <v>374087</v>
      </c>
    </row>
    <row r="1797" spans="1:18" x14ac:dyDescent="0.25">
      <c r="A1797" s="169">
        <v>44658</v>
      </c>
      <c r="B1797" s="116">
        <v>158.4</v>
      </c>
      <c r="C1797" s="116">
        <v>158.4</v>
      </c>
      <c r="D1797" s="116">
        <v>152</v>
      </c>
      <c r="E1797" s="116">
        <v>155</v>
      </c>
      <c r="F1797" s="116">
        <v>158.4</v>
      </c>
      <c r="G1797">
        <v>68382</v>
      </c>
      <c r="H1797" s="116"/>
      <c r="I1797" s="116"/>
      <c r="L1797" s="169">
        <v>44650</v>
      </c>
      <c r="M1797" s="116">
        <v>611.45000000000005</v>
      </c>
      <c r="N1797" s="116">
        <v>618</v>
      </c>
      <c r="O1797" s="116">
        <v>602.1</v>
      </c>
      <c r="P1797" s="116">
        <v>608.9</v>
      </c>
      <c r="Q1797" s="116">
        <v>611.45000000000005</v>
      </c>
      <c r="R1797">
        <v>631372</v>
      </c>
    </row>
    <row r="1798" spans="1:18" x14ac:dyDescent="0.25">
      <c r="A1798" s="169">
        <v>44659</v>
      </c>
      <c r="B1798" s="116">
        <v>166.3</v>
      </c>
      <c r="C1798" s="116">
        <v>166.3</v>
      </c>
      <c r="D1798" s="116">
        <v>163.05000000000001</v>
      </c>
      <c r="E1798" s="116">
        <v>165</v>
      </c>
      <c r="F1798" s="116">
        <v>166.3</v>
      </c>
      <c r="G1798">
        <v>362987</v>
      </c>
      <c r="H1798" s="116"/>
      <c r="I1798" s="116"/>
      <c r="L1798" s="169">
        <v>44651</v>
      </c>
      <c r="M1798" s="116">
        <v>631.45000000000005</v>
      </c>
      <c r="N1798" s="116">
        <v>634.75</v>
      </c>
      <c r="O1798" s="116">
        <v>610.4</v>
      </c>
      <c r="P1798" s="116">
        <v>614</v>
      </c>
      <c r="Q1798" s="116">
        <v>631.45000000000005</v>
      </c>
      <c r="R1798">
        <v>1078407</v>
      </c>
    </row>
    <row r="1799" spans="1:18" x14ac:dyDescent="0.25">
      <c r="A1799" s="169">
        <v>44662</v>
      </c>
      <c r="B1799" s="116">
        <v>174.6</v>
      </c>
      <c r="C1799" s="116">
        <v>174.6</v>
      </c>
      <c r="D1799" s="116">
        <v>170.05</v>
      </c>
      <c r="E1799" s="116">
        <v>173.95</v>
      </c>
      <c r="F1799" s="116">
        <v>174.6</v>
      </c>
      <c r="G1799">
        <v>196454</v>
      </c>
      <c r="H1799" s="116"/>
      <c r="I1799" s="116"/>
      <c r="L1799" s="169">
        <v>44652</v>
      </c>
      <c r="M1799" s="116">
        <v>655.4</v>
      </c>
      <c r="N1799" s="116">
        <v>659.7</v>
      </c>
      <c r="O1799" s="116">
        <v>631.79999999999995</v>
      </c>
      <c r="P1799" s="116">
        <v>632.54999999999995</v>
      </c>
      <c r="Q1799" s="116">
        <v>655.4</v>
      </c>
      <c r="R1799">
        <v>1205575</v>
      </c>
    </row>
    <row r="1800" spans="1:18" x14ac:dyDescent="0.25">
      <c r="A1800" s="169">
        <v>44663</v>
      </c>
      <c r="B1800" s="116">
        <v>183.3</v>
      </c>
      <c r="C1800" s="116">
        <v>183.3</v>
      </c>
      <c r="D1800" s="116">
        <v>175.1</v>
      </c>
      <c r="E1800" s="116">
        <v>183.3</v>
      </c>
      <c r="F1800" s="116">
        <v>183.3</v>
      </c>
      <c r="G1800">
        <v>375242</v>
      </c>
      <c r="H1800" s="116"/>
      <c r="I1800" s="116"/>
      <c r="L1800" s="169">
        <v>44655</v>
      </c>
      <c r="M1800" s="116">
        <v>661.9</v>
      </c>
      <c r="N1800" s="116">
        <v>670.5</v>
      </c>
      <c r="O1800" s="116">
        <v>655.04999999999995</v>
      </c>
      <c r="P1800" s="116">
        <v>658.1</v>
      </c>
      <c r="Q1800" s="116">
        <v>661.9</v>
      </c>
      <c r="R1800">
        <v>640162</v>
      </c>
    </row>
    <row r="1801" spans="1:18" x14ac:dyDescent="0.25">
      <c r="A1801" s="169">
        <v>44664</v>
      </c>
      <c r="B1801" s="116">
        <v>192.45</v>
      </c>
      <c r="C1801" s="116">
        <v>192.45</v>
      </c>
      <c r="D1801" s="116">
        <v>188.9</v>
      </c>
      <c r="E1801" s="116">
        <v>192.45</v>
      </c>
      <c r="F1801" s="116">
        <v>192.45</v>
      </c>
      <c r="G1801">
        <v>176557</v>
      </c>
      <c r="H1801" s="116"/>
      <c r="I1801" s="116"/>
      <c r="L1801" s="169">
        <v>44656</v>
      </c>
      <c r="M1801" s="116">
        <v>648.9</v>
      </c>
      <c r="N1801" s="116">
        <v>664.95</v>
      </c>
      <c r="O1801" s="116">
        <v>646.95000000000005</v>
      </c>
      <c r="P1801" s="116">
        <v>662.6</v>
      </c>
      <c r="Q1801" s="116">
        <v>648.9</v>
      </c>
      <c r="R1801">
        <v>460546</v>
      </c>
    </row>
    <row r="1802" spans="1:18" x14ac:dyDescent="0.25">
      <c r="A1802" s="169">
        <v>44669</v>
      </c>
      <c r="B1802" s="116">
        <v>202.05</v>
      </c>
      <c r="C1802" s="116">
        <v>202.05</v>
      </c>
      <c r="D1802" s="116">
        <v>185</v>
      </c>
      <c r="E1802" s="116">
        <v>201.8</v>
      </c>
      <c r="F1802" s="116">
        <v>202.05</v>
      </c>
      <c r="G1802">
        <v>659074</v>
      </c>
      <c r="H1802" s="116"/>
      <c r="I1802" s="116"/>
      <c r="L1802" s="169">
        <v>44657</v>
      </c>
      <c r="M1802" s="116">
        <v>654.45000000000005</v>
      </c>
      <c r="N1802" s="116">
        <v>658.55</v>
      </c>
      <c r="O1802" s="116">
        <v>641.6</v>
      </c>
      <c r="P1802" s="116">
        <v>646</v>
      </c>
      <c r="Q1802" s="116">
        <v>654.45000000000005</v>
      </c>
      <c r="R1802">
        <v>291055</v>
      </c>
    </row>
    <row r="1803" spans="1:18" x14ac:dyDescent="0.25">
      <c r="A1803" s="169">
        <v>44670</v>
      </c>
      <c r="B1803" s="116">
        <v>212.15</v>
      </c>
      <c r="C1803" s="116">
        <v>212.15</v>
      </c>
      <c r="D1803" s="116">
        <v>203</v>
      </c>
      <c r="E1803" s="116">
        <v>208.9</v>
      </c>
      <c r="F1803" s="116">
        <v>212.15</v>
      </c>
      <c r="G1803">
        <v>249616</v>
      </c>
      <c r="H1803" s="116"/>
      <c r="I1803" s="116"/>
      <c r="L1803" s="169">
        <v>44658</v>
      </c>
      <c r="M1803" s="116">
        <v>668.2</v>
      </c>
      <c r="N1803" s="116">
        <v>685</v>
      </c>
      <c r="O1803" s="116">
        <v>651.20000000000005</v>
      </c>
      <c r="P1803" s="116">
        <v>651.20000000000005</v>
      </c>
      <c r="Q1803" s="116">
        <v>668.2</v>
      </c>
      <c r="R1803">
        <v>1649638</v>
      </c>
    </row>
    <row r="1804" spans="1:18" x14ac:dyDescent="0.25">
      <c r="A1804" s="169">
        <v>44671</v>
      </c>
      <c r="B1804" s="116">
        <v>222.75</v>
      </c>
      <c r="C1804" s="116">
        <v>222.75</v>
      </c>
      <c r="D1804" s="116">
        <v>218.05</v>
      </c>
      <c r="E1804" s="116">
        <v>220</v>
      </c>
      <c r="F1804" s="116">
        <v>222.75</v>
      </c>
      <c r="G1804">
        <v>244208</v>
      </c>
      <c r="H1804" s="116"/>
      <c r="I1804" s="116"/>
      <c r="L1804" s="169">
        <v>44659</v>
      </c>
      <c r="M1804" s="116">
        <v>658.25</v>
      </c>
      <c r="N1804" s="116">
        <v>674.15</v>
      </c>
      <c r="O1804" s="116">
        <v>652.25</v>
      </c>
      <c r="P1804" s="116">
        <v>670</v>
      </c>
      <c r="Q1804" s="116">
        <v>658.25</v>
      </c>
      <c r="R1804">
        <v>1140055</v>
      </c>
    </row>
    <row r="1805" spans="1:18" x14ac:dyDescent="0.25">
      <c r="A1805" s="169">
        <v>44672</v>
      </c>
      <c r="B1805" s="116">
        <v>232</v>
      </c>
      <c r="C1805" s="116">
        <v>211.65</v>
      </c>
      <c r="D1805" s="116">
        <v>211.65</v>
      </c>
      <c r="E1805" s="116">
        <v>228.7</v>
      </c>
      <c r="F1805" s="116">
        <v>211.65</v>
      </c>
      <c r="G1805">
        <v>652292</v>
      </c>
      <c r="H1805" s="116"/>
      <c r="I1805" s="116"/>
      <c r="L1805" s="169">
        <v>44662</v>
      </c>
      <c r="M1805" s="116">
        <v>663.2</v>
      </c>
      <c r="N1805" s="116">
        <v>672.15</v>
      </c>
      <c r="O1805" s="116">
        <v>658.1</v>
      </c>
      <c r="P1805" s="116">
        <v>658.1</v>
      </c>
      <c r="Q1805" s="116">
        <v>663.2</v>
      </c>
      <c r="R1805">
        <v>450422</v>
      </c>
    </row>
    <row r="1806" spans="1:18" x14ac:dyDescent="0.25">
      <c r="A1806" s="169">
        <v>44673</v>
      </c>
      <c r="B1806" s="116">
        <v>201.1</v>
      </c>
      <c r="C1806" s="116">
        <v>201.1</v>
      </c>
      <c r="D1806" s="116">
        <v>201.1</v>
      </c>
      <c r="E1806" s="116">
        <v>201.1</v>
      </c>
      <c r="F1806" s="116">
        <v>201.1</v>
      </c>
      <c r="G1806">
        <v>65057</v>
      </c>
      <c r="H1806" s="116"/>
      <c r="I1806" s="116"/>
      <c r="L1806" s="169">
        <v>44663</v>
      </c>
      <c r="M1806" s="116">
        <v>655.5</v>
      </c>
      <c r="N1806" s="116">
        <v>661.55</v>
      </c>
      <c r="O1806" s="116">
        <v>640.9</v>
      </c>
      <c r="P1806" s="116">
        <v>656.5</v>
      </c>
      <c r="Q1806" s="116">
        <v>655.5</v>
      </c>
      <c r="R1806">
        <v>464090</v>
      </c>
    </row>
    <row r="1807" spans="1:18" x14ac:dyDescent="0.25">
      <c r="A1807" s="169">
        <v>44676</v>
      </c>
      <c r="B1807" s="116">
        <v>191.05</v>
      </c>
      <c r="C1807" s="116">
        <v>191.05</v>
      </c>
      <c r="D1807" s="116">
        <v>191.05</v>
      </c>
      <c r="E1807" s="116">
        <v>191.05</v>
      </c>
      <c r="F1807" s="116">
        <v>191.05</v>
      </c>
      <c r="G1807">
        <v>21811</v>
      </c>
      <c r="H1807" s="116"/>
      <c r="I1807" s="116"/>
      <c r="L1807" s="169">
        <v>44664</v>
      </c>
      <c r="M1807" s="116">
        <v>632.9</v>
      </c>
      <c r="N1807" s="116">
        <v>662.6</v>
      </c>
      <c r="O1807" s="116">
        <v>627.4</v>
      </c>
      <c r="P1807" s="116">
        <v>655.9</v>
      </c>
      <c r="Q1807" s="116">
        <v>632.9</v>
      </c>
      <c r="R1807">
        <v>553917</v>
      </c>
    </row>
    <row r="1808" spans="1:18" x14ac:dyDescent="0.25">
      <c r="A1808" s="169">
        <v>44677</v>
      </c>
      <c r="B1808" s="116">
        <v>181.5</v>
      </c>
      <c r="C1808" s="116">
        <v>181.5</v>
      </c>
      <c r="D1808" s="116">
        <v>181.5</v>
      </c>
      <c r="E1808" s="116">
        <v>181.5</v>
      </c>
      <c r="F1808" s="116">
        <v>181.5</v>
      </c>
      <c r="G1808">
        <v>234970</v>
      </c>
      <c r="H1808" s="116"/>
      <c r="I1808" s="116"/>
      <c r="L1808" s="169">
        <v>44669</v>
      </c>
      <c r="M1808" s="116">
        <v>626.25</v>
      </c>
      <c r="N1808" s="116">
        <v>633.6</v>
      </c>
      <c r="O1808" s="116">
        <v>611.45000000000005</v>
      </c>
      <c r="P1808" s="116">
        <v>628.79999999999995</v>
      </c>
      <c r="Q1808" s="116">
        <v>626.25</v>
      </c>
      <c r="R1808">
        <v>362704</v>
      </c>
    </row>
    <row r="1809" spans="1:18" x14ac:dyDescent="0.25">
      <c r="A1809" s="169">
        <v>44678</v>
      </c>
      <c r="B1809" s="116">
        <v>190.55</v>
      </c>
      <c r="C1809" s="116">
        <v>190.55</v>
      </c>
      <c r="D1809" s="116">
        <v>172.45</v>
      </c>
      <c r="E1809" s="116">
        <v>172.45</v>
      </c>
      <c r="F1809" s="116">
        <v>190.55</v>
      </c>
      <c r="G1809">
        <v>459855</v>
      </c>
      <c r="H1809" s="116"/>
      <c r="I1809" s="116"/>
      <c r="L1809" s="169">
        <v>44670</v>
      </c>
      <c r="M1809" s="116">
        <v>620.25</v>
      </c>
      <c r="N1809" s="116">
        <v>642.79999999999995</v>
      </c>
      <c r="O1809" s="116">
        <v>614.20000000000005</v>
      </c>
      <c r="P1809" s="116">
        <v>627</v>
      </c>
      <c r="Q1809" s="116">
        <v>620.25</v>
      </c>
      <c r="R1809">
        <v>487445</v>
      </c>
    </row>
    <row r="1810" spans="1:18" x14ac:dyDescent="0.25">
      <c r="A1810" s="169">
        <v>44679</v>
      </c>
      <c r="B1810" s="116">
        <v>200.05</v>
      </c>
      <c r="C1810" s="116">
        <v>200.05</v>
      </c>
      <c r="D1810" s="116">
        <v>195</v>
      </c>
      <c r="E1810" s="116">
        <v>200.05</v>
      </c>
      <c r="F1810" s="116">
        <v>200.05</v>
      </c>
      <c r="G1810">
        <v>368380</v>
      </c>
      <c r="H1810" s="116"/>
      <c r="I1810" s="116"/>
      <c r="L1810" s="169">
        <v>44671</v>
      </c>
      <c r="M1810" s="116">
        <v>637.85</v>
      </c>
      <c r="N1810" s="116">
        <v>644.95000000000005</v>
      </c>
      <c r="O1810" s="116">
        <v>621.04999999999995</v>
      </c>
      <c r="P1810" s="116">
        <v>623.70000000000005</v>
      </c>
      <c r="Q1810" s="116">
        <v>637.85</v>
      </c>
      <c r="R1810">
        <v>619836</v>
      </c>
    </row>
    <row r="1811" spans="1:18" x14ac:dyDescent="0.25">
      <c r="A1811" s="169">
        <v>44680</v>
      </c>
      <c r="B1811" s="116">
        <v>210.05</v>
      </c>
      <c r="C1811" s="116">
        <v>203.05</v>
      </c>
      <c r="D1811" s="116">
        <v>190.05</v>
      </c>
      <c r="E1811" s="116">
        <v>201.9</v>
      </c>
      <c r="F1811" s="116">
        <v>203.05</v>
      </c>
      <c r="G1811">
        <v>340752</v>
      </c>
      <c r="H1811" s="116"/>
      <c r="I1811" s="116"/>
      <c r="L1811" s="169">
        <v>44672</v>
      </c>
      <c r="M1811" s="116">
        <v>638</v>
      </c>
      <c r="N1811" s="116">
        <v>651.29999999999995</v>
      </c>
      <c r="O1811" s="116">
        <v>635</v>
      </c>
      <c r="P1811" s="116">
        <v>645.79999999999995</v>
      </c>
      <c r="Q1811" s="116">
        <v>638</v>
      </c>
      <c r="R1811">
        <v>397778</v>
      </c>
    </row>
    <row r="1812" spans="1:18" x14ac:dyDescent="0.25">
      <c r="A1812" s="169">
        <v>44683</v>
      </c>
      <c r="B1812" s="116">
        <v>213.2</v>
      </c>
      <c r="C1812" s="116">
        <v>213.2</v>
      </c>
      <c r="D1812" s="116">
        <v>207</v>
      </c>
      <c r="E1812" s="116">
        <v>213.2</v>
      </c>
      <c r="F1812" s="116">
        <v>213.2</v>
      </c>
      <c r="G1812">
        <v>195992</v>
      </c>
      <c r="H1812" s="116"/>
      <c r="I1812" s="116"/>
      <c r="L1812" s="169">
        <v>44673</v>
      </c>
      <c r="M1812" s="116">
        <v>634.5</v>
      </c>
      <c r="N1812" s="116">
        <v>644.45000000000005</v>
      </c>
      <c r="O1812" s="116">
        <v>627</v>
      </c>
      <c r="P1812" s="116">
        <v>635</v>
      </c>
      <c r="Q1812" s="116">
        <v>634.5</v>
      </c>
      <c r="R1812">
        <v>248365</v>
      </c>
    </row>
    <row r="1813" spans="1:18" x14ac:dyDescent="0.25">
      <c r="A1813" s="169">
        <v>44685</v>
      </c>
      <c r="B1813" s="116">
        <v>222</v>
      </c>
      <c r="C1813" s="116">
        <v>215.2</v>
      </c>
      <c r="D1813" s="116">
        <v>212</v>
      </c>
      <c r="E1813" s="116">
        <v>222</v>
      </c>
      <c r="F1813" s="116">
        <v>215.2</v>
      </c>
      <c r="G1813">
        <v>240211</v>
      </c>
      <c r="H1813" s="116"/>
      <c r="I1813" s="116"/>
      <c r="L1813" s="169">
        <v>44676</v>
      </c>
      <c r="M1813" s="116">
        <v>626.5</v>
      </c>
      <c r="N1813" s="116">
        <v>634.35</v>
      </c>
      <c r="O1813" s="116">
        <v>620.65</v>
      </c>
      <c r="P1813" s="116">
        <v>629</v>
      </c>
      <c r="Q1813" s="116">
        <v>626.5</v>
      </c>
      <c r="R1813">
        <v>410622</v>
      </c>
    </row>
    <row r="1814" spans="1:18" x14ac:dyDescent="0.25">
      <c r="A1814" s="169">
        <v>44686</v>
      </c>
      <c r="B1814" s="116">
        <v>221.95</v>
      </c>
      <c r="C1814" s="116">
        <v>207.8</v>
      </c>
      <c r="D1814" s="116">
        <v>204.5</v>
      </c>
      <c r="E1814" s="116">
        <v>205.1</v>
      </c>
      <c r="F1814" s="116">
        <v>207.8</v>
      </c>
      <c r="G1814">
        <v>311981</v>
      </c>
      <c r="H1814" s="116"/>
      <c r="I1814" s="116"/>
      <c r="L1814" s="169">
        <v>44677</v>
      </c>
      <c r="M1814" s="116">
        <v>640.54999999999995</v>
      </c>
      <c r="N1814" s="116">
        <v>647.04999999999995</v>
      </c>
      <c r="O1814" s="116">
        <v>629.1</v>
      </c>
      <c r="P1814" s="116">
        <v>632.1</v>
      </c>
      <c r="Q1814" s="116">
        <v>640.54999999999995</v>
      </c>
      <c r="R1814">
        <v>508491</v>
      </c>
    </row>
    <row r="1815" spans="1:18" x14ac:dyDescent="0.25">
      <c r="A1815" s="169">
        <v>44687</v>
      </c>
      <c r="B1815" s="116">
        <v>207.15</v>
      </c>
      <c r="C1815" s="116">
        <v>197.45</v>
      </c>
      <c r="D1815" s="116">
        <v>197.45</v>
      </c>
      <c r="E1815" s="116">
        <v>205</v>
      </c>
      <c r="F1815" s="116">
        <v>197.45</v>
      </c>
      <c r="G1815">
        <v>626934</v>
      </c>
      <c r="H1815" s="116"/>
      <c r="I1815" s="116"/>
      <c r="L1815" s="169">
        <v>44678</v>
      </c>
      <c r="M1815" s="116">
        <v>640.1</v>
      </c>
      <c r="N1815" s="116">
        <v>644.54999999999995</v>
      </c>
      <c r="O1815" s="116">
        <v>628</v>
      </c>
      <c r="P1815" s="116">
        <v>635.1</v>
      </c>
      <c r="Q1815" s="116">
        <v>640.1</v>
      </c>
      <c r="R1815">
        <v>561400</v>
      </c>
    </row>
    <row r="1816" spans="1:18" x14ac:dyDescent="0.25">
      <c r="A1816" s="169">
        <v>44690</v>
      </c>
      <c r="B1816" s="116">
        <v>194.9</v>
      </c>
      <c r="C1816" s="116">
        <v>187.6</v>
      </c>
      <c r="D1816" s="116">
        <v>187.6</v>
      </c>
      <c r="E1816" s="116">
        <v>187.6</v>
      </c>
      <c r="F1816" s="116">
        <v>187.6</v>
      </c>
      <c r="G1816">
        <v>227554</v>
      </c>
      <c r="H1816" s="116"/>
      <c r="I1816" s="116"/>
      <c r="L1816" s="169">
        <v>44679</v>
      </c>
      <c r="M1816" s="116">
        <v>636.35</v>
      </c>
      <c r="N1816" s="116">
        <v>647.9</v>
      </c>
      <c r="O1816" s="116">
        <v>625.04999999999995</v>
      </c>
      <c r="P1816" s="116">
        <v>641.1</v>
      </c>
      <c r="Q1816" s="116">
        <v>636.35</v>
      </c>
      <c r="R1816">
        <v>460004</v>
      </c>
    </row>
    <row r="1817" spans="1:18" x14ac:dyDescent="0.25">
      <c r="A1817" s="169">
        <v>44691</v>
      </c>
      <c r="B1817" s="116">
        <v>187.5</v>
      </c>
      <c r="C1817" s="116">
        <v>178.25</v>
      </c>
      <c r="D1817" s="116">
        <v>178.25</v>
      </c>
      <c r="E1817" s="116">
        <v>179.1</v>
      </c>
      <c r="F1817" s="116">
        <v>178.25</v>
      </c>
      <c r="G1817">
        <v>236839</v>
      </c>
      <c r="H1817" s="116"/>
      <c r="I1817" s="116"/>
      <c r="L1817" s="169">
        <v>44680</v>
      </c>
      <c r="M1817" s="116">
        <v>592.15</v>
      </c>
      <c r="N1817" s="116">
        <v>640.25</v>
      </c>
      <c r="O1817" s="116">
        <v>589.6</v>
      </c>
      <c r="P1817" s="116">
        <v>638.25</v>
      </c>
      <c r="Q1817" s="116">
        <v>592.15</v>
      </c>
      <c r="R1817">
        <v>1623610</v>
      </c>
    </row>
    <row r="1818" spans="1:18" x14ac:dyDescent="0.25">
      <c r="A1818" s="169">
        <v>44692</v>
      </c>
      <c r="B1818" s="116">
        <v>174</v>
      </c>
      <c r="C1818" s="116">
        <v>169.35</v>
      </c>
      <c r="D1818" s="116">
        <v>169.35</v>
      </c>
      <c r="E1818" s="116">
        <v>170</v>
      </c>
      <c r="F1818" s="116">
        <v>169.35</v>
      </c>
      <c r="G1818">
        <v>158654</v>
      </c>
      <c r="H1818" s="116"/>
      <c r="I1818" s="116"/>
      <c r="L1818" s="169">
        <v>44683</v>
      </c>
      <c r="M1818" s="116">
        <v>642.4</v>
      </c>
      <c r="N1818" s="116">
        <v>649.65</v>
      </c>
      <c r="O1818" s="116">
        <v>610.25</v>
      </c>
      <c r="P1818" s="116">
        <v>610.25</v>
      </c>
      <c r="Q1818" s="116">
        <v>642.4</v>
      </c>
      <c r="R1818">
        <v>5245547</v>
      </c>
    </row>
    <row r="1819" spans="1:18" x14ac:dyDescent="0.25">
      <c r="A1819" s="169">
        <v>44693</v>
      </c>
      <c r="B1819" s="116">
        <v>160.9</v>
      </c>
      <c r="C1819" s="116">
        <v>160.9</v>
      </c>
      <c r="D1819" s="116">
        <v>160.9</v>
      </c>
      <c r="E1819" s="116">
        <v>160.9</v>
      </c>
      <c r="F1819" s="116">
        <v>160.9</v>
      </c>
      <c r="G1819">
        <v>178859</v>
      </c>
      <c r="H1819" s="116"/>
      <c r="I1819" s="116"/>
      <c r="L1819" s="169">
        <v>44685</v>
      </c>
      <c r="M1819" s="116">
        <v>605.5</v>
      </c>
      <c r="N1819" s="116">
        <v>645.15</v>
      </c>
      <c r="O1819" s="116">
        <v>594.54999999999995</v>
      </c>
      <c r="P1819" s="116">
        <v>638.79999999999995</v>
      </c>
      <c r="Q1819" s="116">
        <v>605.5</v>
      </c>
      <c r="R1819">
        <v>1610159</v>
      </c>
    </row>
    <row r="1820" spans="1:18" x14ac:dyDescent="0.25">
      <c r="A1820" s="169">
        <v>44694</v>
      </c>
      <c r="B1820" s="116">
        <v>160.80000000000001</v>
      </c>
      <c r="C1820" s="116">
        <v>152.9</v>
      </c>
      <c r="D1820" s="116">
        <v>152.9</v>
      </c>
      <c r="E1820" s="116">
        <v>155</v>
      </c>
      <c r="F1820" s="116">
        <v>152.9</v>
      </c>
      <c r="G1820">
        <v>681868</v>
      </c>
      <c r="H1820" s="116"/>
      <c r="I1820" s="116"/>
      <c r="L1820" s="169">
        <v>44686</v>
      </c>
      <c r="M1820" s="116">
        <v>573.1</v>
      </c>
      <c r="N1820" s="116">
        <v>620.95000000000005</v>
      </c>
      <c r="O1820" s="116">
        <v>570.75</v>
      </c>
      <c r="P1820" s="116">
        <v>610</v>
      </c>
      <c r="Q1820" s="116">
        <v>573.1</v>
      </c>
      <c r="R1820">
        <v>1330742</v>
      </c>
    </row>
    <row r="1821" spans="1:18" x14ac:dyDescent="0.25">
      <c r="A1821" s="169">
        <v>44697</v>
      </c>
      <c r="B1821" s="116">
        <v>160.5</v>
      </c>
      <c r="C1821" s="116">
        <v>158.44999999999999</v>
      </c>
      <c r="D1821" s="116">
        <v>156</v>
      </c>
      <c r="E1821" s="116">
        <v>160</v>
      </c>
      <c r="F1821" s="116">
        <v>158.44999999999999</v>
      </c>
      <c r="G1821">
        <v>417932</v>
      </c>
      <c r="H1821" s="116"/>
      <c r="I1821" s="116"/>
      <c r="L1821" s="169">
        <v>44687</v>
      </c>
      <c r="M1821" s="116">
        <v>547.35</v>
      </c>
      <c r="N1821" s="116">
        <v>574.4</v>
      </c>
      <c r="O1821" s="116">
        <v>518.5</v>
      </c>
      <c r="P1821" s="116">
        <v>560</v>
      </c>
      <c r="Q1821" s="116">
        <v>547.35</v>
      </c>
      <c r="R1821">
        <v>2420331</v>
      </c>
    </row>
    <row r="1822" spans="1:18" x14ac:dyDescent="0.25">
      <c r="A1822" s="169">
        <v>44698</v>
      </c>
      <c r="B1822" s="116">
        <v>166.35</v>
      </c>
      <c r="C1822" s="116">
        <v>166.35</v>
      </c>
      <c r="D1822" s="116">
        <v>161.9</v>
      </c>
      <c r="E1822" s="116">
        <v>161.9</v>
      </c>
      <c r="F1822" s="116">
        <v>166.35</v>
      </c>
      <c r="G1822">
        <v>469246</v>
      </c>
      <c r="H1822" s="116"/>
      <c r="I1822" s="116"/>
      <c r="L1822" s="169">
        <v>44690</v>
      </c>
      <c r="M1822" s="116">
        <v>519.25</v>
      </c>
      <c r="N1822" s="116">
        <v>562</v>
      </c>
      <c r="O1822" s="116">
        <v>466.65</v>
      </c>
      <c r="P1822" s="116">
        <v>546.25</v>
      </c>
      <c r="Q1822" s="116">
        <v>519.25</v>
      </c>
      <c r="R1822">
        <v>8168348</v>
      </c>
    </row>
    <row r="1823" spans="1:18" x14ac:dyDescent="0.25">
      <c r="A1823" s="169">
        <v>44699</v>
      </c>
      <c r="B1823" s="116">
        <v>174.65</v>
      </c>
      <c r="C1823" s="116">
        <v>173.1</v>
      </c>
      <c r="D1823" s="116">
        <v>166.35</v>
      </c>
      <c r="E1823" s="116">
        <v>169.9</v>
      </c>
      <c r="F1823" s="116">
        <v>173.1</v>
      </c>
      <c r="G1823">
        <v>279458</v>
      </c>
      <c r="H1823" s="116"/>
      <c r="I1823" s="116"/>
      <c r="L1823" s="169">
        <v>44691</v>
      </c>
      <c r="M1823" s="116">
        <v>504.05</v>
      </c>
      <c r="N1823" s="116">
        <v>523.6</v>
      </c>
      <c r="O1823" s="116">
        <v>495.25</v>
      </c>
      <c r="P1823" s="116">
        <v>511</v>
      </c>
      <c r="Q1823" s="116">
        <v>504.05</v>
      </c>
      <c r="R1823">
        <v>1914202</v>
      </c>
    </row>
    <row r="1824" spans="1:18" x14ac:dyDescent="0.25">
      <c r="A1824" s="169">
        <v>44700</v>
      </c>
      <c r="B1824" s="116">
        <v>169.25</v>
      </c>
      <c r="C1824" s="116">
        <v>164.45</v>
      </c>
      <c r="D1824" s="116">
        <v>164.45</v>
      </c>
      <c r="E1824" s="116">
        <v>167.5</v>
      </c>
      <c r="F1824" s="116">
        <v>164.45</v>
      </c>
      <c r="G1824">
        <v>139860</v>
      </c>
      <c r="H1824" s="116"/>
      <c r="I1824" s="116"/>
      <c r="L1824" s="169">
        <v>44692</v>
      </c>
      <c r="M1824" s="116">
        <v>482.05</v>
      </c>
      <c r="N1824" s="116">
        <v>509.8</v>
      </c>
      <c r="O1824" s="116">
        <v>453.65</v>
      </c>
      <c r="P1824" s="116">
        <v>509.8</v>
      </c>
      <c r="Q1824" s="116">
        <v>482.05</v>
      </c>
      <c r="R1824">
        <v>2515630</v>
      </c>
    </row>
    <row r="1825" spans="1:18" x14ac:dyDescent="0.25">
      <c r="A1825" s="169">
        <v>44701</v>
      </c>
      <c r="B1825" s="116">
        <v>171.9</v>
      </c>
      <c r="C1825" s="116">
        <v>164.35</v>
      </c>
      <c r="D1825" s="116">
        <v>157.55000000000001</v>
      </c>
      <c r="E1825" s="116">
        <v>170</v>
      </c>
      <c r="F1825" s="116">
        <v>164.35</v>
      </c>
      <c r="G1825">
        <v>157378</v>
      </c>
      <c r="H1825" s="116"/>
      <c r="I1825" s="116"/>
      <c r="L1825" s="169">
        <v>44693</v>
      </c>
      <c r="M1825" s="116">
        <v>472.35</v>
      </c>
      <c r="N1825" s="116">
        <v>486.45</v>
      </c>
      <c r="O1825" s="116">
        <v>461</v>
      </c>
      <c r="P1825" s="116">
        <v>470</v>
      </c>
      <c r="Q1825" s="116">
        <v>472.35</v>
      </c>
      <c r="R1825">
        <v>1464187</v>
      </c>
    </row>
    <row r="1826" spans="1:18" x14ac:dyDescent="0.25">
      <c r="A1826" s="169">
        <v>44704</v>
      </c>
      <c r="B1826" s="116">
        <v>156.15</v>
      </c>
      <c r="C1826" s="116">
        <v>156.15</v>
      </c>
      <c r="D1826" s="116">
        <v>156.15</v>
      </c>
      <c r="E1826" s="116">
        <v>156.15</v>
      </c>
      <c r="F1826" s="116">
        <v>156.15</v>
      </c>
      <c r="G1826">
        <v>36594</v>
      </c>
      <c r="H1826" s="116"/>
      <c r="I1826" s="116"/>
      <c r="L1826" s="169">
        <v>44694</v>
      </c>
      <c r="M1826" s="116">
        <v>495.7</v>
      </c>
      <c r="N1826" s="116">
        <v>514.9</v>
      </c>
      <c r="O1826" s="116">
        <v>465.3</v>
      </c>
      <c r="P1826" s="116">
        <v>479.9</v>
      </c>
      <c r="Q1826" s="116">
        <v>495.7</v>
      </c>
      <c r="R1826">
        <v>2106778</v>
      </c>
    </row>
    <row r="1827" spans="1:18" x14ac:dyDescent="0.25">
      <c r="A1827" s="169">
        <v>44705</v>
      </c>
      <c r="B1827" s="116">
        <v>148.35</v>
      </c>
      <c r="C1827" s="116">
        <v>148.35</v>
      </c>
      <c r="D1827" s="116">
        <v>148.35</v>
      </c>
      <c r="E1827" s="116">
        <v>148.35</v>
      </c>
      <c r="F1827" s="116">
        <v>148.35</v>
      </c>
      <c r="G1827">
        <v>298393</v>
      </c>
      <c r="H1827" s="116"/>
      <c r="I1827" s="116"/>
      <c r="L1827" s="169">
        <v>44697</v>
      </c>
      <c r="M1827" s="116">
        <v>485.75</v>
      </c>
      <c r="N1827" s="116">
        <v>502</v>
      </c>
      <c r="O1827" s="116">
        <v>477.2</v>
      </c>
      <c r="P1827" s="116">
        <v>502</v>
      </c>
      <c r="Q1827" s="116">
        <v>485.75</v>
      </c>
      <c r="R1827">
        <v>656345</v>
      </c>
    </row>
    <row r="1828" spans="1:18" x14ac:dyDescent="0.25">
      <c r="A1828" s="169">
        <v>44706</v>
      </c>
      <c r="B1828" s="116">
        <v>140.94999999999999</v>
      </c>
      <c r="C1828" s="116">
        <v>140.94999999999999</v>
      </c>
      <c r="D1828" s="116">
        <v>140.94999999999999</v>
      </c>
      <c r="E1828" s="116">
        <v>140.94999999999999</v>
      </c>
      <c r="F1828" s="116">
        <v>140.94999999999999</v>
      </c>
      <c r="G1828">
        <v>88757</v>
      </c>
      <c r="H1828" s="116"/>
      <c r="I1828" s="116"/>
      <c r="L1828" s="169">
        <v>44698</v>
      </c>
      <c r="M1828" s="116">
        <v>489.75</v>
      </c>
      <c r="N1828" s="116">
        <v>494.85</v>
      </c>
      <c r="O1828" s="116">
        <v>477.2</v>
      </c>
      <c r="P1828" s="116">
        <v>488.1</v>
      </c>
      <c r="Q1828" s="116">
        <v>489.75</v>
      </c>
      <c r="R1828">
        <v>646566</v>
      </c>
    </row>
    <row r="1829" spans="1:18" x14ac:dyDescent="0.25">
      <c r="A1829" s="169">
        <v>44707</v>
      </c>
      <c r="B1829" s="116">
        <v>147.94999999999999</v>
      </c>
      <c r="C1829" s="116">
        <v>147.4</v>
      </c>
      <c r="D1829" s="116">
        <v>136</v>
      </c>
      <c r="E1829" s="116">
        <v>136</v>
      </c>
      <c r="F1829" s="116">
        <v>147.4</v>
      </c>
      <c r="G1829">
        <v>541455</v>
      </c>
      <c r="H1829" s="116"/>
      <c r="I1829" s="116"/>
      <c r="L1829" s="169">
        <v>44699</v>
      </c>
      <c r="M1829" s="116">
        <v>478.1</v>
      </c>
      <c r="N1829" s="116">
        <v>511.7</v>
      </c>
      <c r="O1829" s="116">
        <v>469.1</v>
      </c>
      <c r="P1829" s="116">
        <v>495.4</v>
      </c>
      <c r="Q1829" s="116">
        <v>478.1</v>
      </c>
      <c r="R1829">
        <v>1675457</v>
      </c>
    </row>
    <row r="1830" spans="1:18" x14ac:dyDescent="0.25">
      <c r="A1830" s="169">
        <v>44708</v>
      </c>
      <c r="B1830" s="116">
        <v>150</v>
      </c>
      <c r="C1830" s="116">
        <v>142.85</v>
      </c>
      <c r="D1830" s="116">
        <v>140.05000000000001</v>
      </c>
      <c r="E1830" s="116">
        <v>147.4</v>
      </c>
      <c r="F1830" s="116">
        <v>142.85</v>
      </c>
      <c r="G1830">
        <v>128517</v>
      </c>
      <c r="H1830" s="116"/>
      <c r="I1830" s="116"/>
      <c r="L1830" s="169">
        <v>44700</v>
      </c>
      <c r="M1830" s="116">
        <v>452.65</v>
      </c>
      <c r="N1830" s="116">
        <v>473.8</v>
      </c>
      <c r="O1830" s="116">
        <v>448.15</v>
      </c>
      <c r="P1830" s="116">
        <v>467</v>
      </c>
      <c r="Q1830" s="116">
        <v>452.65</v>
      </c>
      <c r="R1830">
        <v>824474</v>
      </c>
    </row>
    <row r="1831" spans="1:18" x14ac:dyDescent="0.25">
      <c r="A1831" s="169">
        <v>44711</v>
      </c>
      <c r="B1831" s="116">
        <v>147</v>
      </c>
      <c r="C1831" s="116">
        <v>143.85</v>
      </c>
      <c r="D1831" s="116">
        <v>140.5</v>
      </c>
      <c r="E1831" s="116">
        <v>145</v>
      </c>
      <c r="F1831" s="116">
        <v>143.85</v>
      </c>
      <c r="G1831">
        <v>103472</v>
      </c>
      <c r="H1831" s="116"/>
      <c r="I1831" s="116"/>
      <c r="L1831" s="169">
        <v>44701</v>
      </c>
      <c r="M1831" s="116">
        <v>471.6</v>
      </c>
      <c r="N1831" s="116">
        <v>474.75</v>
      </c>
      <c r="O1831" s="116">
        <v>458</v>
      </c>
      <c r="P1831" s="116">
        <v>458</v>
      </c>
      <c r="Q1831" s="116">
        <v>471.6</v>
      </c>
      <c r="R1831">
        <v>1087573</v>
      </c>
    </row>
    <row r="1832" spans="1:18" x14ac:dyDescent="0.25">
      <c r="A1832" s="169">
        <v>44712</v>
      </c>
      <c r="B1832" s="116">
        <v>149.55000000000001</v>
      </c>
      <c r="C1832" s="116">
        <v>142.25</v>
      </c>
      <c r="D1832" s="116">
        <v>136.80000000000001</v>
      </c>
      <c r="E1832" s="116">
        <v>140</v>
      </c>
      <c r="F1832" s="116">
        <v>142.25</v>
      </c>
      <c r="G1832">
        <v>1215589</v>
      </c>
      <c r="H1832" s="116"/>
      <c r="I1832" s="116"/>
      <c r="L1832" s="169">
        <v>44704</v>
      </c>
      <c r="M1832" s="116">
        <v>474.4</v>
      </c>
      <c r="N1832" s="116">
        <v>487.4</v>
      </c>
      <c r="O1832" s="116">
        <v>466.4</v>
      </c>
      <c r="P1832" s="116">
        <v>471.6</v>
      </c>
      <c r="Q1832" s="116">
        <v>474.4</v>
      </c>
      <c r="R1832">
        <v>615021</v>
      </c>
    </row>
    <row r="1833" spans="1:18" x14ac:dyDescent="0.25">
      <c r="A1833" s="169">
        <v>44713</v>
      </c>
      <c r="B1833" s="116">
        <v>142.44999999999999</v>
      </c>
      <c r="C1833" s="116">
        <v>138.19999999999999</v>
      </c>
      <c r="D1833" s="116">
        <v>137</v>
      </c>
      <c r="E1833" s="116">
        <v>142.25</v>
      </c>
      <c r="F1833" s="116">
        <v>138.19999999999999</v>
      </c>
      <c r="G1833">
        <v>101581</v>
      </c>
      <c r="H1833" s="116"/>
      <c r="I1833" s="116"/>
      <c r="L1833" s="169">
        <v>44705</v>
      </c>
      <c r="M1833" s="116">
        <v>464.15</v>
      </c>
      <c r="N1833" s="116">
        <v>479.2</v>
      </c>
      <c r="O1833" s="116">
        <v>462.75</v>
      </c>
      <c r="P1833" s="116">
        <v>479.2</v>
      </c>
      <c r="Q1833" s="116">
        <v>464.15</v>
      </c>
      <c r="R1833">
        <v>523874</v>
      </c>
    </row>
    <row r="1834" spans="1:18" x14ac:dyDescent="0.25">
      <c r="A1834" s="169">
        <v>44714</v>
      </c>
      <c r="B1834" s="116">
        <v>142.35</v>
      </c>
      <c r="C1834" s="116">
        <v>139</v>
      </c>
      <c r="D1834" s="116">
        <v>136</v>
      </c>
      <c r="E1834" s="116">
        <v>136</v>
      </c>
      <c r="F1834" s="116">
        <v>139</v>
      </c>
      <c r="G1834">
        <v>60565</v>
      </c>
      <c r="H1834" s="116"/>
      <c r="I1834" s="116"/>
      <c r="L1834" s="169">
        <v>44706</v>
      </c>
      <c r="M1834" s="116">
        <v>452</v>
      </c>
      <c r="N1834" s="116">
        <v>472.05</v>
      </c>
      <c r="O1834" s="116">
        <v>449</v>
      </c>
      <c r="P1834" s="116">
        <v>465.1</v>
      </c>
      <c r="Q1834" s="116">
        <v>452</v>
      </c>
      <c r="R1834">
        <v>660042</v>
      </c>
    </row>
    <row r="1835" spans="1:18" x14ac:dyDescent="0.25">
      <c r="A1835" s="169">
        <v>44715</v>
      </c>
      <c r="B1835" s="116">
        <v>141.80000000000001</v>
      </c>
      <c r="C1835" s="116">
        <v>136.35</v>
      </c>
      <c r="D1835" s="116">
        <v>134</v>
      </c>
      <c r="E1835" s="116">
        <v>141.80000000000001</v>
      </c>
      <c r="F1835" s="116">
        <v>136.35</v>
      </c>
      <c r="G1835">
        <v>236907</v>
      </c>
      <c r="H1835" s="116"/>
      <c r="I1835" s="116"/>
      <c r="L1835" s="169">
        <v>44707</v>
      </c>
      <c r="M1835" s="116">
        <v>457.75</v>
      </c>
      <c r="N1835" s="116">
        <v>462.2</v>
      </c>
      <c r="O1835" s="116">
        <v>440.65</v>
      </c>
      <c r="P1835" s="116">
        <v>452.5</v>
      </c>
      <c r="Q1835" s="116">
        <v>457.75</v>
      </c>
      <c r="R1835">
        <v>514296</v>
      </c>
    </row>
    <row r="1836" spans="1:18" x14ac:dyDescent="0.25">
      <c r="A1836" s="169">
        <v>44718</v>
      </c>
      <c r="B1836" s="116">
        <v>140</v>
      </c>
      <c r="C1836" s="116">
        <v>137.65</v>
      </c>
      <c r="D1836" s="116">
        <v>135.15</v>
      </c>
      <c r="E1836" s="116">
        <v>139.6</v>
      </c>
      <c r="F1836" s="116">
        <v>137.65</v>
      </c>
      <c r="G1836">
        <v>137568</v>
      </c>
      <c r="H1836" s="116"/>
      <c r="I1836" s="116"/>
      <c r="L1836" s="169">
        <v>44708</v>
      </c>
      <c r="M1836" s="116">
        <v>467.85</v>
      </c>
      <c r="N1836" s="116">
        <v>469.9</v>
      </c>
      <c r="O1836" s="116">
        <v>458.45</v>
      </c>
      <c r="P1836" s="116">
        <v>463.8</v>
      </c>
      <c r="Q1836" s="116">
        <v>467.85</v>
      </c>
      <c r="R1836">
        <v>347747</v>
      </c>
    </row>
    <row r="1837" spans="1:18" x14ac:dyDescent="0.25">
      <c r="A1837" s="169">
        <v>44719</v>
      </c>
      <c r="B1837" s="116">
        <v>140.6</v>
      </c>
      <c r="C1837" s="116">
        <v>139.75</v>
      </c>
      <c r="D1837" s="116">
        <v>137.5</v>
      </c>
      <c r="E1837" s="116">
        <v>139.44999999999999</v>
      </c>
      <c r="F1837" s="116">
        <v>139.75</v>
      </c>
      <c r="G1837">
        <v>120793</v>
      </c>
      <c r="H1837" s="116"/>
      <c r="I1837" s="116"/>
      <c r="L1837" s="169">
        <v>44711</v>
      </c>
      <c r="M1837" s="116">
        <v>479.05</v>
      </c>
      <c r="N1837" s="116">
        <v>483.6</v>
      </c>
      <c r="O1837" s="116">
        <v>468.55</v>
      </c>
      <c r="P1837" s="116">
        <v>473</v>
      </c>
      <c r="Q1837" s="116">
        <v>479.05</v>
      </c>
      <c r="R1837">
        <v>347066</v>
      </c>
    </row>
    <row r="1838" spans="1:18" x14ac:dyDescent="0.25">
      <c r="A1838" s="169">
        <v>44720</v>
      </c>
      <c r="B1838" s="116">
        <v>142.55000000000001</v>
      </c>
      <c r="C1838" s="116">
        <v>140.05000000000001</v>
      </c>
      <c r="D1838" s="116">
        <v>139.55000000000001</v>
      </c>
      <c r="E1838" s="116">
        <v>142.5</v>
      </c>
      <c r="F1838" s="116">
        <v>140.05000000000001</v>
      </c>
      <c r="G1838">
        <v>77842</v>
      </c>
      <c r="H1838" s="116"/>
      <c r="I1838" s="116"/>
      <c r="L1838" s="169">
        <v>44712</v>
      </c>
      <c r="M1838" s="116">
        <v>483.7</v>
      </c>
      <c r="N1838" s="116">
        <v>489.2</v>
      </c>
      <c r="O1838" s="116">
        <v>465</v>
      </c>
      <c r="P1838" s="116">
        <v>465</v>
      </c>
      <c r="Q1838" s="116">
        <v>483.7</v>
      </c>
      <c r="R1838">
        <v>591456</v>
      </c>
    </row>
    <row r="1839" spans="1:18" x14ac:dyDescent="0.25">
      <c r="A1839" s="169">
        <v>44721</v>
      </c>
      <c r="B1839" s="116">
        <v>142</v>
      </c>
      <c r="C1839" s="116">
        <v>137.80000000000001</v>
      </c>
      <c r="D1839" s="116">
        <v>137</v>
      </c>
      <c r="E1839" s="116">
        <v>142</v>
      </c>
      <c r="F1839" s="116">
        <v>137.80000000000001</v>
      </c>
      <c r="G1839">
        <v>58271</v>
      </c>
      <c r="H1839" s="116"/>
      <c r="I1839" s="116"/>
      <c r="L1839" s="169">
        <v>44713</v>
      </c>
      <c r="M1839" s="116">
        <v>479</v>
      </c>
      <c r="N1839" s="116">
        <v>498</v>
      </c>
      <c r="O1839" s="116">
        <v>475.55</v>
      </c>
      <c r="P1839" s="116">
        <v>488.55</v>
      </c>
      <c r="Q1839" s="116">
        <v>479</v>
      </c>
      <c r="R1839">
        <v>717593</v>
      </c>
    </row>
    <row r="1840" spans="1:18" x14ac:dyDescent="0.25">
      <c r="A1840" s="169">
        <v>44722</v>
      </c>
      <c r="B1840" s="116">
        <v>142</v>
      </c>
      <c r="C1840" s="116">
        <v>137.30000000000001</v>
      </c>
      <c r="D1840" s="116">
        <v>135</v>
      </c>
      <c r="E1840" s="116">
        <v>142</v>
      </c>
      <c r="F1840" s="116">
        <v>137.30000000000001</v>
      </c>
      <c r="G1840">
        <v>35165</v>
      </c>
      <c r="H1840" s="116"/>
      <c r="I1840" s="116"/>
      <c r="L1840" s="169">
        <v>44714</v>
      </c>
      <c r="M1840" s="116">
        <v>482.35</v>
      </c>
      <c r="N1840" s="116">
        <v>485</v>
      </c>
      <c r="O1840" s="116">
        <v>471.25</v>
      </c>
      <c r="P1840" s="116">
        <v>481</v>
      </c>
      <c r="Q1840" s="116">
        <v>482.35</v>
      </c>
      <c r="R1840">
        <v>392368</v>
      </c>
    </row>
    <row r="1841" spans="1:18" x14ac:dyDescent="0.25">
      <c r="A1841" s="169">
        <v>44725</v>
      </c>
      <c r="B1841" s="116">
        <v>135.5</v>
      </c>
      <c r="C1841" s="116">
        <v>132.80000000000001</v>
      </c>
      <c r="D1841" s="116">
        <v>130.55000000000001</v>
      </c>
      <c r="E1841" s="116">
        <v>130.55000000000001</v>
      </c>
      <c r="F1841" s="116">
        <v>132.80000000000001</v>
      </c>
      <c r="G1841">
        <v>166077</v>
      </c>
      <c r="H1841" s="116"/>
      <c r="I1841" s="116"/>
      <c r="L1841" s="169">
        <v>44715</v>
      </c>
      <c r="M1841" s="116">
        <v>469.45</v>
      </c>
      <c r="N1841" s="116">
        <v>489.3</v>
      </c>
      <c r="O1841" s="116">
        <v>466.4</v>
      </c>
      <c r="P1841" s="116">
        <v>485</v>
      </c>
      <c r="Q1841" s="116">
        <v>469.45</v>
      </c>
      <c r="R1841">
        <v>432384</v>
      </c>
    </row>
    <row r="1842" spans="1:18" x14ac:dyDescent="0.25">
      <c r="A1842" s="169">
        <v>44726</v>
      </c>
      <c r="B1842" s="116">
        <v>136</v>
      </c>
      <c r="C1842" s="116">
        <v>135.05000000000001</v>
      </c>
      <c r="D1842" s="116">
        <v>131</v>
      </c>
      <c r="E1842" s="116">
        <v>131</v>
      </c>
      <c r="F1842" s="116">
        <v>135.05000000000001</v>
      </c>
      <c r="G1842">
        <v>65453</v>
      </c>
      <c r="H1842" s="116"/>
      <c r="I1842" s="116"/>
      <c r="L1842" s="169">
        <v>44718</v>
      </c>
      <c r="M1842" s="116">
        <v>472.35</v>
      </c>
      <c r="N1842" s="116">
        <v>475.7</v>
      </c>
      <c r="O1842" s="116">
        <v>455.9</v>
      </c>
      <c r="P1842" s="116">
        <v>467</v>
      </c>
      <c r="Q1842" s="116">
        <v>472.35</v>
      </c>
      <c r="R1842">
        <v>544437</v>
      </c>
    </row>
    <row r="1843" spans="1:18" x14ac:dyDescent="0.25">
      <c r="A1843" s="169">
        <v>44727</v>
      </c>
      <c r="B1843" s="116">
        <v>139.5</v>
      </c>
      <c r="C1843" s="116">
        <v>136.9</v>
      </c>
      <c r="D1843" s="116">
        <v>131.5</v>
      </c>
      <c r="E1843" s="116">
        <v>139.5</v>
      </c>
      <c r="F1843" s="116">
        <v>136.9</v>
      </c>
      <c r="G1843">
        <v>112769</v>
      </c>
      <c r="H1843" s="116"/>
      <c r="I1843" s="116"/>
      <c r="L1843" s="169">
        <v>44719</v>
      </c>
      <c r="M1843" s="116">
        <v>465.15</v>
      </c>
      <c r="N1843" s="116">
        <v>471.3</v>
      </c>
      <c r="O1843" s="116">
        <v>460.25</v>
      </c>
      <c r="P1843" s="116">
        <v>469</v>
      </c>
      <c r="Q1843" s="116">
        <v>465.15</v>
      </c>
      <c r="R1843">
        <v>317829</v>
      </c>
    </row>
    <row r="1844" spans="1:18" x14ac:dyDescent="0.25">
      <c r="A1844" s="169">
        <v>44728</v>
      </c>
      <c r="B1844" s="116">
        <v>140</v>
      </c>
      <c r="C1844" s="116">
        <v>133.65</v>
      </c>
      <c r="D1844" s="116">
        <v>133.4</v>
      </c>
      <c r="E1844" s="116">
        <v>140</v>
      </c>
      <c r="F1844" s="116">
        <v>133.65</v>
      </c>
      <c r="G1844">
        <v>109814</v>
      </c>
      <c r="H1844" s="116"/>
      <c r="I1844" s="116"/>
      <c r="L1844" s="169">
        <v>44720</v>
      </c>
      <c r="M1844" s="116">
        <v>457.85</v>
      </c>
      <c r="N1844" s="116">
        <v>474.7</v>
      </c>
      <c r="O1844" s="116">
        <v>455.05</v>
      </c>
      <c r="P1844" s="116">
        <v>465.15</v>
      </c>
      <c r="Q1844" s="116">
        <v>457.85</v>
      </c>
      <c r="R1844">
        <v>368733</v>
      </c>
    </row>
    <row r="1845" spans="1:18" x14ac:dyDescent="0.25">
      <c r="A1845" s="169">
        <v>44729</v>
      </c>
      <c r="B1845" s="116">
        <v>134</v>
      </c>
      <c r="C1845" s="116">
        <v>132.35</v>
      </c>
      <c r="D1845" s="116">
        <v>131</v>
      </c>
      <c r="E1845" s="116">
        <v>134</v>
      </c>
      <c r="F1845" s="116">
        <v>132.35</v>
      </c>
      <c r="G1845">
        <v>43058</v>
      </c>
      <c r="H1845" s="116"/>
      <c r="I1845" s="116"/>
      <c r="L1845" s="169">
        <v>44721</v>
      </c>
      <c r="M1845" s="116">
        <v>457.7</v>
      </c>
      <c r="N1845" s="116">
        <v>465</v>
      </c>
      <c r="O1845" s="116">
        <v>452</v>
      </c>
      <c r="P1845" s="116">
        <v>457.95</v>
      </c>
      <c r="Q1845" s="116">
        <v>457.7</v>
      </c>
      <c r="R1845">
        <v>376213</v>
      </c>
    </row>
    <row r="1846" spans="1:18" x14ac:dyDescent="0.25">
      <c r="A1846" s="169">
        <v>44732</v>
      </c>
      <c r="B1846" s="116">
        <v>135</v>
      </c>
      <c r="C1846" s="116">
        <v>129.5</v>
      </c>
      <c r="D1846" s="116">
        <v>126.1</v>
      </c>
      <c r="E1846" s="116">
        <v>131</v>
      </c>
      <c r="F1846" s="116">
        <v>129.5</v>
      </c>
      <c r="G1846">
        <v>195976</v>
      </c>
      <c r="H1846" s="116"/>
      <c r="I1846" s="116"/>
      <c r="L1846" s="169">
        <v>44722</v>
      </c>
      <c r="M1846" s="116">
        <v>454.15</v>
      </c>
      <c r="N1846" s="116">
        <v>458.15</v>
      </c>
      <c r="O1846" s="116">
        <v>451</v>
      </c>
      <c r="P1846" s="116">
        <v>457.5</v>
      </c>
      <c r="Q1846" s="116">
        <v>454.15</v>
      </c>
      <c r="R1846">
        <v>257752</v>
      </c>
    </row>
    <row r="1847" spans="1:18" x14ac:dyDescent="0.25">
      <c r="A1847" s="169">
        <v>44733</v>
      </c>
      <c r="B1847" s="116">
        <v>134.6</v>
      </c>
      <c r="C1847" s="116">
        <v>133.4</v>
      </c>
      <c r="D1847" s="116">
        <v>128.5</v>
      </c>
      <c r="E1847" s="116">
        <v>128.5</v>
      </c>
      <c r="F1847" s="116">
        <v>133.4</v>
      </c>
      <c r="G1847">
        <v>173128</v>
      </c>
      <c r="H1847" s="116"/>
      <c r="I1847" s="116"/>
      <c r="L1847" s="169">
        <v>44725</v>
      </c>
      <c r="M1847" s="116">
        <v>439.1</v>
      </c>
      <c r="N1847" s="116">
        <v>448.95</v>
      </c>
      <c r="O1847" s="116">
        <v>425.05</v>
      </c>
      <c r="P1847" s="116">
        <v>447.25</v>
      </c>
      <c r="Q1847" s="116">
        <v>439.1</v>
      </c>
      <c r="R1847">
        <v>636490</v>
      </c>
    </row>
    <row r="1848" spans="1:18" x14ac:dyDescent="0.25">
      <c r="A1848" s="169">
        <v>44734</v>
      </c>
      <c r="B1848" s="116">
        <v>135.9</v>
      </c>
      <c r="C1848" s="116">
        <v>134</v>
      </c>
      <c r="D1848" s="116">
        <v>130</v>
      </c>
      <c r="E1848" s="116">
        <v>135.9</v>
      </c>
      <c r="F1848" s="116">
        <v>134</v>
      </c>
      <c r="G1848">
        <v>43412</v>
      </c>
      <c r="H1848" s="116"/>
      <c r="I1848" s="116"/>
      <c r="L1848" s="169">
        <v>44726</v>
      </c>
      <c r="M1848" s="116">
        <v>443.2</v>
      </c>
      <c r="N1848" s="116">
        <v>448.6</v>
      </c>
      <c r="O1848" s="116">
        <v>435.75</v>
      </c>
      <c r="P1848" s="116">
        <v>439</v>
      </c>
      <c r="Q1848" s="116">
        <v>443.2</v>
      </c>
      <c r="R1848">
        <v>304810</v>
      </c>
    </row>
    <row r="1849" spans="1:18" x14ac:dyDescent="0.25">
      <c r="A1849" s="169">
        <v>44735</v>
      </c>
      <c r="B1849" s="116">
        <v>135.69999999999999</v>
      </c>
      <c r="C1849" s="116">
        <v>133.55000000000001</v>
      </c>
      <c r="D1849" s="116">
        <v>132.19999999999999</v>
      </c>
      <c r="E1849" s="116">
        <v>132.19999999999999</v>
      </c>
      <c r="F1849" s="116">
        <v>133.55000000000001</v>
      </c>
      <c r="G1849">
        <v>66372</v>
      </c>
      <c r="H1849" s="116"/>
      <c r="I1849" s="116"/>
      <c r="L1849" s="169">
        <v>44727</v>
      </c>
      <c r="M1849" s="116">
        <v>446.5</v>
      </c>
      <c r="N1849" s="116">
        <v>450.25</v>
      </c>
      <c r="O1849" s="116">
        <v>441.6</v>
      </c>
      <c r="P1849" s="116">
        <v>445.45</v>
      </c>
      <c r="Q1849" s="116">
        <v>446.5</v>
      </c>
      <c r="R1849">
        <v>329072</v>
      </c>
    </row>
    <row r="1850" spans="1:18" x14ac:dyDescent="0.25">
      <c r="A1850" s="169">
        <v>44736</v>
      </c>
      <c r="B1850" s="116">
        <v>137.5</v>
      </c>
      <c r="C1850" s="116">
        <v>136.75</v>
      </c>
      <c r="D1850" s="116">
        <v>133</v>
      </c>
      <c r="E1850" s="116">
        <v>133.5</v>
      </c>
      <c r="F1850" s="116">
        <v>136.75</v>
      </c>
      <c r="G1850">
        <v>36704</v>
      </c>
      <c r="H1850" s="116"/>
      <c r="I1850" s="116"/>
      <c r="L1850" s="169">
        <v>44728</v>
      </c>
      <c r="M1850" s="116">
        <v>424.3</v>
      </c>
      <c r="N1850" s="116">
        <v>456.5</v>
      </c>
      <c r="O1850" s="116">
        <v>421.4</v>
      </c>
      <c r="P1850" s="116">
        <v>454</v>
      </c>
      <c r="Q1850" s="116">
        <v>424.3</v>
      </c>
      <c r="R1850">
        <v>544199</v>
      </c>
    </row>
    <row r="1851" spans="1:18" x14ac:dyDescent="0.25">
      <c r="A1851" s="169">
        <v>44739</v>
      </c>
      <c r="B1851" s="116">
        <v>140.05000000000001</v>
      </c>
      <c r="C1851" s="116">
        <v>137.5</v>
      </c>
      <c r="D1851" s="116">
        <v>135.1</v>
      </c>
      <c r="E1851" s="116">
        <v>138</v>
      </c>
      <c r="F1851" s="116">
        <v>137.5</v>
      </c>
      <c r="G1851">
        <v>46653</v>
      </c>
      <c r="H1851" s="116"/>
      <c r="I1851" s="116"/>
      <c r="L1851" s="169">
        <v>44729</v>
      </c>
      <c r="M1851" s="116">
        <v>418.35</v>
      </c>
      <c r="N1851" s="116">
        <v>430.6</v>
      </c>
      <c r="O1851" s="116">
        <v>414.05</v>
      </c>
      <c r="P1851" s="116">
        <v>422.5</v>
      </c>
      <c r="Q1851" s="116">
        <v>418.35</v>
      </c>
      <c r="R1851">
        <v>522065</v>
      </c>
    </row>
    <row r="1852" spans="1:18" x14ac:dyDescent="0.25">
      <c r="A1852" s="169">
        <v>44740</v>
      </c>
      <c r="B1852" s="116">
        <v>144.35</v>
      </c>
      <c r="C1852" s="116">
        <v>144.35</v>
      </c>
      <c r="D1852" s="116">
        <v>138</v>
      </c>
      <c r="E1852" s="116">
        <v>138</v>
      </c>
      <c r="F1852" s="116">
        <v>144.35</v>
      </c>
      <c r="G1852">
        <v>449841</v>
      </c>
      <c r="H1852" s="116"/>
      <c r="I1852" s="116"/>
      <c r="L1852" s="169">
        <v>44732</v>
      </c>
      <c r="M1852" s="116">
        <v>415.45</v>
      </c>
      <c r="N1852" s="116">
        <v>428.75</v>
      </c>
      <c r="O1852" s="116">
        <v>406.65</v>
      </c>
      <c r="P1852" s="116">
        <v>421</v>
      </c>
      <c r="Q1852" s="116">
        <v>415.45</v>
      </c>
      <c r="R1852">
        <v>550787</v>
      </c>
    </row>
    <row r="1853" spans="1:18" x14ac:dyDescent="0.25">
      <c r="A1853" s="169">
        <v>44741</v>
      </c>
      <c r="B1853" s="116">
        <v>151.55000000000001</v>
      </c>
      <c r="C1853" s="116">
        <v>147.25</v>
      </c>
      <c r="D1853" s="116">
        <v>145.05000000000001</v>
      </c>
      <c r="E1853" s="116">
        <v>145.94999999999999</v>
      </c>
      <c r="F1853" s="116">
        <v>147.25</v>
      </c>
      <c r="G1853">
        <v>275139</v>
      </c>
      <c r="H1853" s="116"/>
      <c r="I1853" s="116"/>
      <c r="L1853" s="169">
        <v>44733</v>
      </c>
      <c r="M1853" s="116">
        <v>420.95</v>
      </c>
      <c r="N1853" s="116">
        <v>425.9</v>
      </c>
      <c r="O1853" s="116">
        <v>417</v>
      </c>
      <c r="P1853" s="116">
        <v>417</v>
      </c>
      <c r="Q1853" s="116">
        <v>420.95</v>
      </c>
      <c r="R1853">
        <v>895951</v>
      </c>
    </row>
    <row r="1854" spans="1:18" x14ac:dyDescent="0.25">
      <c r="A1854" s="169">
        <v>44742</v>
      </c>
      <c r="B1854" s="116">
        <v>149.85</v>
      </c>
      <c r="C1854" s="116">
        <v>139.9</v>
      </c>
      <c r="D1854" s="116">
        <v>139.9</v>
      </c>
      <c r="E1854" s="116">
        <v>149.85</v>
      </c>
      <c r="F1854" s="116">
        <v>139.9</v>
      </c>
      <c r="G1854">
        <v>154840</v>
      </c>
      <c r="H1854" s="116"/>
      <c r="I1854" s="116"/>
      <c r="L1854" s="169">
        <v>44734</v>
      </c>
      <c r="M1854" s="116">
        <v>421.5</v>
      </c>
      <c r="N1854" s="116">
        <v>423.3</v>
      </c>
      <c r="O1854" s="116">
        <v>408</v>
      </c>
      <c r="P1854" s="116">
        <v>421.5</v>
      </c>
      <c r="Q1854" s="116">
        <v>421.5</v>
      </c>
      <c r="R1854">
        <v>623107</v>
      </c>
    </row>
    <row r="1855" spans="1:18" x14ac:dyDescent="0.25">
      <c r="A1855" s="169">
        <v>44743</v>
      </c>
      <c r="B1855" s="116">
        <v>140.65</v>
      </c>
      <c r="C1855" s="116">
        <v>139</v>
      </c>
      <c r="D1855" s="116">
        <v>133.6</v>
      </c>
      <c r="E1855" s="116">
        <v>133.6</v>
      </c>
      <c r="F1855" s="116">
        <v>139</v>
      </c>
      <c r="G1855">
        <v>176424</v>
      </c>
      <c r="H1855" s="116"/>
      <c r="I1855" s="116"/>
      <c r="L1855" s="169">
        <v>44735</v>
      </c>
      <c r="M1855" s="116">
        <v>427.45</v>
      </c>
      <c r="N1855" s="116">
        <v>428.8</v>
      </c>
      <c r="O1855" s="116">
        <v>413.5</v>
      </c>
      <c r="P1855" s="116">
        <v>421</v>
      </c>
      <c r="Q1855" s="116">
        <v>427.45</v>
      </c>
      <c r="R1855">
        <v>322298</v>
      </c>
    </row>
    <row r="1856" spans="1:18" x14ac:dyDescent="0.25">
      <c r="A1856" s="169">
        <v>44746</v>
      </c>
      <c r="B1856" s="116">
        <v>141.75</v>
      </c>
      <c r="C1856" s="116">
        <v>136.44999999999999</v>
      </c>
      <c r="D1856" s="116">
        <v>136</v>
      </c>
      <c r="E1856" s="116">
        <v>139</v>
      </c>
      <c r="F1856" s="116">
        <v>136.44999999999999</v>
      </c>
      <c r="G1856">
        <v>124375</v>
      </c>
      <c r="H1856" s="116"/>
      <c r="I1856" s="116"/>
      <c r="L1856" s="169">
        <v>44736</v>
      </c>
      <c r="M1856" s="116">
        <v>433.95</v>
      </c>
      <c r="N1856" s="116">
        <v>438.55</v>
      </c>
      <c r="O1856" s="116">
        <v>429.5</v>
      </c>
      <c r="P1856" s="116">
        <v>430</v>
      </c>
      <c r="Q1856" s="116">
        <v>433.95</v>
      </c>
      <c r="R1856">
        <v>364663</v>
      </c>
    </row>
    <row r="1857" spans="1:18" x14ac:dyDescent="0.25">
      <c r="A1857" s="169">
        <v>44747</v>
      </c>
      <c r="B1857" s="116">
        <v>137.94999999999999</v>
      </c>
      <c r="C1857" s="116">
        <v>136.75</v>
      </c>
      <c r="D1857" s="116">
        <v>135</v>
      </c>
      <c r="E1857" s="116">
        <v>137.9</v>
      </c>
      <c r="F1857" s="116">
        <v>136.75</v>
      </c>
      <c r="G1857">
        <v>53799</v>
      </c>
      <c r="H1857" s="116"/>
      <c r="I1857" s="116"/>
      <c r="L1857" s="169">
        <v>44739</v>
      </c>
      <c r="M1857" s="116">
        <v>442.35</v>
      </c>
      <c r="N1857" s="116">
        <v>445.15</v>
      </c>
      <c r="O1857" s="116">
        <v>435.4</v>
      </c>
      <c r="P1857" s="116">
        <v>436.1</v>
      </c>
      <c r="Q1857" s="116">
        <v>442.35</v>
      </c>
      <c r="R1857">
        <v>544837</v>
      </c>
    </row>
    <row r="1858" spans="1:18" x14ac:dyDescent="0.25">
      <c r="A1858" s="169">
        <v>44748</v>
      </c>
      <c r="B1858" s="116">
        <v>141.44999999999999</v>
      </c>
      <c r="C1858" s="116">
        <v>140.80000000000001</v>
      </c>
      <c r="D1858" s="116">
        <v>134</v>
      </c>
      <c r="E1858" s="116">
        <v>137.4</v>
      </c>
      <c r="F1858" s="116">
        <v>140.80000000000001</v>
      </c>
      <c r="G1858">
        <v>65854</v>
      </c>
      <c r="H1858" s="116"/>
      <c r="I1858" s="116"/>
      <c r="L1858" s="169">
        <v>44740</v>
      </c>
      <c r="M1858" s="116">
        <v>432.35</v>
      </c>
      <c r="N1858" s="116">
        <v>443.95</v>
      </c>
      <c r="O1858" s="116">
        <v>430.1</v>
      </c>
      <c r="P1858" s="116">
        <v>443.4</v>
      </c>
      <c r="Q1858" s="116">
        <v>432.35</v>
      </c>
      <c r="R1858">
        <v>316930</v>
      </c>
    </row>
    <row r="1859" spans="1:18" x14ac:dyDescent="0.25">
      <c r="A1859" s="169">
        <v>44749</v>
      </c>
      <c r="B1859" s="116">
        <v>144.75</v>
      </c>
      <c r="C1859" s="116">
        <v>143.75</v>
      </c>
      <c r="D1859" s="116">
        <v>138.85</v>
      </c>
      <c r="E1859" s="116">
        <v>140.94999999999999</v>
      </c>
      <c r="F1859" s="116">
        <v>143.75</v>
      </c>
      <c r="G1859">
        <v>294355</v>
      </c>
      <c r="H1859" s="116"/>
      <c r="I1859" s="116"/>
      <c r="L1859" s="169">
        <v>44741</v>
      </c>
      <c r="M1859" s="116">
        <v>432.35</v>
      </c>
      <c r="N1859" s="116">
        <v>436</v>
      </c>
      <c r="O1859" s="116">
        <v>421</v>
      </c>
      <c r="P1859" s="116">
        <v>427</v>
      </c>
      <c r="Q1859" s="116">
        <v>432.35</v>
      </c>
      <c r="R1859">
        <v>326493</v>
      </c>
    </row>
    <row r="1860" spans="1:18" x14ac:dyDescent="0.25">
      <c r="A1860" s="169">
        <v>44750</v>
      </c>
      <c r="B1860" s="116">
        <v>147</v>
      </c>
      <c r="C1860" s="116">
        <v>142.44999999999999</v>
      </c>
      <c r="D1860" s="116">
        <v>140.1</v>
      </c>
      <c r="E1860" s="116">
        <v>140.6</v>
      </c>
      <c r="F1860" s="116">
        <v>142.44999999999999</v>
      </c>
      <c r="G1860">
        <v>96743</v>
      </c>
      <c r="H1860" s="116"/>
      <c r="I1860" s="116"/>
      <c r="L1860" s="169">
        <v>44742</v>
      </c>
      <c r="M1860" s="116">
        <v>426.35</v>
      </c>
      <c r="N1860" s="116">
        <v>440.4</v>
      </c>
      <c r="O1860" s="116">
        <v>422.85</v>
      </c>
      <c r="P1860" s="116">
        <v>431</v>
      </c>
      <c r="Q1860" s="116">
        <v>426.35</v>
      </c>
      <c r="R1860">
        <v>644315</v>
      </c>
    </row>
    <row r="1861" spans="1:18" x14ac:dyDescent="0.25">
      <c r="A1861" s="169">
        <v>44753</v>
      </c>
      <c r="B1861" s="116">
        <v>148</v>
      </c>
      <c r="C1861" s="116">
        <v>146.80000000000001</v>
      </c>
      <c r="D1861" s="116">
        <v>139.80000000000001</v>
      </c>
      <c r="E1861" s="116">
        <v>142</v>
      </c>
      <c r="F1861" s="116">
        <v>146.80000000000001</v>
      </c>
      <c r="G1861">
        <v>185487</v>
      </c>
      <c r="H1861" s="116"/>
      <c r="I1861" s="116"/>
      <c r="L1861" s="169">
        <v>44743</v>
      </c>
      <c r="M1861" s="116">
        <v>439.7</v>
      </c>
      <c r="N1861" s="116">
        <v>443.4</v>
      </c>
      <c r="O1861" s="116">
        <v>424.7</v>
      </c>
      <c r="P1861" s="116">
        <v>427.85</v>
      </c>
      <c r="Q1861" s="116">
        <v>439.7</v>
      </c>
      <c r="R1861">
        <v>663285</v>
      </c>
    </row>
    <row r="1862" spans="1:18" x14ac:dyDescent="0.25">
      <c r="A1862" s="169">
        <v>44754</v>
      </c>
      <c r="B1862" s="116">
        <v>147.5</v>
      </c>
      <c r="C1862" s="116">
        <v>144.30000000000001</v>
      </c>
      <c r="D1862" s="116">
        <v>142.15</v>
      </c>
      <c r="E1862" s="116">
        <v>147.15</v>
      </c>
      <c r="F1862" s="116">
        <v>144.30000000000001</v>
      </c>
      <c r="G1862">
        <v>68920</v>
      </c>
      <c r="H1862" s="116"/>
      <c r="I1862" s="116"/>
      <c r="L1862" s="169">
        <v>44746</v>
      </c>
      <c r="M1862" s="116">
        <v>441.85</v>
      </c>
      <c r="N1862" s="116">
        <v>444</v>
      </c>
      <c r="O1862" s="116">
        <v>436.9</v>
      </c>
      <c r="P1862" s="116">
        <v>442.8</v>
      </c>
      <c r="Q1862" s="116">
        <v>441.85</v>
      </c>
      <c r="R1862">
        <v>313893</v>
      </c>
    </row>
    <row r="1863" spans="1:18" x14ac:dyDescent="0.25">
      <c r="A1863" s="169">
        <v>44755</v>
      </c>
      <c r="B1863" s="116">
        <v>146.05000000000001</v>
      </c>
      <c r="C1863" s="116">
        <v>145.30000000000001</v>
      </c>
      <c r="D1863" s="116">
        <v>143</v>
      </c>
      <c r="E1863" s="116">
        <v>144.4</v>
      </c>
      <c r="F1863" s="116">
        <v>145.30000000000001</v>
      </c>
      <c r="G1863">
        <v>506445</v>
      </c>
      <c r="H1863" s="116"/>
      <c r="I1863" s="116"/>
      <c r="L1863" s="169">
        <v>44747</v>
      </c>
      <c r="M1863" s="116">
        <v>447.35</v>
      </c>
      <c r="N1863" s="116">
        <v>450.75</v>
      </c>
      <c r="O1863" s="116">
        <v>443.2</v>
      </c>
      <c r="P1863" s="116">
        <v>445.1</v>
      </c>
      <c r="Q1863" s="116">
        <v>447.35</v>
      </c>
      <c r="R1863">
        <v>559850</v>
      </c>
    </row>
    <row r="1864" spans="1:18" x14ac:dyDescent="0.25">
      <c r="A1864" s="169">
        <v>44756</v>
      </c>
      <c r="B1864" s="116">
        <v>149</v>
      </c>
      <c r="C1864" s="116">
        <v>147.05000000000001</v>
      </c>
      <c r="D1864" s="116">
        <v>140</v>
      </c>
      <c r="E1864" s="116">
        <v>146.80000000000001</v>
      </c>
      <c r="F1864" s="116">
        <v>147.05000000000001</v>
      </c>
      <c r="G1864">
        <v>272988</v>
      </c>
      <c r="H1864" s="116"/>
      <c r="I1864" s="116"/>
      <c r="L1864" s="169">
        <v>44748</v>
      </c>
      <c r="M1864" s="116">
        <v>450.2</v>
      </c>
      <c r="N1864" s="116">
        <v>452.35</v>
      </c>
      <c r="O1864" s="116">
        <v>445.3</v>
      </c>
      <c r="P1864" s="116">
        <v>449.35</v>
      </c>
      <c r="Q1864" s="116">
        <v>450.2</v>
      </c>
      <c r="R1864">
        <v>245315</v>
      </c>
    </row>
    <row r="1865" spans="1:18" x14ac:dyDescent="0.25">
      <c r="A1865" s="169">
        <v>44757</v>
      </c>
      <c r="B1865" s="116">
        <v>151</v>
      </c>
      <c r="C1865" s="116">
        <v>146.4</v>
      </c>
      <c r="D1865" s="116">
        <v>144.15</v>
      </c>
      <c r="E1865" s="116">
        <v>144.19999999999999</v>
      </c>
      <c r="F1865" s="116">
        <v>146.4</v>
      </c>
      <c r="G1865">
        <v>256363</v>
      </c>
      <c r="H1865" s="116"/>
      <c r="I1865" s="116"/>
      <c r="L1865" s="169">
        <v>44749</v>
      </c>
      <c r="M1865" s="116">
        <v>463.45</v>
      </c>
      <c r="N1865" s="116">
        <v>466.4</v>
      </c>
      <c r="O1865" s="116">
        <v>452.25</v>
      </c>
      <c r="P1865" s="116">
        <v>454</v>
      </c>
      <c r="Q1865" s="116">
        <v>463.45</v>
      </c>
      <c r="R1865">
        <v>446199</v>
      </c>
    </row>
    <row r="1866" spans="1:18" x14ac:dyDescent="0.25">
      <c r="A1866" s="169">
        <v>44760</v>
      </c>
      <c r="B1866" s="116">
        <v>150</v>
      </c>
      <c r="C1866" s="116">
        <v>149.5</v>
      </c>
      <c r="D1866" s="116">
        <v>147</v>
      </c>
      <c r="E1866" s="116">
        <v>147.85</v>
      </c>
      <c r="F1866" s="116">
        <v>149.5</v>
      </c>
      <c r="G1866">
        <v>214306</v>
      </c>
      <c r="H1866" s="116"/>
      <c r="I1866" s="116"/>
      <c r="L1866" s="169">
        <v>44750</v>
      </c>
      <c r="M1866" s="116">
        <v>463.55</v>
      </c>
      <c r="N1866" s="116">
        <v>469.15</v>
      </c>
      <c r="O1866" s="116">
        <v>459</v>
      </c>
      <c r="P1866" s="116">
        <v>469.15</v>
      </c>
      <c r="Q1866" s="116">
        <v>463.55</v>
      </c>
      <c r="R1866">
        <v>208163</v>
      </c>
    </row>
    <row r="1867" spans="1:18" x14ac:dyDescent="0.25">
      <c r="A1867" s="169">
        <v>44761</v>
      </c>
      <c r="B1867" s="116">
        <v>152.80000000000001</v>
      </c>
      <c r="C1867" s="116">
        <v>145.85</v>
      </c>
      <c r="D1867" s="116">
        <v>144.1</v>
      </c>
      <c r="E1867" s="116">
        <v>151</v>
      </c>
      <c r="F1867" s="116">
        <v>145.85</v>
      </c>
      <c r="G1867">
        <v>174760</v>
      </c>
      <c r="H1867" s="116"/>
      <c r="I1867" s="116"/>
      <c r="L1867" s="169">
        <v>44753</v>
      </c>
      <c r="M1867" s="116">
        <v>471.2</v>
      </c>
      <c r="N1867" s="116">
        <v>473.25</v>
      </c>
      <c r="O1867" s="116">
        <v>459.9</v>
      </c>
      <c r="P1867" s="116">
        <v>461</v>
      </c>
      <c r="Q1867" s="116">
        <v>471.2</v>
      </c>
      <c r="R1867">
        <v>283875</v>
      </c>
    </row>
    <row r="1868" spans="1:18" x14ac:dyDescent="0.25">
      <c r="A1868" s="169">
        <v>44762</v>
      </c>
      <c r="B1868" s="116">
        <v>148.9</v>
      </c>
      <c r="C1868" s="116">
        <v>143</v>
      </c>
      <c r="D1868" s="116">
        <v>142.5</v>
      </c>
      <c r="E1868" s="116">
        <v>148.9</v>
      </c>
      <c r="F1868" s="116">
        <v>143</v>
      </c>
      <c r="G1868">
        <v>75032</v>
      </c>
      <c r="H1868" s="116"/>
      <c r="I1868" s="116"/>
      <c r="L1868" s="169">
        <v>44754</v>
      </c>
      <c r="M1868" s="116">
        <v>476.8</v>
      </c>
      <c r="N1868" s="116">
        <v>486</v>
      </c>
      <c r="O1868" s="116">
        <v>464.6</v>
      </c>
      <c r="P1868" s="116">
        <v>471</v>
      </c>
      <c r="Q1868" s="116">
        <v>476.8</v>
      </c>
      <c r="R1868">
        <v>688815</v>
      </c>
    </row>
    <row r="1869" spans="1:18" x14ac:dyDescent="0.25">
      <c r="A1869" s="169">
        <v>44763</v>
      </c>
      <c r="B1869" s="116">
        <v>148</v>
      </c>
      <c r="C1869" s="116">
        <v>143.94999999999999</v>
      </c>
      <c r="D1869" s="116">
        <v>139.5</v>
      </c>
      <c r="E1869" s="116">
        <v>144.9</v>
      </c>
      <c r="F1869" s="116">
        <v>143.94999999999999</v>
      </c>
      <c r="G1869">
        <v>73621</v>
      </c>
      <c r="H1869" s="116"/>
      <c r="I1869" s="116"/>
      <c r="L1869" s="169">
        <v>44755</v>
      </c>
      <c r="M1869" s="116">
        <v>480.85</v>
      </c>
      <c r="N1869" s="116">
        <v>483.8</v>
      </c>
      <c r="O1869" s="116">
        <v>476.05</v>
      </c>
      <c r="P1869" s="116">
        <v>477.3</v>
      </c>
      <c r="Q1869" s="116">
        <v>480.85</v>
      </c>
      <c r="R1869">
        <v>244263</v>
      </c>
    </row>
    <row r="1870" spans="1:18" x14ac:dyDescent="0.25">
      <c r="A1870" s="169">
        <v>44764</v>
      </c>
      <c r="B1870" s="116">
        <v>147.65</v>
      </c>
      <c r="C1870" s="116">
        <v>139.25</v>
      </c>
      <c r="D1870" s="116">
        <v>138</v>
      </c>
      <c r="E1870" s="116">
        <v>146.9</v>
      </c>
      <c r="F1870" s="116">
        <v>139.25</v>
      </c>
      <c r="G1870">
        <v>125063</v>
      </c>
      <c r="H1870" s="116"/>
      <c r="I1870" s="116"/>
      <c r="L1870" s="169">
        <v>44756</v>
      </c>
      <c r="M1870" s="116">
        <v>471.55</v>
      </c>
      <c r="N1870" s="116">
        <v>484.9</v>
      </c>
      <c r="O1870" s="116">
        <v>468.5</v>
      </c>
      <c r="P1870" s="116">
        <v>481.25</v>
      </c>
      <c r="Q1870" s="116">
        <v>471.55</v>
      </c>
      <c r="R1870">
        <v>357454</v>
      </c>
    </row>
    <row r="1871" spans="1:18" x14ac:dyDescent="0.25">
      <c r="A1871" s="169">
        <v>44767</v>
      </c>
      <c r="B1871" s="116">
        <v>141.9</v>
      </c>
      <c r="C1871" s="116">
        <v>138.69999999999999</v>
      </c>
      <c r="D1871" s="116">
        <v>132.44999999999999</v>
      </c>
      <c r="E1871" s="116">
        <v>138</v>
      </c>
      <c r="F1871" s="116">
        <v>138.69999999999999</v>
      </c>
      <c r="G1871">
        <v>68582</v>
      </c>
      <c r="H1871" s="116"/>
      <c r="I1871" s="116"/>
      <c r="L1871" s="169">
        <v>44757</v>
      </c>
      <c r="M1871" s="116">
        <v>481.5</v>
      </c>
      <c r="N1871" s="116">
        <v>485.75</v>
      </c>
      <c r="O1871" s="116">
        <v>470.1</v>
      </c>
      <c r="P1871" s="116">
        <v>475.3</v>
      </c>
      <c r="Q1871" s="116">
        <v>481.5</v>
      </c>
      <c r="R1871">
        <v>362040</v>
      </c>
    </row>
    <row r="1872" spans="1:18" x14ac:dyDescent="0.25">
      <c r="A1872" s="169">
        <v>44768</v>
      </c>
      <c r="B1872" s="116">
        <v>141.80000000000001</v>
      </c>
      <c r="C1872" s="116">
        <v>140.80000000000001</v>
      </c>
      <c r="D1872" s="116">
        <v>136.35</v>
      </c>
      <c r="E1872" s="116">
        <v>136.35</v>
      </c>
      <c r="F1872" s="116">
        <v>140.80000000000001</v>
      </c>
      <c r="G1872">
        <v>132304</v>
      </c>
      <c r="H1872" s="116"/>
      <c r="I1872" s="116"/>
      <c r="L1872" s="169">
        <v>44760</v>
      </c>
      <c r="M1872" s="116">
        <v>505.6</v>
      </c>
      <c r="N1872" s="116">
        <v>507</v>
      </c>
      <c r="O1872" s="116">
        <v>481.6</v>
      </c>
      <c r="P1872" s="116">
        <v>481.6</v>
      </c>
      <c r="Q1872" s="116">
        <v>505.6</v>
      </c>
      <c r="R1872">
        <v>1423194</v>
      </c>
    </row>
    <row r="1873" spans="1:18" x14ac:dyDescent="0.25">
      <c r="A1873" s="169">
        <v>44769</v>
      </c>
      <c r="B1873" s="116">
        <v>143</v>
      </c>
      <c r="C1873" s="116">
        <v>141.9</v>
      </c>
      <c r="D1873" s="116">
        <v>137.1</v>
      </c>
      <c r="E1873" s="116">
        <v>137.1</v>
      </c>
      <c r="F1873" s="116">
        <v>141.9</v>
      </c>
      <c r="G1873">
        <v>90455</v>
      </c>
      <c r="H1873" s="116"/>
      <c r="I1873" s="116"/>
      <c r="L1873" s="169">
        <v>44761</v>
      </c>
      <c r="M1873" s="116">
        <v>507.25</v>
      </c>
      <c r="N1873" s="116">
        <v>511.65</v>
      </c>
      <c r="O1873" s="116">
        <v>500.4</v>
      </c>
      <c r="P1873" s="116">
        <v>507.4</v>
      </c>
      <c r="Q1873" s="116">
        <v>507.25</v>
      </c>
      <c r="R1873">
        <v>682813</v>
      </c>
    </row>
    <row r="1874" spans="1:18" x14ac:dyDescent="0.25">
      <c r="A1874" s="169">
        <v>44770</v>
      </c>
      <c r="B1874" s="116">
        <v>143</v>
      </c>
      <c r="C1874" s="116">
        <v>140</v>
      </c>
      <c r="D1874" s="116">
        <v>139</v>
      </c>
      <c r="E1874" s="116">
        <v>141.9</v>
      </c>
      <c r="F1874" s="116">
        <v>140</v>
      </c>
      <c r="G1874">
        <v>420737</v>
      </c>
      <c r="H1874" s="116"/>
      <c r="I1874" s="116"/>
      <c r="L1874" s="169">
        <v>44762</v>
      </c>
      <c r="M1874" s="116">
        <v>520.85</v>
      </c>
      <c r="N1874" s="116">
        <v>526.1</v>
      </c>
      <c r="O1874" s="116">
        <v>510.15</v>
      </c>
      <c r="P1874" s="116">
        <v>513</v>
      </c>
      <c r="Q1874" s="116">
        <v>520.85</v>
      </c>
      <c r="R1874">
        <v>987910</v>
      </c>
    </row>
    <row r="1875" spans="1:18" x14ac:dyDescent="0.25">
      <c r="A1875" s="169">
        <v>44771</v>
      </c>
      <c r="B1875" s="116">
        <v>143.4</v>
      </c>
      <c r="C1875" s="116">
        <v>139.80000000000001</v>
      </c>
      <c r="D1875" s="116">
        <v>139</v>
      </c>
      <c r="E1875" s="116">
        <v>140</v>
      </c>
      <c r="F1875" s="116">
        <v>139.80000000000001</v>
      </c>
      <c r="G1875">
        <v>133900</v>
      </c>
      <c r="H1875" s="116"/>
      <c r="I1875" s="116"/>
      <c r="L1875" s="169">
        <v>44763</v>
      </c>
      <c r="M1875" s="116">
        <v>541.45000000000005</v>
      </c>
      <c r="N1875" s="116">
        <v>545</v>
      </c>
      <c r="O1875" s="116">
        <v>516.5</v>
      </c>
      <c r="P1875" s="116">
        <v>520.70000000000005</v>
      </c>
      <c r="Q1875" s="116">
        <v>541.45000000000005</v>
      </c>
      <c r="R1875">
        <v>914632</v>
      </c>
    </row>
    <row r="1876" spans="1:18" x14ac:dyDescent="0.25">
      <c r="A1876" s="169">
        <v>44774</v>
      </c>
      <c r="B1876" s="116">
        <v>145.5</v>
      </c>
      <c r="C1876" s="116">
        <v>141.9</v>
      </c>
      <c r="D1876" s="116">
        <v>140.80000000000001</v>
      </c>
      <c r="E1876" s="116">
        <v>142</v>
      </c>
      <c r="F1876" s="116">
        <v>141.9</v>
      </c>
      <c r="G1876">
        <v>315432</v>
      </c>
      <c r="H1876" s="116"/>
      <c r="I1876" s="116"/>
      <c r="L1876" s="169">
        <v>44764</v>
      </c>
      <c r="M1876" s="116">
        <v>537.65</v>
      </c>
      <c r="N1876" s="116">
        <v>590</v>
      </c>
      <c r="O1876" s="116">
        <v>533.85</v>
      </c>
      <c r="P1876" s="116">
        <v>555</v>
      </c>
      <c r="Q1876" s="116">
        <v>537.65</v>
      </c>
      <c r="R1876">
        <v>7136953</v>
      </c>
    </row>
    <row r="1877" spans="1:18" x14ac:dyDescent="0.25">
      <c r="A1877" s="169">
        <v>44775</v>
      </c>
      <c r="B1877" s="116">
        <v>146.55000000000001</v>
      </c>
      <c r="C1877" s="116">
        <v>145.25</v>
      </c>
      <c r="D1877" s="116">
        <v>141.9</v>
      </c>
      <c r="E1877" s="116">
        <v>142.69999999999999</v>
      </c>
      <c r="F1877" s="116">
        <v>145.25</v>
      </c>
      <c r="G1877">
        <v>305596</v>
      </c>
      <c r="H1877" s="116"/>
      <c r="I1877" s="116"/>
      <c r="L1877" s="169">
        <v>44767</v>
      </c>
      <c r="M1877" s="116">
        <v>550.75</v>
      </c>
      <c r="N1877" s="116">
        <v>553.15</v>
      </c>
      <c r="O1877" s="116">
        <v>530.1</v>
      </c>
      <c r="P1877" s="116">
        <v>536</v>
      </c>
      <c r="Q1877" s="116">
        <v>550.75</v>
      </c>
      <c r="R1877">
        <v>1979426</v>
      </c>
    </row>
    <row r="1878" spans="1:18" x14ac:dyDescent="0.25">
      <c r="A1878" s="169">
        <v>44776</v>
      </c>
      <c r="B1878" s="116">
        <v>147.85</v>
      </c>
      <c r="C1878" s="116">
        <v>142</v>
      </c>
      <c r="D1878" s="116">
        <v>140.5</v>
      </c>
      <c r="E1878" s="116">
        <v>144</v>
      </c>
      <c r="F1878" s="116">
        <v>142</v>
      </c>
      <c r="G1878">
        <v>85309</v>
      </c>
      <c r="H1878" s="116"/>
      <c r="I1878" s="116"/>
      <c r="L1878" s="169">
        <v>44768</v>
      </c>
      <c r="M1878" s="116">
        <v>546.25</v>
      </c>
      <c r="N1878" s="116">
        <v>562.54999999999995</v>
      </c>
      <c r="O1878" s="116">
        <v>543.70000000000005</v>
      </c>
      <c r="P1878" s="116">
        <v>554.79999999999995</v>
      </c>
      <c r="Q1878" s="116">
        <v>546.25</v>
      </c>
      <c r="R1878">
        <v>1390850</v>
      </c>
    </row>
    <row r="1879" spans="1:18" x14ac:dyDescent="0.25">
      <c r="A1879" s="169">
        <v>44777</v>
      </c>
      <c r="B1879" s="116">
        <v>143.9</v>
      </c>
      <c r="C1879" s="116">
        <v>140.85</v>
      </c>
      <c r="D1879" s="116">
        <v>140.69999999999999</v>
      </c>
      <c r="E1879" s="116">
        <v>143.9</v>
      </c>
      <c r="F1879" s="116">
        <v>140.85</v>
      </c>
      <c r="G1879">
        <v>94028</v>
      </c>
      <c r="H1879" s="116"/>
      <c r="I1879" s="116"/>
      <c r="L1879" s="169">
        <v>44769</v>
      </c>
      <c r="M1879" s="116">
        <v>567.1</v>
      </c>
      <c r="N1879" s="116">
        <v>569.5</v>
      </c>
      <c r="O1879" s="116">
        <v>545.1</v>
      </c>
      <c r="P1879" s="116">
        <v>547</v>
      </c>
      <c r="Q1879" s="116">
        <v>567.1</v>
      </c>
      <c r="R1879">
        <v>1589604</v>
      </c>
    </row>
    <row r="1880" spans="1:18" x14ac:dyDescent="0.25">
      <c r="A1880" s="169">
        <v>44778</v>
      </c>
      <c r="B1880" s="116">
        <v>142.65</v>
      </c>
      <c r="C1880" s="116">
        <v>139.80000000000001</v>
      </c>
      <c r="D1880" s="116">
        <v>139</v>
      </c>
      <c r="E1880" s="116">
        <v>140.85</v>
      </c>
      <c r="F1880" s="116">
        <v>139.80000000000001</v>
      </c>
      <c r="G1880">
        <v>45058</v>
      </c>
      <c r="H1880" s="116"/>
      <c r="I1880" s="116"/>
      <c r="L1880" s="169">
        <v>44770</v>
      </c>
      <c r="M1880" s="116">
        <v>583</v>
      </c>
      <c r="N1880" s="116">
        <v>586.35</v>
      </c>
      <c r="O1880" s="116">
        <v>563.4</v>
      </c>
      <c r="P1880" s="116">
        <v>568</v>
      </c>
      <c r="Q1880" s="116">
        <v>583</v>
      </c>
      <c r="R1880">
        <v>1192363</v>
      </c>
    </row>
    <row r="1881" spans="1:18" x14ac:dyDescent="0.25">
      <c r="A1881" s="169">
        <v>44781</v>
      </c>
      <c r="B1881" s="116">
        <v>143.05000000000001</v>
      </c>
      <c r="C1881" s="116">
        <v>140.65</v>
      </c>
      <c r="D1881" s="116">
        <v>138.5</v>
      </c>
      <c r="E1881" s="116">
        <v>141</v>
      </c>
      <c r="F1881" s="116">
        <v>140.65</v>
      </c>
      <c r="G1881">
        <v>82451</v>
      </c>
      <c r="H1881" s="116"/>
      <c r="I1881" s="116"/>
      <c r="L1881" s="169">
        <v>44771</v>
      </c>
      <c r="M1881" s="116">
        <v>596.1</v>
      </c>
      <c r="N1881" s="116">
        <v>598.4</v>
      </c>
      <c r="O1881" s="116">
        <v>584.4</v>
      </c>
      <c r="P1881" s="116">
        <v>585.25</v>
      </c>
      <c r="Q1881" s="116">
        <v>596.1</v>
      </c>
      <c r="R1881">
        <v>938911</v>
      </c>
    </row>
    <row r="1882" spans="1:18" x14ac:dyDescent="0.25">
      <c r="A1882" s="169">
        <v>44783</v>
      </c>
      <c r="B1882" s="116">
        <v>143</v>
      </c>
      <c r="C1882" s="116">
        <v>142</v>
      </c>
      <c r="D1882" s="116">
        <v>139.35</v>
      </c>
      <c r="E1882" s="116">
        <v>141.19999999999999</v>
      </c>
      <c r="F1882" s="116">
        <v>142</v>
      </c>
      <c r="G1882">
        <v>91215</v>
      </c>
      <c r="H1882" s="116"/>
      <c r="I1882" s="116"/>
      <c r="L1882" s="169">
        <v>44774</v>
      </c>
      <c r="M1882" s="116">
        <v>607.65</v>
      </c>
      <c r="N1882" s="116">
        <v>611.95000000000005</v>
      </c>
      <c r="O1882" s="116">
        <v>591.35</v>
      </c>
      <c r="P1882" s="116">
        <v>599</v>
      </c>
      <c r="Q1882" s="116">
        <v>607.65</v>
      </c>
      <c r="R1882">
        <v>619891</v>
      </c>
    </row>
    <row r="1883" spans="1:18" x14ac:dyDescent="0.25">
      <c r="A1883" s="169">
        <v>44784</v>
      </c>
      <c r="B1883" s="116">
        <v>143.55000000000001</v>
      </c>
      <c r="C1883" s="116">
        <v>140.6</v>
      </c>
      <c r="D1883" s="116">
        <v>138.5</v>
      </c>
      <c r="E1883" s="116">
        <v>142.85</v>
      </c>
      <c r="F1883" s="116">
        <v>140.6</v>
      </c>
      <c r="G1883">
        <v>118649</v>
      </c>
      <c r="H1883" s="116"/>
      <c r="I1883" s="116"/>
      <c r="L1883" s="169">
        <v>44775</v>
      </c>
      <c r="M1883" s="116">
        <v>610.75</v>
      </c>
      <c r="N1883" s="116">
        <v>619.45000000000005</v>
      </c>
      <c r="O1883" s="116">
        <v>602.9</v>
      </c>
      <c r="P1883" s="116">
        <v>605.79999999999995</v>
      </c>
      <c r="Q1883" s="116">
        <v>610.75</v>
      </c>
      <c r="R1883">
        <v>910722</v>
      </c>
    </row>
    <row r="1884" spans="1:18" x14ac:dyDescent="0.25">
      <c r="A1884" s="169">
        <v>44785</v>
      </c>
      <c r="B1884" s="116">
        <v>147.1</v>
      </c>
      <c r="C1884" s="116">
        <v>142.05000000000001</v>
      </c>
      <c r="D1884" s="116">
        <v>140</v>
      </c>
      <c r="E1884" s="116">
        <v>141.9</v>
      </c>
      <c r="F1884" s="116">
        <v>142.05000000000001</v>
      </c>
      <c r="G1884">
        <v>168512</v>
      </c>
      <c r="H1884" s="116"/>
      <c r="I1884" s="116"/>
      <c r="L1884" s="169">
        <v>44776</v>
      </c>
      <c r="M1884" s="116">
        <v>600.85</v>
      </c>
      <c r="N1884" s="116">
        <v>614.35</v>
      </c>
      <c r="O1884" s="116">
        <v>591.25</v>
      </c>
      <c r="P1884" s="116">
        <v>608.1</v>
      </c>
      <c r="Q1884" s="116">
        <v>600.85</v>
      </c>
      <c r="R1884">
        <v>610833</v>
      </c>
    </row>
    <row r="1885" spans="1:18" x14ac:dyDescent="0.25">
      <c r="A1885" s="169">
        <v>44789</v>
      </c>
      <c r="B1885" s="116">
        <v>143.4</v>
      </c>
      <c r="C1885" s="116">
        <v>140.30000000000001</v>
      </c>
      <c r="D1885" s="116">
        <v>138.9</v>
      </c>
      <c r="E1885" s="116">
        <v>142.65</v>
      </c>
      <c r="F1885" s="116">
        <v>140.30000000000001</v>
      </c>
      <c r="G1885">
        <v>75319</v>
      </c>
      <c r="H1885" s="116"/>
      <c r="I1885" s="116"/>
      <c r="L1885" s="169">
        <v>44777</v>
      </c>
      <c r="M1885" s="116">
        <v>580.04999999999995</v>
      </c>
      <c r="N1885" s="116">
        <v>606.65</v>
      </c>
      <c r="O1885" s="116">
        <v>575.29999999999995</v>
      </c>
      <c r="P1885" s="116">
        <v>601</v>
      </c>
      <c r="Q1885" s="116">
        <v>580.04999999999995</v>
      </c>
      <c r="R1885">
        <v>979370</v>
      </c>
    </row>
    <row r="1886" spans="1:18" x14ac:dyDescent="0.25">
      <c r="A1886" s="169">
        <v>44790</v>
      </c>
      <c r="B1886" s="116">
        <v>141.4</v>
      </c>
      <c r="C1886" s="116">
        <v>139.9</v>
      </c>
      <c r="D1886" s="116">
        <v>136.75</v>
      </c>
      <c r="E1886" s="116">
        <v>139.19999999999999</v>
      </c>
      <c r="F1886" s="116">
        <v>139.9</v>
      </c>
      <c r="G1886">
        <v>63295</v>
      </c>
      <c r="H1886" s="116"/>
      <c r="I1886" s="116"/>
      <c r="L1886" s="169">
        <v>44778</v>
      </c>
      <c r="M1886" s="116">
        <v>588.75</v>
      </c>
      <c r="N1886" s="116">
        <v>597.85</v>
      </c>
      <c r="O1886" s="116">
        <v>578</v>
      </c>
      <c r="P1886" s="116">
        <v>578</v>
      </c>
      <c r="Q1886" s="116">
        <v>588.75</v>
      </c>
      <c r="R1886">
        <v>641609</v>
      </c>
    </row>
    <row r="1887" spans="1:18" x14ac:dyDescent="0.25">
      <c r="A1887" s="169">
        <v>44791</v>
      </c>
      <c r="B1887" s="116">
        <v>141.5</v>
      </c>
      <c r="C1887" s="116">
        <v>141</v>
      </c>
      <c r="D1887" s="116">
        <v>138.1</v>
      </c>
      <c r="E1887" s="116">
        <v>138.15</v>
      </c>
      <c r="F1887" s="116">
        <v>141</v>
      </c>
      <c r="G1887">
        <v>49870</v>
      </c>
      <c r="H1887" s="116"/>
      <c r="I1887" s="116"/>
      <c r="L1887" s="169">
        <v>44781</v>
      </c>
      <c r="M1887" s="116">
        <v>595.6</v>
      </c>
      <c r="N1887" s="116">
        <v>601</v>
      </c>
      <c r="O1887" s="116">
        <v>590</v>
      </c>
      <c r="P1887" s="116">
        <v>590</v>
      </c>
      <c r="Q1887" s="116">
        <v>595.6</v>
      </c>
      <c r="R1887">
        <v>376832</v>
      </c>
    </row>
    <row r="1888" spans="1:18" x14ac:dyDescent="0.25">
      <c r="A1888" s="169">
        <v>44792</v>
      </c>
      <c r="B1888" s="116">
        <v>142.5</v>
      </c>
      <c r="C1888" s="116">
        <v>140.05000000000001</v>
      </c>
      <c r="D1888" s="116">
        <v>139</v>
      </c>
      <c r="E1888" s="116">
        <v>142.5</v>
      </c>
      <c r="F1888" s="116">
        <v>140.05000000000001</v>
      </c>
      <c r="G1888">
        <v>46990</v>
      </c>
      <c r="H1888" s="116"/>
      <c r="I1888" s="116"/>
      <c r="L1888" s="169">
        <v>44783</v>
      </c>
      <c r="M1888" s="116">
        <v>584.95000000000005</v>
      </c>
      <c r="N1888" s="116">
        <v>603.5</v>
      </c>
      <c r="O1888" s="116">
        <v>582.54999999999995</v>
      </c>
      <c r="P1888" s="116">
        <v>596.5</v>
      </c>
      <c r="Q1888" s="116">
        <v>584.95000000000005</v>
      </c>
      <c r="R1888">
        <v>464796</v>
      </c>
    </row>
    <row r="1889" spans="1:18" x14ac:dyDescent="0.25">
      <c r="A1889" s="169">
        <v>44795</v>
      </c>
      <c r="B1889" s="116">
        <v>141.5</v>
      </c>
      <c r="C1889" s="116">
        <v>139.55000000000001</v>
      </c>
      <c r="D1889" s="116">
        <v>137.94999999999999</v>
      </c>
      <c r="E1889" s="116">
        <v>141.5</v>
      </c>
      <c r="F1889" s="116">
        <v>139.55000000000001</v>
      </c>
      <c r="G1889">
        <v>101877</v>
      </c>
      <c r="H1889" s="116"/>
      <c r="I1889" s="116"/>
      <c r="L1889" s="169">
        <v>44784</v>
      </c>
      <c r="M1889" s="116">
        <v>593.35</v>
      </c>
      <c r="N1889" s="116">
        <v>601</v>
      </c>
      <c r="O1889" s="116">
        <v>586.9</v>
      </c>
      <c r="P1889" s="116">
        <v>590.25</v>
      </c>
      <c r="Q1889" s="116">
        <v>593.35</v>
      </c>
      <c r="R1889">
        <v>504842</v>
      </c>
    </row>
    <row r="1890" spans="1:18" x14ac:dyDescent="0.25">
      <c r="A1890" s="169">
        <v>44796</v>
      </c>
      <c r="B1890" s="116">
        <v>141.4</v>
      </c>
      <c r="C1890" s="116">
        <v>139.44999999999999</v>
      </c>
      <c r="D1890" s="116">
        <v>138.05000000000001</v>
      </c>
      <c r="E1890" s="116">
        <v>139.55000000000001</v>
      </c>
      <c r="F1890" s="116">
        <v>139.44999999999999</v>
      </c>
      <c r="G1890">
        <v>200457</v>
      </c>
      <c r="H1890" s="116"/>
      <c r="I1890" s="116"/>
      <c r="L1890" s="169">
        <v>44785</v>
      </c>
      <c r="M1890" s="116">
        <v>600.20000000000005</v>
      </c>
      <c r="N1890" s="116">
        <v>606</v>
      </c>
      <c r="O1890" s="116">
        <v>589</v>
      </c>
      <c r="P1890" s="116">
        <v>594.79999999999995</v>
      </c>
      <c r="Q1890" s="116">
        <v>600.20000000000005</v>
      </c>
      <c r="R1890">
        <v>535298</v>
      </c>
    </row>
    <row r="1891" spans="1:18" x14ac:dyDescent="0.25">
      <c r="A1891" s="169">
        <v>44797</v>
      </c>
      <c r="B1891" s="116">
        <v>143</v>
      </c>
      <c r="C1891" s="116">
        <v>141.19999999999999</v>
      </c>
      <c r="D1891" s="116">
        <v>138.1</v>
      </c>
      <c r="E1891" s="116">
        <v>140.94999999999999</v>
      </c>
      <c r="F1891" s="116">
        <v>141.19999999999999</v>
      </c>
      <c r="G1891">
        <v>107145</v>
      </c>
      <c r="H1891" s="116"/>
      <c r="I1891" s="116"/>
      <c r="L1891" s="169">
        <v>44789</v>
      </c>
      <c r="M1891" s="116">
        <v>616.04999999999995</v>
      </c>
      <c r="N1891" s="116">
        <v>621.75</v>
      </c>
      <c r="O1891" s="116">
        <v>600.20000000000005</v>
      </c>
      <c r="P1891" s="116">
        <v>601</v>
      </c>
      <c r="Q1891" s="116">
        <v>616.04999999999995</v>
      </c>
      <c r="R1891">
        <v>787828</v>
      </c>
    </row>
    <row r="1892" spans="1:18" x14ac:dyDescent="0.25">
      <c r="A1892" s="169">
        <v>44798</v>
      </c>
      <c r="B1892" s="116">
        <v>143</v>
      </c>
      <c r="C1892" s="116">
        <v>140.85</v>
      </c>
      <c r="D1892" s="116">
        <v>140</v>
      </c>
      <c r="E1892" s="116">
        <v>142.4</v>
      </c>
      <c r="F1892" s="116">
        <v>140.85</v>
      </c>
      <c r="G1892">
        <v>156826</v>
      </c>
      <c r="H1892" s="116"/>
      <c r="I1892" s="116"/>
      <c r="L1892" s="169">
        <v>44790</v>
      </c>
      <c r="M1892" s="116">
        <v>623.04999999999995</v>
      </c>
      <c r="N1892" s="116">
        <v>626.9</v>
      </c>
      <c r="O1892" s="116">
        <v>610.6</v>
      </c>
      <c r="P1892" s="116">
        <v>619.95000000000005</v>
      </c>
      <c r="Q1892" s="116">
        <v>623.04999999999995</v>
      </c>
      <c r="R1892">
        <v>747785</v>
      </c>
    </row>
    <row r="1893" spans="1:18" x14ac:dyDescent="0.25">
      <c r="A1893" s="169">
        <v>44799</v>
      </c>
      <c r="B1893" s="116">
        <v>142.44999999999999</v>
      </c>
      <c r="C1893" s="116">
        <v>141.15</v>
      </c>
      <c r="D1893" s="116">
        <v>140.19999999999999</v>
      </c>
      <c r="E1893" s="116">
        <v>140.19999999999999</v>
      </c>
      <c r="F1893" s="116">
        <v>141.15</v>
      </c>
      <c r="G1893">
        <v>63147</v>
      </c>
      <c r="H1893" s="116"/>
      <c r="I1893" s="116"/>
      <c r="L1893" s="169">
        <v>44791</v>
      </c>
      <c r="M1893" s="116">
        <v>623.65</v>
      </c>
      <c r="N1893" s="116">
        <v>629.15</v>
      </c>
      <c r="O1893" s="116">
        <v>619.5</v>
      </c>
      <c r="P1893" s="116">
        <v>622.95000000000005</v>
      </c>
      <c r="Q1893" s="116">
        <v>623.65</v>
      </c>
      <c r="R1893">
        <v>444619</v>
      </c>
    </row>
    <row r="1894" spans="1:18" x14ac:dyDescent="0.25">
      <c r="A1894" s="169">
        <v>44802</v>
      </c>
      <c r="B1894" s="116">
        <v>141.30000000000001</v>
      </c>
      <c r="C1894" s="116">
        <v>138.4</v>
      </c>
      <c r="D1894" s="116">
        <v>137.5</v>
      </c>
      <c r="E1894" s="116">
        <v>141.15</v>
      </c>
      <c r="F1894" s="116">
        <v>138.4</v>
      </c>
      <c r="G1894">
        <v>127918</v>
      </c>
      <c r="H1894" s="116"/>
      <c r="I1894" s="116"/>
      <c r="L1894" s="169">
        <v>44792</v>
      </c>
      <c r="M1894" s="116">
        <v>609.29999999999995</v>
      </c>
      <c r="N1894" s="116">
        <v>630</v>
      </c>
      <c r="O1894" s="116">
        <v>603</v>
      </c>
      <c r="P1894" s="116">
        <v>626.5</v>
      </c>
      <c r="Q1894" s="116">
        <v>609.29999999999995</v>
      </c>
      <c r="R1894">
        <v>442804</v>
      </c>
    </row>
    <row r="1895" spans="1:18" x14ac:dyDescent="0.25">
      <c r="A1895" s="169">
        <v>44803</v>
      </c>
      <c r="B1895" s="116">
        <v>140.4</v>
      </c>
      <c r="C1895" s="116">
        <v>139.15</v>
      </c>
      <c r="D1895" s="116">
        <v>138.1</v>
      </c>
      <c r="E1895" s="116">
        <v>138.1</v>
      </c>
      <c r="F1895" s="116">
        <v>139.15</v>
      </c>
      <c r="G1895">
        <v>340954</v>
      </c>
      <c r="H1895" s="116"/>
      <c r="I1895" s="116"/>
      <c r="L1895" s="169">
        <v>44795</v>
      </c>
      <c r="M1895" s="116">
        <v>590.4</v>
      </c>
      <c r="N1895" s="116">
        <v>606</v>
      </c>
      <c r="O1895" s="116">
        <v>571.20000000000005</v>
      </c>
      <c r="P1895" s="116">
        <v>605</v>
      </c>
      <c r="Q1895" s="116">
        <v>590.4</v>
      </c>
      <c r="R1895">
        <v>1533690</v>
      </c>
    </row>
    <row r="1896" spans="1:18" x14ac:dyDescent="0.25">
      <c r="A1896" s="169">
        <v>44805</v>
      </c>
      <c r="B1896" s="116">
        <v>146.1</v>
      </c>
      <c r="C1896" s="116">
        <v>146.1</v>
      </c>
      <c r="D1896" s="116">
        <v>138.5</v>
      </c>
      <c r="E1896" s="116">
        <v>140.94999999999999</v>
      </c>
      <c r="F1896" s="116">
        <v>146.1</v>
      </c>
      <c r="G1896">
        <v>515538</v>
      </c>
      <c r="H1896" s="116"/>
      <c r="I1896" s="116"/>
      <c r="L1896" s="169">
        <v>44796</v>
      </c>
      <c r="M1896" s="116">
        <v>595.79999999999995</v>
      </c>
      <c r="N1896" s="116">
        <v>599.6</v>
      </c>
      <c r="O1896" s="116">
        <v>581</v>
      </c>
      <c r="P1896" s="116">
        <v>586</v>
      </c>
      <c r="Q1896" s="116">
        <v>595.79999999999995</v>
      </c>
      <c r="R1896">
        <v>386961</v>
      </c>
    </row>
    <row r="1897" spans="1:18" x14ac:dyDescent="0.25">
      <c r="A1897" s="169">
        <v>44806</v>
      </c>
      <c r="B1897" s="116">
        <v>153.4</v>
      </c>
      <c r="C1897" s="116">
        <v>153.4</v>
      </c>
      <c r="D1897" s="116">
        <v>150.6</v>
      </c>
      <c r="E1897" s="116">
        <v>151.30000000000001</v>
      </c>
      <c r="F1897" s="116">
        <v>153.4</v>
      </c>
      <c r="G1897">
        <v>464794</v>
      </c>
      <c r="H1897" s="116"/>
      <c r="I1897" s="116"/>
      <c r="L1897" s="169">
        <v>44797</v>
      </c>
      <c r="M1897" s="116">
        <v>636.4</v>
      </c>
      <c r="N1897" s="116">
        <v>642.04999999999995</v>
      </c>
      <c r="O1897" s="116">
        <v>594.9</v>
      </c>
      <c r="P1897" s="116">
        <v>598.4</v>
      </c>
      <c r="Q1897" s="116">
        <v>636.4</v>
      </c>
      <c r="R1897">
        <v>1964858</v>
      </c>
    </row>
    <row r="1898" spans="1:18" x14ac:dyDescent="0.25">
      <c r="A1898" s="169">
        <v>44809</v>
      </c>
      <c r="B1898" s="116">
        <v>161.05000000000001</v>
      </c>
      <c r="C1898" s="116">
        <v>161.05000000000001</v>
      </c>
      <c r="D1898" s="116">
        <v>159</v>
      </c>
      <c r="E1898" s="116">
        <v>161.05000000000001</v>
      </c>
      <c r="F1898" s="116">
        <v>161.05000000000001</v>
      </c>
      <c r="G1898">
        <v>248403</v>
      </c>
      <c r="H1898" s="116"/>
      <c r="I1898" s="116"/>
      <c r="L1898" s="169">
        <v>44798</v>
      </c>
      <c r="M1898" s="116">
        <v>630.29999999999995</v>
      </c>
      <c r="N1898" s="116">
        <v>641.54999999999995</v>
      </c>
      <c r="O1898" s="116">
        <v>625.29999999999995</v>
      </c>
      <c r="P1898" s="116">
        <v>638</v>
      </c>
      <c r="Q1898" s="116">
        <v>630.29999999999995</v>
      </c>
      <c r="R1898">
        <v>835411</v>
      </c>
    </row>
    <row r="1899" spans="1:18" x14ac:dyDescent="0.25">
      <c r="A1899" s="169">
        <v>44810</v>
      </c>
      <c r="B1899" s="116">
        <v>169.1</v>
      </c>
      <c r="C1899" s="116">
        <v>163.95</v>
      </c>
      <c r="D1899" s="116">
        <v>156</v>
      </c>
      <c r="E1899" s="116">
        <v>169.1</v>
      </c>
      <c r="F1899" s="116">
        <v>163.95</v>
      </c>
      <c r="G1899">
        <v>643519</v>
      </c>
      <c r="H1899" s="116"/>
      <c r="I1899" s="116"/>
      <c r="L1899" s="169">
        <v>44799</v>
      </c>
      <c r="M1899" s="116">
        <v>637</v>
      </c>
      <c r="N1899" s="116">
        <v>648.79999999999995</v>
      </c>
      <c r="O1899" s="116">
        <v>632.29999999999995</v>
      </c>
      <c r="P1899" s="116">
        <v>636.35</v>
      </c>
      <c r="Q1899" s="116">
        <v>637</v>
      </c>
      <c r="R1899">
        <v>642044</v>
      </c>
    </row>
    <row r="1900" spans="1:18" x14ac:dyDescent="0.25">
      <c r="A1900" s="169">
        <v>44811</v>
      </c>
      <c r="B1900" s="116">
        <v>168.8</v>
      </c>
      <c r="C1900" s="116">
        <v>155.80000000000001</v>
      </c>
      <c r="D1900" s="116">
        <v>155.80000000000001</v>
      </c>
      <c r="E1900" s="116">
        <v>164</v>
      </c>
      <c r="F1900" s="116">
        <v>155.80000000000001</v>
      </c>
      <c r="G1900">
        <v>268331</v>
      </c>
      <c r="H1900" s="116"/>
      <c r="I1900" s="116"/>
      <c r="L1900" s="169">
        <v>44802</v>
      </c>
      <c r="M1900" s="116">
        <v>634.15</v>
      </c>
      <c r="N1900" s="116">
        <v>636.79999999999995</v>
      </c>
      <c r="O1900" s="116">
        <v>618</v>
      </c>
      <c r="P1900" s="116">
        <v>618</v>
      </c>
      <c r="Q1900" s="116">
        <v>634.15</v>
      </c>
      <c r="R1900">
        <v>561956</v>
      </c>
    </row>
    <row r="1901" spans="1:18" x14ac:dyDescent="0.25">
      <c r="A1901" s="169">
        <v>44812</v>
      </c>
      <c r="B1901" s="116">
        <v>157.05000000000001</v>
      </c>
      <c r="C1901" s="116">
        <v>148.05000000000001</v>
      </c>
      <c r="D1901" s="116">
        <v>148.05000000000001</v>
      </c>
      <c r="E1901" s="116">
        <v>153.5</v>
      </c>
      <c r="F1901" s="116">
        <v>148.05000000000001</v>
      </c>
      <c r="G1901">
        <v>118961</v>
      </c>
      <c r="H1901" s="116"/>
      <c r="I1901" s="116"/>
      <c r="L1901" s="169">
        <v>44803</v>
      </c>
      <c r="M1901" s="116">
        <v>633.85</v>
      </c>
      <c r="N1901" s="116">
        <v>641.6</v>
      </c>
      <c r="O1901" s="116">
        <v>624</v>
      </c>
      <c r="P1901" s="116">
        <v>638</v>
      </c>
      <c r="Q1901" s="116">
        <v>633.85</v>
      </c>
      <c r="R1901">
        <v>434930</v>
      </c>
    </row>
    <row r="1902" spans="1:18" x14ac:dyDescent="0.25">
      <c r="A1902" s="169">
        <v>44813</v>
      </c>
      <c r="B1902" s="116">
        <v>153.05000000000001</v>
      </c>
      <c r="C1902" s="116">
        <v>141.65</v>
      </c>
      <c r="D1902" s="116">
        <v>140.65</v>
      </c>
      <c r="E1902" s="116">
        <v>141.30000000000001</v>
      </c>
      <c r="F1902" s="116">
        <v>141.65</v>
      </c>
      <c r="G1902">
        <v>610228</v>
      </c>
      <c r="H1902" s="116"/>
      <c r="I1902" s="116"/>
      <c r="L1902" s="169">
        <v>44805</v>
      </c>
      <c r="M1902" s="116">
        <v>643.45000000000005</v>
      </c>
      <c r="N1902" s="116">
        <v>647</v>
      </c>
      <c r="O1902" s="116">
        <v>620</v>
      </c>
      <c r="P1902" s="116">
        <v>628.04999999999995</v>
      </c>
      <c r="Q1902" s="116">
        <v>643.45000000000005</v>
      </c>
      <c r="R1902">
        <v>527305</v>
      </c>
    </row>
    <row r="1903" spans="1:18" x14ac:dyDescent="0.25">
      <c r="A1903" s="169">
        <v>44816</v>
      </c>
      <c r="B1903" s="116">
        <v>148.69999999999999</v>
      </c>
      <c r="C1903" s="116">
        <v>148.69999999999999</v>
      </c>
      <c r="D1903" s="116">
        <v>142</v>
      </c>
      <c r="E1903" s="116">
        <v>143</v>
      </c>
      <c r="F1903" s="116">
        <v>148.69999999999999</v>
      </c>
      <c r="G1903">
        <v>356653</v>
      </c>
      <c r="H1903" s="116"/>
      <c r="I1903" s="116"/>
      <c r="L1903" s="169">
        <v>44806</v>
      </c>
      <c r="M1903" s="116">
        <v>635.9</v>
      </c>
      <c r="N1903" s="116">
        <v>650.20000000000005</v>
      </c>
      <c r="O1903" s="116">
        <v>632.1</v>
      </c>
      <c r="P1903" s="116">
        <v>644</v>
      </c>
      <c r="Q1903" s="116">
        <v>635.9</v>
      </c>
      <c r="R1903">
        <v>437308</v>
      </c>
    </row>
    <row r="1904" spans="1:18" x14ac:dyDescent="0.25">
      <c r="A1904" s="169">
        <v>44817</v>
      </c>
      <c r="B1904" s="116">
        <v>156.1</v>
      </c>
      <c r="C1904" s="116">
        <v>156.1</v>
      </c>
      <c r="D1904" s="116">
        <v>152.19999999999999</v>
      </c>
      <c r="E1904" s="116">
        <v>153.69999999999999</v>
      </c>
      <c r="F1904" s="116">
        <v>156.1</v>
      </c>
      <c r="G1904">
        <v>426883</v>
      </c>
      <c r="H1904" s="116"/>
      <c r="I1904" s="116"/>
      <c r="L1904" s="169">
        <v>44809</v>
      </c>
      <c r="M1904" s="116">
        <v>638.6</v>
      </c>
      <c r="N1904" s="116">
        <v>649.85</v>
      </c>
      <c r="O1904" s="116">
        <v>628</v>
      </c>
      <c r="P1904" s="116">
        <v>635.20000000000005</v>
      </c>
      <c r="Q1904" s="116">
        <v>638.6</v>
      </c>
      <c r="R1904">
        <v>484309</v>
      </c>
    </row>
    <row r="1905" spans="1:18" x14ac:dyDescent="0.25">
      <c r="A1905" s="169">
        <v>44818</v>
      </c>
      <c r="B1905" s="116">
        <v>163.9</v>
      </c>
      <c r="C1905" s="116">
        <v>163.9</v>
      </c>
      <c r="D1905" s="116">
        <v>163.9</v>
      </c>
      <c r="E1905" s="116">
        <v>163.9</v>
      </c>
      <c r="F1905" s="116">
        <v>163.9</v>
      </c>
      <c r="G1905">
        <v>512340</v>
      </c>
      <c r="H1905" s="116"/>
      <c r="I1905" s="116"/>
      <c r="L1905" s="169">
        <v>44810</v>
      </c>
      <c r="M1905" s="116">
        <v>644.75</v>
      </c>
      <c r="N1905" s="116">
        <v>654</v>
      </c>
      <c r="O1905" s="116">
        <v>634.1</v>
      </c>
      <c r="P1905" s="116">
        <v>638</v>
      </c>
      <c r="Q1905" s="116">
        <v>644.75</v>
      </c>
      <c r="R1905">
        <v>562804</v>
      </c>
    </row>
    <row r="1906" spans="1:18" x14ac:dyDescent="0.25">
      <c r="A1906" s="169">
        <v>44819</v>
      </c>
      <c r="B1906" s="116">
        <v>172.05</v>
      </c>
      <c r="C1906" s="116">
        <v>171.9</v>
      </c>
      <c r="D1906" s="116">
        <v>158</v>
      </c>
      <c r="E1906" s="116">
        <v>172.05</v>
      </c>
      <c r="F1906" s="116">
        <v>171.9</v>
      </c>
      <c r="G1906">
        <v>691632</v>
      </c>
      <c r="H1906" s="116"/>
      <c r="I1906" s="116"/>
      <c r="L1906" s="169">
        <v>44811</v>
      </c>
      <c r="M1906" s="116">
        <v>641.6</v>
      </c>
      <c r="N1906" s="116">
        <v>651.04999999999995</v>
      </c>
      <c r="O1906" s="116">
        <v>637.5</v>
      </c>
      <c r="P1906" s="116">
        <v>641</v>
      </c>
      <c r="Q1906" s="116">
        <v>641.6</v>
      </c>
      <c r="R1906">
        <v>323618</v>
      </c>
    </row>
    <row r="1907" spans="1:18" x14ac:dyDescent="0.25">
      <c r="A1907" s="169">
        <v>44820</v>
      </c>
      <c r="B1907" s="116">
        <v>178</v>
      </c>
      <c r="C1907" s="116">
        <v>176.9</v>
      </c>
      <c r="D1907" s="116">
        <v>166</v>
      </c>
      <c r="E1907" s="116">
        <v>173.9</v>
      </c>
      <c r="F1907" s="116">
        <v>176.9</v>
      </c>
      <c r="G1907">
        <v>549631</v>
      </c>
      <c r="H1907" s="116"/>
      <c r="I1907" s="116"/>
      <c r="L1907" s="169">
        <v>44812</v>
      </c>
      <c r="M1907" s="116">
        <v>646.75</v>
      </c>
      <c r="N1907" s="116">
        <v>650.95000000000005</v>
      </c>
      <c r="O1907" s="116">
        <v>641.6</v>
      </c>
      <c r="P1907" s="116">
        <v>646</v>
      </c>
      <c r="Q1907" s="116">
        <v>646.75</v>
      </c>
      <c r="R1907">
        <v>296957</v>
      </c>
    </row>
    <row r="1908" spans="1:18" x14ac:dyDescent="0.25">
      <c r="A1908" s="169">
        <v>44823</v>
      </c>
      <c r="B1908" s="116">
        <v>185.7</v>
      </c>
      <c r="C1908" s="116">
        <v>185.7</v>
      </c>
      <c r="D1908" s="116">
        <v>179.05</v>
      </c>
      <c r="E1908" s="116">
        <v>184</v>
      </c>
      <c r="F1908" s="116">
        <v>185.7</v>
      </c>
      <c r="G1908">
        <v>746131</v>
      </c>
      <c r="H1908" s="116"/>
      <c r="I1908" s="116"/>
      <c r="L1908" s="169">
        <v>44813</v>
      </c>
      <c r="M1908" s="116">
        <v>647.04999999999995</v>
      </c>
      <c r="N1908" s="116">
        <v>666.7</v>
      </c>
      <c r="O1908" s="116">
        <v>644.1</v>
      </c>
      <c r="P1908" s="116">
        <v>647</v>
      </c>
      <c r="Q1908" s="116">
        <v>647.04999999999995</v>
      </c>
      <c r="R1908">
        <v>1371384</v>
      </c>
    </row>
    <row r="1909" spans="1:18" x14ac:dyDescent="0.25">
      <c r="A1909" s="169">
        <v>44824</v>
      </c>
      <c r="B1909" s="116">
        <v>194.95</v>
      </c>
      <c r="C1909" s="116">
        <v>194.85</v>
      </c>
      <c r="D1909" s="116">
        <v>186.5</v>
      </c>
      <c r="E1909" s="116">
        <v>194.95</v>
      </c>
      <c r="F1909" s="116">
        <v>194.85</v>
      </c>
      <c r="G1909">
        <v>897589</v>
      </c>
      <c r="H1909" s="116"/>
      <c r="I1909" s="116"/>
      <c r="L1909" s="169">
        <v>44816</v>
      </c>
      <c r="M1909" s="116">
        <v>656.4</v>
      </c>
      <c r="N1909" s="116">
        <v>658.35</v>
      </c>
      <c r="O1909" s="116">
        <v>645.5</v>
      </c>
      <c r="P1909" s="116">
        <v>650</v>
      </c>
      <c r="Q1909" s="116">
        <v>656.4</v>
      </c>
      <c r="R1909">
        <v>361052</v>
      </c>
    </row>
    <row r="1910" spans="1:18" x14ac:dyDescent="0.25">
      <c r="A1910" s="169">
        <v>44825</v>
      </c>
      <c r="B1910" s="116">
        <v>204.55</v>
      </c>
      <c r="C1910" s="116">
        <v>200.7</v>
      </c>
      <c r="D1910" s="116">
        <v>186.3</v>
      </c>
      <c r="E1910" s="116">
        <v>204.55</v>
      </c>
      <c r="F1910" s="116">
        <v>200.7</v>
      </c>
      <c r="G1910">
        <v>799566</v>
      </c>
      <c r="H1910" s="116"/>
      <c r="I1910" s="116"/>
      <c r="L1910" s="169">
        <v>44817</v>
      </c>
      <c r="M1910" s="116">
        <v>651.65</v>
      </c>
      <c r="N1910" s="116">
        <v>669.9</v>
      </c>
      <c r="O1910" s="116">
        <v>649.04999999999995</v>
      </c>
      <c r="P1910" s="116">
        <v>657.9</v>
      </c>
      <c r="Q1910" s="116">
        <v>651.65</v>
      </c>
      <c r="R1910">
        <v>529989</v>
      </c>
    </row>
    <row r="1911" spans="1:18" x14ac:dyDescent="0.25">
      <c r="A1911" s="169">
        <v>44826</v>
      </c>
      <c r="B1911" s="116">
        <v>204</v>
      </c>
      <c r="C1911" s="116">
        <v>191.1</v>
      </c>
      <c r="D1911" s="116">
        <v>190.7</v>
      </c>
      <c r="E1911" s="116">
        <v>200.7</v>
      </c>
      <c r="F1911" s="116">
        <v>191.1</v>
      </c>
      <c r="G1911">
        <v>393585</v>
      </c>
      <c r="H1911" s="116"/>
      <c r="I1911" s="116"/>
      <c r="L1911" s="169">
        <v>44818</v>
      </c>
      <c r="M1911" s="116">
        <v>653.5</v>
      </c>
      <c r="N1911" s="116">
        <v>660.6</v>
      </c>
      <c r="O1911" s="116">
        <v>641</v>
      </c>
      <c r="P1911" s="116">
        <v>641</v>
      </c>
      <c r="Q1911" s="116">
        <v>653.5</v>
      </c>
      <c r="R1911">
        <v>308594</v>
      </c>
    </row>
    <row r="1912" spans="1:18" x14ac:dyDescent="0.25">
      <c r="A1912" s="169">
        <v>44827</v>
      </c>
      <c r="B1912" s="116">
        <v>194.7</v>
      </c>
      <c r="C1912" s="116">
        <v>190.05</v>
      </c>
      <c r="D1912" s="116">
        <v>182.65</v>
      </c>
      <c r="E1912" s="116">
        <v>194.7</v>
      </c>
      <c r="F1912" s="116">
        <v>190.05</v>
      </c>
      <c r="G1912">
        <v>265411</v>
      </c>
      <c r="H1912" s="116"/>
      <c r="I1912" s="116"/>
      <c r="L1912" s="169">
        <v>44819</v>
      </c>
      <c r="M1912" s="116">
        <v>664.35</v>
      </c>
      <c r="N1912" s="116">
        <v>678.05</v>
      </c>
      <c r="O1912" s="116">
        <v>651</v>
      </c>
      <c r="P1912" s="116">
        <v>656.8</v>
      </c>
      <c r="Q1912" s="116">
        <v>664.35</v>
      </c>
      <c r="R1912">
        <v>931031</v>
      </c>
    </row>
    <row r="1913" spans="1:18" x14ac:dyDescent="0.25">
      <c r="A1913" s="169">
        <v>44830</v>
      </c>
      <c r="B1913" s="116">
        <v>188</v>
      </c>
      <c r="C1913" s="116">
        <v>180.55</v>
      </c>
      <c r="D1913" s="116">
        <v>180.55</v>
      </c>
      <c r="E1913" s="116">
        <v>185.3</v>
      </c>
      <c r="F1913" s="116">
        <v>180.55</v>
      </c>
      <c r="G1913">
        <v>306671</v>
      </c>
      <c r="H1913" s="116"/>
      <c r="I1913" s="116"/>
      <c r="L1913" s="169">
        <v>44820</v>
      </c>
      <c r="M1913" s="116">
        <v>635</v>
      </c>
      <c r="N1913" s="116">
        <v>668.9</v>
      </c>
      <c r="O1913" s="116">
        <v>629.04999999999995</v>
      </c>
      <c r="P1913" s="116">
        <v>665</v>
      </c>
      <c r="Q1913" s="116">
        <v>635</v>
      </c>
      <c r="R1913">
        <v>817941</v>
      </c>
    </row>
    <row r="1914" spans="1:18" x14ac:dyDescent="0.25">
      <c r="A1914" s="169">
        <v>44831</v>
      </c>
      <c r="B1914" s="116">
        <v>184.5</v>
      </c>
      <c r="C1914" s="116">
        <v>173.85</v>
      </c>
      <c r="D1914" s="116">
        <v>171.55</v>
      </c>
      <c r="E1914" s="116">
        <v>177.15</v>
      </c>
      <c r="F1914" s="116">
        <v>173.85</v>
      </c>
      <c r="G1914">
        <v>415615</v>
      </c>
      <c r="H1914" s="116"/>
      <c r="I1914" s="116"/>
      <c r="L1914" s="169">
        <v>44823</v>
      </c>
      <c r="M1914" s="116">
        <v>589.9</v>
      </c>
      <c r="N1914" s="116">
        <v>650.5</v>
      </c>
      <c r="O1914" s="116">
        <v>580.1</v>
      </c>
      <c r="P1914" s="116">
        <v>640.70000000000005</v>
      </c>
      <c r="Q1914" s="116">
        <v>589.9</v>
      </c>
      <c r="R1914">
        <v>3091324</v>
      </c>
    </row>
    <row r="1915" spans="1:18" x14ac:dyDescent="0.25">
      <c r="A1915" s="169">
        <v>44832</v>
      </c>
      <c r="B1915" s="116">
        <v>182.5</v>
      </c>
      <c r="C1915" s="116">
        <v>181.05</v>
      </c>
      <c r="D1915" s="116">
        <v>166.5</v>
      </c>
      <c r="E1915" s="116">
        <v>171.55</v>
      </c>
      <c r="F1915" s="116">
        <v>181.05</v>
      </c>
      <c r="G1915">
        <v>418607</v>
      </c>
      <c r="H1915" s="116"/>
      <c r="I1915" s="116"/>
      <c r="L1915" s="169">
        <v>44824</v>
      </c>
      <c r="M1915" s="116">
        <v>565.35</v>
      </c>
      <c r="N1915" s="116">
        <v>589.9</v>
      </c>
      <c r="O1915" s="116">
        <v>545</v>
      </c>
      <c r="P1915" s="116">
        <v>583.04999999999995</v>
      </c>
      <c r="Q1915" s="116">
        <v>565.35</v>
      </c>
      <c r="R1915">
        <v>15670267</v>
      </c>
    </row>
    <row r="1916" spans="1:18" x14ac:dyDescent="0.25">
      <c r="A1916" s="169">
        <v>44833</v>
      </c>
      <c r="B1916" s="116">
        <v>186</v>
      </c>
      <c r="C1916" s="116">
        <v>178.35</v>
      </c>
      <c r="D1916" s="116">
        <v>174.1</v>
      </c>
      <c r="E1916" s="116">
        <v>182.5</v>
      </c>
      <c r="F1916" s="116">
        <v>178.35</v>
      </c>
      <c r="G1916">
        <v>223361</v>
      </c>
      <c r="H1916" s="116"/>
      <c r="I1916" s="116"/>
      <c r="L1916" s="169">
        <v>44825</v>
      </c>
      <c r="M1916" s="116">
        <v>552.4</v>
      </c>
      <c r="N1916" s="116">
        <v>574</v>
      </c>
      <c r="O1916" s="116">
        <v>549.04999999999995</v>
      </c>
      <c r="P1916" s="116">
        <v>566</v>
      </c>
      <c r="Q1916" s="116">
        <v>552.4</v>
      </c>
      <c r="R1916">
        <v>3964655</v>
      </c>
    </row>
    <row r="1917" spans="1:18" x14ac:dyDescent="0.25">
      <c r="A1917" s="169">
        <v>44834</v>
      </c>
      <c r="B1917" s="116">
        <v>181</v>
      </c>
      <c r="C1917" s="116">
        <v>178.1</v>
      </c>
      <c r="D1917" s="116">
        <v>175</v>
      </c>
      <c r="E1917" s="116">
        <v>175.4</v>
      </c>
      <c r="F1917" s="116">
        <v>178.1</v>
      </c>
      <c r="G1917">
        <v>60834</v>
      </c>
      <c r="H1917" s="116"/>
      <c r="I1917" s="116"/>
      <c r="L1917" s="169">
        <v>44826</v>
      </c>
      <c r="M1917" s="116">
        <v>542.65</v>
      </c>
      <c r="N1917" s="116">
        <v>559.9</v>
      </c>
      <c r="O1917" s="116">
        <v>532.70000000000005</v>
      </c>
      <c r="P1917" s="116">
        <v>552.4</v>
      </c>
      <c r="Q1917" s="116">
        <v>542.65</v>
      </c>
      <c r="R1917">
        <v>3848060</v>
      </c>
    </row>
    <row r="1918" spans="1:18" x14ac:dyDescent="0.25">
      <c r="A1918" s="169">
        <v>44837</v>
      </c>
      <c r="B1918" s="116">
        <v>180.7</v>
      </c>
      <c r="C1918" s="116">
        <v>172.05</v>
      </c>
      <c r="D1918" s="116">
        <v>170.7</v>
      </c>
      <c r="E1918" s="116">
        <v>173.05</v>
      </c>
      <c r="F1918" s="116">
        <v>172.05</v>
      </c>
      <c r="G1918">
        <v>98157</v>
      </c>
      <c r="H1918" s="116"/>
      <c r="I1918" s="116"/>
      <c r="L1918" s="169">
        <v>44827</v>
      </c>
      <c r="M1918" s="116">
        <v>517.45000000000005</v>
      </c>
      <c r="N1918" s="116">
        <v>547.95000000000005</v>
      </c>
      <c r="O1918" s="116">
        <v>505</v>
      </c>
      <c r="P1918" s="116">
        <v>547.95000000000005</v>
      </c>
      <c r="Q1918" s="116">
        <v>517.45000000000005</v>
      </c>
      <c r="R1918">
        <v>4292209</v>
      </c>
    </row>
    <row r="1919" spans="1:18" x14ac:dyDescent="0.25">
      <c r="A1919" s="169">
        <v>44838</v>
      </c>
      <c r="B1919" s="116">
        <v>180.65</v>
      </c>
      <c r="C1919" s="116">
        <v>177.95</v>
      </c>
      <c r="D1919" s="116">
        <v>172</v>
      </c>
      <c r="E1919" s="116">
        <v>176</v>
      </c>
      <c r="F1919" s="116">
        <v>177.95</v>
      </c>
      <c r="G1919">
        <v>116953</v>
      </c>
      <c r="H1919" s="116"/>
      <c r="I1919" s="116"/>
      <c r="L1919" s="169">
        <v>44830</v>
      </c>
      <c r="M1919" s="116">
        <v>478.05</v>
      </c>
      <c r="N1919" s="116">
        <v>517</v>
      </c>
      <c r="O1919" s="116">
        <v>474.05</v>
      </c>
      <c r="P1919" s="116">
        <v>517</v>
      </c>
      <c r="Q1919" s="116">
        <v>478.05</v>
      </c>
      <c r="R1919">
        <v>4010674</v>
      </c>
    </row>
    <row r="1920" spans="1:18" x14ac:dyDescent="0.25">
      <c r="A1920" s="169">
        <v>44840</v>
      </c>
      <c r="B1920" s="116">
        <v>183.75</v>
      </c>
      <c r="C1920" s="116">
        <v>179.05</v>
      </c>
      <c r="D1920" s="116">
        <v>175.55</v>
      </c>
      <c r="E1920" s="116">
        <v>179.95</v>
      </c>
      <c r="F1920" s="116">
        <v>179.05</v>
      </c>
      <c r="G1920">
        <v>113231</v>
      </c>
      <c r="H1920" s="116"/>
      <c r="I1920" s="116"/>
      <c r="L1920" s="169">
        <v>44831</v>
      </c>
      <c r="M1920" s="116">
        <v>461.9</v>
      </c>
      <c r="N1920" s="116">
        <v>493</v>
      </c>
      <c r="O1920" s="116">
        <v>460</v>
      </c>
      <c r="P1920" s="116">
        <v>485</v>
      </c>
      <c r="Q1920" s="116">
        <v>461.9</v>
      </c>
      <c r="R1920">
        <v>5092422</v>
      </c>
    </row>
    <row r="1921" spans="1:18" x14ac:dyDescent="0.25">
      <c r="A1921" s="169">
        <v>44841</v>
      </c>
      <c r="B1921" s="116">
        <v>181.95</v>
      </c>
      <c r="C1921" s="116">
        <v>180.1</v>
      </c>
      <c r="D1921" s="116">
        <v>177</v>
      </c>
      <c r="E1921" s="116">
        <v>177</v>
      </c>
      <c r="F1921" s="116">
        <v>180.1</v>
      </c>
      <c r="G1921">
        <v>71031</v>
      </c>
      <c r="H1921" s="116"/>
      <c r="I1921" s="116"/>
      <c r="L1921" s="169">
        <v>44832</v>
      </c>
      <c r="M1921" s="116">
        <v>463.85</v>
      </c>
      <c r="N1921" s="116">
        <v>485</v>
      </c>
      <c r="O1921" s="116">
        <v>452</v>
      </c>
      <c r="P1921" s="116">
        <v>456.2</v>
      </c>
      <c r="Q1921" s="116">
        <v>463.85</v>
      </c>
      <c r="R1921">
        <v>8673721</v>
      </c>
    </row>
    <row r="1922" spans="1:18" x14ac:dyDescent="0.25">
      <c r="A1922" s="169">
        <v>44844</v>
      </c>
      <c r="B1922" s="116">
        <v>179.9</v>
      </c>
      <c r="C1922" s="116">
        <v>177.25</v>
      </c>
      <c r="D1922" s="116">
        <v>173.25</v>
      </c>
      <c r="E1922" s="116">
        <v>177.5</v>
      </c>
      <c r="F1922" s="116">
        <v>177.25</v>
      </c>
      <c r="G1922">
        <v>113353</v>
      </c>
      <c r="H1922" s="116"/>
      <c r="I1922" s="116"/>
      <c r="L1922" s="169">
        <v>44833</v>
      </c>
      <c r="M1922" s="116">
        <v>470.55</v>
      </c>
      <c r="N1922" s="116">
        <v>478</v>
      </c>
      <c r="O1922" s="116">
        <v>465</v>
      </c>
      <c r="P1922" s="116">
        <v>474.35</v>
      </c>
      <c r="Q1922" s="116">
        <v>470.55</v>
      </c>
      <c r="R1922">
        <v>4095077</v>
      </c>
    </row>
    <row r="1923" spans="1:18" x14ac:dyDescent="0.25">
      <c r="A1923" s="169">
        <v>44845</v>
      </c>
      <c r="B1923" s="116">
        <v>186.1</v>
      </c>
      <c r="C1923" s="116">
        <v>184.95</v>
      </c>
      <c r="D1923" s="116">
        <v>177.25</v>
      </c>
      <c r="E1923" s="116">
        <v>180</v>
      </c>
      <c r="F1923" s="116">
        <v>184.95</v>
      </c>
      <c r="G1923">
        <v>394653</v>
      </c>
      <c r="H1923" s="116"/>
      <c r="I1923" s="116"/>
      <c r="L1923" s="169">
        <v>44834</v>
      </c>
      <c r="M1923" s="116">
        <v>479.8</v>
      </c>
      <c r="N1923" s="116">
        <v>484.45</v>
      </c>
      <c r="O1923" s="116">
        <v>468</v>
      </c>
      <c r="P1923" s="116">
        <v>472</v>
      </c>
      <c r="Q1923" s="116">
        <v>479.8</v>
      </c>
      <c r="R1923">
        <v>2534348</v>
      </c>
    </row>
    <row r="1924" spans="1:18" x14ac:dyDescent="0.25">
      <c r="A1924" s="169">
        <v>44846</v>
      </c>
      <c r="B1924" s="116">
        <v>190</v>
      </c>
      <c r="C1924" s="116">
        <v>186.5</v>
      </c>
      <c r="D1924" s="116">
        <v>182.25</v>
      </c>
      <c r="E1924" s="116">
        <v>188</v>
      </c>
      <c r="F1924" s="116">
        <v>186.5</v>
      </c>
      <c r="G1924">
        <v>148365</v>
      </c>
      <c r="H1924" s="116"/>
      <c r="I1924" s="116"/>
      <c r="L1924" s="169">
        <v>44837</v>
      </c>
      <c r="M1924" s="116">
        <v>480.9</v>
      </c>
      <c r="N1924" s="116">
        <v>500.95</v>
      </c>
      <c r="O1924" s="116">
        <v>475</v>
      </c>
      <c r="P1924" s="116">
        <v>481.7</v>
      </c>
      <c r="Q1924" s="116">
        <v>480.9</v>
      </c>
      <c r="R1924">
        <v>2766302</v>
      </c>
    </row>
    <row r="1925" spans="1:18" x14ac:dyDescent="0.25">
      <c r="A1925" s="169">
        <v>44847</v>
      </c>
      <c r="B1925" s="116">
        <v>189.8</v>
      </c>
      <c r="C1925" s="116">
        <v>182.3</v>
      </c>
      <c r="D1925" s="116">
        <v>180.3</v>
      </c>
      <c r="E1925" s="116">
        <v>189.8</v>
      </c>
      <c r="F1925" s="116">
        <v>182.3</v>
      </c>
      <c r="G1925">
        <v>66446</v>
      </c>
      <c r="H1925" s="116"/>
      <c r="I1925" s="116"/>
      <c r="L1925" s="169">
        <v>44838</v>
      </c>
      <c r="M1925" s="116">
        <v>495.3</v>
      </c>
      <c r="N1925" s="116">
        <v>499.25</v>
      </c>
      <c r="O1925" s="116">
        <v>487.55</v>
      </c>
      <c r="P1925" s="116">
        <v>488</v>
      </c>
      <c r="Q1925" s="116">
        <v>495.3</v>
      </c>
      <c r="R1925">
        <v>2069082</v>
      </c>
    </row>
    <row r="1926" spans="1:18" x14ac:dyDescent="0.25">
      <c r="A1926" s="169">
        <v>44848</v>
      </c>
      <c r="B1926" s="116">
        <v>186.7</v>
      </c>
      <c r="C1926" s="116">
        <v>182.9</v>
      </c>
      <c r="D1926" s="116">
        <v>180</v>
      </c>
      <c r="E1926" s="116">
        <v>186.7</v>
      </c>
      <c r="F1926" s="116">
        <v>182.9</v>
      </c>
      <c r="G1926">
        <v>137028</v>
      </c>
      <c r="H1926" s="116"/>
      <c r="I1926" s="116"/>
      <c r="L1926" s="169">
        <v>44840</v>
      </c>
      <c r="M1926" s="116">
        <v>501.25</v>
      </c>
      <c r="N1926" s="116">
        <v>509.2</v>
      </c>
      <c r="O1926" s="116">
        <v>497.8</v>
      </c>
      <c r="P1926" s="116">
        <v>499.5</v>
      </c>
      <c r="Q1926" s="116">
        <v>501.25</v>
      </c>
      <c r="R1926">
        <v>1601352</v>
      </c>
    </row>
    <row r="1927" spans="1:18" x14ac:dyDescent="0.25">
      <c r="A1927" s="169">
        <v>44851</v>
      </c>
      <c r="B1927" s="116">
        <v>192</v>
      </c>
      <c r="C1927" s="116">
        <v>190.65</v>
      </c>
      <c r="D1927" s="116">
        <v>177</v>
      </c>
      <c r="E1927" s="116">
        <v>183</v>
      </c>
      <c r="F1927" s="116">
        <v>190.65</v>
      </c>
      <c r="G1927">
        <v>257498</v>
      </c>
      <c r="H1927" s="116"/>
      <c r="I1927" s="116"/>
      <c r="L1927" s="169">
        <v>44841</v>
      </c>
      <c r="M1927" s="116">
        <v>500.7</v>
      </c>
      <c r="N1927" s="116">
        <v>504</v>
      </c>
      <c r="O1927" s="116">
        <v>494.9</v>
      </c>
      <c r="P1927" s="116">
        <v>502</v>
      </c>
      <c r="Q1927" s="116">
        <v>500.7</v>
      </c>
      <c r="R1927">
        <v>805811</v>
      </c>
    </row>
    <row r="1928" spans="1:18" x14ac:dyDescent="0.25">
      <c r="A1928" s="169">
        <v>44852</v>
      </c>
      <c r="B1928" s="116">
        <v>200</v>
      </c>
      <c r="C1928" s="116">
        <v>188.85</v>
      </c>
      <c r="D1928" s="116">
        <v>187.15</v>
      </c>
      <c r="E1928" s="116">
        <v>193.8</v>
      </c>
      <c r="F1928" s="116">
        <v>188.85</v>
      </c>
      <c r="G1928">
        <v>168500</v>
      </c>
      <c r="H1928" s="116"/>
      <c r="I1928" s="116"/>
      <c r="L1928" s="169">
        <v>44844</v>
      </c>
      <c r="M1928" s="116">
        <v>497.2</v>
      </c>
      <c r="N1928" s="116">
        <v>502.5</v>
      </c>
      <c r="O1928" s="116">
        <v>490</v>
      </c>
      <c r="P1928" s="116">
        <v>492</v>
      </c>
      <c r="Q1928" s="116">
        <v>497.2</v>
      </c>
      <c r="R1928">
        <v>892073</v>
      </c>
    </row>
    <row r="1929" spans="1:18" x14ac:dyDescent="0.25">
      <c r="A1929" s="169">
        <v>44853</v>
      </c>
      <c r="B1929" s="116">
        <v>195.8</v>
      </c>
      <c r="C1929" s="116">
        <v>186.25</v>
      </c>
      <c r="D1929" s="116">
        <v>185</v>
      </c>
      <c r="E1929" s="116">
        <v>190.95</v>
      </c>
      <c r="F1929" s="116">
        <v>186.25</v>
      </c>
      <c r="G1929">
        <v>253564</v>
      </c>
      <c r="H1929" s="116"/>
      <c r="I1929" s="116"/>
      <c r="L1929" s="169">
        <v>44845</v>
      </c>
      <c r="M1929" s="116">
        <v>480.65</v>
      </c>
      <c r="N1929" s="116">
        <v>500.9</v>
      </c>
      <c r="O1929" s="116">
        <v>478.8</v>
      </c>
      <c r="P1929" s="116">
        <v>499.1</v>
      </c>
      <c r="Q1929" s="116">
        <v>480.65</v>
      </c>
      <c r="R1929">
        <v>898264</v>
      </c>
    </row>
    <row r="1930" spans="1:18" x14ac:dyDescent="0.25">
      <c r="A1930" s="169">
        <v>44854</v>
      </c>
      <c r="B1930" s="116">
        <v>189.5</v>
      </c>
      <c r="C1930" s="116">
        <v>187.75</v>
      </c>
      <c r="D1930" s="116">
        <v>186</v>
      </c>
      <c r="E1930" s="116">
        <v>186</v>
      </c>
      <c r="F1930" s="116">
        <v>187.75</v>
      </c>
      <c r="G1930">
        <v>78247</v>
      </c>
      <c r="H1930" s="116"/>
      <c r="I1930" s="116"/>
      <c r="L1930" s="169">
        <v>44846</v>
      </c>
      <c r="M1930" s="116">
        <v>492.1</v>
      </c>
      <c r="N1930" s="116">
        <v>493.9</v>
      </c>
      <c r="O1930" s="116">
        <v>476.2</v>
      </c>
      <c r="P1930" s="116">
        <v>480</v>
      </c>
      <c r="Q1930" s="116">
        <v>492.1</v>
      </c>
      <c r="R1930">
        <v>1438585</v>
      </c>
    </row>
    <row r="1931" spans="1:18" x14ac:dyDescent="0.25">
      <c r="A1931" s="169">
        <v>44855</v>
      </c>
      <c r="B1931" s="116">
        <v>192.8</v>
      </c>
      <c r="C1931" s="116">
        <v>186.15</v>
      </c>
      <c r="D1931" s="116">
        <v>183</v>
      </c>
      <c r="E1931" s="116">
        <v>189</v>
      </c>
      <c r="F1931" s="116">
        <v>186.15</v>
      </c>
      <c r="G1931">
        <v>122478</v>
      </c>
      <c r="H1931" s="116"/>
      <c r="I1931" s="116"/>
      <c r="L1931" s="169">
        <v>44847</v>
      </c>
      <c r="M1931" s="116">
        <v>502.25</v>
      </c>
      <c r="N1931" s="116">
        <v>507.35</v>
      </c>
      <c r="O1931" s="116">
        <v>487.6</v>
      </c>
      <c r="P1931" s="116">
        <v>490.2</v>
      </c>
      <c r="Q1931" s="116">
        <v>502.25</v>
      </c>
      <c r="R1931">
        <v>1489001</v>
      </c>
    </row>
    <row r="1932" spans="1:18" x14ac:dyDescent="0.25">
      <c r="A1932" s="169">
        <v>44858</v>
      </c>
      <c r="B1932" s="116">
        <v>192</v>
      </c>
      <c r="C1932" s="116">
        <v>189.7</v>
      </c>
      <c r="D1932" s="116">
        <v>188.05</v>
      </c>
      <c r="E1932" s="116">
        <v>189.5</v>
      </c>
      <c r="F1932" s="116">
        <v>189.7</v>
      </c>
      <c r="G1932">
        <v>117316</v>
      </c>
      <c r="H1932" s="116"/>
      <c r="I1932" s="116"/>
      <c r="L1932" s="169">
        <v>44848</v>
      </c>
      <c r="M1932" s="116">
        <v>503.55</v>
      </c>
      <c r="N1932" s="116">
        <v>512</v>
      </c>
      <c r="O1932" s="116">
        <v>499.75</v>
      </c>
      <c r="P1932" s="116">
        <v>510</v>
      </c>
      <c r="Q1932" s="116">
        <v>503.55</v>
      </c>
      <c r="R1932">
        <v>1020408</v>
      </c>
    </row>
    <row r="1933" spans="1:18" x14ac:dyDescent="0.25">
      <c r="A1933" s="169">
        <v>44859</v>
      </c>
      <c r="B1933" s="116">
        <v>190.95</v>
      </c>
      <c r="C1933" s="116">
        <v>188.5</v>
      </c>
      <c r="D1933" s="116">
        <v>184.1</v>
      </c>
      <c r="E1933" s="116">
        <v>189.9</v>
      </c>
      <c r="F1933" s="116">
        <v>188.5</v>
      </c>
      <c r="G1933">
        <v>116570</v>
      </c>
      <c r="H1933" s="116"/>
      <c r="I1933" s="116"/>
      <c r="L1933" s="169">
        <v>44851</v>
      </c>
      <c r="M1933" s="116">
        <v>502.2</v>
      </c>
      <c r="N1933" s="116">
        <v>522.85</v>
      </c>
      <c r="O1933" s="116">
        <v>498.35</v>
      </c>
      <c r="P1933" s="116">
        <v>502.45</v>
      </c>
      <c r="Q1933" s="116">
        <v>502.2</v>
      </c>
      <c r="R1933">
        <v>3142466</v>
      </c>
    </row>
    <row r="1934" spans="1:18" x14ac:dyDescent="0.25">
      <c r="A1934" s="169">
        <v>44861</v>
      </c>
      <c r="B1934" s="116">
        <v>197.4</v>
      </c>
      <c r="C1934" s="116">
        <v>196.6</v>
      </c>
      <c r="D1934" s="116">
        <v>191</v>
      </c>
      <c r="E1934" s="116">
        <v>191.95</v>
      </c>
      <c r="F1934" s="116">
        <v>196.6</v>
      </c>
      <c r="G1934">
        <v>272481</v>
      </c>
      <c r="H1934" s="116"/>
      <c r="I1934" s="116"/>
      <c r="L1934" s="169">
        <v>44852</v>
      </c>
      <c r="M1934" s="116">
        <v>524.29999999999995</v>
      </c>
      <c r="N1934" s="116">
        <v>526</v>
      </c>
      <c r="O1934" s="116">
        <v>496</v>
      </c>
      <c r="P1934" s="116">
        <v>496</v>
      </c>
      <c r="Q1934" s="116">
        <v>524.29999999999995</v>
      </c>
      <c r="R1934">
        <v>4010695</v>
      </c>
    </row>
    <row r="1935" spans="1:18" x14ac:dyDescent="0.25">
      <c r="A1935" s="169">
        <v>44862</v>
      </c>
      <c r="B1935" s="116">
        <v>200</v>
      </c>
      <c r="C1935" s="116">
        <v>196.45</v>
      </c>
      <c r="D1935" s="116">
        <v>196</v>
      </c>
      <c r="E1935" s="116">
        <v>197.45</v>
      </c>
      <c r="F1935" s="116">
        <v>196.45</v>
      </c>
      <c r="G1935">
        <v>237614</v>
      </c>
      <c r="H1935" s="116"/>
      <c r="I1935" s="116"/>
      <c r="L1935" s="169">
        <v>44853</v>
      </c>
      <c r="M1935" s="116">
        <v>519.5</v>
      </c>
      <c r="N1935" s="116">
        <v>530.9</v>
      </c>
      <c r="O1935" s="116">
        <v>516.45000000000005</v>
      </c>
      <c r="P1935" s="116">
        <v>526</v>
      </c>
      <c r="Q1935" s="116">
        <v>519.5</v>
      </c>
      <c r="R1935">
        <v>1579383</v>
      </c>
    </row>
    <row r="1936" spans="1:18" x14ac:dyDescent="0.25">
      <c r="A1936" s="169">
        <v>44865</v>
      </c>
      <c r="B1936" s="116">
        <v>199</v>
      </c>
      <c r="C1936" s="116">
        <v>195.35</v>
      </c>
      <c r="D1936" s="116">
        <v>192.95</v>
      </c>
      <c r="E1936" s="116">
        <v>196.9</v>
      </c>
      <c r="F1936" s="116">
        <v>195.35</v>
      </c>
      <c r="G1936">
        <v>113570</v>
      </c>
      <c r="H1936" s="116"/>
      <c r="I1936" s="116"/>
      <c r="L1936" s="169">
        <v>44854</v>
      </c>
      <c r="M1936" s="116">
        <v>521.25</v>
      </c>
      <c r="N1936" s="116">
        <v>523.20000000000005</v>
      </c>
      <c r="O1936" s="116">
        <v>510.3</v>
      </c>
      <c r="P1936" s="116">
        <v>519.45000000000005</v>
      </c>
      <c r="Q1936" s="116">
        <v>521.25</v>
      </c>
      <c r="R1936">
        <v>872512</v>
      </c>
    </row>
    <row r="1937" spans="1:18" x14ac:dyDescent="0.25">
      <c r="A1937" s="169">
        <v>44866</v>
      </c>
      <c r="B1937" s="116">
        <v>197.75</v>
      </c>
      <c r="C1937" s="116">
        <v>192.3</v>
      </c>
      <c r="D1937" s="116">
        <v>191</v>
      </c>
      <c r="E1937" s="116">
        <v>196.95</v>
      </c>
      <c r="F1937" s="116">
        <v>192.3</v>
      </c>
      <c r="G1937">
        <v>69442</v>
      </c>
      <c r="H1937" s="116"/>
      <c r="I1937" s="116"/>
      <c r="L1937" s="169">
        <v>44855</v>
      </c>
      <c r="M1937" s="116">
        <v>521.15</v>
      </c>
      <c r="N1937" s="116">
        <v>530.95000000000005</v>
      </c>
      <c r="O1937" s="116">
        <v>515.25</v>
      </c>
      <c r="P1937" s="116">
        <v>523</v>
      </c>
      <c r="Q1937" s="116">
        <v>521.15</v>
      </c>
      <c r="R1937">
        <v>1067982</v>
      </c>
    </row>
    <row r="1938" spans="1:18" x14ac:dyDescent="0.25">
      <c r="A1938" s="169">
        <v>44867</v>
      </c>
      <c r="B1938" s="116">
        <v>194.5</v>
      </c>
      <c r="C1938" s="116">
        <v>192.65</v>
      </c>
      <c r="D1938" s="116">
        <v>190.7</v>
      </c>
      <c r="E1938" s="116">
        <v>194.5</v>
      </c>
      <c r="F1938" s="116">
        <v>192.65</v>
      </c>
      <c r="G1938">
        <v>90365</v>
      </c>
      <c r="H1938" s="116"/>
      <c r="I1938" s="116"/>
      <c r="L1938" s="169">
        <v>44858</v>
      </c>
      <c r="M1938" s="116">
        <v>524.75</v>
      </c>
      <c r="N1938" s="116">
        <v>528.65</v>
      </c>
      <c r="O1938" s="116">
        <v>523</v>
      </c>
      <c r="P1938" s="116">
        <v>525.9</v>
      </c>
      <c r="Q1938" s="116">
        <v>524.75</v>
      </c>
      <c r="R1938">
        <v>216356</v>
      </c>
    </row>
    <row r="1939" spans="1:18" x14ac:dyDescent="0.25">
      <c r="A1939" s="169">
        <v>44868</v>
      </c>
      <c r="B1939" s="116">
        <v>192.4</v>
      </c>
      <c r="C1939" s="116">
        <v>188</v>
      </c>
      <c r="D1939" s="116">
        <v>186.7</v>
      </c>
      <c r="E1939" s="116">
        <v>192</v>
      </c>
      <c r="F1939" s="116">
        <v>188</v>
      </c>
      <c r="G1939">
        <v>81663</v>
      </c>
      <c r="H1939" s="116"/>
      <c r="I1939" s="116"/>
      <c r="L1939" s="169">
        <v>44859</v>
      </c>
      <c r="M1939" s="116">
        <v>525.85</v>
      </c>
      <c r="N1939" s="116">
        <v>528.54999999999995</v>
      </c>
      <c r="O1939" s="116">
        <v>513.79999999999995</v>
      </c>
      <c r="P1939" s="116">
        <v>525.5</v>
      </c>
      <c r="Q1939" s="116">
        <v>525.85</v>
      </c>
      <c r="R1939">
        <v>1084772</v>
      </c>
    </row>
    <row r="1940" spans="1:18" x14ac:dyDescent="0.25">
      <c r="A1940" s="169">
        <v>44869</v>
      </c>
      <c r="B1940" s="116">
        <v>190</v>
      </c>
      <c r="C1940" s="116">
        <v>186</v>
      </c>
      <c r="D1940" s="116">
        <v>184.1</v>
      </c>
      <c r="E1940" s="116">
        <v>187.1</v>
      </c>
      <c r="F1940" s="116">
        <v>186</v>
      </c>
      <c r="G1940">
        <v>71661</v>
      </c>
      <c r="H1940" s="116"/>
      <c r="I1940" s="116"/>
      <c r="L1940" s="169">
        <v>44861</v>
      </c>
      <c r="M1940" s="116">
        <v>519</v>
      </c>
      <c r="N1940" s="116">
        <v>527</v>
      </c>
      <c r="O1940" s="116">
        <v>515</v>
      </c>
      <c r="P1940" s="116">
        <v>525.04999999999995</v>
      </c>
      <c r="Q1940" s="116">
        <v>519</v>
      </c>
      <c r="R1940">
        <v>719269</v>
      </c>
    </row>
    <row r="1941" spans="1:18" x14ac:dyDescent="0.25">
      <c r="A1941" s="169">
        <v>44872</v>
      </c>
      <c r="B1941" s="116">
        <v>189.2</v>
      </c>
      <c r="C1941" s="116">
        <v>187.45</v>
      </c>
      <c r="D1941" s="116">
        <v>185.5</v>
      </c>
      <c r="E1941" s="116">
        <v>186.3</v>
      </c>
      <c r="F1941" s="116">
        <v>187.45</v>
      </c>
      <c r="G1941">
        <v>96364</v>
      </c>
      <c r="H1941" s="116"/>
      <c r="I1941" s="116"/>
      <c r="L1941" s="169">
        <v>44862</v>
      </c>
      <c r="M1941" s="116">
        <v>516.35</v>
      </c>
      <c r="N1941" s="116">
        <v>524.95000000000005</v>
      </c>
      <c r="O1941" s="116">
        <v>514</v>
      </c>
      <c r="P1941" s="116">
        <v>520.5</v>
      </c>
      <c r="Q1941" s="116">
        <v>516.35</v>
      </c>
      <c r="R1941">
        <v>404391</v>
      </c>
    </row>
    <row r="1942" spans="1:18" x14ac:dyDescent="0.25">
      <c r="A1942" s="169">
        <v>44874</v>
      </c>
      <c r="B1942" s="116">
        <v>189.7</v>
      </c>
      <c r="C1942" s="116">
        <v>187.3</v>
      </c>
      <c r="D1942" s="116">
        <v>185.3</v>
      </c>
      <c r="E1942" s="116">
        <v>185.5</v>
      </c>
      <c r="F1942" s="116">
        <v>187.3</v>
      </c>
      <c r="G1942">
        <v>95429</v>
      </c>
      <c r="H1942" s="116"/>
      <c r="I1942" s="116"/>
      <c r="L1942" s="169">
        <v>44865</v>
      </c>
      <c r="M1942" s="116">
        <v>524.35</v>
      </c>
      <c r="N1942" s="116">
        <v>526</v>
      </c>
      <c r="O1942" s="116">
        <v>517.04999999999995</v>
      </c>
      <c r="P1942" s="116">
        <v>518.5</v>
      </c>
      <c r="Q1942" s="116">
        <v>524.35</v>
      </c>
      <c r="R1942">
        <v>484944</v>
      </c>
    </row>
    <row r="1943" spans="1:18" x14ac:dyDescent="0.25">
      <c r="A1943" s="169">
        <v>44875</v>
      </c>
      <c r="B1943" s="116">
        <v>188</v>
      </c>
      <c r="C1943" s="116">
        <v>184.25</v>
      </c>
      <c r="D1943" s="116">
        <v>183.1</v>
      </c>
      <c r="E1943" s="116">
        <v>188</v>
      </c>
      <c r="F1943" s="116">
        <v>184.25</v>
      </c>
      <c r="G1943">
        <v>72239</v>
      </c>
      <c r="H1943" s="116"/>
      <c r="I1943" s="116"/>
      <c r="L1943" s="169">
        <v>44866</v>
      </c>
      <c r="M1943" s="116">
        <v>521</v>
      </c>
      <c r="N1943" s="116">
        <v>528</v>
      </c>
      <c r="O1943" s="116">
        <v>519.20000000000005</v>
      </c>
      <c r="P1943" s="116">
        <v>525.04999999999995</v>
      </c>
      <c r="Q1943" s="116">
        <v>521</v>
      </c>
      <c r="R1943">
        <v>372771</v>
      </c>
    </row>
    <row r="1944" spans="1:18" x14ac:dyDescent="0.25">
      <c r="A1944" s="169">
        <v>44876</v>
      </c>
      <c r="B1944" s="116">
        <v>187.6</v>
      </c>
      <c r="C1944" s="116">
        <v>177.1</v>
      </c>
      <c r="D1944" s="116">
        <v>176.1</v>
      </c>
      <c r="E1944" s="116">
        <v>185.25</v>
      </c>
      <c r="F1944" s="116">
        <v>177.1</v>
      </c>
      <c r="G1944">
        <v>118327</v>
      </c>
      <c r="H1944" s="116"/>
      <c r="I1944" s="116"/>
      <c r="L1944" s="169">
        <v>44867</v>
      </c>
      <c r="M1944" s="116">
        <v>507.3</v>
      </c>
      <c r="N1944" s="116">
        <v>523.65</v>
      </c>
      <c r="O1944" s="116">
        <v>500.6</v>
      </c>
      <c r="P1944" s="116">
        <v>523.65</v>
      </c>
      <c r="Q1944" s="116">
        <v>507.3</v>
      </c>
      <c r="R1944">
        <v>1196586</v>
      </c>
    </row>
    <row r="1945" spans="1:18" x14ac:dyDescent="0.25">
      <c r="A1945" s="169">
        <v>44879</v>
      </c>
      <c r="B1945" s="116">
        <v>178.15</v>
      </c>
      <c r="C1945" s="116">
        <v>173.6</v>
      </c>
      <c r="D1945" s="116">
        <v>171.25</v>
      </c>
      <c r="E1945" s="116">
        <v>177.1</v>
      </c>
      <c r="F1945" s="116">
        <v>173.6</v>
      </c>
      <c r="G1945">
        <v>82230</v>
      </c>
      <c r="H1945" s="116"/>
      <c r="I1945" s="116"/>
      <c r="L1945" s="169">
        <v>44868</v>
      </c>
      <c r="M1945" s="116">
        <v>521.15</v>
      </c>
      <c r="N1945" s="116">
        <v>522.75</v>
      </c>
      <c r="O1945" s="116">
        <v>498.95</v>
      </c>
      <c r="P1945" s="116">
        <v>506.45</v>
      </c>
      <c r="Q1945" s="116">
        <v>521.15</v>
      </c>
      <c r="R1945">
        <v>1192676</v>
      </c>
    </row>
    <row r="1946" spans="1:18" x14ac:dyDescent="0.25">
      <c r="A1946" s="169">
        <v>44880</v>
      </c>
      <c r="B1946" s="116">
        <v>177.95</v>
      </c>
      <c r="C1946" s="116">
        <v>177.35</v>
      </c>
      <c r="D1946" s="116">
        <v>172.05</v>
      </c>
      <c r="E1946" s="116">
        <v>175.4</v>
      </c>
      <c r="F1946" s="116">
        <v>177.35</v>
      </c>
      <c r="G1946">
        <v>66026</v>
      </c>
      <c r="H1946" s="116"/>
      <c r="I1946" s="116"/>
      <c r="L1946" s="169">
        <v>44869</v>
      </c>
      <c r="M1946" s="116">
        <v>516.25</v>
      </c>
      <c r="N1946" s="116">
        <v>522.75</v>
      </c>
      <c r="O1946" s="116">
        <v>511.2</v>
      </c>
      <c r="P1946" s="116">
        <v>521.15</v>
      </c>
      <c r="Q1946" s="116">
        <v>516.25</v>
      </c>
      <c r="R1946">
        <v>540693</v>
      </c>
    </row>
    <row r="1947" spans="1:18" x14ac:dyDescent="0.25">
      <c r="A1947" s="169">
        <v>44881</v>
      </c>
      <c r="B1947" s="116">
        <v>183.45</v>
      </c>
      <c r="C1947" s="116">
        <v>179.95</v>
      </c>
      <c r="D1947" s="116">
        <v>175</v>
      </c>
      <c r="E1947" s="116">
        <v>175</v>
      </c>
      <c r="F1947" s="116">
        <v>179.95</v>
      </c>
      <c r="G1947">
        <v>79188</v>
      </c>
      <c r="H1947" s="116"/>
      <c r="I1947" s="116"/>
      <c r="L1947" s="169">
        <v>44872</v>
      </c>
      <c r="M1947" s="116">
        <v>521.79999999999995</v>
      </c>
      <c r="N1947" s="116">
        <v>530</v>
      </c>
      <c r="O1947" s="116">
        <v>518.25</v>
      </c>
      <c r="P1947" s="116">
        <v>518.85</v>
      </c>
      <c r="Q1947" s="116">
        <v>521.79999999999995</v>
      </c>
      <c r="R1947">
        <v>560519</v>
      </c>
    </row>
    <row r="1948" spans="1:18" x14ac:dyDescent="0.25">
      <c r="A1948" s="169">
        <v>44882</v>
      </c>
      <c r="B1948" s="116">
        <v>182.7</v>
      </c>
      <c r="C1948" s="116">
        <v>175.2</v>
      </c>
      <c r="D1948" s="116">
        <v>175</v>
      </c>
      <c r="E1948" s="116">
        <v>179.95</v>
      </c>
      <c r="F1948" s="116">
        <v>175.2</v>
      </c>
      <c r="G1948">
        <v>75299</v>
      </c>
      <c r="H1948" s="116"/>
      <c r="I1948" s="116"/>
      <c r="L1948" s="169">
        <v>44874</v>
      </c>
      <c r="M1948" s="116">
        <v>534.79999999999995</v>
      </c>
      <c r="N1948" s="116">
        <v>538.95000000000005</v>
      </c>
      <c r="O1948" s="116">
        <v>522.25</v>
      </c>
      <c r="P1948" s="116">
        <v>525</v>
      </c>
      <c r="Q1948" s="116">
        <v>534.79999999999995</v>
      </c>
      <c r="R1948">
        <v>1459380</v>
      </c>
    </row>
    <row r="1949" spans="1:18" x14ac:dyDescent="0.25">
      <c r="A1949" s="169">
        <v>44883</v>
      </c>
      <c r="B1949" s="116">
        <v>178.4</v>
      </c>
      <c r="C1949" s="116">
        <v>173.45</v>
      </c>
      <c r="D1949" s="116">
        <v>172.8</v>
      </c>
      <c r="E1949" s="116">
        <v>178.4</v>
      </c>
      <c r="F1949" s="116">
        <v>173.45</v>
      </c>
      <c r="G1949">
        <v>39705</v>
      </c>
      <c r="H1949" s="116"/>
      <c r="I1949" s="116"/>
      <c r="L1949" s="169">
        <v>44875</v>
      </c>
      <c r="M1949" s="116">
        <v>531.04999999999995</v>
      </c>
      <c r="N1949" s="116">
        <v>537.65</v>
      </c>
      <c r="O1949" s="116">
        <v>527.04999999999995</v>
      </c>
      <c r="P1949" s="116">
        <v>534.70000000000005</v>
      </c>
      <c r="Q1949" s="116">
        <v>531.04999999999995</v>
      </c>
      <c r="R1949">
        <v>711156</v>
      </c>
    </row>
    <row r="1950" spans="1:18" x14ac:dyDescent="0.25">
      <c r="A1950" s="169">
        <v>44886</v>
      </c>
      <c r="B1950" s="116">
        <v>182.1</v>
      </c>
      <c r="C1950" s="116">
        <v>177.2</v>
      </c>
      <c r="D1950" s="116">
        <v>174.3</v>
      </c>
      <c r="E1950" s="116">
        <v>175.95</v>
      </c>
      <c r="F1950" s="116">
        <v>177.2</v>
      </c>
      <c r="G1950">
        <v>139336</v>
      </c>
      <c r="H1950" s="116"/>
      <c r="I1950" s="116"/>
      <c r="L1950" s="169">
        <v>44876</v>
      </c>
      <c r="M1950" s="116">
        <v>535.54999999999995</v>
      </c>
      <c r="N1950" s="116">
        <v>540</v>
      </c>
      <c r="O1950" s="116">
        <v>529.70000000000005</v>
      </c>
      <c r="P1950" s="116">
        <v>538.95000000000005</v>
      </c>
      <c r="Q1950" s="116">
        <v>535.54999999999995</v>
      </c>
      <c r="R1950">
        <v>559981</v>
      </c>
    </row>
    <row r="1951" spans="1:18" x14ac:dyDescent="0.25">
      <c r="A1951" s="169">
        <v>44887</v>
      </c>
      <c r="B1951" s="116">
        <v>181.95</v>
      </c>
      <c r="C1951" s="116">
        <v>174.95</v>
      </c>
      <c r="D1951" s="116">
        <v>173.35</v>
      </c>
      <c r="E1951" s="116">
        <v>181.9</v>
      </c>
      <c r="F1951" s="116">
        <v>174.95</v>
      </c>
      <c r="G1951">
        <v>37970</v>
      </c>
      <c r="H1951" s="116"/>
      <c r="I1951" s="116"/>
      <c r="L1951" s="169">
        <v>44879</v>
      </c>
      <c r="M1951" s="116">
        <v>536.70000000000005</v>
      </c>
      <c r="N1951" s="116">
        <v>538</v>
      </c>
      <c r="O1951" s="116">
        <v>530</v>
      </c>
      <c r="P1951" s="116">
        <v>535.95000000000005</v>
      </c>
      <c r="Q1951" s="116">
        <v>536.70000000000005</v>
      </c>
      <c r="R1951">
        <v>348789</v>
      </c>
    </row>
    <row r="1952" spans="1:18" x14ac:dyDescent="0.25">
      <c r="A1952" s="169">
        <v>44888</v>
      </c>
      <c r="B1952" s="116">
        <v>176.9</v>
      </c>
      <c r="C1952" s="116">
        <v>173.5</v>
      </c>
      <c r="D1952" s="116">
        <v>170.9</v>
      </c>
      <c r="E1952" s="116">
        <v>174.2</v>
      </c>
      <c r="F1952" s="116">
        <v>173.5</v>
      </c>
      <c r="G1952">
        <v>120327</v>
      </c>
      <c r="H1952" s="116"/>
      <c r="I1952" s="116"/>
      <c r="L1952" s="169">
        <v>44880</v>
      </c>
      <c r="M1952" s="116">
        <v>535.95000000000005</v>
      </c>
      <c r="N1952" s="116">
        <v>538.9</v>
      </c>
      <c r="O1952" s="116">
        <v>532.25</v>
      </c>
      <c r="P1952" s="116">
        <v>538</v>
      </c>
      <c r="Q1952" s="116">
        <v>535.95000000000005</v>
      </c>
      <c r="R1952">
        <v>367553</v>
      </c>
    </row>
    <row r="1953" spans="1:18" x14ac:dyDescent="0.25">
      <c r="A1953" s="169">
        <v>44889</v>
      </c>
      <c r="B1953" s="116">
        <v>175.8</v>
      </c>
      <c r="C1953" s="116">
        <v>173.15</v>
      </c>
      <c r="D1953" s="116">
        <v>171.1</v>
      </c>
      <c r="E1953" s="116">
        <v>172.15</v>
      </c>
      <c r="F1953" s="116">
        <v>173.15</v>
      </c>
      <c r="G1953">
        <v>37456</v>
      </c>
      <c r="H1953" s="116"/>
      <c r="I1953" s="116"/>
      <c r="L1953" s="169">
        <v>44881</v>
      </c>
      <c r="M1953" s="116">
        <v>520.9</v>
      </c>
      <c r="N1953" s="116">
        <v>537</v>
      </c>
      <c r="O1953" s="116">
        <v>518</v>
      </c>
      <c r="P1953" s="116">
        <v>534.79999999999995</v>
      </c>
      <c r="Q1953" s="116">
        <v>520.9</v>
      </c>
      <c r="R1953">
        <v>607315</v>
      </c>
    </row>
    <row r="1954" spans="1:18" x14ac:dyDescent="0.25">
      <c r="A1954" s="169">
        <v>44890</v>
      </c>
      <c r="B1954" s="116">
        <v>177.9</v>
      </c>
      <c r="C1954" s="116">
        <v>174.65</v>
      </c>
      <c r="D1954" s="116">
        <v>172</v>
      </c>
      <c r="E1954" s="116">
        <v>174.8</v>
      </c>
      <c r="F1954" s="116">
        <v>174.65</v>
      </c>
      <c r="G1954">
        <v>74481</v>
      </c>
      <c r="H1954" s="116"/>
      <c r="I1954" s="116"/>
      <c r="L1954" s="169">
        <v>44882</v>
      </c>
      <c r="M1954" s="116">
        <v>518.85</v>
      </c>
      <c r="N1954" s="116">
        <v>524.85</v>
      </c>
      <c r="O1954" s="116">
        <v>511.2</v>
      </c>
      <c r="P1954" s="116">
        <v>519.45000000000005</v>
      </c>
      <c r="Q1954" s="116">
        <v>518.85</v>
      </c>
      <c r="R1954">
        <v>677692</v>
      </c>
    </row>
    <row r="1955" spans="1:18" x14ac:dyDescent="0.25">
      <c r="A1955" s="169">
        <v>44893</v>
      </c>
      <c r="B1955" s="116">
        <v>175.9</v>
      </c>
      <c r="C1955" s="116">
        <v>169.65</v>
      </c>
      <c r="D1955" s="116">
        <v>168.1</v>
      </c>
      <c r="E1955" s="116">
        <v>175.9</v>
      </c>
      <c r="F1955" s="116">
        <v>169.65</v>
      </c>
      <c r="G1955">
        <v>117549</v>
      </c>
      <c r="H1955" s="116"/>
      <c r="I1955" s="116"/>
      <c r="L1955" s="169">
        <v>44883</v>
      </c>
      <c r="M1955" s="116">
        <v>512.1</v>
      </c>
      <c r="N1955" s="116">
        <v>519.45000000000005</v>
      </c>
      <c r="O1955" s="116">
        <v>508.5</v>
      </c>
      <c r="P1955" s="116">
        <v>518.29999999999995</v>
      </c>
      <c r="Q1955" s="116">
        <v>512.1</v>
      </c>
      <c r="R1955">
        <v>464472</v>
      </c>
    </row>
    <row r="1956" spans="1:18" x14ac:dyDescent="0.25">
      <c r="A1956" s="169">
        <v>44894</v>
      </c>
      <c r="B1956" s="116">
        <v>174</v>
      </c>
      <c r="C1956" s="116">
        <v>170.65</v>
      </c>
      <c r="D1956" s="116">
        <v>169.5</v>
      </c>
      <c r="E1956" s="116">
        <v>169.5</v>
      </c>
      <c r="F1956" s="116">
        <v>170.65</v>
      </c>
      <c r="G1956">
        <v>155884</v>
      </c>
      <c r="H1956" s="116"/>
      <c r="I1956" s="116"/>
      <c r="L1956" s="169">
        <v>44886</v>
      </c>
      <c r="M1956" s="116">
        <v>510.6</v>
      </c>
      <c r="N1956" s="116">
        <v>517.45000000000005</v>
      </c>
      <c r="O1956" s="116">
        <v>503.1</v>
      </c>
      <c r="P1956" s="116">
        <v>509</v>
      </c>
      <c r="Q1956" s="116">
        <v>510.6</v>
      </c>
      <c r="R1956">
        <v>669466</v>
      </c>
    </row>
    <row r="1957" spans="1:18" x14ac:dyDescent="0.25">
      <c r="A1957" s="169">
        <v>44895</v>
      </c>
      <c r="B1957" s="116">
        <v>173.4</v>
      </c>
      <c r="C1957" s="116">
        <v>165.8</v>
      </c>
      <c r="D1957" s="116">
        <v>163.15</v>
      </c>
      <c r="E1957" s="116">
        <v>173.4</v>
      </c>
      <c r="F1957" s="116">
        <v>165.8</v>
      </c>
      <c r="G1957">
        <v>1134931</v>
      </c>
      <c r="H1957" s="116"/>
      <c r="I1957" s="116"/>
      <c r="L1957" s="169">
        <v>44887</v>
      </c>
      <c r="M1957" s="116">
        <v>514.29999999999995</v>
      </c>
      <c r="N1957" s="116">
        <v>516.95000000000005</v>
      </c>
      <c r="O1957" s="116">
        <v>506</v>
      </c>
      <c r="P1957" s="116">
        <v>513.20000000000005</v>
      </c>
      <c r="Q1957" s="116">
        <v>514.29999999999995</v>
      </c>
      <c r="R1957">
        <v>495904</v>
      </c>
    </row>
    <row r="1958" spans="1:18" x14ac:dyDescent="0.25">
      <c r="A1958" s="169">
        <v>44896</v>
      </c>
      <c r="B1958" s="116">
        <v>173.5</v>
      </c>
      <c r="C1958" s="116">
        <v>171.65</v>
      </c>
      <c r="D1958" s="116">
        <v>168.1</v>
      </c>
      <c r="E1958" s="116">
        <v>171.9</v>
      </c>
      <c r="F1958" s="116">
        <v>171.65</v>
      </c>
      <c r="G1958">
        <v>111295</v>
      </c>
      <c r="H1958" s="116"/>
      <c r="I1958" s="116"/>
      <c r="L1958" s="169">
        <v>44888</v>
      </c>
      <c r="M1958" s="116">
        <v>525.65</v>
      </c>
      <c r="N1958" s="116">
        <v>527.4</v>
      </c>
      <c r="O1958" s="116">
        <v>512.75</v>
      </c>
      <c r="P1958" s="116">
        <v>515.5</v>
      </c>
      <c r="Q1958" s="116">
        <v>525.65</v>
      </c>
      <c r="R1958">
        <v>596619</v>
      </c>
    </row>
    <row r="1959" spans="1:18" x14ac:dyDescent="0.25">
      <c r="A1959" s="169">
        <v>44897</v>
      </c>
      <c r="B1959" s="116">
        <v>174.95</v>
      </c>
      <c r="C1959" s="116">
        <v>172.9</v>
      </c>
      <c r="D1959" s="116">
        <v>168.55</v>
      </c>
      <c r="E1959" s="116">
        <v>168.55</v>
      </c>
      <c r="F1959" s="116">
        <v>172.9</v>
      </c>
      <c r="G1959">
        <v>82725</v>
      </c>
      <c r="H1959" s="116"/>
      <c r="I1959" s="116"/>
      <c r="L1959" s="169">
        <v>44889</v>
      </c>
      <c r="M1959" s="116">
        <v>524.6</v>
      </c>
      <c r="N1959" s="116">
        <v>530.04999999999995</v>
      </c>
      <c r="O1959" s="116">
        <v>521.4</v>
      </c>
      <c r="P1959" s="116">
        <v>529.35</v>
      </c>
      <c r="Q1959" s="116">
        <v>524.6</v>
      </c>
      <c r="R1959">
        <v>381729</v>
      </c>
    </row>
    <row r="1960" spans="1:18" x14ac:dyDescent="0.25">
      <c r="A1960" s="169">
        <v>44900</v>
      </c>
      <c r="B1960" s="116">
        <v>174</v>
      </c>
      <c r="C1960" s="116">
        <v>171.6</v>
      </c>
      <c r="D1960" s="116">
        <v>166.85</v>
      </c>
      <c r="E1960" s="116">
        <v>173.5</v>
      </c>
      <c r="F1960" s="116">
        <v>171.6</v>
      </c>
      <c r="G1960">
        <v>71380</v>
      </c>
      <c r="H1960" s="116"/>
      <c r="I1960" s="116"/>
      <c r="L1960" s="169">
        <v>44890</v>
      </c>
      <c r="M1960" s="116">
        <v>544.70000000000005</v>
      </c>
      <c r="N1960" s="116">
        <v>547.20000000000005</v>
      </c>
      <c r="O1960" s="116">
        <v>521.79999999999995</v>
      </c>
      <c r="P1960" s="116">
        <v>525</v>
      </c>
      <c r="Q1960" s="116">
        <v>544.70000000000005</v>
      </c>
      <c r="R1960">
        <v>1505086</v>
      </c>
    </row>
    <row r="1961" spans="1:18" x14ac:dyDescent="0.25">
      <c r="A1961" s="169">
        <v>44901</v>
      </c>
      <c r="B1961" s="116">
        <v>175.95</v>
      </c>
      <c r="C1961" s="116">
        <v>175</v>
      </c>
      <c r="D1961" s="116">
        <v>169.95</v>
      </c>
      <c r="E1961" s="116">
        <v>171.25</v>
      </c>
      <c r="F1961" s="116">
        <v>175</v>
      </c>
      <c r="G1961">
        <v>93641</v>
      </c>
      <c r="H1961" s="116"/>
      <c r="I1961" s="116"/>
      <c r="L1961" s="169">
        <v>44893</v>
      </c>
      <c r="M1961" s="116">
        <v>545.95000000000005</v>
      </c>
      <c r="N1961" s="116">
        <v>554</v>
      </c>
      <c r="O1961" s="116">
        <v>543</v>
      </c>
      <c r="P1961" s="116">
        <v>546</v>
      </c>
      <c r="Q1961" s="116">
        <v>545.95000000000005</v>
      </c>
      <c r="R1961">
        <v>985840</v>
      </c>
    </row>
    <row r="1962" spans="1:18" x14ac:dyDescent="0.25">
      <c r="A1962" s="169">
        <v>44902</v>
      </c>
      <c r="B1962" s="116">
        <v>189.3</v>
      </c>
      <c r="C1962" s="116">
        <v>184.1</v>
      </c>
      <c r="D1962" s="116">
        <v>171.3</v>
      </c>
      <c r="E1962" s="116">
        <v>171.3</v>
      </c>
      <c r="F1962" s="116">
        <v>184.1</v>
      </c>
      <c r="G1962">
        <v>271712</v>
      </c>
      <c r="H1962" s="116"/>
      <c r="I1962" s="116"/>
      <c r="L1962" s="169">
        <v>44894</v>
      </c>
      <c r="M1962" s="116">
        <v>549.20000000000005</v>
      </c>
      <c r="N1962" s="116">
        <v>554</v>
      </c>
      <c r="O1962" s="116">
        <v>546.29999999999995</v>
      </c>
      <c r="P1962" s="116">
        <v>549.35</v>
      </c>
      <c r="Q1962" s="116">
        <v>549.20000000000005</v>
      </c>
      <c r="R1962">
        <v>770660</v>
      </c>
    </row>
    <row r="1963" spans="1:18" x14ac:dyDescent="0.25">
      <c r="A1963" s="169">
        <v>44903</v>
      </c>
      <c r="B1963" s="116">
        <v>189.3</v>
      </c>
      <c r="C1963" s="116">
        <v>187.85</v>
      </c>
      <c r="D1963" s="116">
        <v>184.5</v>
      </c>
      <c r="E1963" s="116">
        <v>184.5</v>
      </c>
      <c r="F1963" s="116">
        <v>187.85</v>
      </c>
      <c r="G1963">
        <v>174305</v>
      </c>
      <c r="H1963" s="116"/>
      <c r="I1963" s="116"/>
      <c r="L1963" s="169">
        <v>44895</v>
      </c>
      <c r="M1963" s="116">
        <v>553.04999999999995</v>
      </c>
      <c r="N1963" s="116">
        <v>555</v>
      </c>
      <c r="O1963" s="116">
        <v>547.20000000000005</v>
      </c>
      <c r="P1963" s="116">
        <v>551.45000000000005</v>
      </c>
      <c r="Q1963" s="116">
        <v>553.04999999999995</v>
      </c>
      <c r="R1963">
        <v>555749</v>
      </c>
    </row>
    <row r="1964" spans="1:18" x14ac:dyDescent="0.25">
      <c r="A1964" s="169">
        <v>44904</v>
      </c>
      <c r="B1964" s="116">
        <v>203</v>
      </c>
      <c r="C1964" s="116">
        <v>196.35</v>
      </c>
      <c r="D1964" s="116">
        <v>189</v>
      </c>
      <c r="E1964" s="116">
        <v>190.75</v>
      </c>
      <c r="F1964" s="116">
        <v>196.35</v>
      </c>
      <c r="G1964">
        <v>365773</v>
      </c>
      <c r="H1964" s="116"/>
      <c r="I1964" s="116"/>
      <c r="L1964" s="169">
        <v>44896</v>
      </c>
      <c r="M1964" s="116">
        <v>548.85</v>
      </c>
      <c r="N1964" s="116">
        <v>556</v>
      </c>
      <c r="O1964" s="116">
        <v>545.15</v>
      </c>
      <c r="P1964" s="116">
        <v>555.5</v>
      </c>
      <c r="Q1964" s="116">
        <v>548.85</v>
      </c>
      <c r="R1964">
        <v>390437</v>
      </c>
    </row>
    <row r="1965" spans="1:18" x14ac:dyDescent="0.25">
      <c r="A1965" s="169">
        <v>44907</v>
      </c>
      <c r="B1965" s="116">
        <v>202.5</v>
      </c>
      <c r="C1965" s="116">
        <v>194.65</v>
      </c>
      <c r="D1965" s="116">
        <v>192.1</v>
      </c>
      <c r="E1965" s="116">
        <v>199</v>
      </c>
      <c r="F1965" s="116">
        <v>194.65</v>
      </c>
      <c r="G1965">
        <v>169855</v>
      </c>
      <c r="H1965" s="116"/>
      <c r="I1965" s="116"/>
      <c r="L1965" s="169">
        <v>44897</v>
      </c>
      <c r="M1965" s="116">
        <v>551.79999999999995</v>
      </c>
      <c r="N1965" s="116">
        <v>553.5</v>
      </c>
      <c r="O1965" s="116">
        <v>547.65</v>
      </c>
      <c r="P1965" s="116">
        <v>549.95000000000005</v>
      </c>
      <c r="Q1965" s="116">
        <v>551.79999999999995</v>
      </c>
      <c r="R1965">
        <v>406138</v>
      </c>
    </row>
    <row r="1966" spans="1:18" x14ac:dyDescent="0.25">
      <c r="A1966" s="169">
        <v>44908</v>
      </c>
      <c r="B1966" s="116">
        <v>198.3</v>
      </c>
      <c r="C1966" s="116">
        <v>191.95</v>
      </c>
      <c r="D1966" s="116">
        <v>189.1</v>
      </c>
      <c r="E1966" s="116">
        <v>196.5</v>
      </c>
      <c r="F1966" s="116">
        <v>191.95</v>
      </c>
      <c r="G1966">
        <v>135049</v>
      </c>
      <c r="H1966" s="116"/>
      <c r="I1966" s="116"/>
      <c r="L1966" s="169">
        <v>44900</v>
      </c>
      <c r="M1966" s="116">
        <v>563.5</v>
      </c>
      <c r="N1966" s="116">
        <v>569</v>
      </c>
      <c r="O1966" s="116">
        <v>547.1</v>
      </c>
      <c r="P1966" s="116">
        <v>554</v>
      </c>
      <c r="Q1966" s="116">
        <v>563.5</v>
      </c>
      <c r="R1966">
        <v>1468184</v>
      </c>
    </row>
    <row r="1967" spans="1:18" x14ac:dyDescent="0.25">
      <c r="A1967" s="169">
        <v>44909</v>
      </c>
      <c r="B1967" s="116">
        <v>203.25</v>
      </c>
      <c r="C1967" s="116">
        <v>201.5</v>
      </c>
      <c r="D1967" s="116">
        <v>189</v>
      </c>
      <c r="E1967" s="116">
        <v>191.95</v>
      </c>
      <c r="F1967" s="116">
        <v>201.5</v>
      </c>
      <c r="G1967">
        <v>391407</v>
      </c>
      <c r="H1967" s="116"/>
      <c r="I1967" s="116"/>
      <c r="L1967" s="169">
        <v>44901</v>
      </c>
      <c r="M1967" s="116">
        <v>558.6</v>
      </c>
      <c r="N1967" s="116">
        <v>567.70000000000005</v>
      </c>
      <c r="O1967" s="116">
        <v>555.29999999999995</v>
      </c>
      <c r="P1967" s="116">
        <v>564.4</v>
      </c>
      <c r="Q1967" s="116">
        <v>558.6</v>
      </c>
      <c r="R1967">
        <v>757831</v>
      </c>
    </row>
    <row r="1968" spans="1:18" x14ac:dyDescent="0.25">
      <c r="A1968" s="169">
        <v>44910</v>
      </c>
      <c r="B1968" s="116">
        <v>210.9</v>
      </c>
      <c r="C1968" s="116">
        <v>209.85</v>
      </c>
      <c r="D1968" s="116">
        <v>203.5</v>
      </c>
      <c r="E1968" s="116">
        <v>203.5</v>
      </c>
      <c r="F1968" s="116">
        <v>209.85</v>
      </c>
      <c r="G1968">
        <v>397831</v>
      </c>
      <c r="H1968" s="116"/>
      <c r="I1968" s="116"/>
      <c r="L1968" s="169">
        <v>44902</v>
      </c>
      <c r="M1968" s="116">
        <v>550.95000000000005</v>
      </c>
      <c r="N1968" s="116">
        <v>560.95000000000005</v>
      </c>
      <c r="O1968" s="116">
        <v>545</v>
      </c>
      <c r="P1968" s="116">
        <v>560.95000000000005</v>
      </c>
      <c r="Q1968" s="116">
        <v>550.95000000000005</v>
      </c>
      <c r="R1968">
        <v>639860</v>
      </c>
    </row>
    <row r="1969" spans="1:18" x14ac:dyDescent="0.25">
      <c r="A1969" s="169">
        <v>44911</v>
      </c>
      <c r="B1969" s="116">
        <v>227.8</v>
      </c>
      <c r="C1969" s="116">
        <v>224.5</v>
      </c>
      <c r="D1969" s="116">
        <v>210</v>
      </c>
      <c r="E1969" s="116">
        <v>211</v>
      </c>
      <c r="F1969" s="116">
        <v>224.5</v>
      </c>
      <c r="G1969">
        <v>512275</v>
      </c>
      <c r="H1969" s="116"/>
      <c r="I1969" s="116"/>
      <c r="L1969" s="169">
        <v>44903</v>
      </c>
      <c r="M1969" s="116">
        <v>556.35</v>
      </c>
      <c r="N1969" s="116">
        <v>560.6</v>
      </c>
      <c r="O1969" s="116">
        <v>548.04999999999995</v>
      </c>
      <c r="P1969" s="116">
        <v>551</v>
      </c>
      <c r="Q1969" s="116">
        <v>556.35</v>
      </c>
      <c r="R1969">
        <v>486439</v>
      </c>
    </row>
    <row r="1970" spans="1:18" x14ac:dyDescent="0.25">
      <c r="A1970" s="169">
        <v>44914</v>
      </c>
      <c r="B1970" s="116">
        <v>246.95</v>
      </c>
      <c r="C1970" s="116">
        <v>245.4</v>
      </c>
      <c r="D1970" s="116">
        <v>225.5</v>
      </c>
      <c r="E1970" s="116">
        <v>234</v>
      </c>
      <c r="F1970" s="116">
        <v>245.4</v>
      </c>
      <c r="G1970">
        <v>657616</v>
      </c>
      <c r="H1970" s="116"/>
      <c r="I1970" s="116"/>
      <c r="L1970" s="169">
        <v>44904</v>
      </c>
      <c r="M1970" s="116">
        <v>557.15</v>
      </c>
      <c r="N1970" s="116">
        <v>566.70000000000005</v>
      </c>
      <c r="O1970" s="116">
        <v>549</v>
      </c>
      <c r="P1970" s="116">
        <v>559.29999999999995</v>
      </c>
      <c r="Q1970" s="116">
        <v>557.15</v>
      </c>
      <c r="R1970">
        <v>723937</v>
      </c>
    </row>
    <row r="1971" spans="1:18" x14ac:dyDescent="0.25">
      <c r="A1971" s="169">
        <v>44915</v>
      </c>
      <c r="B1971" s="116">
        <v>253.9</v>
      </c>
      <c r="C1971" s="116">
        <v>239.8</v>
      </c>
      <c r="D1971" s="116">
        <v>237.3</v>
      </c>
      <c r="E1971" s="116">
        <v>246.9</v>
      </c>
      <c r="F1971" s="116">
        <v>239.8</v>
      </c>
      <c r="G1971">
        <v>527576</v>
      </c>
      <c r="H1971" s="116"/>
      <c r="I1971" s="116"/>
      <c r="L1971" s="169">
        <v>44907</v>
      </c>
      <c r="M1971" s="116">
        <v>551.79999999999995</v>
      </c>
      <c r="N1971" s="116">
        <v>558.75</v>
      </c>
      <c r="O1971" s="116">
        <v>548.1</v>
      </c>
      <c r="P1971" s="116">
        <v>558</v>
      </c>
      <c r="Q1971" s="116">
        <v>551.79999999999995</v>
      </c>
      <c r="R1971">
        <v>375039</v>
      </c>
    </row>
    <row r="1972" spans="1:18" x14ac:dyDescent="0.25">
      <c r="A1972" s="169">
        <v>44916</v>
      </c>
      <c r="B1972" s="116">
        <v>240.95</v>
      </c>
      <c r="C1972" s="116">
        <v>230.1</v>
      </c>
      <c r="D1972" s="116">
        <v>227.85</v>
      </c>
      <c r="E1972" s="116">
        <v>240</v>
      </c>
      <c r="F1972" s="116">
        <v>230.1</v>
      </c>
      <c r="G1972">
        <v>569452</v>
      </c>
      <c r="H1972" s="116"/>
      <c r="I1972" s="116"/>
      <c r="L1972" s="169">
        <v>44908</v>
      </c>
      <c r="M1972" s="116">
        <v>539.79999999999995</v>
      </c>
      <c r="N1972" s="116">
        <v>558</v>
      </c>
      <c r="O1972" s="116">
        <v>538.5</v>
      </c>
      <c r="P1972" s="116">
        <v>554.70000000000005</v>
      </c>
      <c r="Q1972" s="116">
        <v>539.79999999999995</v>
      </c>
      <c r="R1972">
        <v>1176963</v>
      </c>
    </row>
    <row r="1973" spans="1:18" x14ac:dyDescent="0.25">
      <c r="A1973" s="169">
        <v>44917</v>
      </c>
      <c r="B1973" s="116">
        <v>236.8</v>
      </c>
      <c r="C1973" s="116">
        <v>218.6</v>
      </c>
      <c r="D1973" s="116">
        <v>218.6</v>
      </c>
      <c r="E1973" s="116">
        <v>228.4</v>
      </c>
      <c r="F1973" s="116">
        <v>218.6</v>
      </c>
      <c r="G1973">
        <v>276974</v>
      </c>
      <c r="H1973" s="116"/>
      <c r="I1973" s="116"/>
      <c r="L1973" s="169">
        <v>44909</v>
      </c>
      <c r="M1973" s="116">
        <v>546.70000000000005</v>
      </c>
      <c r="N1973" s="116">
        <v>563.6</v>
      </c>
      <c r="O1973" s="116">
        <v>540.20000000000005</v>
      </c>
      <c r="P1973" s="116">
        <v>540.20000000000005</v>
      </c>
      <c r="Q1973" s="116">
        <v>546.70000000000005</v>
      </c>
      <c r="R1973">
        <v>1892544</v>
      </c>
    </row>
    <row r="1974" spans="1:18" x14ac:dyDescent="0.25">
      <c r="A1974" s="169">
        <v>44918</v>
      </c>
      <c r="B1974" s="116">
        <v>217.1</v>
      </c>
      <c r="C1974" s="116">
        <v>207.7</v>
      </c>
      <c r="D1974" s="116">
        <v>207.7</v>
      </c>
      <c r="E1974" s="116">
        <v>209.05</v>
      </c>
      <c r="F1974" s="116">
        <v>207.7</v>
      </c>
      <c r="G1974">
        <v>223936</v>
      </c>
      <c r="H1974" s="116"/>
      <c r="I1974" s="116"/>
      <c r="L1974" s="169">
        <v>44910</v>
      </c>
      <c r="M1974" s="116">
        <v>538.6</v>
      </c>
      <c r="N1974" s="116">
        <v>552.70000000000005</v>
      </c>
      <c r="O1974" s="116">
        <v>536.04999999999995</v>
      </c>
      <c r="P1974" s="116">
        <v>548.9</v>
      </c>
      <c r="Q1974" s="116">
        <v>538.6</v>
      </c>
      <c r="R1974">
        <v>648246</v>
      </c>
    </row>
    <row r="1975" spans="1:18" x14ac:dyDescent="0.25">
      <c r="A1975" s="169">
        <v>44921</v>
      </c>
      <c r="B1975" s="116">
        <v>218.05</v>
      </c>
      <c r="C1975" s="116">
        <v>218.05</v>
      </c>
      <c r="D1975" s="116">
        <v>199</v>
      </c>
      <c r="E1975" s="116">
        <v>199</v>
      </c>
      <c r="F1975" s="116">
        <v>218.05</v>
      </c>
      <c r="G1975">
        <v>180513</v>
      </c>
      <c r="H1975" s="116"/>
      <c r="I1975" s="116"/>
      <c r="L1975" s="169">
        <v>44911</v>
      </c>
      <c r="M1975" s="116">
        <v>524.29999999999995</v>
      </c>
      <c r="N1975" s="116">
        <v>542.95000000000005</v>
      </c>
      <c r="O1975" s="116">
        <v>521</v>
      </c>
      <c r="P1975" s="116">
        <v>538.79999999999995</v>
      </c>
      <c r="Q1975" s="116">
        <v>524.29999999999995</v>
      </c>
      <c r="R1975">
        <v>740455</v>
      </c>
    </row>
    <row r="1976" spans="1:18" x14ac:dyDescent="0.25">
      <c r="A1976" s="169">
        <v>44922</v>
      </c>
      <c r="B1976" s="116">
        <v>228.95</v>
      </c>
      <c r="C1976" s="116">
        <v>228.95</v>
      </c>
      <c r="D1976" s="116">
        <v>217</v>
      </c>
      <c r="E1976" s="116">
        <v>223.5</v>
      </c>
      <c r="F1976" s="116">
        <v>228.95</v>
      </c>
      <c r="G1976">
        <v>427355</v>
      </c>
      <c r="H1976" s="116"/>
      <c r="I1976" s="116"/>
      <c r="L1976" s="169">
        <v>44914</v>
      </c>
      <c r="M1976" s="116">
        <v>541.6</v>
      </c>
      <c r="N1976" s="116">
        <v>546.5</v>
      </c>
      <c r="O1976" s="116">
        <v>519.04999999999995</v>
      </c>
      <c r="P1976" s="116">
        <v>525.45000000000005</v>
      </c>
      <c r="Q1976" s="116">
        <v>541.6</v>
      </c>
      <c r="R1976">
        <v>990569</v>
      </c>
    </row>
    <row r="1977" spans="1:18" x14ac:dyDescent="0.25">
      <c r="A1977" s="169">
        <v>44923</v>
      </c>
      <c r="B1977" s="116">
        <v>240.35</v>
      </c>
      <c r="C1977" s="116">
        <v>240.3</v>
      </c>
      <c r="D1977" s="116">
        <v>229.95</v>
      </c>
      <c r="E1977" s="116">
        <v>229.95</v>
      </c>
      <c r="F1977" s="116">
        <v>240.3</v>
      </c>
      <c r="G1977">
        <v>271439</v>
      </c>
      <c r="H1977" s="116"/>
      <c r="I1977" s="116"/>
      <c r="L1977" s="169">
        <v>44915</v>
      </c>
      <c r="M1977" s="116">
        <v>546.25</v>
      </c>
      <c r="N1977" s="116">
        <v>548</v>
      </c>
      <c r="O1977" s="116">
        <v>531</v>
      </c>
      <c r="P1977" s="116">
        <v>542</v>
      </c>
      <c r="Q1977" s="116">
        <v>546.25</v>
      </c>
      <c r="R1977">
        <v>857830</v>
      </c>
    </row>
    <row r="1978" spans="1:18" x14ac:dyDescent="0.25">
      <c r="A1978" s="169">
        <v>44924</v>
      </c>
      <c r="B1978" s="116">
        <v>246.5</v>
      </c>
      <c r="C1978" s="116">
        <v>233.65</v>
      </c>
      <c r="D1978" s="116">
        <v>230</v>
      </c>
      <c r="E1978" s="116">
        <v>242.05</v>
      </c>
      <c r="F1978" s="116">
        <v>233.65</v>
      </c>
      <c r="G1978">
        <v>249403</v>
      </c>
      <c r="H1978" s="116"/>
      <c r="I1978" s="116"/>
      <c r="L1978" s="169">
        <v>44916</v>
      </c>
      <c r="M1978" s="116">
        <v>534.6</v>
      </c>
      <c r="N1978" s="116">
        <v>551.95000000000005</v>
      </c>
      <c r="O1978" s="116">
        <v>532</v>
      </c>
      <c r="P1978" s="116">
        <v>550</v>
      </c>
      <c r="Q1978" s="116">
        <v>534.6</v>
      </c>
      <c r="R1978">
        <v>1093746</v>
      </c>
    </row>
    <row r="1979" spans="1:18" x14ac:dyDescent="0.25">
      <c r="A1979" s="169">
        <v>44925</v>
      </c>
      <c r="B1979" s="116">
        <v>245.3</v>
      </c>
      <c r="C1979" s="116">
        <v>245.3</v>
      </c>
      <c r="D1979" s="116">
        <v>234</v>
      </c>
      <c r="E1979" s="116">
        <v>236.95</v>
      </c>
      <c r="F1979" s="116">
        <v>245.3</v>
      </c>
      <c r="G1979">
        <v>213653</v>
      </c>
      <c r="H1979" s="116"/>
      <c r="I1979" s="116"/>
      <c r="L1979" s="169">
        <v>44917</v>
      </c>
      <c r="M1979" s="116">
        <v>521.70000000000005</v>
      </c>
      <c r="N1979" s="116">
        <v>539.45000000000005</v>
      </c>
      <c r="O1979" s="116">
        <v>519.04999999999995</v>
      </c>
      <c r="P1979" s="116">
        <v>535.70000000000005</v>
      </c>
      <c r="Q1979" s="116">
        <v>521.70000000000005</v>
      </c>
      <c r="R1979">
        <v>777151</v>
      </c>
    </row>
    <row r="1980" spans="1:18" x14ac:dyDescent="0.25">
      <c r="A1980" s="169">
        <v>44928</v>
      </c>
      <c r="B1980" s="116">
        <v>257.55</v>
      </c>
      <c r="C1980" s="116">
        <v>257.55</v>
      </c>
      <c r="D1980" s="116">
        <v>250.1</v>
      </c>
      <c r="E1980" s="116">
        <v>250.1</v>
      </c>
      <c r="F1980" s="116">
        <v>257.55</v>
      </c>
      <c r="G1980">
        <v>577642</v>
      </c>
      <c r="H1980" s="116"/>
      <c r="I1980" s="116"/>
      <c r="L1980" s="169">
        <v>44918</v>
      </c>
      <c r="M1980" s="116">
        <v>489.6</v>
      </c>
      <c r="N1980" s="116">
        <v>518.54999999999995</v>
      </c>
      <c r="O1980" s="116">
        <v>486.4</v>
      </c>
      <c r="P1980" s="116">
        <v>512</v>
      </c>
      <c r="Q1980" s="116">
        <v>489.6</v>
      </c>
      <c r="R1980">
        <v>1120435</v>
      </c>
    </row>
    <row r="1981" spans="1:18" x14ac:dyDescent="0.25">
      <c r="A1981" s="169">
        <v>44929</v>
      </c>
      <c r="B1981" s="116">
        <v>264.95</v>
      </c>
      <c r="C1981" s="116">
        <v>255.05</v>
      </c>
      <c r="D1981" s="116">
        <v>252.05</v>
      </c>
      <c r="E1981" s="116">
        <v>259.95</v>
      </c>
      <c r="F1981" s="116">
        <v>255.05</v>
      </c>
      <c r="G1981">
        <v>418664</v>
      </c>
      <c r="H1981" s="116"/>
      <c r="I1981" s="116"/>
      <c r="L1981" s="169">
        <v>44921</v>
      </c>
      <c r="M1981" s="116">
        <v>519.70000000000005</v>
      </c>
      <c r="N1981" s="116">
        <v>535</v>
      </c>
      <c r="O1981" s="116">
        <v>489.85</v>
      </c>
      <c r="P1981" s="116">
        <v>494.25</v>
      </c>
      <c r="Q1981" s="116">
        <v>519.70000000000005</v>
      </c>
      <c r="R1981">
        <v>1169514</v>
      </c>
    </row>
    <row r="1982" spans="1:18" x14ac:dyDescent="0.25">
      <c r="A1982" s="169">
        <v>44930</v>
      </c>
      <c r="B1982" s="116">
        <v>255.9</v>
      </c>
      <c r="C1982" s="116">
        <v>243.15</v>
      </c>
      <c r="D1982" s="116">
        <v>242.3</v>
      </c>
      <c r="E1982" s="116">
        <v>250.05</v>
      </c>
      <c r="F1982" s="116">
        <v>243.15</v>
      </c>
      <c r="G1982">
        <v>199889</v>
      </c>
      <c r="H1982" s="116"/>
      <c r="I1982" s="116"/>
      <c r="L1982" s="169">
        <v>44922</v>
      </c>
      <c r="M1982" s="116">
        <v>529.35</v>
      </c>
      <c r="N1982" s="116">
        <v>535</v>
      </c>
      <c r="O1982" s="116">
        <v>519.35</v>
      </c>
      <c r="P1982" s="116">
        <v>523.20000000000005</v>
      </c>
      <c r="Q1982" s="116">
        <v>529.35</v>
      </c>
      <c r="R1982">
        <v>789738</v>
      </c>
    </row>
    <row r="1983" spans="1:18" x14ac:dyDescent="0.25">
      <c r="A1983" s="169">
        <v>44931</v>
      </c>
      <c r="B1983" s="116">
        <v>253.8</v>
      </c>
      <c r="C1983" s="116">
        <v>250.65</v>
      </c>
      <c r="D1983" s="116">
        <v>235.6</v>
      </c>
      <c r="E1983" s="116">
        <v>248.95</v>
      </c>
      <c r="F1983" s="116">
        <v>250.65</v>
      </c>
      <c r="G1983">
        <v>139184</v>
      </c>
      <c r="H1983" s="116"/>
      <c r="I1983" s="116"/>
      <c r="L1983" s="169">
        <v>44923</v>
      </c>
      <c r="M1983" s="116">
        <v>525.54999999999995</v>
      </c>
      <c r="N1983" s="116">
        <v>530</v>
      </c>
      <c r="O1983" s="116">
        <v>523.25</v>
      </c>
      <c r="P1983" s="116">
        <v>529.35</v>
      </c>
      <c r="Q1983" s="116">
        <v>525.54999999999995</v>
      </c>
      <c r="R1983">
        <v>732938</v>
      </c>
    </row>
    <row r="1984" spans="1:18" x14ac:dyDescent="0.25">
      <c r="A1984" s="169">
        <v>44932</v>
      </c>
      <c r="B1984" s="116">
        <v>259.60000000000002</v>
      </c>
      <c r="C1984" s="116">
        <v>249.1</v>
      </c>
      <c r="D1984" s="116">
        <v>246</v>
      </c>
      <c r="E1984" s="116">
        <v>252.9</v>
      </c>
      <c r="F1984" s="116">
        <v>249.1</v>
      </c>
      <c r="G1984">
        <v>145350</v>
      </c>
      <c r="H1984" s="116"/>
      <c r="I1984" s="116"/>
      <c r="L1984" s="169">
        <v>44924</v>
      </c>
      <c r="M1984" s="116">
        <v>530.54999999999995</v>
      </c>
      <c r="N1984" s="116">
        <v>531.79999999999995</v>
      </c>
      <c r="O1984" s="116">
        <v>516</v>
      </c>
      <c r="P1984" s="116">
        <v>523.5</v>
      </c>
      <c r="Q1984" s="116">
        <v>530.54999999999995</v>
      </c>
      <c r="R1984">
        <v>655812</v>
      </c>
    </row>
    <row r="1985" spans="1:18" x14ac:dyDescent="0.25">
      <c r="A1985" s="169">
        <v>44935</v>
      </c>
      <c r="B1985" s="116">
        <v>257.5</v>
      </c>
      <c r="C1985" s="116">
        <v>250.25</v>
      </c>
      <c r="D1985" s="116">
        <v>246.2</v>
      </c>
      <c r="E1985" s="116">
        <v>254.95</v>
      </c>
      <c r="F1985" s="116">
        <v>250.25</v>
      </c>
      <c r="G1985">
        <v>110825</v>
      </c>
      <c r="H1985" s="116"/>
      <c r="I1985" s="116"/>
      <c r="L1985" s="169">
        <v>44925</v>
      </c>
      <c r="M1985" s="116">
        <v>535.04999999999995</v>
      </c>
      <c r="N1985" s="116">
        <v>540.70000000000005</v>
      </c>
      <c r="O1985" s="116">
        <v>528.29999999999995</v>
      </c>
      <c r="P1985" s="116">
        <v>533.20000000000005</v>
      </c>
      <c r="Q1985" s="116">
        <v>535.04999999999995</v>
      </c>
      <c r="R1985">
        <v>599983</v>
      </c>
    </row>
    <row r="1986" spans="1:18" x14ac:dyDescent="0.25">
      <c r="A1986" s="169">
        <v>44936</v>
      </c>
      <c r="B1986" s="116">
        <v>253.7</v>
      </c>
      <c r="C1986" s="116">
        <v>246.95</v>
      </c>
      <c r="D1986" s="116">
        <v>241.6</v>
      </c>
      <c r="E1986" s="116">
        <v>250.1</v>
      </c>
      <c r="F1986" s="116">
        <v>246.95</v>
      </c>
      <c r="G1986">
        <v>324590</v>
      </c>
      <c r="H1986" s="116"/>
      <c r="I1986" s="116"/>
      <c r="L1986" s="169">
        <v>44928</v>
      </c>
      <c r="M1986" s="116">
        <v>546.35</v>
      </c>
      <c r="N1986" s="116">
        <v>550.95000000000005</v>
      </c>
      <c r="O1986" s="116">
        <v>534.5</v>
      </c>
      <c r="P1986" s="116">
        <v>536.70000000000005</v>
      </c>
      <c r="Q1986" s="116">
        <v>546.35</v>
      </c>
      <c r="R1986">
        <v>908590</v>
      </c>
    </row>
    <row r="1987" spans="1:18" x14ac:dyDescent="0.25">
      <c r="A1987" s="169">
        <v>44937</v>
      </c>
      <c r="B1987" s="116">
        <v>259.25</v>
      </c>
      <c r="C1987" s="116">
        <v>259.25</v>
      </c>
      <c r="D1987" s="116">
        <v>247.35</v>
      </c>
      <c r="E1987" s="116">
        <v>249.1</v>
      </c>
      <c r="F1987" s="116">
        <v>259.25</v>
      </c>
      <c r="G1987">
        <v>142337</v>
      </c>
      <c r="H1987" s="116"/>
      <c r="I1987" s="116"/>
      <c r="L1987" s="169">
        <v>44929</v>
      </c>
      <c r="M1987" s="116">
        <v>548.65</v>
      </c>
      <c r="N1987" s="116">
        <v>551.9</v>
      </c>
      <c r="O1987" s="116">
        <v>544.75</v>
      </c>
      <c r="P1987" s="116">
        <v>548.70000000000005</v>
      </c>
      <c r="Q1987" s="116">
        <v>548.65</v>
      </c>
      <c r="R1987">
        <v>500255</v>
      </c>
    </row>
    <row r="1988" spans="1:18" x14ac:dyDescent="0.25">
      <c r="A1988" s="169">
        <v>44938</v>
      </c>
      <c r="B1988" s="116">
        <v>272</v>
      </c>
      <c r="C1988" s="116">
        <v>266.14999999999998</v>
      </c>
      <c r="D1988" s="116">
        <v>259.3</v>
      </c>
      <c r="E1988" s="116">
        <v>263.2</v>
      </c>
      <c r="F1988" s="116">
        <v>266.14999999999998</v>
      </c>
      <c r="G1988">
        <v>301918</v>
      </c>
      <c r="H1988" s="116"/>
      <c r="I1988" s="116"/>
      <c r="L1988" s="169">
        <v>44930</v>
      </c>
      <c r="M1988" s="116">
        <v>543.04999999999995</v>
      </c>
      <c r="N1988" s="116">
        <v>551.95000000000005</v>
      </c>
      <c r="O1988" s="116">
        <v>538.25</v>
      </c>
      <c r="P1988" s="116">
        <v>548</v>
      </c>
      <c r="Q1988" s="116">
        <v>543.04999999999995</v>
      </c>
      <c r="R1988">
        <v>421218</v>
      </c>
    </row>
    <row r="1989" spans="1:18" x14ac:dyDescent="0.25">
      <c r="A1989" s="169">
        <v>44939</v>
      </c>
      <c r="B1989" s="116">
        <v>279.45</v>
      </c>
      <c r="C1989" s="116">
        <v>278.10000000000002</v>
      </c>
      <c r="D1989" s="116">
        <v>260.10000000000002</v>
      </c>
      <c r="E1989" s="116">
        <v>270.3</v>
      </c>
      <c r="F1989" s="116">
        <v>278.10000000000002</v>
      </c>
      <c r="G1989">
        <v>322359</v>
      </c>
      <c r="H1989" s="116"/>
      <c r="I1989" s="116"/>
      <c r="L1989" s="169">
        <v>44931</v>
      </c>
      <c r="M1989" s="116">
        <v>545.45000000000005</v>
      </c>
      <c r="N1989" s="116">
        <v>549.79999999999995</v>
      </c>
      <c r="O1989" s="116">
        <v>538</v>
      </c>
      <c r="P1989" s="116">
        <v>547</v>
      </c>
      <c r="Q1989" s="116">
        <v>545.45000000000005</v>
      </c>
      <c r="R1989">
        <v>847069</v>
      </c>
    </row>
    <row r="1990" spans="1:18" x14ac:dyDescent="0.25">
      <c r="A1990" s="169">
        <v>44942</v>
      </c>
      <c r="B1990" s="116">
        <v>288.8</v>
      </c>
      <c r="C1990" s="116">
        <v>285.39999999999998</v>
      </c>
      <c r="D1990" s="116">
        <v>278.89999999999998</v>
      </c>
      <c r="E1990" s="116">
        <v>288</v>
      </c>
      <c r="F1990" s="116">
        <v>285.39999999999998</v>
      </c>
      <c r="G1990">
        <v>324242</v>
      </c>
      <c r="H1990" s="116"/>
      <c r="I1990" s="116"/>
      <c r="L1990" s="169">
        <v>44932</v>
      </c>
      <c r="M1990" s="116">
        <v>543.4</v>
      </c>
      <c r="N1990" s="116">
        <v>548.79999999999995</v>
      </c>
      <c r="O1990" s="116">
        <v>535.4</v>
      </c>
      <c r="P1990" s="116">
        <v>545.95000000000005</v>
      </c>
      <c r="Q1990" s="116">
        <v>543.4</v>
      </c>
      <c r="R1990">
        <v>650320</v>
      </c>
    </row>
    <row r="1991" spans="1:18" x14ac:dyDescent="0.25">
      <c r="A1991" s="169">
        <v>44943</v>
      </c>
      <c r="B1991" s="116">
        <v>286</v>
      </c>
      <c r="C1991" s="116">
        <v>281.39999999999998</v>
      </c>
      <c r="D1991" s="116">
        <v>271.14999999999998</v>
      </c>
      <c r="E1991" s="116">
        <v>285.25</v>
      </c>
      <c r="F1991" s="116">
        <v>281.39999999999998</v>
      </c>
      <c r="G1991">
        <v>279662</v>
      </c>
      <c r="H1991" s="116"/>
      <c r="I1991" s="116"/>
      <c r="L1991" s="169">
        <v>44935</v>
      </c>
      <c r="M1991" s="116">
        <v>554.1</v>
      </c>
      <c r="N1991" s="116">
        <v>558.79999999999995</v>
      </c>
      <c r="O1991" s="116">
        <v>544.4</v>
      </c>
      <c r="P1991" s="116">
        <v>545.20000000000005</v>
      </c>
      <c r="Q1991" s="116">
        <v>554.1</v>
      </c>
      <c r="R1991">
        <v>962862</v>
      </c>
    </row>
    <row r="1992" spans="1:18" x14ac:dyDescent="0.25">
      <c r="A1992" s="169">
        <v>44944</v>
      </c>
      <c r="B1992" s="116">
        <v>285</v>
      </c>
      <c r="C1992" s="116">
        <v>282.45</v>
      </c>
      <c r="D1992" s="116">
        <v>273.14999999999998</v>
      </c>
      <c r="E1992" s="116">
        <v>283.95</v>
      </c>
      <c r="F1992" s="116">
        <v>282.45</v>
      </c>
      <c r="G1992">
        <v>155366</v>
      </c>
      <c r="H1992" s="116"/>
      <c r="I1992" s="116"/>
      <c r="L1992" s="169">
        <v>44936</v>
      </c>
      <c r="M1992" s="116">
        <v>546.45000000000005</v>
      </c>
      <c r="N1992" s="116">
        <v>558.75</v>
      </c>
      <c r="O1992" s="116">
        <v>541.5</v>
      </c>
      <c r="P1992" s="116">
        <v>555</v>
      </c>
      <c r="Q1992" s="116">
        <v>546.45000000000005</v>
      </c>
      <c r="R1992">
        <v>474771</v>
      </c>
    </row>
    <row r="1993" spans="1:18" x14ac:dyDescent="0.25">
      <c r="A1993" s="169">
        <v>44945</v>
      </c>
      <c r="B1993" s="116">
        <v>287.5</v>
      </c>
      <c r="C1993" s="116">
        <v>282.5</v>
      </c>
      <c r="D1993" s="116">
        <v>275</v>
      </c>
      <c r="E1993" s="116">
        <v>282.45</v>
      </c>
      <c r="F1993" s="116">
        <v>282.5</v>
      </c>
      <c r="G1993">
        <v>127054</v>
      </c>
      <c r="H1993" s="116"/>
      <c r="I1993" s="116"/>
      <c r="L1993" s="169">
        <v>44937</v>
      </c>
      <c r="M1993" s="116">
        <v>550.20000000000005</v>
      </c>
      <c r="N1993" s="116">
        <v>552.9</v>
      </c>
      <c r="O1993" s="116">
        <v>540.1</v>
      </c>
      <c r="P1993" s="116">
        <v>549.20000000000005</v>
      </c>
      <c r="Q1993" s="116">
        <v>550.20000000000005</v>
      </c>
      <c r="R1993">
        <v>427182</v>
      </c>
    </row>
    <row r="1994" spans="1:18" x14ac:dyDescent="0.25">
      <c r="A1994" s="169">
        <v>44946</v>
      </c>
      <c r="B1994" s="116">
        <v>286.10000000000002</v>
      </c>
      <c r="C1994" s="116">
        <v>276.5</v>
      </c>
      <c r="D1994" s="116">
        <v>273</v>
      </c>
      <c r="E1994" s="116">
        <v>284.8</v>
      </c>
      <c r="F1994" s="116">
        <v>276.5</v>
      </c>
      <c r="G1994">
        <v>162088</v>
      </c>
      <c r="H1994" s="116"/>
      <c r="I1994" s="116"/>
      <c r="L1994" s="169">
        <v>44938</v>
      </c>
      <c r="M1994" s="116">
        <v>547.54999999999995</v>
      </c>
      <c r="N1994" s="116">
        <v>554.54999999999995</v>
      </c>
      <c r="O1994" s="116">
        <v>545</v>
      </c>
      <c r="P1994" s="116">
        <v>550.20000000000005</v>
      </c>
      <c r="Q1994" s="116">
        <v>547.54999999999995</v>
      </c>
      <c r="R1994">
        <v>383567</v>
      </c>
    </row>
    <row r="1995" spans="1:18" x14ac:dyDescent="0.25">
      <c r="A1995" s="169">
        <v>44949</v>
      </c>
      <c r="B1995" s="116">
        <v>290.3</v>
      </c>
      <c r="C1995" s="116">
        <v>289.89999999999998</v>
      </c>
      <c r="D1995" s="116">
        <v>279.60000000000002</v>
      </c>
      <c r="E1995" s="116">
        <v>280</v>
      </c>
      <c r="F1995" s="116">
        <v>289.89999999999998</v>
      </c>
      <c r="G1995">
        <v>564268</v>
      </c>
      <c r="H1995" s="116"/>
      <c r="I1995" s="116"/>
      <c r="L1995" s="169">
        <v>44939</v>
      </c>
      <c r="M1995" s="116">
        <v>549.54999999999995</v>
      </c>
      <c r="N1995" s="116">
        <v>551.15</v>
      </c>
      <c r="O1995" s="116">
        <v>543.20000000000005</v>
      </c>
      <c r="P1995" s="116">
        <v>547.65</v>
      </c>
      <c r="Q1995" s="116">
        <v>549.54999999999995</v>
      </c>
      <c r="R1995">
        <v>279457</v>
      </c>
    </row>
    <row r="1996" spans="1:18" x14ac:dyDescent="0.25">
      <c r="A1996" s="169">
        <v>44950</v>
      </c>
      <c r="B1996" s="116">
        <v>294</v>
      </c>
      <c r="C1996" s="116">
        <v>286.2</v>
      </c>
      <c r="D1996" s="116">
        <v>282</v>
      </c>
      <c r="E1996" s="116">
        <v>293.8</v>
      </c>
      <c r="F1996" s="116">
        <v>286.2</v>
      </c>
      <c r="G1996">
        <v>307742</v>
      </c>
      <c r="H1996" s="116"/>
      <c r="I1996" s="116"/>
      <c r="L1996" s="169">
        <v>44942</v>
      </c>
      <c r="M1996" s="116">
        <v>542.9</v>
      </c>
      <c r="N1996" s="116">
        <v>555.75</v>
      </c>
      <c r="O1996" s="116">
        <v>541</v>
      </c>
      <c r="P1996" s="116">
        <v>551</v>
      </c>
      <c r="Q1996" s="116">
        <v>542.9</v>
      </c>
      <c r="R1996">
        <v>359399</v>
      </c>
    </row>
    <row r="1997" spans="1:18" x14ac:dyDescent="0.25">
      <c r="A1997" s="169">
        <v>44951</v>
      </c>
      <c r="B1997" s="116">
        <v>288.35000000000002</v>
      </c>
      <c r="C1997" s="116">
        <v>284.75</v>
      </c>
      <c r="D1997" s="116">
        <v>274.55</v>
      </c>
      <c r="E1997" s="116">
        <v>285.7</v>
      </c>
      <c r="F1997" s="116">
        <v>284.75</v>
      </c>
      <c r="G1997">
        <v>204273</v>
      </c>
      <c r="H1997" s="116"/>
      <c r="I1997" s="116"/>
      <c r="L1997" s="169">
        <v>44943</v>
      </c>
      <c r="M1997" s="116">
        <v>526.04999999999995</v>
      </c>
      <c r="N1997" s="116">
        <v>545.35</v>
      </c>
      <c r="O1997" s="116">
        <v>517.1</v>
      </c>
      <c r="P1997" s="116">
        <v>542.95000000000005</v>
      </c>
      <c r="Q1997" s="116">
        <v>526.04999999999995</v>
      </c>
      <c r="R1997">
        <v>1938132</v>
      </c>
    </row>
    <row r="1998" spans="1:18" x14ac:dyDescent="0.25">
      <c r="A1998" s="169">
        <v>44953</v>
      </c>
      <c r="B1998" s="116">
        <v>290.7</v>
      </c>
      <c r="C1998" s="116">
        <v>277.5</v>
      </c>
      <c r="D1998" s="116">
        <v>270.55</v>
      </c>
      <c r="E1998" s="116">
        <v>289.60000000000002</v>
      </c>
      <c r="F1998" s="116">
        <v>277.5</v>
      </c>
      <c r="G1998">
        <v>241289</v>
      </c>
      <c r="H1998" s="116"/>
      <c r="I1998" s="116"/>
      <c r="L1998" s="169">
        <v>44944</v>
      </c>
      <c r="M1998" s="116">
        <v>533.5</v>
      </c>
      <c r="N1998" s="116">
        <v>538.04999999999995</v>
      </c>
      <c r="O1998" s="116">
        <v>525.4</v>
      </c>
      <c r="P1998" s="116">
        <v>528.85</v>
      </c>
      <c r="Q1998" s="116">
        <v>533.5</v>
      </c>
      <c r="R1998">
        <v>638097</v>
      </c>
    </row>
    <row r="1999" spans="1:18" x14ac:dyDescent="0.25">
      <c r="A1999" s="169">
        <v>44956</v>
      </c>
      <c r="B1999" s="116">
        <v>283.10000000000002</v>
      </c>
      <c r="C1999" s="116">
        <v>280.85000000000002</v>
      </c>
      <c r="D1999" s="116">
        <v>265.10000000000002</v>
      </c>
      <c r="E1999" s="116">
        <v>276</v>
      </c>
      <c r="F1999" s="116">
        <v>280.85000000000002</v>
      </c>
      <c r="G1999">
        <v>268551</v>
      </c>
      <c r="H1999" s="116"/>
      <c r="I1999" s="116"/>
      <c r="L1999" s="169">
        <v>44945</v>
      </c>
      <c r="M1999" s="116">
        <v>530.35</v>
      </c>
      <c r="N1999" s="116">
        <v>537.4</v>
      </c>
      <c r="O1999" s="116">
        <v>528</v>
      </c>
      <c r="P1999" s="116">
        <v>533.54999999999995</v>
      </c>
      <c r="Q1999" s="116">
        <v>530.35</v>
      </c>
      <c r="R1999">
        <v>360319</v>
      </c>
    </row>
    <row r="2000" spans="1:18" x14ac:dyDescent="0.25">
      <c r="A2000" s="169">
        <v>44957</v>
      </c>
      <c r="B2000" s="116">
        <v>294</v>
      </c>
      <c r="C2000" s="116">
        <v>290.10000000000002</v>
      </c>
      <c r="D2000" s="116">
        <v>280.10000000000002</v>
      </c>
      <c r="E2000" s="116">
        <v>280.10000000000002</v>
      </c>
      <c r="F2000" s="116">
        <v>290.10000000000002</v>
      </c>
      <c r="G2000">
        <v>335403</v>
      </c>
      <c r="H2000" s="116"/>
      <c r="I2000" s="116"/>
      <c r="L2000" s="169">
        <v>44946</v>
      </c>
      <c r="M2000" s="116">
        <v>521.1</v>
      </c>
      <c r="N2000" s="116">
        <v>535.45000000000005</v>
      </c>
      <c r="O2000" s="116">
        <v>517.1</v>
      </c>
      <c r="P2000" s="116">
        <v>535.45000000000005</v>
      </c>
      <c r="Q2000" s="116">
        <v>521.1</v>
      </c>
      <c r="R2000">
        <v>808127</v>
      </c>
    </row>
    <row r="2001" spans="1:18" x14ac:dyDescent="0.25">
      <c r="A2001" s="169">
        <v>44958</v>
      </c>
      <c r="B2001" s="116">
        <v>301</v>
      </c>
      <c r="C2001" s="116">
        <v>294.85000000000002</v>
      </c>
      <c r="D2001" s="116">
        <v>289</v>
      </c>
      <c r="E2001" s="116">
        <v>292.89999999999998</v>
      </c>
      <c r="F2001" s="116">
        <v>294.85000000000002</v>
      </c>
      <c r="G2001">
        <v>485944</v>
      </c>
      <c r="H2001" s="116"/>
      <c r="I2001" s="116"/>
      <c r="L2001" s="169">
        <v>44949</v>
      </c>
      <c r="M2001" s="116">
        <v>551.85</v>
      </c>
      <c r="N2001" s="116">
        <v>554.79999999999995</v>
      </c>
      <c r="O2001" s="116">
        <v>522.45000000000005</v>
      </c>
      <c r="P2001" s="116">
        <v>530</v>
      </c>
      <c r="Q2001" s="116">
        <v>551.85</v>
      </c>
      <c r="R2001">
        <v>3376553</v>
      </c>
    </row>
    <row r="2002" spans="1:18" x14ac:dyDescent="0.25">
      <c r="A2002" s="169">
        <v>44959</v>
      </c>
      <c r="B2002" s="116">
        <v>299.5</v>
      </c>
      <c r="C2002" s="116">
        <v>291.45</v>
      </c>
      <c r="D2002" s="116">
        <v>290</v>
      </c>
      <c r="E2002" s="116">
        <v>294.85000000000002</v>
      </c>
      <c r="F2002" s="116">
        <v>291.45</v>
      </c>
      <c r="G2002">
        <v>151088</v>
      </c>
      <c r="H2002" s="116"/>
      <c r="I2002" s="116"/>
      <c r="L2002" s="169">
        <v>44950</v>
      </c>
      <c r="M2002" s="116">
        <v>563.6</v>
      </c>
      <c r="N2002" s="116">
        <v>565</v>
      </c>
      <c r="O2002" s="116">
        <v>548.75</v>
      </c>
      <c r="P2002" s="116">
        <v>553</v>
      </c>
      <c r="Q2002" s="116">
        <v>563.6</v>
      </c>
      <c r="R2002">
        <v>1733068</v>
      </c>
    </row>
    <row r="2003" spans="1:18" x14ac:dyDescent="0.25">
      <c r="A2003" s="169">
        <v>44960</v>
      </c>
      <c r="B2003" s="116">
        <v>297</v>
      </c>
      <c r="C2003" s="116">
        <v>291.3</v>
      </c>
      <c r="D2003" s="116">
        <v>278</v>
      </c>
      <c r="E2003" s="116">
        <v>297</v>
      </c>
      <c r="F2003" s="116">
        <v>291.3</v>
      </c>
      <c r="G2003">
        <v>265012</v>
      </c>
      <c r="H2003" s="116"/>
      <c r="I2003" s="116"/>
      <c r="L2003" s="169">
        <v>44951</v>
      </c>
      <c r="M2003" s="116">
        <v>556.75</v>
      </c>
      <c r="N2003" s="116">
        <v>563.5</v>
      </c>
      <c r="O2003" s="116">
        <v>548.70000000000005</v>
      </c>
      <c r="P2003" s="116">
        <v>563.5</v>
      </c>
      <c r="Q2003" s="116">
        <v>556.75</v>
      </c>
      <c r="R2003">
        <v>822355</v>
      </c>
    </row>
    <row r="2004" spans="1:18" x14ac:dyDescent="0.25">
      <c r="A2004" s="169">
        <v>44963</v>
      </c>
      <c r="B2004" s="116">
        <v>296.7</v>
      </c>
      <c r="C2004" s="116">
        <v>294.85000000000002</v>
      </c>
      <c r="D2004" s="116">
        <v>288.3</v>
      </c>
      <c r="E2004" s="116">
        <v>291.3</v>
      </c>
      <c r="F2004" s="116">
        <v>294.85000000000002</v>
      </c>
      <c r="G2004">
        <v>99479</v>
      </c>
      <c r="H2004" s="116"/>
      <c r="I2004" s="116"/>
      <c r="L2004" s="169">
        <v>44953</v>
      </c>
      <c r="M2004" s="116">
        <v>539.70000000000005</v>
      </c>
      <c r="N2004" s="116">
        <v>562</v>
      </c>
      <c r="O2004" s="116">
        <v>532.65</v>
      </c>
      <c r="P2004" s="116">
        <v>560</v>
      </c>
      <c r="Q2004" s="116">
        <v>539.70000000000005</v>
      </c>
      <c r="R2004">
        <v>597972</v>
      </c>
    </row>
    <row r="2005" spans="1:18" x14ac:dyDescent="0.25">
      <c r="A2005" s="169">
        <v>44964</v>
      </c>
      <c r="B2005" s="116">
        <v>300.85000000000002</v>
      </c>
      <c r="C2005" s="116">
        <v>291</v>
      </c>
      <c r="D2005" s="116">
        <v>281.55</v>
      </c>
      <c r="E2005" s="116">
        <v>295.95</v>
      </c>
      <c r="F2005" s="116">
        <v>291</v>
      </c>
      <c r="G2005">
        <v>160492</v>
      </c>
      <c r="H2005" s="116"/>
      <c r="I2005" s="116"/>
      <c r="L2005" s="169">
        <v>44956</v>
      </c>
      <c r="M2005" s="116">
        <v>540.70000000000005</v>
      </c>
      <c r="N2005" s="116">
        <v>547.35</v>
      </c>
      <c r="O2005" s="116">
        <v>534.95000000000005</v>
      </c>
      <c r="P2005" s="116">
        <v>542.4</v>
      </c>
      <c r="Q2005" s="116">
        <v>540.70000000000005</v>
      </c>
      <c r="R2005">
        <v>506326</v>
      </c>
    </row>
    <row r="2006" spans="1:18" x14ac:dyDescent="0.25">
      <c r="A2006" s="169">
        <v>44965</v>
      </c>
      <c r="B2006" s="116">
        <v>293.5</v>
      </c>
      <c r="C2006" s="116">
        <v>279.7</v>
      </c>
      <c r="D2006" s="116">
        <v>276</v>
      </c>
      <c r="E2006" s="116">
        <v>291</v>
      </c>
      <c r="F2006" s="116">
        <v>279.7</v>
      </c>
      <c r="G2006">
        <v>166827</v>
      </c>
      <c r="H2006" s="116"/>
      <c r="I2006" s="116"/>
      <c r="L2006" s="169">
        <v>44957</v>
      </c>
      <c r="M2006" s="116">
        <v>567.54999999999995</v>
      </c>
      <c r="N2006" s="116">
        <v>569.79999999999995</v>
      </c>
      <c r="O2006" s="116">
        <v>541.29999999999995</v>
      </c>
      <c r="P2006" s="116">
        <v>541.29999999999995</v>
      </c>
      <c r="Q2006" s="116">
        <v>567.54999999999995</v>
      </c>
      <c r="R2006">
        <v>1512615</v>
      </c>
    </row>
    <row r="2007" spans="1:18" x14ac:dyDescent="0.25">
      <c r="A2007" s="169">
        <v>44966</v>
      </c>
      <c r="B2007" s="116">
        <v>284.39999999999998</v>
      </c>
      <c r="C2007" s="116">
        <v>279.7</v>
      </c>
      <c r="D2007" s="116">
        <v>275.60000000000002</v>
      </c>
      <c r="E2007" s="116">
        <v>280</v>
      </c>
      <c r="F2007" s="116">
        <v>279.7</v>
      </c>
      <c r="G2007">
        <v>71367</v>
      </c>
      <c r="H2007" s="116"/>
      <c r="I2007" s="116"/>
      <c r="L2007" s="169">
        <v>44958</v>
      </c>
      <c r="M2007" s="116">
        <v>541.79999999999995</v>
      </c>
      <c r="N2007" s="116">
        <v>578.75</v>
      </c>
      <c r="O2007" s="116">
        <v>521</v>
      </c>
      <c r="P2007" s="116">
        <v>571.15</v>
      </c>
      <c r="Q2007" s="116">
        <v>541.79999999999995</v>
      </c>
      <c r="R2007">
        <v>1547817</v>
      </c>
    </row>
    <row r="2008" spans="1:18" x14ac:dyDescent="0.25">
      <c r="A2008" s="169">
        <v>44967</v>
      </c>
      <c r="B2008" s="116">
        <v>282.39999999999998</v>
      </c>
      <c r="C2008" s="116">
        <v>276.85000000000002</v>
      </c>
      <c r="D2008" s="116">
        <v>275.05</v>
      </c>
      <c r="E2008" s="116">
        <v>276.55</v>
      </c>
      <c r="F2008" s="116">
        <v>276.85000000000002</v>
      </c>
      <c r="G2008">
        <v>114589</v>
      </c>
      <c r="H2008" s="116"/>
      <c r="I2008" s="116"/>
      <c r="L2008" s="169">
        <v>44959</v>
      </c>
      <c r="M2008" s="116">
        <v>571.65</v>
      </c>
      <c r="N2008" s="116">
        <v>576</v>
      </c>
      <c r="O2008" s="116">
        <v>537.25</v>
      </c>
      <c r="P2008" s="116">
        <v>543.70000000000005</v>
      </c>
      <c r="Q2008" s="116">
        <v>571.65</v>
      </c>
      <c r="R2008">
        <v>1497538</v>
      </c>
    </row>
    <row r="2009" spans="1:18" x14ac:dyDescent="0.25">
      <c r="A2009" s="169">
        <v>44970</v>
      </c>
      <c r="B2009" s="116">
        <v>281.35000000000002</v>
      </c>
      <c r="C2009" s="116">
        <v>279.39999999999998</v>
      </c>
      <c r="D2009" s="116">
        <v>273</v>
      </c>
      <c r="E2009" s="116">
        <v>277.85000000000002</v>
      </c>
      <c r="F2009" s="116">
        <v>279.39999999999998</v>
      </c>
      <c r="G2009">
        <v>145806</v>
      </c>
      <c r="H2009" s="116"/>
      <c r="I2009" s="116"/>
      <c r="L2009" s="169">
        <v>44960</v>
      </c>
      <c r="M2009" s="116">
        <v>578.1</v>
      </c>
      <c r="N2009" s="116">
        <v>581</v>
      </c>
      <c r="O2009" s="116">
        <v>564.04999999999995</v>
      </c>
      <c r="P2009" s="116">
        <v>578</v>
      </c>
      <c r="Q2009" s="116">
        <v>578.1</v>
      </c>
      <c r="R2009">
        <v>1067554</v>
      </c>
    </row>
    <row r="2010" spans="1:18" x14ac:dyDescent="0.25">
      <c r="A2010" s="169">
        <v>44971</v>
      </c>
      <c r="B2010" s="116">
        <v>280</v>
      </c>
      <c r="C2010" s="116">
        <v>277.8</v>
      </c>
      <c r="D2010" s="116">
        <v>271.60000000000002</v>
      </c>
      <c r="E2010" s="116">
        <v>279.39999999999998</v>
      </c>
      <c r="F2010" s="116">
        <v>277.8</v>
      </c>
      <c r="G2010">
        <v>124466</v>
      </c>
      <c r="H2010" s="116"/>
      <c r="I2010" s="116"/>
      <c r="L2010" s="169">
        <v>44963</v>
      </c>
      <c r="M2010" s="116">
        <v>581.9</v>
      </c>
      <c r="N2010" s="116">
        <v>583.70000000000005</v>
      </c>
      <c r="O2010" s="116">
        <v>572.35</v>
      </c>
      <c r="P2010" s="116">
        <v>578.1</v>
      </c>
      <c r="Q2010" s="116">
        <v>581.9</v>
      </c>
      <c r="R2010">
        <v>626504</v>
      </c>
    </row>
    <row r="2011" spans="1:18" x14ac:dyDescent="0.25">
      <c r="A2011" s="169">
        <v>44972</v>
      </c>
      <c r="B2011" s="116">
        <v>285</v>
      </c>
      <c r="C2011" s="116">
        <v>275.75</v>
      </c>
      <c r="D2011" s="116">
        <v>273</v>
      </c>
      <c r="E2011" s="116">
        <v>285</v>
      </c>
      <c r="F2011" s="116">
        <v>275.75</v>
      </c>
      <c r="G2011">
        <v>81881</v>
      </c>
      <c r="H2011" s="116"/>
      <c r="I2011" s="116"/>
      <c r="L2011" s="169">
        <v>44964</v>
      </c>
      <c r="M2011" s="116">
        <v>579.79999999999995</v>
      </c>
      <c r="N2011" s="116">
        <v>584.75</v>
      </c>
      <c r="O2011" s="116">
        <v>570.04999999999995</v>
      </c>
      <c r="P2011" s="116">
        <v>583</v>
      </c>
      <c r="Q2011" s="116">
        <v>579.79999999999995</v>
      </c>
      <c r="R2011">
        <v>592372</v>
      </c>
    </row>
    <row r="2012" spans="1:18" x14ac:dyDescent="0.25">
      <c r="A2012" s="169">
        <v>44973</v>
      </c>
      <c r="B2012" s="116">
        <v>281</v>
      </c>
      <c r="C2012" s="116">
        <v>279.55</v>
      </c>
      <c r="D2012" s="116">
        <v>273.35000000000002</v>
      </c>
      <c r="E2012" s="116">
        <v>273.35000000000002</v>
      </c>
      <c r="F2012" s="116">
        <v>279.55</v>
      </c>
      <c r="G2012">
        <v>106292</v>
      </c>
      <c r="H2012" s="116"/>
      <c r="I2012" s="116"/>
      <c r="L2012" s="169">
        <v>44965</v>
      </c>
      <c r="M2012" s="116">
        <v>591.65</v>
      </c>
      <c r="N2012" s="116">
        <v>598.5</v>
      </c>
      <c r="O2012" s="116">
        <v>570.5</v>
      </c>
      <c r="P2012" s="116">
        <v>580</v>
      </c>
      <c r="Q2012" s="116">
        <v>591.65</v>
      </c>
      <c r="R2012">
        <v>1334583</v>
      </c>
    </row>
    <row r="2013" spans="1:18" x14ac:dyDescent="0.25">
      <c r="A2013" s="169">
        <v>44974</v>
      </c>
      <c r="B2013" s="116">
        <v>284.89999999999998</v>
      </c>
      <c r="C2013" s="116">
        <v>278.64999999999998</v>
      </c>
      <c r="D2013" s="116">
        <v>275.35000000000002</v>
      </c>
      <c r="E2013" s="116">
        <v>280</v>
      </c>
      <c r="F2013" s="116">
        <v>278.64999999999998</v>
      </c>
      <c r="G2013">
        <v>81871</v>
      </c>
      <c r="H2013" s="116"/>
      <c r="I2013" s="116"/>
      <c r="L2013" s="169">
        <v>44966</v>
      </c>
      <c r="M2013" s="116">
        <v>600.35</v>
      </c>
      <c r="N2013" s="116">
        <v>601.9</v>
      </c>
      <c r="O2013" s="116">
        <v>585.79999999999995</v>
      </c>
      <c r="P2013" s="116">
        <v>593</v>
      </c>
      <c r="Q2013" s="116">
        <v>600.35</v>
      </c>
      <c r="R2013">
        <v>985852</v>
      </c>
    </row>
    <row r="2014" spans="1:18" x14ac:dyDescent="0.25">
      <c r="A2014" s="169">
        <v>44977</v>
      </c>
      <c r="B2014" s="116">
        <v>284</v>
      </c>
      <c r="C2014" s="116">
        <v>277.85000000000002</v>
      </c>
      <c r="D2014" s="116">
        <v>274.10000000000002</v>
      </c>
      <c r="E2014" s="116">
        <v>281</v>
      </c>
      <c r="F2014" s="116">
        <v>277.85000000000002</v>
      </c>
      <c r="G2014">
        <v>69452</v>
      </c>
      <c r="H2014" s="116"/>
      <c r="I2014" s="116"/>
      <c r="L2014" s="169">
        <v>44967</v>
      </c>
      <c r="M2014" s="116">
        <v>597.35</v>
      </c>
      <c r="N2014" s="116">
        <v>606.1</v>
      </c>
      <c r="O2014" s="116">
        <v>595.70000000000005</v>
      </c>
      <c r="P2014" s="116">
        <v>599</v>
      </c>
      <c r="Q2014" s="116">
        <v>597.35</v>
      </c>
      <c r="R2014">
        <v>543572</v>
      </c>
    </row>
    <row r="2015" spans="1:18" x14ac:dyDescent="0.25">
      <c r="A2015" s="169">
        <v>44978</v>
      </c>
      <c r="B2015" s="116">
        <v>280.89999999999998</v>
      </c>
      <c r="C2015" s="116">
        <v>274.7</v>
      </c>
      <c r="D2015" s="116">
        <v>274.25</v>
      </c>
      <c r="E2015" s="116">
        <v>279</v>
      </c>
      <c r="F2015" s="116">
        <v>274.7</v>
      </c>
      <c r="G2015">
        <v>104545</v>
      </c>
      <c r="H2015" s="116"/>
      <c r="I2015" s="116"/>
      <c r="L2015" s="169">
        <v>44970</v>
      </c>
      <c r="M2015" s="116">
        <v>591.04999999999995</v>
      </c>
      <c r="N2015" s="116">
        <v>598.54999999999995</v>
      </c>
      <c r="O2015" s="116">
        <v>580</v>
      </c>
      <c r="P2015" s="116">
        <v>595</v>
      </c>
      <c r="Q2015" s="116">
        <v>591.04999999999995</v>
      </c>
      <c r="R2015">
        <v>531299</v>
      </c>
    </row>
    <row r="2016" spans="1:18" x14ac:dyDescent="0.25">
      <c r="A2016" s="169">
        <v>44979</v>
      </c>
      <c r="B2016" s="116">
        <v>277.45</v>
      </c>
      <c r="C2016" s="116">
        <v>268.95</v>
      </c>
      <c r="D2016" s="116">
        <v>265.10000000000002</v>
      </c>
      <c r="E2016" s="116">
        <v>275.2</v>
      </c>
      <c r="F2016" s="116">
        <v>268.95</v>
      </c>
      <c r="G2016">
        <v>129100</v>
      </c>
      <c r="H2016" s="116"/>
      <c r="I2016" s="116"/>
      <c r="L2016" s="169">
        <v>44971</v>
      </c>
      <c r="M2016" s="116">
        <v>590.4</v>
      </c>
      <c r="N2016" s="116">
        <v>597.6</v>
      </c>
      <c r="O2016" s="116">
        <v>587.1</v>
      </c>
      <c r="P2016" s="116">
        <v>591.1</v>
      </c>
      <c r="Q2016" s="116">
        <v>590.4</v>
      </c>
      <c r="R2016">
        <v>469223</v>
      </c>
    </row>
    <row r="2017" spans="1:18" x14ac:dyDescent="0.25">
      <c r="A2017" s="169">
        <v>44980</v>
      </c>
      <c r="B2017" s="116">
        <v>284</v>
      </c>
      <c r="C2017" s="116">
        <v>277.85000000000002</v>
      </c>
      <c r="D2017" s="116">
        <v>264</v>
      </c>
      <c r="E2017" s="116">
        <v>264</v>
      </c>
      <c r="F2017" s="116">
        <v>277.85000000000002</v>
      </c>
      <c r="G2017">
        <v>151634</v>
      </c>
      <c r="H2017" s="116"/>
      <c r="I2017" s="116"/>
      <c r="L2017" s="169">
        <v>44972</v>
      </c>
      <c r="M2017" s="116">
        <v>594.79999999999995</v>
      </c>
      <c r="N2017" s="116">
        <v>600</v>
      </c>
      <c r="O2017" s="116">
        <v>587</v>
      </c>
      <c r="P2017" s="116">
        <v>589.9</v>
      </c>
      <c r="Q2017" s="116">
        <v>594.79999999999995</v>
      </c>
      <c r="R2017">
        <v>484600</v>
      </c>
    </row>
    <row r="2018" spans="1:18" x14ac:dyDescent="0.25">
      <c r="A2018" s="169">
        <v>44981</v>
      </c>
      <c r="B2018" s="116">
        <v>287</v>
      </c>
      <c r="C2018" s="116">
        <v>279.3</v>
      </c>
      <c r="D2018" s="116">
        <v>275</v>
      </c>
      <c r="E2018" s="116">
        <v>279.95</v>
      </c>
      <c r="F2018" s="116">
        <v>279.3</v>
      </c>
      <c r="G2018">
        <v>94926</v>
      </c>
      <c r="H2018" s="116"/>
      <c r="I2018" s="116"/>
      <c r="L2018" s="169">
        <v>44973</v>
      </c>
      <c r="M2018" s="116">
        <v>586.54999999999995</v>
      </c>
      <c r="N2018" s="116">
        <v>597.79999999999995</v>
      </c>
      <c r="O2018" s="116">
        <v>583</v>
      </c>
      <c r="P2018" s="116">
        <v>595.75</v>
      </c>
      <c r="Q2018" s="116">
        <v>586.54999999999995</v>
      </c>
      <c r="R2018">
        <v>248733</v>
      </c>
    </row>
    <row r="2019" spans="1:18" x14ac:dyDescent="0.25">
      <c r="A2019" s="169">
        <v>44984</v>
      </c>
      <c r="B2019" s="116">
        <v>284</v>
      </c>
      <c r="C2019" s="116">
        <v>279.75</v>
      </c>
      <c r="D2019" s="116">
        <v>270</v>
      </c>
      <c r="E2019" s="116">
        <v>283</v>
      </c>
      <c r="F2019" s="116">
        <v>279.75</v>
      </c>
      <c r="G2019">
        <v>204720</v>
      </c>
      <c r="H2019" s="116"/>
      <c r="I2019" s="116"/>
      <c r="L2019" s="169">
        <v>44974</v>
      </c>
      <c r="M2019" s="116">
        <v>578.85</v>
      </c>
      <c r="N2019" s="116">
        <v>590</v>
      </c>
      <c r="O2019" s="116">
        <v>576.54999999999995</v>
      </c>
      <c r="P2019" s="116">
        <v>583.1</v>
      </c>
      <c r="Q2019" s="116">
        <v>578.85</v>
      </c>
      <c r="R2019">
        <v>365113</v>
      </c>
    </row>
    <row r="2020" spans="1:18" x14ac:dyDescent="0.25">
      <c r="A2020" s="169">
        <v>44985</v>
      </c>
      <c r="B2020" s="116">
        <v>284</v>
      </c>
      <c r="C2020" s="116">
        <v>279.5</v>
      </c>
      <c r="D2020" s="116">
        <v>276.60000000000002</v>
      </c>
      <c r="E2020" s="116">
        <v>282.89999999999998</v>
      </c>
      <c r="F2020" s="116">
        <v>279.5</v>
      </c>
      <c r="G2020">
        <v>92644</v>
      </c>
      <c r="H2020" s="116"/>
      <c r="I2020" s="116"/>
      <c r="L2020" s="169">
        <v>44977</v>
      </c>
      <c r="M2020" s="116">
        <v>590</v>
      </c>
      <c r="N2020" s="116">
        <v>593.70000000000005</v>
      </c>
      <c r="O2020" s="116">
        <v>574</v>
      </c>
      <c r="P2020" s="116">
        <v>578.95000000000005</v>
      </c>
      <c r="Q2020" s="116">
        <v>590</v>
      </c>
      <c r="R2020">
        <v>699245</v>
      </c>
    </row>
    <row r="2021" spans="1:18" x14ac:dyDescent="0.25">
      <c r="A2021" s="169">
        <v>44986</v>
      </c>
      <c r="B2021" s="116">
        <v>280.89999999999998</v>
      </c>
      <c r="C2021" s="116">
        <v>278.5</v>
      </c>
      <c r="D2021" s="116">
        <v>276</v>
      </c>
      <c r="E2021" s="116">
        <v>279.95</v>
      </c>
      <c r="F2021" s="116">
        <v>278.5</v>
      </c>
      <c r="G2021">
        <v>74032</v>
      </c>
      <c r="H2021" s="116"/>
      <c r="I2021" s="116"/>
      <c r="L2021" s="169">
        <v>44978</v>
      </c>
      <c r="M2021" s="116">
        <v>578.29999999999995</v>
      </c>
      <c r="N2021" s="116">
        <v>596.70000000000005</v>
      </c>
      <c r="O2021" s="116">
        <v>575.5</v>
      </c>
      <c r="P2021" s="116">
        <v>589.04999999999995</v>
      </c>
      <c r="Q2021" s="116">
        <v>578.29999999999995</v>
      </c>
      <c r="R2021">
        <v>747401</v>
      </c>
    </row>
    <row r="2022" spans="1:18" x14ac:dyDescent="0.25">
      <c r="A2022" s="169">
        <v>44987</v>
      </c>
      <c r="B2022" s="116">
        <v>282.89999999999998</v>
      </c>
      <c r="C2022" s="116">
        <v>280.35000000000002</v>
      </c>
      <c r="D2022" s="116">
        <v>277.5</v>
      </c>
      <c r="E2022" s="116">
        <v>281.89999999999998</v>
      </c>
      <c r="F2022" s="116">
        <v>280.35000000000002</v>
      </c>
      <c r="G2022">
        <v>49250</v>
      </c>
      <c r="H2022" s="116"/>
      <c r="I2022" s="116"/>
      <c r="L2022" s="169">
        <v>44979</v>
      </c>
      <c r="M2022" s="116">
        <v>564.04999999999995</v>
      </c>
      <c r="N2022" s="116">
        <v>581</v>
      </c>
      <c r="O2022" s="116">
        <v>557.70000000000005</v>
      </c>
      <c r="P2022" s="116">
        <v>574.5</v>
      </c>
      <c r="Q2022" s="116">
        <v>564.04999999999995</v>
      </c>
      <c r="R2022">
        <v>367589</v>
      </c>
    </row>
    <row r="2023" spans="1:18" x14ac:dyDescent="0.25">
      <c r="A2023" s="169">
        <v>44988</v>
      </c>
      <c r="B2023" s="116">
        <v>294.85000000000002</v>
      </c>
      <c r="C2023" s="116">
        <v>288</v>
      </c>
      <c r="D2023" s="116">
        <v>278</v>
      </c>
      <c r="E2023" s="116">
        <v>281.2</v>
      </c>
      <c r="F2023" s="116">
        <v>288</v>
      </c>
      <c r="G2023">
        <v>169425</v>
      </c>
      <c r="H2023" s="116"/>
      <c r="I2023" s="116"/>
      <c r="L2023" s="169">
        <v>44980</v>
      </c>
      <c r="M2023" s="116">
        <v>563.35</v>
      </c>
      <c r="N2023" s="116">
        <v>567.1</v>
      </c>
      <c r="O2023" s="116">
        <v>556.04999999999995</v>
      </c>
      <c r="P2023" s="116">
        <v>560</v>
      </c>
      <c r="Q2023" s="116">
        <v>563.35</v>
      </c>
      <c r="R2023">
        <v>348750</v>
      </c>
    </row>
    <row r="2024" spans="1:18" x14ac:dyDescent="0.25">
      <c r="A2024" s="169">
        <v>44991</v>
      </c>
      <c r="B2024" s="116">
        <v>309.89999999999998</v>
      </c>
      <c r="C2024" s="116">
        <v>304.89999999999998</v>
      </c>
      <c r="D2024" s="116">
        <v>290.10000000000002</v>
      </c>
      <c r="E2024" s="116">
        <v>292</v>
      </c>
      <c r="F2024" s="116">
        <v>304.89999999999998</v>
      </c>
      <c r="G2024">
        <v>538679</v>
      </c>
      <c r="H2024" s="116"/>
      <c r="I2024" s="116"/>
      <c r="L2024" s="169">
        <v>44981</v>
      </c>
      <c r="M2024" s="116">
        <v>566.45000000000005</v>
      </c>
      <c r="N2024" s="116">
        <v>577</v>
      </c>
      <c r="O2024" s="116">
        <v>564.54999999999995</v>
      </c>
      <c r="P2024" s="116">
        <v>565</v>
      </c>
      <c r="Q2024" s="116">
        <v>566.45000000000005</v>
      </c>
      <c r="R2024">
        <v>297130</v>
      </c>
    </row>
    <row r="2025" spans="1:18" x14ac:dyDescent="0.25">
      <c r="A2025" s="169">
        <v>44993</v>
      </c>
      <c r="B2025" s="116">
        <v>311</v>
      </c>
      <c r="C2025" s="116">
        <v>308.2</v>
      </c>
      <c r="D2025" s="116">
        <v>302.14999999999998</v>
      </c>
      <c r="E2025" s="116">
        <v>308.2</v>
      </c>
      <c r="F2025" s="116">
        <v>308.2</v>
      </c>
      <c r="G2025">
        <v>161626</v>
      </c>
      <c r="H2025" s="116"/>
      <c r="I2025" s="116"/>
      <c r="L2025" s="169">
        <v>44984</v>
      </c>
      <c r="M2025" s="116">
        <v>570.20000000000005</v>
      </c>
      <c r="N2025" s="116">
        <v>573.79999999999995</v>
      </c>
      <c r="O2025" s="116">
        <v>561.75</v>
      </c>
      <c r="P2025" s="116">
        <v>567</v>
      </c>
      <c r="Q2025" s="116">
        <v>570.20000000000005</v>
      </c>
      <c r="R2025">
        <v>445168</v>
      </c>
    </row>
    <row r="2026" spans="1:18" x14ac:dyDescent="0.25">
      <c r="A2026" s="169">
        <v>44994</v>
      </c>
      <c r="B2026" s="116">
        <v>317.7</v>
      </c>
      <c r="C2026" s="116">
        <v>311.2</v>
      </c>
      <c r="D2026" s="116">
        <v>308.60000000000002</v>
      </c>
      <c r="E2026" s="116">
        <v>313</v>
      </c>
      <c r="F2026" s="116">
        <v>311.2</v>
      </c>
      <c r="G2026">
        <v>141721</v>
      </c>
      <c r="H2026" s="116"/>
      <c r="I2026" s="116"/>
      <c r="L2026" s="169">
        <v>44985</v>
      </c>
      <c r="M2026" s="116">
        <v>575.20000000000005</v>
      </c>
      <c r="N2026" s="116">
        <v>578.65</v>
      </c>
      <c r="O2026" s="116">
        <v>567.25</v>
      </c>
      <c r="P2026" s="116">
        <v>572</v>
      </c>
      <c r="Q2026" s="116">
        <v>575.20000000000005</v>
      </c>
      <c r="R2026">
        <v>428394</v>
      </c>
    </row>
    <row r="2027" spans="1:18" x14ac:dyDescent="0.25">
      <c r="A2027" s="169">
        <v>44995</v>
      </c>
      <c r="B2027" s="116">
        <v>316.95</v>
      </c>
      <c r="C2027" s="116">
        <v>314.8</v>
      </c>
      <c r="D2027" s="116">
        <v>306.60000000000002</v>
      </c>
      <c r="E2027" s="116">
        <v>309</v>
      </c>
      <c r="F2027" s="116">
        <v>314.8</v>
      </c>
      <c r="G2027">
        <v>178867</v>
      </c>
      <c r="H2027" s="116"/>
      <c r="I2027" s="116"/>
      <c r="L2027" s="169">
        <v>44986</v>
      </c>
      <c r="M2027" s="116">
        <v>576.9</v>
      </c>
      <c r="N2027" s="116">
        <v>579</v>
      </c>
      <c r="O2027" s="116">
        <v>572.65</v>
      </c>
      <c r="P2027" s="116">
        <v>577.5</v>
      </c>
      <c r="Q2027" s="116">
        <v>576.9</v>
      </c>
      <c r="R2027">
        <v>743579</v>
      </c>
    </row>
    <row r="2028" spans="1:18" x14ac:dyDescent="0.25">
      <c r="A2028" s="169">
        <v>44998</v>
      </c>
      <c r="B2028" s="116">
        <v>324.8</v>
      </c>
      <c r="C2028" s="116">
        <v>294.14999999999998</v>
      </c>
      <c r="D2028" s="116">
        <v>285.10000000000002</v>
      </c>
      <c r="E2028" s="116">
        <v>324</v>
      </c>
      <c r="F2028" s="116">
        <v>294.14999999999998</v>
      </c>
      <c r="G2028">
        <v>795465</v>
      </c>
      <c r="H2028" s="116"/>
      <c r="I2028" s="116"/>
      <c r="L2028" s="169">
        <v>44987</v>
      </c>
      <c r="M2028" s="116">
        <v>566.9</v>
      </c>
      <c r="N2028" s="116">
        <v>579.79999999999995</v>
      </c>
      <c r="O2028" s="116">
        <v>563</v>
      </c>
      <c r="P2028" s="116">
        <v>579.79999999999995</v>
      </c>
      <c r="Q2028" s="116">
        <v>566.9</v>
      </c>
      <c r="R2028">
        <v>188574</v>
      </c>
    </row>
    <row r="2029" spans="1:18" x14ac:dyDescent="0.25">
      <c r="A2029" s="169">
        <v>44999</v>
      </c>
      <c r="B2029" s="116">
        <v>299</v>
      </c>
      <c r="C2029" s="116">
        <v>289.60000000000002</v>
      </c>
      <c r="D2029" s="116">
        <v>283.05</v>
      </c>
      <c r="E2029" s="116">
        <v>294.14999999999998</v>
      </c>
      <c r="F2029" s="116">
        <v>289.60000000000002</v>
      </c>
      <c r="G2029">
        <v>424332</v>
      </c>
      <c r="H2029" s="116"/>
      <c r="I2029" s="116"/>
      <c r="L2029" s="169">
        <v>44988</v>
      </c>
      <c r="M2029" s="116">
        <v>563.75</v>
      </c>
      <c r="N2029" s="116">
        <v>570.95000000000005</v>
      </c>
      <c r="O2029" s="116">
        <v>560.70000000000005</v>
      </c>
      <c r="P2029" s="116">
        <v>567.85</v>
      </c>
      <c r="Q2029" s="116">
        <v>563.75</v>
      </c>
      <c r="R2029">
        <v>273370</v>
      </c>
    </row>
    <row r="2030" spans="1:18" x14ac:dyDescent="0.25">
      <c r="A2030" s="169">
        <v>45000</v>
      </c>
      <c r="B2030" s="116">
        <v>291.85000000000002</v>
      </c>
      <c r="C2030" s="116">
        <v>286.55</v>
      </c>
      <c r="D2030" s="116">
        <v>283</v>
      </c>
      <c r="E2030" s="116">
        <v>289.60000000000002</v>
      </c>
      <c r="F2030" s="116">
        <v>286.55</v>
      </c>
      <c r="G2030">
        <v>179151</v>
      </c>
      <c r="H2030" s="116"/>
      <c r="I2030" s="116"/>
      <c r="L2030" s="169">
        <v>44991</v>
      </c>
      <c r="M2030" s="116">
        <v>569.45000000000005</v>
      </c>
      <c r="N2030" s="116">
        <v>574</v>
      </c>
      <c r="O2030" s="116">
        <v>561.75</v>
      </c>
      <c r="P2030" s="116">
        <v>565</v>
      </c>
      <c r="Q2030" s="116">
        <v>569.45000000000005</v>
      </c>
      <c r="R2030">
        <v>750886</v>
      </c>
    </row>
    <row r="2031" spans="1:18" x14ac:dyDescent="0.25">
      <c r="A2031" s="169">
        <v>45001</v>
      </c>
      <c r="B2031" s="116">
        <v>287.95</v>
      </c>
      <c r="C2031" s="116">
        <v>286.10000000000002</v>
      </c>
      <c r="D2031" s="116">
        <v>279.10000000000002</v>
      </c>
      <c r="E2031" s="116">
        <v>287.95</v>
      </c>
      <c r="F2031" s="116">
        <v>286.10000000000002</v>
      </c>
      <c r="G2031">
        <v>158902</v>
      </c>
      <c r="H2031" s="116"/>
      <c r="I2031" s="116"/>
      <c r="L2031" s="169">
        <v>44993</v>
      </c>
      <c r="M2031" s="116">
        <v>564.35</v>
      </c>
      <c r="N2031" s="116">
        <v>569.95000000000005</v>
      </c>
      <c r="O2031" s="116">
        <v>557.5</v>
      </c>
      <c r="P2031" s="116">
        <v>569.20000000000005</v>
      </c>
      <c r="Q2031" s="116">
        <v>564.35</v>
      </c>
      <c r="R2031">
        <v>544207</v>
      </c>
    </row>
    <row r="2032" spans="1:18" x14ac:dyDescent="0.25">
      <c r="A2032" s="169">
        <v>45002</v>
      </c>
      <c r="B2032" s="116">
        <v>294.39999999999998</v>
      </c>
      <c r="C2032" s="116">
        <v>292.89999999999998</v>
      </c>
      <c r="D2032" s="116">
        <v>284.5</v>
      </c>
      <c r="E2032" s="116">
        <v>290</v>
      </c>
      <c r="F2032" s="116">
        <v>292.89999999999998</v>
      </c>
      <c r="G2032">
        <v>197171</v>
      </c>
      <c r="H2032" s="116"/>
      <c r="I2032" s="116"/>
      <c r="L2032" s="169">
        <v>44994</v>
      </c>
      <c r="M2032" s="116">
        <v>568.5</v>
      </c>
      <c r="N2032" s="116">
        <v>580</v>
      </c>
      <c r="O2032" s="116">
        <v>565</v>
      </c>
      <c r="P2032" s="116">
        <v>567.20000000000005</v>
      </c>
      <c r="Q2032" s="116">
        <v>568.5</v>
      </c>
      <c r="R2032">
        <v>496275</v>
      </c>
    </row>
    <row r="2033" spans="1:18" x14ac:dyDescent="0.25">
      <c r="A2033" s="169">
        <v>45005</v>
      </c>
      <c r="B2033" s="116">
        <v>296.89999999999998</v>
      </c>
      <c r="C2033" s="116">
        <v>294</v>
      </c>
      <c r="D2033" s="116">
        <v>287</v>
      </c>
      <c r="E2033" s="116">
        <v>293.7</v>
      </c>
      <c r="F2033" s="116">
        <v>294</v>
      </c>
      <c r="G2033">
        <v>300062</v>
      </c>
      <c r="H2033" s="116"/>
      <c r="I2033" s="116"/>
      <c r="L2033" s="169">
        <v>44995</v>
      </c>
      <c r="M2033" s="116">
        <v>557.1</v>
      </c>
      <c r="N2033" s="116">
        <v>565</v>
      </c>
      <c r="O2033" s="116">
        <v>550.85</v>
      </c>
      <c r="P2033" s="116">
        <v>565</v>
      </c>
      <c r="Q2033" s="116">
        <v>557.1</v>
      </c>
      <c r="R2033">
        <v>369574</v>
      </c>
    </row>
    <row r="2034" spans="1:18" x14ac:dyDescent="0.25">
      <c r="A2034" s="169">
        <v>45006</v>
      </c>
      <c r="B2034" s="116">
        <v>299.5</v>
      </c>
      <c r="C2034" s="116">
        <v>298.45</v>
      </c>
      <c r="D2034" s="116">
        <v>291.05</v>
      </c>
      <c r="E2034" s="116">
        <v>293</v>
      </c>
      <c r="F2034" s="116">
        <v>298.45</v>
      </c>
      <c r="G2034">
        <v>503581</v>
      </c>
      <c r="H2034" s="116"/>
      <c r="I2034" s="116"/>
      <c r="L2034" s="169">
        <v>44998</v>
      </c>
      <c r="M2034" s="116">
        <v>540</v>
      </c>
      <c r="N2034" s="116">
        <v>573.5</v>
      </c>
      <c r="O2034" s="116">
        <v>536.9</v>
      </c>
      <c r="P2034" s="116">
        <v>557.04999999999995</v>
      </c>
      <c r="Q2034" s="116">
        <v>540</v>
      </c>
      <c r="R2034">
        <v>932544</v>
      </c>
    </row>
    <row r="2035" spans="1:18" x14ac:dyDescent="0.25">
      <c r="A2035" s="169">
        <v>45007</v>
      </c>
      <c r="B2035" s="116">
        <v>304</v>
      </c>
      <c r="C2035" s="116">
        <v>294.39999999999998</v>
      </c>
      <c r="D2035" s="116">
        <v>293.10000000000002</v>
      </c>
      <c r="E2035" s="116">
        <v>299.89999999999998</v>
      </c>
      <c r="F2035" s="116">
        <v>294.39999999999998</v>
      </c>
      <c r="G2035">
        <v>121871</v>
      </c>
      <c r="H2035" s="116"/>
      <c r="I2035" s="116"/>
      <c r="L2035" s="169">
        <v>44999</v>
      </c>
      <c r="M2035" s="116">
        <v>528.4</v>
      </c>
      <c r="N2035" s="116">
        <v>545.5</v>
      </c>
      <c r="O2035" s="116">
        <v>526</v>
      </c>
      <c r="P2035" s="116">
        <v>540.45000000000005</v>
      </c>
      <c r="Q2035" s="116">
        <v>528.4</v>
      </c>
      <c r="R2035">
        <v>592536</v>
      </c>
    </row>
    <row r="2036" spans="1:18" x14ac:dyDescent="0.25">
      <c r="A2036" s="169">
        <v>45008</v>
      </c>
      <c r="B2036" s="116">
        <v>302.89999999999998</v>
      </c>
      <c r="C2036" s="116">
        <v>297.55</v>
      </c>
      <c r="D2036" s="116">
        <v>292.10000000000002</v>
      </c>
      <c r="E2036" s="116">
        <v>295</v>
      </c>
      <c r="F2036" s="116">
        <v>297.55</v>
      </c>
      <c r="G2036">
        <v>261806</v>
      </c>
      <c r="H2036" s="116"/>
      <c r="I2036" s="116"/>
      <c r="L2036" s="169">
        <v>45000</v>
      </c>
      <c r="M2036" s="116">
        <v>519.75</v>
      </c>
      <c r="N2036" s="116">
        <v>535.5</v>
      </c>
      <c r="O2036" s="116">
        <v>516.65</v>
      </c>
      <c r="P2036" s="116">
        <v>532.5</v>
      </c>
      <c r="Q2036" s="116">
        <v>519.75</v>
      </c>
      <c r="R2036">
        <v>571925</v>
      </c>
    </row>
    <row r="2037" spans="1:18" x14ac:dyDescent="0.25">
      <c r="A2037" s="169">
        <v>45009</v>
      </c>
      <c r="B2037" s="116">
        <v>299.89999999999998</v>
      </c>
      <c r="C2037" s="116">
        <v>295.39999999999998</v>
      </c>
      <c r="D2037" s="116">
        <v>291.10000000000002</v>
      </c>
      <c r="E2037" s="116">
        <v>299</v>
      </c>
      <c r="F2037" s="116">
        <v>295.39999999999998</v>
      </c>
      <c r="G2037">
        <v>133282</v>
      </c>
      <c r="H2037" s="116"/>
      <c r="I2037" s="116"/>
      <c r="L2037" s="169">
        <v>45001</v>
      </c>
      <c r="M2037" s="116">
        <v>521.15</v>
      </c>
      <c r="N2037" s="116">
        <v>526.1</v>
      </c>
      <c r="O2037" s="116">
        <v>508.55</v>
      </c>
      <c r="P2037" s="116">
        <v>517</v>
      </c>
      <c r="Q2037" s="116">
        <v>521.15</v>
      </c>
      <c r="R2037">
        <v>476795</v>
      </c>
    </row>
    <row r="2038" spans="1:18" x14ac:dyDescent="0.25">
      <c r="A2038" s="169">
        <v>45012</v>
      </c>
      <c r="B2038" s="116">
        <v>293.64999999999998</v>
      </c>
      <c r="C2038" s="116">
        <v>288.25</v>
      </c>
      <c r="D2038" s="116">
        <v>285</v>
      </c>
      <c r="E2038" s="116">
        <v>293</v>
      </c>
      <c r="F2038" s="116">
        <v>288.25</v>
      </c>
      <c r="G2038">
        <v>137118</v>
      </c>
      <c r="H2038" s="116"/>
      <c r="I2038" s="116"/>
      <c r="L2038" s="169">
        <v>45002</v>
      </c>
      <c r="M2038" s="116">
        <v>530.15</v>
      </c>
      <c r="N2038" s="116">
        <v>532.04999999999995</v>
      </c>
      <c r="O2038" s="116">
        <v>517.54999999999995</v>
      </c>
      <c r="P2038" s="116">
        <v>526.4</v>
      </c>
      <c r="Q2038" s="116">
        <v>530.15</v>
      </c>
      <c r="R2038">
        <v>682828</v>
      </c>
    </row>
    <row r="2039" spans="1:18" x14ac:dyDescent="0.25">
      <c r="A2039" s="169">
        <v>45013</v>
      </c>
      <c r="B2039" s="116">
        <v>290.05</v>
      </c>
      <c r="C2039" s="116">
        <v>280</v>
      </c>
      <c r="D2039" s="116">
        <v>278.60000000000002</v>
      </c>
      <c r="E2039" s="116">
        <v>290</v>
      </c>
      <c r="F2039" s="116">
        <v>280</v>
      </c>
      <c r="G2039">
        <v>81750</v>
      </c>
      <c r="H2039" s="116"/>
      <c r="I2039" s="116"/>
      <c r="L2039" s="169">
        <v>45005</v>
      </c>
      <c r="M2039" s="116">
        <v>530.20000000000005</v>
      </c>
      <c r="N2039" s="116">
        <v>535.85</v>
      </c>
      <c r="O2039" s="116">
        <v>515.6</v>
      </c>
      <c r="P2039" s="116">
        <v>532</v>
      </c>
      <c r="Q2039" s="116">
        <v>530.20000000000005</v>
      </c>
      <c r="R2039">
        <v>964205</v>
      </c>
    </row>
    <row r="2040" spans="1:18" x14ac:dyDescent="0.25">
      <c r="A2040" s="169">
        <v>45014</v>
      </c>
      <c r="B2040" s="116">
        <v>287</v>
      </c>
      <c r="C2040" s="116">
        <v>281.14999999999998</v>
      </c>
      <c r="D2040" s="116">
        <v>275</v>
      </c>
      <c r="E2040" s="116">
        <v>280</v>
      </c>
      <c r="F2040" s="116">
        <v>281.14999999999998</v>
      </c>
      <c r="G2040">
        <v>78656</v>
      </c>
      <c r="H2040" s="116"/>
      <c r="I2040" s="116"/>
      <c r="L2040" s="169">
        <v>45006</v>
      </c>
      <c r="M2040" s="116">
        <v>531.70000000000005</v>
      </c>
      <c r="N2040" s="116">
        <v>536.15</v>
      </c>
      <c r="O2040" s="116">
        <v>524.29999999999995</v>
      </c>
      <c r="P2040" s="116">
        <v>532.85</v>
      </c>
      <c r="Q2040" s="116">
        <v>531.70000000000005</v>
      </c>
      <c r="R2040">
        <v>370906</v>
      </c>
    </row>
    <row r="2041" spans="1:18" x14ac:dyDescent="0.25">
      <c r="A2041" s="169">
        <v>45016</v>
      </c>
      <c r="B2041" s="116">
        <v>288</v>
      </c>
      <c r="C2041" s="116">
        <v>284.7</v>
      </c>
      <c r="D2041" s="116">
        <v>282</v>
      </c>
      <c r="E2041" s="116">
        <v>285.5</v>
      </c>
      <c r="F2041" s="116">
        <v>284.7</v>
      </c>
      <c r="G2041">
        <v>50279</v>
      </c>
      <c r="H2041" s="116"/>
      <c r="I2041" s="116"/>
      <c r="L2041" s="169">
        <v>45007</v>
      </c>
      <c r="M2041" s="116">
        <v>547.79999999999995</v>
      </c>
      <c r="N2041" s="116">
        <v>549.35</v>
      </c>
      <c r="O2041" s="116">
        <v>534</v>
      </c>
      <c r="P2041" s="116">
        <v>534.35</v>
      </c>
      <c r="Q2041" s="116">
        <v>547.79999999999995</v>
      </c>
      <c r="R2041">
        <v>576421</v>
      </c>
    </row>
    <row r="2042" spans="1:18" x14ac:dyDescent="0.25">
      <c r="A2042" s="169">
        <v>45019</v>
      </c>
      <c r="B2042" s="116">
        <v>292</v>
      </c>
      <c r="C2042" s="116">
        <v>287.7</v>
      </c>
      <c r="D2042" s="116">
        <v>283.10000000000002</v>
      </c>
      <c r="E2042" s="116">
        <v>289.89999999999998</v>
      </c>
      <c r="F2042" s="116">
        <v>287.7</v>
      </c>
      <c r="G2042">
        <v>69105</v>
      </c>
      <c r="H2042" s="116"/>
      <c r="I2042" s="116"/>
      <c r="L2042" s="169">
        <v>45008</v>
      </c>
      <c r="M2042" s="116">
        <v>540.25</v>
      </c>
      <c r="N2042" s="116">
        <v>548</v>
      </c>
      <c r="O2042" s="116">
        <v>536.6</v>
      </c>
      <c r="P2042" s="116">
        <v>548</v>
      </c>
      <c r="Q2042" s="116">
        <v>540.25</v>
      </c>
      <c r="R2042">
        <v>840185</v>
      </c>
    </row>
    <row r="2043" spans="1:18" x14ac:dyDescent="0.25">
      <c r="A2043" s="169">
        <v>45021</v>
      </c>
      <c r="B2043" s="116">
        <v>290.10000000000002</v>
      </c>
      <c r="C2043" s="116">
        <v>285.7</v>
      </c>
      <c r="D2043" s="116">
        <v>285</v>
      </c>
      <c r="E2043" s="116">
        <v>285.3</v>
      </c>
      <c r="F2043" s="116">
        <v>285.7</v>
      </c>
      <c r="G2043">
        <v>63563</v>
      </c>
      <c r="H2043" s="116"/>
      <c r="I2043" s="116"/>
      <c r="L2043" s="169">
        <v>45009</v>
      </c>
      <c r="M2043" s="116">
        <v>524.9</v>
      </c>
      <c r="N2043" s="116">
        <v>541.75</v>
      </c>
      <c r="O2043" s="116">
        <v>521</v>
      </c>
      <c r="P2043" s="116">
        <v>540.4</v>
      </c>
      <c r="Q2043" s="116">
        <v>524.9</v>
      </c>
      <c r="R2043">
        <v>386989</v>
      </c>
    </row>
    <row r="2044" spans="1:18" x14ac:dyDescent="0.25">
      <c r="A2044" s="169">
        <v>45022</v>
      </c>
      <c r="B2044" s="116">
        <v>290</v>
      </c>
      <c r="C2044" s="116">
        <v>284</v>
      </c>
      <c r="D2044" s="116">
        <v>283.45</v>
      </c>
      <c r="E2044" s="116">
        <v>286</v>
      </c>
      <c r="F2044" s="116">
        <v>284</v>
      </c>
      <c r="G2044">
        <v>53492</v>
      </c>
      <c r="H2044" s="116"/>
      <c r="I2044" s="116"/>
      <c r="L2044" s="169">
        <v>45012</v>
      </c>
      <c r="M2044" s="116">
        <v>519.9</v>
      </c>
      <c r="N2044" s="116">
        <v>530.5</v>
      </c>
      <c r="O2044" s="116">
        <v>512</v>
      </c>
      <c r="P2044" s="116">
        <v>524.20000000000005</v>
      </c>
      <c r="Q2044" s="116">
        <v>519.9</v>
      </c>
      <c r="R2044">
        <v>367199</v>
      </c>
    </row>
    <row r="2045" spans="1:18" x14ac:dyDescent="0.25">
      <c r="A2045" s="169">
        <v>45026</v>
      </c>
      <c r="B2045" s="116">
        <v>287</v>
      </c>
      <c r="C2045" s="116">
        <v>283.14999999999998</v>
      </c>
      <c r="D2045" s="116">
        <v>282.5</v>
      </c>
      <c r="E2045" s="116">
        <v>285</v>
      </c>
      <c r="F2045" s="116">
        <v>283.14999999999998</v>
      </c>
      <c r="G2045">
        <v>39895</v>
      </c>
      <c r="H2045" s="116"/>
      <c r="I2045" s="116"/>
      <c r="L2045" s="169">
        <v>45013</v>
      </c>
      <c r="M2045" s="116">
        <v>518.85</v>
      </c>
      <c r="N2045" s="116">
        <v>520.5</v>
      </c>
      <c r="O2045" s="116">
        <v>511.9</v>
      </c>
      <c r="P2045" s="116">
        <v>519</v>
      </c>
      <c r="Q2045" s="116">
        <v>518.85</v>
      </c>
      <c r="R2045">
        <v>337531</v>
      </c>
    </row>
    <row r="2046" spans="1:18" x14ac:dyDescent="0.25">
      <c r="A2046" s="169">
        <v>45027</v>
      </c>
      <c r="B2046" s="116">
        <v>285</v>
      </c>
      <c r="C2046" s="116">
        <v>284.85000000000002</v>
      </c>
      <c r="D2046" s="116">
        <v>281.64999999999998</v>
      </c>
      <c r="E2046" s="116">
        <v>284</v>
      </c>
      <c r="F2046" s="116">
        <v>284.85000000000002</v>
      </c>
      <c r="G2046">
        <v>67916</v>
      </c>
      <c r="H2046" s="116"/>
      <c r="I2046" s="116"/>
      <c r="L2046" s="169">
        <v>45014</v>
      </c>
      <c r="M2046" s="116">
        <v>515.4</v>
      </c>
      <c r="N2046" s="116">
        <v>523.35</v>
      </c>
      <c r="O2046" s="116">
        <v>512</v>
      </c>
      <c r="P2046" s="116">
        <v>520.75</v>
      </c>
      <c r="Q2046" s="116">
        <v>515.4</v>
      </c>
      <c r="R2046">
        <v>846192</v>
      </c>
    </row>
    <row r="2047" spans="1:18" x14ac:dyDescent="0.25">
      <c r="A2047" s="169">
        <v>45028</v>
      </c>
      <c r="B2047" s="116">
        <v>292</v>
      </c>
      <c r="C2047" s="116">
        <v>289.64999999999998</v>
      </c>
      <c r="D2047" s="116">
        <v>285.3</v>
      </c>
      <c r="E2047" s="116">
        <v>285.95</v>
      </c>
      <c r="F2047" s="116">
        <v>289.64999999999998</v>
      </c>
      <c r="G2047">
        <v>101998</v>
      </c>
      <c r="H2047" s="116"/>
      <c r="I2047" s="116"/>
      <c r="L2047" s="169">
        <v>45016</v>
      </c>
      <c r="M2047" s="116">
        <v>529.20000000000005</v>
      </c>
      <c r="N2047" s="116">
        <v>532.5</v>
      </c>
      <c r="O2047" s="116">
        <v>519</v>
      </c>
      <c r="P2047" s="116">
        <v>520</v>
      </c>
      <c r="Q2047" s="116">
        <v>529.20000000000005</v>
      </c>
      <c r="R2047">
        <v>404383</v>
      </c>
    </row>
    <row r="2048" spans="1:18" x14ac:dyDescent="0.25">
      <c r="A2048" s="169">
        <v>45029</v>
      </c>
      <c r="B2048" s="116">
        <v>294.39999999999998</v>
      </c>
      <c r="C2048" s="116">
        <v>292.3</v>
      </c>
      <c r="D2048" s="116">
        <v>275</v>
      </c>
      <c r="E2048" s="116">
        <v>291.75</v>
      </c>
      <c r="F2048" s="116">
        <v>292.3</v>
      </c>
      <c r="G2048">
        <v>132545</v>
      </c>
      <c r="H2048" s="116"/>
      <c r="I2048" s="116"/>
      <c r="L2048" s="169">
        <v>45019</v>
      </c>
      <c r="M2048" s="116">
        <v>545.4</v>
      </c>
      <c r="N2048" s="116">
        <v>547.79999999999995</v>
      </c>
      <c r="O2048" s="116">
        <v>530.20000000000005</v>
      </c>
      <c r="P2048" s="116">
        <v>532.85</v>
      </c>
      <c r="Q2048" s="116">
        <v>545.4</v>
      </c>
      <c r="R2048">
        <v>634976</v>
      </c>
    </row>
    <row r="2049" spans="1:18" x14ac:dyDescent="0.25">
      <c r="A2049" s="169">
        <v>45033</v>
      </c>
      <c r="B2049" s="116">
        <v>296.05</v>
      </c>
      <c r="C2049" s="116">
        <v>289.85000000000002</v>
      </c>
      <c r="D2049" s="116">
        <v>288.14999999999998</v>
      </c>
      <c r="E2049" s="116">
        <v>290</v>
      </c>
      <c r="F2049" s="116">
        <v>289.85000000000002</v>
      </c>
      <c r="G2049">
        <v>89482</v>
      </c>
      <c r="H2049" s="116"/>
      <c r="I2049" s="116"/>
      <c r="L2049" s="169">
        <v>45021</v>
      </c>
      <c r="M2049" s="116">
        <v>544.20000000000005</v>
      </c>
      <c r="N2049" s="116">
        <v>546.85</v>
      </c>
      <c r="O2049" s="116">
        <v>539.45000000000005</v>
      </c>
      <c r="P2049" s="116">
        <v>546.04999999999995</v>
      </c>
      <c r="Q2049" s="116">
        <v>544.20000000000005</v>
      </c>
      <c r="R2049">
        <v>234421</v>
      </c>
    </row>
    <row r="2050" spans="1:18" x14ac:dyDescent="0.25">
      <c r="A2050" s="169">
        <v>45034</v>
      </c>
      <c r="B2050" s="116">
        <v>290.89999999999998</v>
      </c>
      <c r="C2050" s="116">
        <v>287.05</v>
      </c>
      <c r="D2050" s="116">
        <v>286.39999999999998</v>
      </c>
      <c r="E2050" s="116">
        <v>290</v>
      </c>
      <c r="F2050" s="116">
        <v>287.05</v>
      </c>
      <c r="G2050">
        <v>62778</v>
      </c>
      <c r="H2050" s="116"/>
      <c r="I2050" s="116"/>
      <c r="L2050" s="169">
        <v>45022</v>
      </c>
      <c r="M2050" s="116">
        <v>567.15</v>
      </c>
      <c r="N2050" s="116">
        <v>569.29999999999995</v>
      </c>
      <c r="O2050" s="116">
        <v>538.6</v>
      </c>
      <c r="P2050" s="116">
        <v>544.35</v>
      </c>
      <c r="Q2050" s="116">
        <v>567.15</v>
      </c>
      <c r="R2050">
        <v>881334</v>
      </c>
    </row>
    <row r="2051" spans="1:18" x14ac:dyDescent="0.25">
      <c r="A2051" s="169">
        <v>45035</v>
      </c>
      <c r="B2051" s="116">
        <v>293.25</v>
      </c>
      <c r="C2051" s="116">
        <v>287.45</v>
      </c>
      <c r="D2051" s="116">
        <v>286.95</v>
      </c>
      <c r="E2051" s="116">
        <v>287.85000000000002</v>
      </c>
      <c r="F2051" s="116">
        <v>287.45</v>
      </c>
      <c r="G2051">
        <v>108330</v>
      </c>
      <c r="H2051" s="116"/>
      <c r="I2051" s="116"/>
      <c r="L2051" s="169">
        <v>45026</v>
      </c>
      <c r="M2051" s="116">
        <v>582.15</v>
      </c>
      <c r="N2051" s="116">
        <v>583.6</v>
      </c>
      <c r="O2051" s="116">
        <v>568.04999999999995</v>
      </c>
      <c r="P2051" s="116">
        <v>572.95000000000005</v>
      </c>
      <c r="Q2051" s="116">
        <v>582.15</v>
      </c>
      <c r="R2051">
        <v>765353</v>
      </c>
    </row>
    <row r="2052" spans="1:18" x14ac:dyDescent="0.25">
      <c r="A2052" s="169">
        <v>45036</v>
      </c>
      <c r="B2052" s="116">
        <v>291.89999999999998</v>
      </c>
      <c r="C2052" s="116">
        <v>288.45</v>
      </c>
      <c r="D2052" s="116">
        <v>285.10000000000002</v>
      </c>
      <c r="E2052" s="116">
        <v>290</v>
      </c>
      <c r="F2052" s="116">
        <v>288.45</v>
      </c>
      <c r="G2052">
        <v>59081</v>
      </c>
      <c r="H2052" s="116"/>
      <c r="I2052" s="116"/>
      <c r="L2052" s="169">
        <v>45027</v>
      </c>
      <c r="M2052" s="116">
        <v>574.95000000000005</v>
      </c>
      <c r="N2052" s="116">
        <v>590.95000000000005</v>
      </c>
      <c r="O2052" s="116">
        <v>572.65</v>
      </c>
      <c r="P2052" s="116">
        <v>585</v>
      </c>
      <c r="Q2052" s="116">
        <v>574.95000000000005</v>
      </c>
      <c r="R2052">
        <v>1127721</v>
      </c>
    </row>
    <row r="2053" spans="1:18" x14ac:dyDescent="0.25">
      <c r="A2053" s="169">
        <v>45037</v>
      </c>
      <c r="B2053" s="116">
        <v>292.45</v>
      </c>
      <c r="C2053" s="116">
        <v>283.45</v>
      </c>
      <c r="D2053" s="116">
        <v>281.39999999999998</v>
      </c>
      <c r="E2053" s="116">
        <v>287.75</v>
      </c>
      <c r="F2053" s="116">
        <v>283.45</v>
      </c>
      <c r="G2053">
        <v>79102</v>
      </c>
      <c r="H2053" s="116"/>
      <c r="I2053" s="116"/>
      <c r="L2053" s="169">
        <v>45028</v>
      </c>
      <c r="M2053" s="116">
        <v>569.6</v>
      </c>
      <c r="N2053" s="116">
        <v>575.35</v>
      </c>
      <c r="O2053" s="116">
        <v>565.20000000000005</v>
      </c>
      <c r="P2053" s="116">
        <v>574.95000000000005</v>
      </c>
      <c r="Q2053" s="116">
        <v>569.6</v>
      </c>
      <c r="R2053">
        <v>303075</v>
      </c>
    </row>
    <row r="2054" spans="1:18" x14ac:dyDescent="0.25">
      <c r="A2054" s="169">
        <v>45040</v>
      </c>
      <c r="B2054" s="116">
        <v>285.05</v>
      </c>
      <c r="C2054" s="116">
        <v>279.7</v>
      </c>
      <c r="D2054" s="116">
        <v>278</v>
      </c>
      <c r="E2054" s="116">
        <v>283.55</v>
      </c>
      <c r="F2054" s="116">
        <v>279.7</v>
      </c>
      <c r="G2054">
        <v>111630</v>
      </c>
      <c r="H2054" s="116"/>
      <c r="I2054" s="116"/>
      <c r="L2054" s="169">
        <v>45029</v>
      </c>
      <c r="M2054" s="116">
        <v>566.75</v>
      </c>
      <c r="N2054" s="116">
        <v>572</v>
      </c>
      <c r="O2054" s="116">
        <v>558.1</v>
      </c>
      <c r="P2054" s="116">
        <v>570</v>
      </c>
      <c r="Q2054" s="116">
        <v>566.75</v>
      </c>
      <c r="R2054">
        <v>407594</v>
      </c>
    </row>
    <row r="2055" spans="1:18" x14ac:dyDescent="0.25">
      <c r="A2055" s="169">
        <v>45041</v>
      </c>
      <c r="B2055" s="116">
        <v>296</v>
      </c>
      <c r="C2055" s="116">
        <v>284.89999999999998</v>
      </c>
      <c r="D2055" s="116">
        <v>277.39999999999998</v>
      </c>
      <c r="E2055" s="116">
        <v>280.05</v>
      </c>
      <c r="F2055" s="116">
        <v>284.89999999999998</v>
      </c>
      <c r="G2055">
        <v>310786</v>
      </c>
      <c r="H2055" s="116"/>
      <c r="I2055" s="116"/>
      <c r="L2055" s="169">
        <v>45033</v>
      </c>
      <c r="M2055" s="116">
        <v>570.4</v>
      </c>
      <c r="N2055" s="116">
        <v>574.95000000000005</v>
      </c>
      <c r="O2055" s="116">
        <v>564.04999999999995</v>
      </c>
      <c r="P2055" s="116">
        <v>570</v>
      </c>
      <c r="Q2055" s="116">
        <v>570.4</v>
      </c>
      <c r="R2055">
        <v>308969</v>
      </c>
    </row>
    <row r="2056" spans="1:18" x14ac:dyDescent="0.25">
      <c r="A2056" s="169">
        <v>45042</v>
      </c>
      <c r="B2056" s="116">
        <v>286.7</v>
      </c>
      <c r="C2056" s="116">
        <v>283.95</v>
      </c>
      <c r="D2056" s="116">
        <v>277.5</v>
      </c>
      <c r="E2056" s="116">
        <v>286.7</v>
      </c>
      <c r="F2056" s="116">
        <v>283.95</v>
      </c>
      <c r="G2056">
        <v>92435</v>
      </c>
      <c r="H2056" s="116"/>
      <c r="I2056" s="116"/>
      <c r="L2056" s="169">
        <v>45034</v>
      </c>
      <c r="M2056" s="116">
        <v>562.45000000000005</v>
      </c>
      <c r="N2056" s="116">
        <v>571</v>
      </c>
      <c r="O2056" s="116">
        <v>550.79999999999995</v>
      </c>
      <c r="P2056" s="116">
        <v>570.25</v>
      </c>
      <c r="Q2056" s="116">
        <v>562.45000000000005</v>
      </c>
      <c r="R2056">
        <v>590385</v>
      </c>
    </row>
    <row r="2057" spans="1:18" x14ac:dyDescent="0.25">
      <c r="A2057" s="169">
        <v>45043</v>
      </c>
      <c r="B2057" s="116">
        <v>288</v>
      </c>
      <c r="C2057" s="116">
        <v>282.10000000000002</v>
      </c>
      <c r="D2057" s="116">
        <v>281.60000000000002</v>
      </c>
      <c r="E2057" s="116">
        <v>287</v>
      </c>
      <c r="F2057" s="116">
        <v>282.10000000000002</v>
      </c>
      <c r="G2057">
        <v>70224</v>
      </c>
      <c r="H2057" s="116"/>
      <c r="I2057" s="116"/>
      <c r="L2057" s="169">
        <v>45035</v>
      </c>
      <c r="M2057" s="116">
        <v>564.54999999999995</v>
      </c>
      <c r="N2057" s="116">
        <v>574.85</v>
      </c>
      <c r="O2057" s="116">
        <v>561.5</v>
      </c>
      <c r="P2057" s="116">
        <v>561.5</v>
      </c>
      <c r="Q2057" s="116">
        <v>564.54999999999995</v>
      </c>
      <c r="R2057">
        <v>412979</v>
      </c>
    </row>
    <row r="2058" spans="1:18" x14ac:dyDescent="0.25">
      <c r="A2058" s="169">
        <v>45044</v>
      </c>
      <c r="B2058" s="116">
        <v>329.7</v>
      </c>
      <c r="C2058" s="116">
        <v>323.39999999999998</v>
      </c>
      <c r="D2058" s="116">
        <v>282.64999999999998</v>
      </c>
      <c r="E2058" s="116">
        <v>282.64999999999998</v>
      </c>
      <c r="F2058" s="116">
        <v>323.39999999999998</v>
      </c>
      <c r="G2058">
        <v>744069</v>
      </c>
      <c r="H2058" s="116"/>
      <c r="I2058" s="116"/>
      <c r="L2058" s="169">
        <v>45036</v>
      </c>
      <c r="M2058" s="116">
        <v>563.35</v>
      </c>
      <c r="N2058" s="116">
        <v>570.04999999999995</v>
      </c>
      <c r="O2058" s="116">
        <v>561.1</v>
      </c>
      <c r="P2058" s="116">
        <v>564</v>
      </c>
      <c r="Q2058" s="116">
        <v>563.35</v>
      </c>
      <c r="R2058">
        <v>259117</v>
      </c>
    </row>
    <row r="2059" spans="1:18" x14ac:dyDescent="0.25">
      <c r="A2059" s="169">
        <v>45048</v>
      </c>
      <c r="B2059" s="116">
        <v>341</v>
      </c>
      <c r="C2059" s="116">
        <v>324.7</v>
      </c>
      <c r="D2059" s="116">
        <v>321.2</v>
      </c>
      <c r="E2059" s="116">
        <v>323</v>
      </c>
      <c r="F2059" s="116">
        <v>324.7</v>
      </c>
      <c r="G2059">
        <v>462109</v>
      </c>
      <c r="H2059" s="116"/>
      <c r="I2059" s="116"/>
      <c r="L2059" s="169">
        <v>45037</v>
      </c>
      <c r="M2059" s="116">
        <v>562</v>
      </c>
      <c r="N2059" s="116">
        <v>566.35</v>
      </c>
      <c r="O2059" s="116">
        <v>552.1</v>
      </c>
      <c r="P2059" s="116">
        <v>566.35</v>
      </c>
      <c r="Q2059" s="116">
        <v>562</v>
      </c>
      <c r="R2059">
        <v>451968</v>
      </c>
    </row>
    <row r="2060" spans="1:18" x14ac:dyDescent="0.25">
      <c r="A2060" s="169">
        <v>45049</v>
      </c>
      <c r="B2060" s="116">
        <v>331.9</v>
      </c>
      <c r="C2060" s="116">
        <v>323.05</v>
      </c>
      <c r="D2060" s="116">
        <v>312.05</v>
      </c>
      <c r="E2060" s="116">
        <v>324.7</v>
      </c>
      <c r="F2060" s="116">
        <v>323.05</v>
      </c>
      <c r="G2060">
        <v>266853</v>
      </c>
      <c r="H2060" s="116"/>
      <c r="I2060" s="116"/>
      <c r="L2060" s="169">
        <v>45040</v>
      </c>
      <c r="M2060" s="116">
        <v>577.1</v>
      </c>
      <c r="N2060" s="116">
        <v>579.5</v>
      </c>
      <c r="O2060" s="116">
        <v>560.85</v>
      </c>
      <c r="P2060" s="116">
        <v>562.9</v>
      </c>
      <c r="Q2060" s="116">
        <v>577.1</v>
      </c>
      <c r="R2060">
        <v>703195</v>
      </c>
    </row>
    <row r="2061" spans="1:18" x14ac:dyDescent="0.25">
      <c r="A2061" s="169">
        <v>45050</v>
      </c>
      <c r="B2061" s="116">
        <v>328.5</v>
      </c>
      <c r="C2061" s="116">
        <v>318</v>
      </c>
      <c r="D2061" s="116">
        <v>316</v>
      </c>
      <c r="E2061" s="116">
        <v>325</v>
      </c>
      <c r="F2061" s="116">
        <v>318</v>
      </c>
      <c r="G2061">
        <v>66819</v>
      </c>
      <c r="H2061" s="116"/>
      <c r="I2061" s="116"/>
      <c r="L2061" s="169">
        <v>45041</v>
      </c>
      <c r="M2061" s="116">
        <v>584.15</v>
      </c>
      <c r="N2061" s="116">
        <v>587.5</v>
      </c>
      <c r="O2061" s="116">
        <v>576.6</v>
      </c>
      <c r="P2061" s="116">
        <v>580</v>
      </c>
      <c r="Q2061" s="116">
        <v>584.15</v>
      </c>
      <c r="R2061">
        <v>550626</v>
      </c>
    </row>
    <row r="2062" spans="1:18" x14ac:dyDescent="0.25">
      <c r="A2062" s="169">
        <v>45051</v>
      </c>
      <c r="B2062" s="116">
        <v>327.9</v>
      </c>
      <c r="C2062" s="116">
        <v>320</v>
      </c>
      <c r="D2062" s="116">
        <v>317</v>
      </c>
      <c r="E2062" s="116">
        <v>319</v>
      </c>
      <c r="F2062" s="116">
        <v>320</v>
      </c>
      <c r="G2062">
        <v>73395</v>
      </c>
      <c r="H2062" s="116"/>
      <c r="I2062" s="116"/>
      <c r="L2062" s="169">
        <v>45042</v>
      </c>
      <c r="M2062" s="116">
        <v>585.15</v>
      </c>
      <c r="N2062" s="116">
        <v>592.15</v>
      </c>
      <c r="O2062" s="116">
        <v>578.20000000000005</v>
      </c>
      <c r="P2062" s="116">
        <v>582.5</v>
      </c>
      <c r="Q2062" s="116">
        <v>585.15</v>
      </c>
      <c r="R2062">
        <v>724986</v>
      </c>
    </row>
    <row r="2063" spans="1:18" x14ac:dyDescent="0.25">
      <c r="A2063" s="169">
        <v>45054</v>
      </c>
      <c r="B2063" s="116">
        <v>322.85000000000002</v>
      </c>
      <c r="C2063" s="116">
        <v>313.75</v>
      </c>
      <c r="D2063" s="116">
        <v>310</v>
      </c>
      <c r="E2063" s="116">
        <v>317.25</v>
      </c>
      <c r="F2063" s="116">
        <v>313.75</v>
      </c>
      <c r="G2063">
        <v>135677</v>
      </c>
      <c r="H2063" s="116"/>
      <c r="I2063" s="116"/>
      <c r="L2063" s="169">
        <v>45043</v>
      </c>
      <c r="M2063" s="116">
        <v>593.20000000000005</v>
      </c>
      <c r="N2063" s="116">
        <v>598</v>
      </c>
      <c r="O2063" s="116">
        <v>576.04999999999995</v>
      </c>
      <c r="P2063" s="116">
        <v>578</v>
      </c>
      <c r="Q2063" s="116">
        <v>593.20000000000005</v>
      </c>
      <c r="R2063">
        <v>1275144</v>
      </c>
    </row>
    <row r="2064" spans="1:18" x14ac:dyDescent="0.25">
      <c r="A2064" s="169">
        <v>45055</v>
      </c>
      <c r="B2064" s="116">
        <v>315.85000000000002</v>
      </c>
      <c r="C2064" s="116">
        <v>303</v>
      </c>
      <c r="D2064" s="116">
        <v>299.7</v>
      </c>
      <c r="E2064" s="116">
        <v>314.2</v>
      </c>
      <c r="F2064" s="116">
        <v>303</v>
      </c>
      <c r="G2064">
        <v>138542</v>
      </c>
      <c r="H2064" s="116"/>
      <c r="I2064" s="116"/>
      <c r="L2064" s="169">
        <v>45044</v>
      </c>
      <c r="M2064" s="116">
        <v>616.70000000000005</v>
      </c>
      <c r="N2064" s="116">
        <v>625</v>
      </c>
      <c r="O2064" s="116">
        <v>596.70000000000005</v>
      </c>
      <c r="P2064" s="116">
        <v>598.35</v>
      </c>
      <c r="Q2064" s="116">
        <v>616.70000000000005</v>
      </c>
      <c r="R2064">
        <v>1601617</v>
      </c>
    </row>
    <row r="2065" spans="1:18" x14ac:dyDescent="0.25">
      <c r="A2065" s="169">
        <v>45056</v>
      </c>
      <c r="B2065" s="116">
        <v>316.75</v>
      </c>
      <c r="C2065" s="116">
        <v>312.10000000000002</v>
      </c>
      <c r="D2065" s="116">
        <v>304</v>
      </c>
      <c r="E2065" s="116">
        <v>307</v>
      </c>
      <c r="F2065" s="116">
        <v>312.10000000000002</v>
      </c>
      <c r="G2065">
        <v>123263</v>
      </c>
      <c r="H2065" s="116"/>
      <c r="I2065" s="116"/>
      <c r="L2065" s="169">
        <v>45048</v>
      </c>
      <c r="M2065" s="116">
        <v>627.29999999999995</v>
      </c>
      <c r="N2065" s="116">
        <v>632.5</v>
      </c>
      <c r="O2065" s="116">
        <v>617.1</v>
      </c>
      <c r="P2065" s="116">
        <v>619.75</v>
      </c>
      <c r="Q2065" s="116">
        <v>627.29999999999995</v>
      </c>
      <c r="R2065">
        <v>1067045</v>
      </c>
    </row>
    <row r="2066" spans="1:18" x14ac:dyDescent="0.25">
      <c r="A2066" s="169">
        <v>45057</v>
      </c>
      <c r="B2066" s="116">
        <v>324.25</v>
      </c>
      <c r="C2066" s="116">
        <v>320.45</v>
      </c>
      <c r="D2066" s="116">
        <v>310.05</v>
      </c>
      <c r="E2066" s="116">
        <v>310.05</v>
      </c>
      <c r="F2066" s="116">
        <v>320.45</v>
      </c>
      <c r="G2066">
        <v>69440</v>
      </c>
      <c r="H2066" s="116"/>
      <c r="I2066" s="116"/>
      <c r="L2066" s="169">
        <v>45049</v>
      </c>
      <c r="M2066" s="116">
        <v>633.54999999999995</v>
      </c>
      <c r="N2066" s="116">
        <v>639.79999999999995</v>
      </c>
      <c r="O2066" s="116">
        <v>623.1</v>
      </c>
      <c r="P2066" s="116">
        <v>623.1</v>
      </c>
      <c r="Q2066" s="116">
        <v>633.54999999999995</v>
      </c>
      <c r="R2066">
        <v>616261</v>
      </c>
    </row>
    <row r="2067" spans="1:18" x14ac:dyDescent="0.25">
      <c r="A2067" s="169">
        <v>45058</v>
      </c>
      <c r="B2067" s="116">
        <v>326.89999999999998</v>
      </c>
      <c r="C2067" s="116">
        <v>324.35000000000002</v>
      </c>
      <c r="D2067" s="116">
        <v>315.60000000000002</v>
      </c>
      <c r="E2067" s="116">
        <v>323</v>
      </c>
      <c r="F2067" s="116">
        <v>324.35000000000002</v>
      </c>
      <c r="G2067">
        <v>133253</v>
      </c>
      <c r="H2067" s="116"/>
      <c r="I2067" s="116"/>
      <c r="L2067" s="169">
        <v>45050</v>
      </c>
      <c r="M2067" s="116">
        <v>637.4</v>
      </c>
      <c r="N2067" s="116">
        <v>640</v>
      </c>
      <c r="O2067" s="116">
        <v>631.54999999999995</v>
      </c>
      <c r="P2067" s="116">
        <v>634</v>
      </c>
      <c r="Q2067" s="116">
        <v>637.4</v>
      </c>
      <c r="R2067">
        <v>378592</v>
      </c>
    </row>
    <row r="2068" spans="1:18" x14ac:dyDescent="0.25">
      <c r="A2068" s="169">
        <v>45061</v>
      </c>
      <c r="B2068" s="116">
        <v>344.9</v>
      </c>
      <c r="C2068" s="116">
        <v>333.15</v>
      </c>
      <c r="D2068" s="116">
        <v>321.10000000000002</v>
      </c>
      <c r="E2068" s="116">
        <v>321.10000000000002</v>
      </c>
      <c r="F2068" s="116">
        <v>333.15</v>
      </c>
      <c r="G2068">
        <v>205947</v>
      </c>
      <c r="H2068" s="116"/>
      <c r="I2068" s="116"/>
      <c r="L2068" s="169">
        <v>45051</v>
      </c>
      <c r="M2068" s="116">
        <v>643.75</v>
      </c>
      <c r="N2068" s="116">
        <v>649.54999999999995</v>
      </c>
      <c r="O2068" s="116">
        <v>635.6</v>
      </c>
      <c r="P2068" s="116">
        <v>637.95000000000005</v>
      </c>
      <c r="Q2068" s="116">
        <v>643.75</v>
      </c>
      <c r="R2068">
        <v>687273</v>
      </c>
    </row>
    <row r="2069" spans="1:18" x14ac:dyDescent="0.25">
      <c r="A2069" s="169">
        <v>45062</v>
      </c>
      <c r="B2069" s="116">
        <v>340.95</v>
      </c>
      <c r="C2069" s="116">
        <v>330.5</v>
      </c>
      <c r="D2069" s="116">
        <v>325.10000000000002</v>
      </c>
      <c r="E2069" s="116">
        <v>333.15</v>
      </c>
      <c r="F2069" s="116">
        <v>330.5</v>
      </c>
      <c r="G2069">
        <v>138703</v>
      </c>
      <c r="H2069" s="116"/>
      <c r="I2069" s="116"/>
      <c r="L2069" s="169">
        <v>45054</v>
      </c>
      <c r="M2069" s="116">
        <v>657</v>
      </c>
      <c r="N2069" s="116">
        <v>658.95</v>
      </c>
      <c r="O2069" s="116">
        <v>639.5</v>
      </c>
      <c r="P2069" s="116">
        <v>642.20000000000005</v>
      </c>
      <c r="Q2069" s="116">
        <v>657</v>
      </c>
      <c r="R2069">
        <v>618516</v>
      </c>
    </row>
    <row r="2070" spans="1:18" x14ac:dyDescent="0.25">
      <c r="A2070" s="169">
        <v>45063</v>
      </c>
      <c r="B2070" s="116">
        <v>336.5</v>
      </c>
      <c r="C2070" s="116">
        <v>331.1</v>
      </c>
      <c r="D2070" s="116">
        <v>327.10000000000002</v>
      </c>
      <c r="E2070" s="116">
        <v>333.95</v>
      </c>
      <c r="F2070" s="116">
        <v>331.1</v>
      </c>
      <c r="G2070">
        <v>132024</v>
      </c>
      <c r="H2070" s="116"/>
      <c r="I2070" s="116"/>
      <c r="L2070" s="169">
        <v>45055</v>
      </c>
      <c r="M2070" s="116">
        <v>645.85</v>
      </c>
      <c r="N2070" s="116">
        <v>659.2</v>
      </c>
      <c r="O2070" s="116">
        <v>642.65</v>
      </c>
      <c r="P2070" s="116">
        <v>659</v>
      </c>
      <c r="Q2070" s="116">
        <v>645.85</v>
      </c>
      <c r="R2070">
        <v>535583</v>
      </c>
    </row>
    <row r="2071" spans="1:18" x14ac:dyDescent="0.25">
      <c r="A2071" s="169">
        <v>45064</v>
      </c>
      <c r="B2071" s="116">
        <v>337.9</v>
      </c>
      <c r="C2071" s="116">
        <v>331.15</v>
      </c>
      <c r="D2071" s="116">
        <v>330.1</v>
      </c>
      <c r="E2071" s="116">
        <v>331.9</v>
      </c>
      <c r="F2071" s="116">
        <v>331.15</v>
      </c>
      <c r="G2071">
        <v>73892</v>
      </c>
      <c r="H2071" s="116"/>
      <c r="I2071" s="116"/>
      <c r="L2071" s="169">
        <v>45056</v>
      </c>
      <c r="M2071" s="116">
        <v>646.45000000000005</v>
      </c>
      <c r="N2071" s="116">
        <v>652.5</v>
      </c>
      <c r="O2071" s="116">
        <v>641.85</v>
      </c>
      <c r="P2071" s="116">
        <v>645.85</v>
      </c>
      <c r="Q2071" s="116">
        <v>646.45000000000005</v>
      </c>
      <c r="R2071">
        <v>375429</v>
      </c>
    </row>
    <row r="2072" spans="1:18" x14ac:dyDescent="0.25">
      <c r="A2072" s="169">
        <v>45065</v>
      </c>
      <c r="B2072" s="116">
        <v>342</v>
      </c>
      <c r="C2072" s="116">
        <v>335.45</v>
      </c>
      <c r="D2072" s="116">
        <v>329.1</v>
      </c>
      <c r="E2072" s="116">
        <v>332</v>
      </c>
      <c r="F2072" s="116">
        <v>335.45</v>
      </c>
      <c r="G2072">
        <v>124936</v>
      </c>
      <c r="H2072" s="116"/>
      <c r="I2072" s="116"/>
      <c r="L2072" s="169">
        <v>45057</v>
      </c>
      <c r="M2072" s="116">
        <v>643.95000000000005</v>
      </c>
      <c r="N2072" s="116">
        <v>654.95000000000005</v>
      </c>
      <c r="O2072" s="116">
        <v>642.1</v>
      </c>
      <c r="P2072" s="116">
        <v>649.79999999999995</v>
      </c>
      <c r="Q2072" s="116">
        <v>643.95000000000005</v>
      </c>
      <c r="R2072">
        <v>337114</v>
      </c>
    </row>
    <row r="2073" spans="1:18" x14ac:dyDescent="0.25">
      <c r="A2073" s="169">
        <v>45068</v>
      </c>
      <c r="B2073" s="116">
        <v>338.05</v>
      </c>
      <c r="C2073" s="116">
        <v>333.8</v>
      </c>
      <c r="D2073" s="116">
        <v>331.1</v>
      </c>
      <c r="E2073" s="116">
        <v>335</v>
      </c>
      <c r="F2073" s="116">
        <v>333.8</v>
      </c>
      <c r="G2073">
        <v>67066</v>
      </c>
      <c r="H2073" s="116"/>
      <c r="I2073" s="116"/>
      <c r="L2073" s="169">
        <v>45058</v>
      </c>
      <c r="M2073" s="116">
        <v>643.65</v>
      </c>
      <c r="N2073" s="116">
        <v>649.4</v>
      </c>
      <c r="O2073" s="116">
        <v>640.29999999999995</v>
      </c>
      <c r="P2073" s="116">
        <v>643.95000000000005</v>
      </c>
      <c r="Q2073" s="116">
        <v>643.65</v>
      </c>
      <c r="R2073">
        <v>357957</v>
      </c>
    </row>
    <row r="2074" spans="1:18" x14ac:dyDescent="0.25">
      <c r="A2074" s="169">
        <v>45069</v>
      </c>
      <c r="B2074" s="116">
        <v>334.8</v>
      </c>
      <c r="C2074" s="116">
        <v>329.1</v>
      </c>
      <c r="D2074" s="116">
        <v>328.1</v>
      </c>
      <c r="E2074" s="116">
        <v>330.1</v>
      </c>
      <c r="F2074" s="116">
        <v>329.1</v>
      </c>
      <c r="G2074">
        <v>116998</v>
      </c>
      <c r="H2074" s="116"/>
      <c r="I2074" s="116"/>
      <c r="L2074" s="169">
        <v>45061</v>
      </c>
      <c r="M2074" s="116">
        <v>658.95</v>
      </c>
      <c r="N2074" s="116">
        <v>661.55</v>
      </c>
      <c r="O2074" s="116">
        <v>640.45000000000005</v>
      </c>
      <c r="P2074" s="116">
        <v>645.04999999999995</v>
      </c>
      <c r="Q2074" s="116">
        <v>658.95</v>
      </c>
      <c r="R2074">
        <v>786620</v>
      </c>
    </row>
    <row r="2075" spans="1:18" x14ac:dyDescent="0.25">
      <c r="A2075" s="169">
        <v>45070</v>
      </c>
      <c r="B2075" s="116">
        <v>334.45</v>
      </c>
      <c r="C2075" s="116">
        <v>329.45</v>
      </c>
      <c r="D2075" s="116">
        <v>324</v>
      </c>
      <c r="E2075" s="116">
        <v>326.3</v>
      </c>
      <c r="F2075" s="116">
        <v>329.45</v>
      </c>
      <c r="G2075">
        <v>90706</v>
      </c>
      <c r="H2075" s="116"/>
      <c r="I2075" s="116"/>
      <c r="L2075" s="169">
        <v>45062</v>
      </c>
      <c r="M2075" s="116">
        <v>658.5</v>
      </c>
      <c r="N2075" s="116">
        <v>672.45</v>
      </c>
      <c r="O2075" s="116">
        <v>653.65</v>
      </c>
      <c r="P2075" s="116">
        <v>663.45</v>
      </c>
      <c r="Q2075" s="116">
        <v>658.5</v>
      </c>
      <c r="R2075">
        <v>719609</v>
      </c>
    </row>
    <row r="2076" spans="1:18" x14ac:dyDescent="0.25">
      <c r="A2076" s="169">
        <v>45071</v>
      </c>
      <c r="B2076" s="116">
        <v>334</v>
      </c>
      <c r="C2076" s="116">
        <v>327.3</v>
      </c>
      <c r="D2076" s="116">
        <v>324.05</v>
      </c>
      <c r="E2076" s="116">
        <v>333</v>
      </c>
      <c r="F2076" s="116">
        <v>327.3</v>
      </c>
      <c r="G2076">
        <v>25837</v>
      </c>
      <c r="H2076" s="116"/>
      <c r="I2076" s="116"/>
      <c r="L2076" s="169">
        <v>45063</v>
      </c>
      <c r="M2076" s="116">
        <v>670.55</v>
      </c>
      <c r="N2076" s="116">
        <v>673.45</v>
      </c>
      <c r="O2076" s="116">
        <v>649.6</v>
      </c>
      <c r="P2076" s="116">
        <v>659</v>
      </c>
      <c r="Q2076" s="116">
        <v>670.55</v>
      </c>
      <c r="R2076">
        <v>650229</v>
      </c>
    </row>
    <row r="2077" spans="1:18" x14ac:dyDescent="0.25">
      <c r="A2077" s="169">
        <v>45072</v>
      </c>
      <c r="B2077" s="116">
        <v>330.4</v>
      </c>
      <c r="C2077" s="116">
        <v>328.65</v>
      </c>
      <c r="D2077" s="116">
        <v>325</v>
      </c>
      <c r="E2077" s="116">
        <v>325</v>
      </c>
      <c r="F2077" s="116">
        <v>328.65</v>
      </c>
      <c r="G2077">
        <v>28007</v>
      </c>
      <c r="H2077" s="116"/>
      <c r="I2077" s="116"/>
      <c r="L2077" s="169">
        <v>45064</v>
      </c>
      <c r="M2077" s="116">
        <v>675.45</v>
      </c>
      <c r="N2077" s="116">
        <v>698.55</v>
      </c>
      <c r="O2077" s="116">
        <v>671.5</v>
      </c>
      <c r="P2077" s="116">
        <v>677.45</v>
      </c>
      <c r="Q2077" s="116">
        <v>675.45</v>
      </c>
      <c r="R2077">
        <v>2562867</v>
      </c>
    </row>
    <row r="2078" spans="1:18" x14ac:dyDescent="0.25">
      <c r="A2078" s="169">
        <v>45075</v>
      </c>
      <c r="B2078" s="116">
        <v>332.8</v>
      </c>
      <c r="C2078" s="116">
        <v>326.5</v>
      </c>
      <c r="D2078" s="116">
        <v>323.10000000000002</v>
      </c>
      <c r="E2078" s="116">
        <v>329</v>
      </c>
      <c r="F2078" s="116">
        <v>326.5</v>
      </c>
      <c r="G2078">
        <v>36615</v>
      </c>
      <c r="H2078" s="116"/>
      <c r="I2078" s="116"/>
      <c r="L2078" s="169">
        <v>45065</v>
      </c>
      <c r="M2078" s="116">
        <v>666.35</v>
      </c>
      <c r="N2078" s="116">
        <v>678.95</v>
      </c>
      <c r="O2078" s="116">
        <v>651</v>
      </c>
      <c r="P2078" s="116">
        <v>678.95</v>
      </c>
      <c r="Q2078" s="116">
        <v>666.35</v>
      </c>
      <c r="R2078">
        <v>901489</v>
      </c>
    </row>
    <row r="2079" spans="1:18" x14ac:dyDescent="0.25">
      <c r="A2079" s="169">
        <v>45076</v>
      </c>
      <c r="B2079" s="116">
        <v>329.75</v>
      </c>
      <c r="C2079" s="116">
        <v>323.64999999999998</v>
      </c>
      <c r="D2079" s="116">
        <v>322.55</v>
      </c>
      <c r="E2079" s="116">
        <v>322.55</v>
      </c>
      <c r="F2079" s="116">
        <v>323.64999999999998</v>
      </c>
      <c r="G2079">
        <v>33470</v>
      </c>
      <c r="H2079" s="116"/>
      <c r="I2079" s="116"/>
      <c r="L2079" s="169">
        <v>45068</v>
      </c>
      <c r="M2079" s="116">
        <v>670.1</v>
      </c>
      <c r="N2079" s="116">
        <v>674.35</v>
      </c>
      <c r="O2079" s="116">
        <v>655.45</v>
      </c>
      <c r="P2079" s="116">
        <v>668.8</v>
      </c>
      <c r="Q2079" s="116">
        <v>670.1</v>
      </c>
      <c r="R2079">
        <v>500401</v>
      </c>
    </row>
    <row r="2080" spans="1:18" x14ac:dyDescent="0.25">
      <c r="A2080" s="169">
        <v>45077</v>
      </c>
      <c r="B2080" s="116">
        <v>329</v>
      </c>
      <c r="C2080" s="116">
        <v>319.60000000000002</v>
      </c>
      <c r="D2080" s="116">
        <v>317.89999999999998</v>
      </c>
      <c r="E2080" s="116">
        <v>325</v>
      </c>
      <c r="F2080" s="116">
        <v>319.60000000000002</v>
      </c>
      <c r="G2080">
        <v>67092</v>
      </c>
      <c r="H2080" s="116"/>
      <c r="I2080" s="116"/>
      <c r="L2080" s="169">
        <v>45069</v>
      </c>
      <c r="M2080" s="116">
        <v>676.95</v>
      </c>
      <c r="N2080" s="116">
        <v>686.55</v>
      </c>
      <c r="O2080" s="116">
        <v>671.05</v>
      </c>
      <c r="P2080" s="116">
        <v>673.95</v>
      </c>
      <c r="Q2080" s="116">
        <v>676.95</v>
      </c>
      <c r="R2080">
        <v>452425</v>
      </c>
    </row>
    <row r="2081" spans="1:18" x14ac:dyDescent="0.25">
      <c r="A2081" s="169">
        <v>45078</v>
      </c>
      <c r="B2081" s="116">
        <v>324.75</v>
      </c>
      <c r="C2081" s="116">
        <v>321.45</v>
      </c>
      <c r="D2081" s="116">
        <v>318</v>
      </c>
      <c r="E2081" s="116">
        <v>323.64999999999998</v>
      </c>
      <c r="F2081" s="116">
        <v>321.45</v>
      </c>
      <c r="G2081">
        <v>44151</v>
      </c>
      <c r="H2081" s="116"/>
      <c r="I2081" s="116"/>
      <c r="L2081" s="169">
        <v>45070</v>
      </c>
      <c r="M2081" s="116">
        <v>679.3</v>
      </c>
      <c r="N2081" s="116">
        <v>684.7</v>
      </c>
      <c r="O2081" s="116">
        <v>669.6</v>
      </c>
      <c r="P2081" s="116">
        <v>672.8</v>
      </c>
      <c r="Q2081" s="116">
        <v>679.3</v>
      </c>
      <c r="R2081">
        <v>398758</v>
      </c>
    </row>
    <row r="2082" spans="1:18" x14ac:dyDescent="0.25">
      <c r="A2082" s="169">
        <v>45079</v>
      </c>
      <c r="B2082" s="116">
        <v>334.9</v>
      </c>
      <c r="C2082" s="116">
        <v>333.95</v>
      </c>
      <c r="D2082" s="116">
        <v>319</v>
      </c>
      <c r="E2082" s="116">
        <v>324</v>
      </c>
      <c r="F2082" s="116">
        <v>333.95</v>
      </c>
      <c r="G2082">
        <v>103431</v>
      </c>
      <c r="H2082" s="116"/>
      <c r="I2082" s="116"/>
      <c r="L2082" s="169">
        <v>45071</v>
      </c>
      <c r="M2082" s="116">
        <v>677.25</v>
      </c>
      <c r="N2082" s="116">
        <v>683.2</v>
      </c>
      <c r="O2082" s="116">
        <v>673</v>
      </c>
      <c r="P2082" s="116">
        <v>680.1</v>
      </c>
      <c r="Q2082" s="116">
        <v>677.25</v>
      </c>
      <c r="R2082">
        <v>249670</v>
      </c>
    </row>
    <row r="2083" spans="1:18" x14ac:dyDescent="0.25">
      <c r="A2083" s="169">
        <v>45082</v>
      </c>
      <c r="B2083" s="116">
        <v>344.9</v>
      </c>
      <c r="C2083" s="116">
        <v>341.8</v>
      </c>
      <c r="D2083" s="116">
        <v>330</v>
      </c>
      <c r="E2083" s="116">
        <v>333.95</v>
      </c>
      <c r="F2083" s="116">
        <v>341.8</v>
      </c>
      <c r="G2083">
        <v>176980</v>
      </c>
      <c r="H2083" s="116"/>
      <c r="I2083" s="116"/>
      <c r="L2083" s="169">
        <v>45072</v>
      </c>
      <c r="M2083" s="116">
        <v>676.8</v>
      </c>
      <c r="N2083" s="116">
        <v>685</v>
      </c>
      <c r="O2083" s="116">
        <v>673</v>
      </c>
      <c r="P2083" s="116">
        <v>673</v>
      </c>
      <c r="Q2083" s="116">
        <v>676.8</v>
      </c>
      <c r="R2083">
        <v>321713</v>
      </c>
    </row>
    <row r="2084" spans="1:18" x14ac:dyDescent="0.25">
      <c r="A2084" s="169">
        <v>45083</v>
      </c>
      <c r="B2084" s="116">
        <v>345.5</v>
      </c>
      <c r="C2084" s="116">
        <v>344.05</v>
      </c>
      <c r="D2084" s="116">
        <v>335</v>
      </c>
      <c r="E2084" s="116">
        <v>342.05</v>
      </c>
      <c r="F2084" s="116">
        <v>344.05</v>
      </c>
      <c r="G2084">
        <v>143450</v>
      </c>
      <c r="H2084" s="116"/>
      <c r="I2084" s="116"/>
      <c r="L2084" s="169">
        <v>45075</v>
      </c>
      <c r="M2084" s="116">
        <v>690.15</v>
      </c>
      <c r="N2084" s="116">
        <v>694.35</v>
      </c>
      <c r="O2084" s="116">
        <v>677.45</v>
      </c>
      <c r="P2084" s="116">
        <v>678.15</v>
      </c>
      <c r="Q2084" s="116">
        <v>690.15</v>
      </c>
      <c r="R2084">
        <v>483110</v>
      </c>
    </row>
    <row r="2085" spans="1:18" x14ac:dyDescent="0.25">
      <c r="A2085" s="169">
        <v>45084</v>
      </c>
      <c r="B2085" s="116">
        <v>355</v>
      </c>
      <c r="C2085" s="116">
        <v>351.15</v>
      </c>
      <c r="D2085" s="116">
        <v>342.15</v>
      </c>
      <c r="E2085" s="116">
        <v>350</v>
      </c>
      <c r="F2085" s="116">
        <v>351.15</v>
      </c>
      <c r="G2085">
        <v>227480</v>
      </c>
      <c r="H2085" s="116"/>
      <c r="I2085" s="116"/>
      <c r="L2085" s="169">
        <v>45076</v>
      </c>
      <c r="M2085" s="116">
        <v>690.3</v>
      </c>
      <c r="N2085" s="116">
        <v>695</v>
      </c>
      <c r="O2085" s="116">
        <v>684.35</v>
      </c>
      <c r="P2085" s="116">
        <v>691.5</v>
      </c>
      <c r="Q2085" s="116">
        <v>690.3</v>
      </c>
      <c r="R2085">
        <v>342247</v>
      </c>
    </row>
    <row r="2086" spans="1:18" x14ac:dyDescent="0.25">
      <c r="A2086" s="169">
        <v>45085</v>
      </c>
      <c r="B2086" s="116">
        <v>355</v>
      </c>
      <c r="C2086" s="116">
        <v>351.4</v>
      </c>
      <c r="D2086" s="116">
        <v>344.25</v>
      </c>
      <c r="E2086" s="116">
        <v>352</v>
      </c>
      <c r="F2086" s="116">
        <v>351.4</v>
      </c>
      <c r="G2086">
        <v>134301</v>
      </c>
      <c r="H2086" s="116"/>
      <c r="I2086" s="116"/>
      <c r="L2086" s="169">
        <v>45077</v>
      </c>
      <c r="M2086" s="116">
        <v>707.2</v>
      </c>
      <c r="N2086" s="116">
        <v>710.1</v>
      </c>
      <c r="O2086" s="116">
        <v>685.9</v>
      </c>
      <c r="P2086" s="116">
        <v>688.95</v>
      </c>
      <c r="Q2086" s="116">
        <v>707.2</v>
      </c>
      <c r="R2086">
        <v>1383366</v>
      </c>
    </row>
    <row r="2087" spans="1:18" x14ac:dyDescent="0.25">
      <c r="A2087" s="169">
        <v>45086</v>
      </c>
      <c r="B2087" s="116">
        <v>356</v>
      </c>
      <c r="C2087" s="116">
        <v>350.3</v>
      </c>
      <c r="D2087" s="116">
        <v>347</v>
      </c>
      <c r="E2087" s="116">
        <v>354.8</v>
      </c>
      <c r="F2087" s="116">
        <v>350.3</v>
      </c>
      <c r="G2087">
        <v>90179</v>
      </c>
      <c r="H2087" s="116"/>
      <c r="I2087" s="116"/>
      <c r="L2087" s="169">
        <v>45078</v>
      </c>
      <c r="M2087" s="116">
        <v>728.1</v>
      </c>
      <c r="N2087" s="116">
        <v>732.55</v>
      </c>
      <c r="O2087" s="116">
        <v>705</v>
      </c>
      <c r="P2087" s="116">
        <v>711.85</v>
      </c>
      <c r="Q2087" s="116">
        <v>728.1</v>
      </c>
      <c r="R2087">
        <v>1398058</v>
      </c>
    </row>
    <row r="2088" spans="1:18" x14ac:dyDescent="0.25">
      <c r="A2088" s="169">
        <v>45089</v>
      </c>
      <c r="B2088" s="116">
        <v>359.9</v>
      </c>
      <c r="C2088" s="116">
        <v>355.3</v>
      </c>
      <c r="D2088" s="116">
        <v>351.6</v>
      </c>
      <c r="E2088" s="116">
        <v>355</v>
      </c>
      <c r="F2088" s="116">
        <v>355.3</v>
      </c>
      <c r="G2088">
        <v>124503</v>
      </c>
      <c r="H2088" s="116"/>
      <c r="I2088" s="116"/>
      <c r="L2088" s="169">
        <v>45079</v>
      </c>
      <c r="M2088" s="116">
        <v>725.9</v>
      </c>
      <c r="N2088" s="116">
        <v>729.05</v>
      </c>
      <c r="O2088" s="116">
        <v>715.3</v>
      </c>
      <c r="P2088" s="116">
        <v>728</v>
      </c>
      <c r="Q2088" s="116">
        <v>725.9</v>
      </c>
      <c r="R2088">
        <v>720903</v>
      </c>
    </row>
    <row r="2089" spans="1:18" x14ac:dyDescent="0.25">
      <c r="A2089" s="169">
        <v>45090</v>
      </c>
      <c r="B2089" s="116">
        <v>384.95</v>
      </c>
      <c r="C2089" s="116">
        <v>384</v>
      </c>
      <c r="D2089" s="116">
        <v>358.65</v>
      </c>
      <c r="E2089" s="116">
        <v>359.85</v>
      </c>
      <c r="F2089" s="116">
        <v>384</v>
      </c>
      <c r="G2089">
        <v>473574</v>
      </c>
      <c r="H2089" s="116"/>
      <c r="I2089" s="116"/>
      <c r="L2089" s="169">
        <v>45082</v>
      </c>
      <c r="M2089" s="116">
        <v>713.85</v>
      </c>
      <c r="N2089" s="116">
        <v>731.5</v>
      </c>
      <c r="O2089" s="116">
        <v>712</v>
      </c>
      <c r="P2089" s="116">
        <v>728.95</v>
      </c>
      <c r="Q2089" s="116">
        <v>713.85</v>
      </c>
      <c r="R2089">
        <v>496947</v>
      </c>
    </row>
    <row r="2090" spans="1:18" x14ac:dyDescent="0.25">
      <c r="A2090" s="169">
        <v>45091</v>
      </c>
      <c r="B2090" s="116">
        <v>385</v>
      </c>
      <c r="C2090" s="116">
        <v>381.75</v>
      </c>
      <c r="D2090" s="116">
        <v>378.1</v>
      </c>
      <c r="E2090" s="116">
        <v>383.9</v>
      </c>
      <c r="F2090" s="116">
        <v>381.75</v>
      </c>
      <c r="G2090">
        <v>106071</v>
      </c>
      <c r="H2090" s="116"/>
      <c r="I2090" s="116"/>
      <c r="L2090" s="169">
        <v>45083</v>
      </c>
      <c r="M2090" s="116">
        <v>717.95</v>
      </c>
      <c r="N2090" s="116">
        <v>719.9</v>
      </c>
      <c r="O2090" s="116">
        <v>707.05</v>
      </c>
      <c r="P2090" s="116">
        <v>713.8</v>
      </c>
      <c r="Q2090" s="116">
        <v>717.95</v>
      </c>
      <c r="R2090">
        <v>429223</v>
      </c>
    </row>
    <row r="2091" spans="1:18" x14ac:dyDescent="0.25">
      <c r="A2091" s="169">
        <v>45092</v>
      </c>
      <c r="B2091" s="116">
        <v>399.75</v>
      </c>
      <c r="C2091" s="116">
        <v>397.5</v>
      </c>
      <c r="D2091" s="116">
        <v>381.25</v>
      </c>
      <c r="E2091" s="116">
        <v>389</v>
      </c>
      <c r="F2091" s="116">
        <v>397.5</v>
      </c>
      <c r="G2091">
        <v>246733</v>
      </c>
      <c r="H2091" s="116"/>
      <c r="I2091" s="116"/>
      <c r="L2091" s="169">
        <v>45084</v>
      </c>
      <c r="M2091" s="116">
        <v>749.45</v>
      </c>
      <c r="N2091" s="116">
        <v>752.8</v>
      </c>
      <c r="O2091" s="116">
        <v>721</v>
      </c>
      <c r="P2091" s="116">
        <v>723.3</v>
      </c>
      <c r="Q2091" s="116">
        <v>749.45</v>
      </c>
      <c r="R2091">
        <v>2141726</v>
      </c>
    </row>
    <row r="2092" spans="1:18" x14ac:dyDescent="0.25">
      <c r="A2092" s="169">
        <v>45093</v>
      </c>
      <c r="B2092" s="116">
        <v>404</v>
      </c>
      <c r="C2092" s="116">
        <v>393.25</v>
      </c>
      <c r="D2092" s="116">
        <v>385.05</v>
      </c>
      <c r="E2092" s="116">
        <v>397.5</v>
      </c>
      <c r="F2092" s="116">
        <v>393.25</v>
      </c>
      <c r="G2092">
        <v>274570</v>
      </c>
      <c r="H2092" s="116"/>
      <c r="I2092" s="116"/>
      <c r="L2092" s="169">
        <v>45085</v>
      </c>
      <c r="M2092" s="116">
        <v>741.25</v>
      </c>
      <c r="N2092" s="116">
        <v>752.25</v>
      </c>
      <c r="O2092" s="116">
        <v>739.05</v>
      </c>
      <c r="P2092" s="116">
        <v>749.95</v>
      </c>
      <c r="Q2092" s="116">
        <v>741.25</v>
      </c>
      <c r="R2092">
        <v>464175</v>
      </c>
    </row>
    <row r="2093" spans="1:18" x14ac:dyDescent="0.25">
      <c r="A2093" s="169">
        <v>45096</v>
      </c>
      <c r="B2093" s="116">
        <v>392.7</v>
      </c>
      <c r="C2093" s="116">
        <v>380.65</v>
      </c>
      <c r="D2093" s="116">
        <v>378.1</v>
      </c>
      <c r="E2093" s="116">
        <v>392.5</v>
      </c>
      <c r="F2093" s="116">
        <v>380.65</v>
      </c>
      <c r="G2093">
        <v>213306</v>
      </c>
      <c r="H2093" s="116"/>
      <c r="I2093" s="116"/>
      <c r="L2093" s="169">
        <v>45086</v>
      </c>
      <c r="M2093" s="116">
        <v>741.8</v>
      </c>
      <c r="N2093" s="116">
        <v>746.95</v>
      </c>
      <c r="O2093" s="116">
        <v>732.7</v>
      </c>
      <c r="P2093" s="116">
        <v>740</v>
      </c>
      <c r="Q2093" s="116">
        <v>741.8</v>
      </c>
      <c r="R2093">
        <v>488172</v>
      </c>
    </row>
    <row r="2094" spans="1:18" x14ac:dyDescent="0.25">
      <c r="A2094" s="169">
        <v>45097</v>
      </c>
      <c r="B2094" s="116">
        <v>388.75</v>
      </c>
      <c r="C2094" s="116">
        <v>377</v>
      </c>
      <c r="D2094" s="116">
        <v>374</v>
      </c>
      <c r="E2094" s="116">
        <v>381</v>
      </c>
      <c r="F2094" s="116">
        <v>377</v>
      </c>
      <c r="G2094">
        <v>195405</v>
      </c>
      <c r="H2094" s="116"/>
      <c r="I2094" s="116"/>
      <c r="L2094" s="169">
        <v>45089</v>
      </c>
      <c r="M2094" s="116">
        <v>744.3</v>
      </c>
      <c r="N2094" s="116">
        <v>758.65</v>
      </c>
      <c r="O2094" s="116">
        <v>735.05</v>
      </c>
      <c r="P2094" s="116">
        <v>741.95</v>
      </c>
      <c r="Q2094" s="116">
        <v>744.3</v>
      </c>
      <c r="R2094">
        <v>723202</v>
      </c>
    </row>
    <row r="2095" spans="1:18" x14ac:dyDescent="0.25">
      <c r="A2095" s="169">
        <v>45098</v>
      </c>
      <c r="B2095" s="116">
        <v>387.8</v>
      </c>
      <c r="C2095" s="116">
        <v>376.7</v>
      </c>
      <c r="D2095" s="116">
        <v>375</v>
      </c>
      <c r="E2095" s="116">
        <v>384</v>
      </c>
      <c r="F2095" s="116">
        <v>376.7</v>
      </c>
      <c r="G2095">
        <v>93288</v>
      </c>
      <c r="H2095" s="116"/>
      <c r="I2095" s="116"/>
      <c r="L2095" s="169">
        <v>45090</v>
      </c>
      <c r="M2095" s="116">
        <v>746.3</v>
      </c>
      <c r="N2095" s="116">
        <v>754.45</v>
      </c>
      <c r="O2095" s="116">
        <v>740.8</v>
      </c>
      <c r="P2095" s="116">
        <v>750.95</v>
      </c>
      <c r="Q2095" s="116">
        <v>746.3</v>
      </c>
      <c r="R2095">
        <v>529028</v>
      </c>
    </row>
    <row r="2096" spans="1:18" x14ac:dyDescent="0.25">
      <c r="A2096" s="169">
        <v>45099</v>
      </c>
      <c r="B2096" s="116">
        <v>377.85</v>
      </c>
      <c r="C2096" s="116">
        <v>375.1</v>
      </c>
      <c r="D2096" s="116">
        <v>369</v>
      </c>
      <c r="E2096" s="116">
        <v>377.85</v>
      </c>
      <c r="F2096" s="116">
        <v>375.1</v>
      </c>
      <c r="G2096">
        <v>88370</v>
      </c>
      <c r="H2096" s="116"/>
      <c r="I2096" s="116"/>
      <c r="L2096" s="169">
        <v>45091</v>
      </c>
      <c r="M2096" s="116">
        <v>748.85</v>
      </c>
      <c r="N2096" s="116">
        <v>754.45</v>
      </c>
      <c r="O2096" s="116">
        <v>741.15</v>
      </c>
      <c r="P2096" s="116">
        <v>748.95</v>
      </c>
      <c r="Q2096" s="116">
        <v>748.85</v>
      </c>
      <c r="R2096">
        <v>494588</v>
      </c>
    </row>
    <row r="2097" spans="1:18" x14ac:dyDescent="0.25">
      <c r="A2097" s="169">
        <v>45100</v>
      </c>
      <c r="B2097" s="116">
        <v>379.7</v>
      </c>
      <c r="C2097" s="116">
        <v>372.6</v>
      </c>
      <c r="D2097" s="116">
        <v>370</v>
      </c>
      <c r="E2097" s="116">
        <v>376.9</v>
      </c>
      <c r="F2097" s="116">
        <v>372.6</v>
      </c>
      <c r="G2097">
        <v>68659</v>
      </c>
      <c r="H2097" s="116"/>
      <c r="I2097" s="116"/>
      <c r="L2097" s="169">
        <v>45092</v>
      </c>
      <c r="M2097" s="116">
        <v>733.1</v>
      </c>
      <c r="N2097" s="116">
        <v>758.5</v>
      </c>
      <c r="O2097" s="116">
        <v>730</v>
      </c>
      <c r="P2097" s="116">
        <v>750</v>
      </c>
      <c r="Q2097" s="116">
        <v>733.1</v>
      </c>
      <c r="R2097">
        <v>636878</v>
      </c>
    </row>
    <row r="2098" spans="1:18" x14ac:dyDescent="0.25">
      <c r="A2098" s="169">
        <v>45103</v>
      </c>
      <c r="B2098" s="116">
        <v>390</v>
      </c>
      <c r="C2098" s="116">
        <v>383.5</v>
      </c>
      <c r="D2098" s="116">
        <v>374</v>
      </c>
      <c r="E2098" s="116">
        <v>374</v>
      </c>
      <c r="F2098" s="116">
        <v>383.5</v>
      </c>
      <c r="G2098">
        <v>157208</v>
      </c>
      <c r="H2098" s="116"/>
      <c r="I2098" s="116"/>
      <c r="L2098" s="169">
        <v>45093</v>
      </c>
      <c r="M2098" s="116">
        <v>749.65</v>
      </c>
      <c r="N2098" s="116">
        <v>758.5</v>
      </c>
      <c r="O2098" s="116">
        <v>738.55</v>
      </c>
      <c r="P2098" s="116">
        <v>740.25</v>
      </c>
      <c r="Q2098" s="116">
        <v>749.65</v>
      </c>
      <c r="R2098">
        <v>939196</v>
      </c>
    </row>
    <row r="2099" spans="1:18" x14ac:dyDescent="0.25">
      <c r="A2099" s="169">
        <v>45104</v>
      </c>
      <c r="B2099" s="116">
        <v>395</v>
      </c>
      <c r="C2099" s="116">
        <v>393.65</v>
      </c>
      <c r="D2099" s="116">
        <v>387</v>
      </c>
      <c r="E2099" s="116">
        <v>391</v>
      </c>
      <c r="F2099" s="116">
        <v>393.65</v>
      </c>
      <c r="G2099">
        <v>144091</v>
      </c>
      <c r="H2099" s="116"/>
      <c r="I2099" s="116"/>
      <c r="L2099" s="169">
        <v>45096</v>
      </c>
      <c r="M2099" s="116">
        <v>745.2</v>
      </c>
      <c r="N2099" s="116">
        <v>765.75</v>
      </c>
      <c r="O2099" s="116">
        <v>743.1</v>
      </c>
      <c r="P2099" s="116">
        <v>755</v>
      </c>
      <c r="Q2099" s="116">
        <v>745.2</v>
      </c>
      <c r="R2099">
        <v>772856</v>
      </c>
    </row>
    <row r="2100" spans="1:18" x14ac:dyDescent="0.25">
      <c r="A2100" s="169">
        <v>45105</v>
      </c>
      <c r="B2100" s="116">
        <v>404</v>
      </c>
      <c r="C2100" s="116">
        <v>389.9</v>
      </c>
      <c r="D2100" s="116">
        <v>387.05</v>
      </c>
      <c r="E2100" s="116">
        <v>397</v>
      </c>
      <c r="F2100" s="116">
        <v>389.9</v>
      </c>
      <c r="G2100">
        <v>202572</v>
      </c>
      <c r="H2100" s="116"/>
      <c r="I2100" s="116"/>
      <c r="L2100" s="169">
        <v>45097</v>
      </c>
      <c r="M2100" s="116">
        <v>751.2</v>
      </c>
      <c r="N2100" s="116">
        <v>758.7</v>
      </c>
      <c r="O2100" s="116">
        <v>746</v>
      </c>
      <c r="P2100" s="116">
        <v>748.45</v>
      </c>
      <c r="Q2100" s="116">
        <v>751.2</v>
      </c>
      <c r="R2100">
        <v>1081401</v>
      </c>
    </row>
    <row r="2101" spans="1:18" x14ac:dyDescent="0.25">
      <c r="A2101" s="169">
        <v>45107</v>
      </c>
      <c r="B2101" s="116">
        <v>400</v>
      </c>
      <c r="C2101" s="116">
        <v>395.7</v>
      </c>
      <c r="D2101" s="116">
        <v>383.4</v>
      </c>
      <c r="E2101" s="116">
        <v>393</v>
      </c>
      <c r="F2101" s="116">
        <v>395.7</v>
      </c>
      <c r="G2101">
        <v>139181</v>
      </c>
      <c r="H2101" s="116"/>
      <c r="I2101" s="116"/>
      <c r="L2101" s="169">
        <v>45098</v>
      </c>
      <c r="M2101" s="116">
        <v>744.2</v>
      </c>
      <c r="N2101" s="116">
        <v>757.2</v>
      </c>
      <c r="O2101" s="116">
        <v>742.3</v>
      </c>
      <c r="P2101" s="116">
        <v>757.2</v>
      </c>
      <c r="Q2101" s="116">
        <v>744.2</v>
      </c>
      <c r="R2101">
        <v>338545</v>
      </c>
    </row>
    <row r="2102" spans="1:18" x14ac:dyDescent="0.25">
      <c r="A2102" s="169">
        <v>45110</v>
      </c>
      <c r="B2102" s="116">
        <v>418</v>
      </c>
      <c r="C2102" s="116">
        <v>416.7</v>
      </c>
      <c r="D2102" s="116">
        <v>395.2</v>
      </c>
      <c r="E2102" s="116">
        <v>395.2</v>
      </c>
      <c r="F2102" s="116">
        <v>416.7</v>
      </c>
      <c r="G2102">
        <v>393935</v>
      </c>
      <c r="H2102" s="116"/>
      <c r="I2102" s="116"/>
      <c r="L2102" s="169">
        <v>45099</v>
      </c>
      <c r="M2102" s="116">
        <v>733.25</v>
      </c>
      <c r="N2102" s="116">
        <v>755.5</v>
      </c>
      <c r="O2102" s="116">
        <v>730.25</v>
      </c>
      <c r="P2102" s="116">
        <v>745.65</v>
      </c>
      <c r="Q2102" s="116">
        <v>733.25</v>
      </c>
      <c r="R2102">
        <v>662262</v>
      </c>
    </row>
    <row r="2103" spans="1:18" x14ac:dyDescent="0.25">
      <c r="A2103" s="169">
        <v>45111</v>
      </c>
      <c r="B2103" s="116">
        <v>433</v>
      </c>
      <c r="C2103" s="116">
        <v>430.65</v>
      </c>
      <c r="D2103" s="116">
        <v>415.5</v>
      </c>
      <c r="E2103" s="116">
        <v>422</v>
      </c>
      <c r="F2103" s="116">
        <v>430.65</v>
      </c>
      <c r="G2103">
        <v>258881</v>
      </c>
      <c r="H2103" s="116"/>
      <c r="I2103" s="116"/>
      <c r="L2103" s="169">
        <v>45100</v>
      </c>
      <c r="M2103" s="116">
        <v>736.6</v>
      </c>
      <c r="N2103" s="116">
        <v>738.5</v>
      </c>
      <c r="O2103" s="116">
        <v>720.55</v>
      </c>
      <c r="P2103" s="116">
        <v>733</v>
      </c>
      <c r="Q2103" s="116">
        <v>736.6</v>
      </c>
      <c r="R2103">
        <v>452389</v>
      </c>
    </row>
    <row r="2104" spans="1:18" x14ac:dyDescent="0.25">
      <c r="A2104" s="169">
        <v>45112</v>
      </c>
      <c r="B2104" s="116">
        <v>459.9</v>
      </c>
      <c r="C2104" s="116">
        <v>446.15</v>
      </c>
      <c r="D2104" s="116">
        <v>430.65</v>
      </c>
      <c r="E2104" s="116">
        <v>437</v>
      </c>
      <c r="F2104" s="116">
        <v>446.15</v>
      </c>
      <c r="G2104">
        <v>450700</v>
      </c>
      <c r="H2104" s="116"/>
      <c r="I2104" s="116"/>
      <c r="L2104" s="169">
        <v>45103</v>
      </c>
      <c r="M2104" s="116">
        <v>742.4</v>
      </c>
      <c r="N2104" s="116">
        <v>748</v>
      </c>
      <c r="O2104" s="116">
        <v>733.05</v>
      </c>
      <c r="P2104" s="116">
        <v>739.9</v>
      </c>
      <c r="Q2104" s="116">
        <v>742.4</v>
      </c>
      <c r="R2104">
        <v>447265</v>
      </c>
    </row>
    <row r="2105" spans="1:18" x14ac:dyDescent="0.25">
      <c r="A2105" s="169">
        <v>45113</v>
      </c>
      <c r="B2105" s="116">
        <v>459.85</v>
      </c>
      <c r="C2105" s="116">
        <v>450.1</v>
      </c>
      <c r="D2105" s="116">
        <v>444.4</v>
      </c>
      <c r="E2105" s="116">
        <v>452</v>
      </c>
      <c r="F2105" s="116">
        <v>450.1</v>
      </c>
      <c r="G2105">
        <v>198388</v>
      </c>
      <c r="H2105" s="116"/>
      <c r="I2105" s="116"/>
      <c r="L2105" s="169">
        <v>45104</v>
      </c>
      <c r="M2105" s="116">
        <v>780.1</v>
      </c>
      <c r="N2105" s="116">
        <v>786.6</v>
      </c>
      <c r="O2105" s="116">
        <v>743</v>
      </c>
      <c r="P2105" s="116">
        <v>743</v>
      </c>
      <c r="Q2105" s="116">
        <v>780.1</v>
      </c>
      <c r="R2105">
        <v>1937866</v>
      </c>
    </row>
    <row r="2106" spans="1:18" x14ac:dyDescent="0.25">
      <c r="A2106" s="169">
        <v>45114</v>
      </c>
      <c r="B2106" s="116">
        <v>458.5</v>
      </c>
      <c r="C2106" s="116">
        <v>444.3</v>
      </c>
      <c r="D2106" s="116">
        <v>442.3</v>
      </c>
      <c r="E2106" s="116">
        <v>457.7</v>
      </c>
      <c r="F2106" s="116">
        <v>444.3</v>
      </c>
      <c r="G2106">
        <v>170138</v>
      </c>
      <c r="H2106" s="116"/>
      <c r="I2106" s="116"/>
      <c r="L2106" s="169">
        <v>45105</v>
      </c>
      <c r="M2106" s="116">
        <v>782.1</v>
      </c>
      <c r="N2106" s="116">
        <v>799.5</v>
      </c>
      <c r="O2106" s="116">
        <v>778.95</v>
      </c>
      <c r="P2106" s="116">
        <v>792</v>
      </c>
      <c r="Q2106" s="116">
        <v>782.1</v>
      </c>
      <c r="R2106">
        <v>1831098</v>
      </c>
    </row>
    <row r="2107" spans="1:18" x14ac:dyDescent="0.25">
      <c r="A2107" s="169">
        <v>45117</v>
      </c>
      <c r="B2107" s="116">
        <v>454.9</v>
      </c>
      <c r="C2107" s="116">
        <v>447.95</v>
      </c>
      <c r="D2107" s="116">
        <v>446.65</v>
      </c>
      <c r="E2107" s="116">
        <v>450</v>
      </c>
      <c r="F2107" s="116">
        <v>447.95</v>
      </c>
      <c r="G2107">
        <v>136387</v>
      </c>
      <c r="H2107" s="116"/>
      <c r="I2107" s="116"/>
      <c r="L2107" s="169">
        <v>45107</v>
      </c>
      <c r="M2107" s="116">
        <v>777.35</v>
      </c>
      <c r="N2107" s="116">
        <v>790</v>
      </c>
      <c r="O2107" s="116">
        <v>770.8</v>
      </c>
      <c r="P2107" s="116">
        <v>785.95</v>
      </c>
      <c r="Q2107" s="116">
        <v>777.35</v>
      </c>
      <c r="R2107">
        <v>533796</v>
      </c>
    </row>
    <row r="2108" spans="1:18" x14ac:dyDescent="0.25">
      <c r="A2108" s="169">
        <v>45118</v>
      </c>
      <c r="B2108" s="116">
        <v>464.95</v>
      </c>
      <c r="C2108" s="116">
        <v>457.2</v>
      </c>
      <c r="D2108" s="116">
        <v>447.15</v>
      </c>
      <c r="E2108" s="116">
        <v>451.8</v>
      </c>
      <c r="F2108" s="116">
        <v>457.2</v>
      </c>
      <c r="G2108">
        <v>301707</v>
      </c>
      <c r="H2108" s="116"/>
      <c r="I2108" s="116"/>
      <c r="L2108" s="169">
        <v>45110</v>
      </c>
      <c r="M2108" s="116">
        <v>778.45</v>
      </c>
      <c r="N2108" s="116">
        <v>793.4</v>
      </c>
      <c r="O2108" s="116">
        <v>775.65</v>
      </c>
      <c r="P2108" s="116">
        <v>778.55</v>
      </c>
      <c r="Q2108" s="116">
        <v>778.45</v>
      </c>
      <c r="R2108">
        <v>489048</v>
      </c>
    </row>
    <row r="2109" spans="1:18" x14ac:dyDescent="0.25">
      <c r="A2109" s="169">
        <v>45119</v>
      </c>
      <c r="B2109" s="116">
        <v>501</v>
      </c>
      <c r="C2109" s="116">
        <v>498.95</v>
      </c>
      <c r="D2109" s="116">
        <v>461.15</v>
      </c>
      <c r="E2109" s="116">
        <v>462</v>
      </c>
      <c r="F2109" s="116">
        <v>498.95</v>
      </c>
      <c r="G2109">
        <v>528502</v>
      </c>
      <c r="H2109" s="116"/>
      <c r="I2109" s="116"/>
      <c r="L2109" s="169">
        <v>45111</v>
      </c>
      <c r="M2109" s="116">
        <v>797.9</v>
      </c>
      <c r="N2109" s="116">
        <v>802.55</v>
      </c>
      <c r="O2109" s="116">
        <v>773.45</v>
      </c>
      <c r="P2109" s="116">
        <v>781.65</v>
      </c>
      <c r="Q2109" s="116">
        <v>797.9</v>
      </c>
      <c r="R2109">
        <v>1472282</v>
      </c>
    </row>
    <row r="2110" spans="1:18" x14ac:dyDescent="0.25">
      <c r="A2110" s="169">
        <v>45120</v>
      </c>
      <c r="B2110" s="116">
        <v>545</v>
      </c>
      <c r="C2110" s="116">
        <v>505.5</v>
      </c>
      <c r="D2110" s="116">
        <v>490.9</v>
      </c>
      <c r="E2110" s="116">
        <v>505</v>
      </c>
      <c r="F2110" s="116">
        <v>505.5</v>
      </c>
      <c r="G2110">
        <v>1014059</v>
      </c>
      <c r="H2110" s="116"/>
      <c r="I2110" s="116"/>
      <c r="L2110" s="169">
        <v>45112</v>
      </c>
      <c r="M2110" s="116">
        <v>768.9</v>
      </c>
      <c r="N2110" s="116">
        <v>804</v>
      </c>
      <c r="O2110" s="116">
        <v>765.1</v>
      </c>
      <c r="P2110" s="116">
        <v>801.95</v>
      </c>
      <c r="Q2110" s="116">
        <v>768.9</v>
      </c>
      <c r="R2110">
        <v>997197</v>
      </c>
    </row>
    <row r="2111" spans="1:18" x14ac:dyDescent="0.25">
      <c r="A2111" s="169">
        <v>45121</v>
      </c>
      <c r="B2111" s="116">
        <v>550</v>
      </c>
      <c r="C2111" s="116">
        <v>544.5</v>
      </c>
      <c r="D2111" s="116">
        <v>513.20000000000005</v>
      </c>
      <c r="E2111" s="116">
        <v>524.9</v>
      </c>
      <c r="F2111" s="116">
        <v>544.5</v>
      </c>
      <c r="G2111">
        <v>522779</v>
      </c>
      <c r="H2111" s="116"/>
      <c r="I2111" s="116"/>
      <c r="L2111" s="169">
        <v>45113</v>
      </c>
      <c r="M2111" s="116">
        <v>768.6</v>
      </c>
      <c r="N2111" s="116">
        <v>773.2</v>
      </c>
      <c r="O2111" s="116">
        <v>761.65</v>
      </c>
      <c r="P2111" s="116">
        <v>769.9</v>
      </c>
      <c r="Q2111" s="116">
        <v>768.6</v>
      </c>
      <c r="R2111">
        <v>362221</v>
      </c>
    </row>
    <row r="2112" spans="1:18" x14ac:dyDescent="0.25">
      <c r="A2112" s="169">
        <v>45124</v>
      </c>
      <c r="B2112" s="116">
        <v>583.85</v>
      </c>
      <c r="C2112" s="116">
        <v>563.04999999999995</v>
      </c>
      <c r="D2112" s="116">
        <v>549.95000000000005</v>
      </c>
      <c r="E2112" s="116">
        <v>556.79999999999995</v>
      </c>
      <c r="F2112" s="116">
        <v>563.04999999999995</v>
      </c>
      <c r="G2112">
        <v>411910</v>
      </c>
      <c r="H2112" s="116"/>
      <c r="I2112" s="116"/>
      <c r="L2112" s="169">
        <v>45114</v>
      </c>
      <c r="M2112" s="116">
        <v>774.05</v>
      </c>
      <c r="N2112" s="116">
        <v>791</v>
      </c>
      <c r="O2112" s="116">
        <v>762.55</v>
      </c>
      <c r="P2112" s="116">
        <v>769</v>
      </c>
      <c r="Q2112" s="116">
        <v>774.05</v>
      </c>
      <c r="R2112">
        <v>948619</v>
      </c>
    </row>
    <row r="2113" spans="1:18" x14ac:dyDescent="0.25">
      <c r="A2113" s="169">
        <v>45125</v>
      </c>
      <c r="B2113" s="116">
        <v>572</v>
      </c>
      <c r="C2113" s="116">
        <v>545.15</v>
      </c>
      <c r="D2113" s="116">
        <v>531</v>
      </c>
      <c r="E2113" s="116">
        <v>571.04999999999995</v>
      </c>
      <c r="F2113" s="116">
        <v>545.15</v>
      </c>
      <c r="G2113">
        <v>193190</v>
      </c>
      <c r="H2113" s="116"/>
      <c r="I2113" s="116"/>
      <c r="L2113" s="169">
        <v>45117</v>
      </c>
      <c r="M2113" s="116">
        <v>778.4</v>
      </c>
      <c r="N2113" s="116">
        <v>787.85</v>
      </c>
      <c r="O2113" s="116">
        <v>771.25</v>
      </c>
      <c r="P2113" s="116">
        <v>774.05</v>
      </c>
      <c r="Q2113" s="116">
        <v>778.4</v>
      </c>
      <c r="R2113">
        <v>424035</v>
      </c>
    </row>
    <row r="2114" spans="1:18" x14ac:dyDescent="0.25">
      <c r="A2114" s="169">
        <v>45126</v>
      </c>
      <c r="B2114" s="116">
        <v>570</v>
      </c>
      <c r="C2114" s="116">
        <v>566.70000000000005</v>
      </c>
      <c r="D2114" s="116">
        <v>538.20000000000005</v>
      </c>
      <c r="E2114" s="116">
        <v>545.04999999999995</v>
      </c>
      <c r="F2114" s="116">
        <v>566.70000000000005</v>
      </c>
      <c r="G2114">
        <v>204608</v>
      </c>
      <c r="H2114" s="116"/>
      <c r="I2114" s="116"/>
      <c r="L2114" s="169">
        <v>45118</v>
      </c>
      <c r="M2114" s="116">
        <v>782.9</v>
      </c>
      <c r="N2114" s="116">
        <v>791.8</v>
      </c>
      <c r="O2114" s="116">
        <v>778.5</v>
      </c>
      <c r="P2114" s="116">
        <v>778.5</v>
      </c>
      <c r="Q2114" s="116">
        <v>782.9</v>
      </c>
      <c r="R2114">
        <v>437391</v>
      </c>
    </row>
    <row r="2115" spans="1:18" x14ac:dyDescent="0.25">
      <c r="A2115" s="169">
        <v>45127</v>
      </c>
      <c r="B2115" s="116">
        <v>572.45000000000005</v>
      </c>
      <c r="C2115" s="116">
        <v>564.1</v>
      </c>
      <c r="D2115" s="116">
        <v>555.95000000000005</v>
      </c>
      <c r="E2115" s="116">
        <v>570</v>
      </c>
      <c r="F2115" s="116">
        <v>564.1</v>
      </c>
      <c r="G2115">
        <v>92559</v>
      </c>
      <c r="H2115" s="116"/>
      <c r="I2115" s="116"/>
      <c r="L2115" s="169">
        <v>45119</v>
      </c>
      <c r="M2115" s="116">
        <v>795.4</v>
      </c>
      <c r="N2115" s="116">
        <v>797.9</v>
      </c>
      <c r="O2115" s="116">
        <v>781.3</v>
      </c>
      <c r="P2115" s="116">
        <v>786.3</v>
      </c>
      <c r="Q2115" s="116">
        <v>795.4</v>
      </c>
      <c r="R2115">
        <v>869228</v>
      </c>
    </row>
    <row r="2116" spans="1:18" x14ac:dyDescent="0.25">
      <c r="A2116" s="169">
        <v>45128</v>
      </c>
      <c r="B2116" s="116">
        <v>568.95000000000005</v>
      </c>
      <c r="C2116" s="116">
        <v>557.15</v>
      </c>
      <c r="D2116" s="116">
        <v>551</v>
      </c>
      <c r="E2116" s="116">
        <v>568.95000000000005</v>
      </c>
      <c r="F2116" s="116">
        <v>557.15</v>
      </c>
      <c r="G2116">
        <v>156485</v>
      </c>
      <c r="H2116" s="116"/>
      <c r="I2116" s="116"/>
      <c r="L2116" s="169">
        <v>45120</v>
      </c>
      <c r="M2116" s="116">
        <v>792.2</v>
      </c>
      <c r="N2116" s="116">
        <v>802.5</v>
      </c>
      <c r="O2116" s="116">
        <v>786.6</v>
      </c>
      <c r="P2116" s="116">
        <v>797.9</v>
      </c>
      <c r="Q2116" s="116">
        <v>792.2</v>
      </c>
      <c r="R2116">
        <v>375091</v>
      </c>
    </row>
    <row r="2117" spans="1:18" x14ac:dyDescent="0.25">
      <c r="A2117" s="169">
        <v>45131</v>
      </c>
      <c r="B2117" s="116">
        <v>580</v>
      </c>
      <c r="C2117" s="116">
        <v>576.04999999999995</v>
      </c>
      <c r="D2117" s="116">
        <v>560.70000000000005</v>
      </c>
      <c r="E2117" s="116">
        <v>564.9</v>
      </c>
      <c r="F2117" s="116">
        <v>576.04999999999995</v>
      </c>
      <c r="G2117">
        <v>409522</v>
      </c>
      <c r="H2117" s="116"/>
      <c r="I2117" s="116"/>
      <c r="L2117" s="169">
        <v>45121</v>
      </c>
      <c r="M2117" s="116">
        <v>802.4</v>
      </c>
      <c r="N2117" s="116">
        <v>811.95</v>
      </c>
      <c r="O2117" s="116">
        <v>791.05</v>
      </c>
      <c r="P2117" s="116">
        <v>792.85</v>
      </c>
      <c r="Q2117" s="116">
        <v>802.4</v>
      </c>
      <c r="R2117">
        <v>618625</v>
      </c>
    </row>
    <row r="2118" spans="1:18" x14ac:dyDescent="0.25">
      <c r="A2118" s="169">
        <v>45132</v>
      </c>
      <c r="B2118" s="116">
        <v>585</v>
      </c>
      <c r="C2118" s="116">
        <v>575.20000000000005</v>
      </c>
      <c r="D2118" s="116">
        <v>561</v>
      </c>
      <c r="E2118" s="116">
        <v>579.79999999999995</v>
      </c>
      <c r="F2118" s="116">
        <v>575.20000000000005</v>
      </c>
      <c r="G2118">
        <v>194660</v>
      </c>
      <c r="H2118" s="116"/>
      <c r="I2118" s="116"/>
      <c r="L2118" s="169">
        <v>45124</v>
      </c>
      <c r="M2118" s="116">
        <v>811.8</v>
      </c>
      <c r="N2118" s="116">
        <v>814.5</v>
      </c>
      <c r="O2118" s="116">
        <v>802.05</v>
      </c>
      <c r="P2118" s="116">
        <v>808.45</v>
      </c>
      <c r="Q2118" s="116">
        <v>811.8</v>
      </c>
      <c r="R2118">
        <v>370293</v>
      </c>
    </row>
    <row r="2119" spans="1:18" x14ac:dyDescent="0.25">
      <c r="A2119" s="169">
        <v>45133</v>
      </c>
      <c r="B2119" s="116">
        <v>580.20000000000005</v>
      </c>
      <c r="C2119" s="116">
        <v>574.85</v>
      </c>
      <c r="D2119" s="116">
        <v>570.1</v>
      </c>
      <c r="E2119" s="116">
        <v>570.1</v>
      </c>
      <c r="F2119" s="116">
        <v>574.85</v>
      </c>
      <c r="G2119">
        <v>89914</v>
      </c>
      <c r="H2119" s="116"/>
      <c r="I2119" s="116"/>
      <c r="L2119" s="169">
        <v>45125</v>
      </c>
      <c r="M2119" s="116">
        <v>797.65</v>
      </c>
      <c r="N2119" s="116">
        <v>814.1</v>
      </c>
      <c r="O2119" s="116">
        <v>791.4</v>
      </c>
      <c r="P2119" s="116">
        <v>811.8</v>
      </c>
      <c r="Q2119" s="116">
        <v>797.65</v>
      </c>
      <c r="R2119">
        <v>278643</v>
      </c>
    </row>
    <row r="2120" spans="1:18" x14ac:dyDescent="0.25">
      <c r="A2120" s="169">
        <v>45134</v>
      </c>
      <c r="B2120" s="116">
        <v>578.79999999999995</v>
      </c>
      <c r="C2120" s="116">
        <v>575.29999999999995</v>
      </c>
      <c r="D2120" s="116">
        <v>571.54999999999995</v>
      </c>
      <c r="E2120" s="116">
        <v>571.54999999999995</v>
      </c>
      <c r="F2120" s="116">
        <v>575.29999999999995</v>
      </c>
      <c r="G2120">
        <v>216215</v>
      </c>
      <c r="H2120" s="116"/>
      <c r="I2120" s="116"/>
      <c r="L2120" s="169">
        <v>45126</v>
      </c>
      <c r="M2120" s="116">
        <v>818.3</v>
      </c>
      <c r="N2120" s="116">
        <v>823.9</v>
      </c>
      <c r="O2120" s="116">
        <v>800.25</v>
      </c>
      <c r="P2120" s="116">
        <v>802.45</v>
      </c>
      <c r="Q2120" s="116">
        <v>818.3</v>
      </c>
      <c r="R2120">
        <v>1075146</v>
      </c>
    </row>
    <row r="2121" spans="1:18" x14ac:dyDescent="0.25">
      <c r="A2121" s="169">
        <v>45135</v>
      </c>
      <c r="B2121" s="116">
        <v>599.20000000000005</v>
      </c>
      <c r="C2121" s="116">
        <v>596.79999999999995</v>
      </c>
      <c r="D2121" s="116">
        <v>573</v>
      </c>
      <c r="E2121" s="116">
        <v>575</v>
      </c>
      <c r="F2121" s="116">
        <v>596.79999999999995</v>
      </c>
      <c r="G2121">
        <v>158166</v>
      </c>
      <c r="H2121" s="116"/>
      <c r="I2121" s="116"/>
      <c r="L2121" s="169">
        <v>45127</v>
      </c>
      <c r="M2121" s="116">
        <v>831.1</v>
      </c>
      <c r="N2121" s="116">
        <v>843.4</v>
      </c>
      <c r="O2121" s="116">
        <v>809.65</v>
      </c>
      <c r="P2121" s="116">
        <v>810.9</v>
      </c>
      <c r="Q2121" s="116">
        <v>831.1</v>
      </c>
      <c r="R2121">
        <v>1848350</v>
      </c>
    </row>
    <row r="2122" spans="1:18" x14ac:dyDescent="0.25">
      <c r="A2122" s="169">
        <v>45138</v>
      </c>
      <c r="B2122" s="116">
        <v>634</v>
      </c>
      <c r="C2122" s="116">
        <v>628.85</v>
      </c>
      <c r="D2122" s="116">
        <v>599.54999999999995</v>
      </c>
      <c r="E2122" s="116">
        <v>602.70000000000005</v>
      </c>
      <c r="F2122" s="116">
        <v>628.85</v>
      </c>
      <c r="G2122">
        <v>179836</v>
      </c>
      <c r="H2122" s="116"/>
      <c r="I2122" s="116"/>
      <c r="L2122" s="169">
        <v>45128</v>
      </c>
      <c r="M2122" s="116">
        <v>837.65</v>
      </c>
      <c r="N2122" s="116">
        <v>845.45</v>
      </c>
      <c r="O2122" s="116">
        <v>824.7</v>
      </c>
      <c r="P2122" s="116">
        <v>836</v>
      </c>
      <c r="Q2122" s="116">
        <v>837.65</v>
      </c>
      <c r="R2122">
        <v>670647</v>
      </c>
    </row>
    <row r="2123" spans="1:18" x14ac:dyDescent="0.25">
      <c r="A2123" s="169">
        <v>45139</v>
      </c>
      <c r="B2123" s="116">
        <v>652.54999999999995</v>
      </c>
      <c r="C2123" s="116">
        <v>648.15</v>
      </c>
      <c r="D2123" s="116">
        <v>613.1</v>
      </c>
      <c r="E2123" s="116">
        <v>637.4</v>
      </c>
      <c r="F2123" s="116">
        <v>648.15</v>
      </c>
      <c r="G2123">
        <v>135036</v>
      </c>
      <c r="H2123" s="116"/>
      <c r="I2123" s="116"/>
      <c r="L2123" s="169">
        <v>45131</v>
      </c>
      <c r="M2123" s="116">
        <v>889.95</v>
      </c>
      <c r="N2123" s="116">
        <v>896.4</v>
      </c>
      <c r="O2123" s="116">
        <v>847.9</v>
      </c>
      <c r="P2123" s="116">
        <v>855</v>
      </c>
      <c r="Q2123" s="116">
        <v>889.95</v>
      </c>
      <c r="R2123">
        <v>3582032</v>
      </c>
    </row>
    <row r="2124" spans="1:18" x14ac:dyDescent="0.25">
      <c r="A2124" s="169">
        <v>45140</v>
      </c>
      <c r="B2124" s="116">
        <v>650.35</v>
      </c>
      <c r="C2124" s="116">
        <v>622</v>
      </c>
      <c r="D2124" s="116">
        <v>600</v>
      </c>
      <c r="E2124" s="116">
        <v>648.20000000000005</v>
      </c>
      <c r="F2124" s="116">
        <v>622</v>
      </c>
      <c r="G2124">
        <v>143473</v>
      </c>
      <c r="H2124" s="116"/>
      <c r="I2124" s="116"/>
      <c r="L2124" s="169">
        <v>45132</v>
      </c>
      <c r="M2124" s="116">
        <v>851.2</v>
      </c>
      <c r="N2124" s="116">
        <v>909.8</v>
      </c>
      <c r="O2124" s="116">
        <v>832.8</v>
      </c>
      <c r="P2124" s="116">
        <v>909.8</v>
      </c>
      <c r="Q2124" s="116">
        <v>851.2</v>
      </c>
      <c r="R2124">
        <v>4066238</v>
      </c>
    </row>
    <row r="2125" spans="1:18" x14ac:dyDescent="0.25">
      <c r="A2125" s="169">
        <v>45141</v>
      </c>
      <c r="B2125" s="116">
        <v>639</v>
      </c>
      <c r="C2125" s="116">
        <v>634.70000000000005</v>
      </c>
      <c r="D2125" s="116">
        <v>609.65</v>
      </c>
      <c r="E2125" s="116">
        <v>611.1</v>
      </c>
      <c r="F2125" s="116">
        <v>634.70000000000005</v>
      </c>
      <c r="G2125">
        <v>110649</v>
      </c>
      <c r="H2125" s="116"/>
      <c r="I2125" s="116"/>
      <c r="L2125" s="169">
        <v>45133</v>
      </c>
      <c r="M2125" s="116">
        <v>771.2</v>
      </c>
      <c r="N2125" s="116">
        <v>817.75</v>
      </c>
      <c r="O2125" s="116">
        <v>767.4</v>
      </c>
      <c r="P2125" s="116">
        <v>795</v>
      </c>
      <c r="Q2125" s="116">
        <v>771.2</v>
      </c>
      <c r="R2125">
        <v>9546545</v>
      </c>
    </row>
    <row r="2126" spans="1:18" x14ac:dyDescent="0.25">
      <c r="A2126" s="169">
        <v>45142</v>
      </c>
      <c r="B2126" s="116">
        <v>645.5</v>
      </c>
      <c r="C2126" s="116">
        <v>640.9</v>
      </c>
      <c r="D2126" s="116">
        <v>631.54999999999995</v>
      </c>
      <c r="E2126" s="116">
        <v>638.6</v>
      </c>
      <c r="F2126" s="116">
        <v>640.9</v>
      </c>
      <c r="G2126">
        <v>65699</v>
      </c>
      <c r="H2126" s="116"/>
      <c r="I2126" s="116"/>
      <c r="L2126" s="169">
        <v>45134</v>
      </c>
      <c r="M2126" s="116">
        <v>745.4</v>
      </c>
      <c r="N2126" s="116">
        <v>770.75</v>
      </c>
      <c r="O2126" s="116">
        <v>738.8</v>
      </c>
      <c r="P2126" s="116">
        <v>769</v>
      </c>
      <c r="Q2126" s="116">
        <v>745.4</v>
      </c>
      <c r="R2126">
        <v>5395601</v>
      </c>
    </row>
    <row r="2127" spans="1:18" x14ac:dyDescent="0.25">
      <c r="A2127" s="169">
        <v>45145</v>
      </c>
      <c r="B2127" s="116">
        <v>683.05</v>
      </c>
      <c r="C2127" s="116">
        <v>647.75</v>
      </c>
      <c r="D2127" s="116">
        <v>633.85</v>
      </c>
      <c r="E2127" s="116">
        <v>642</v>
      </c>
      <c r="F2127" s="116">
        <v>647.75</v>
      </c>
      <c r="G2127">
        <v>210464</v>
      </c>
      <c r="H2127" s="116"/>
      <c r="I2127" s="116"/>
      <c r="L2127" s="169">
        <v>45135</v>
      </c>
      <c r="M2127" s="116">
        <v>732.7</v>
      </c>
      <c r="N2127" s="116">
        <v>751.2</v>
      </c>
      <c r="O2127" s="116">
        <v>725.8</v>
      </c>
      <c r="P2127" s="116">
        <v>746</v>
      </c>
      <c r="Q2127" s="116">
        <v>732.7</v>
      </c>
      <c r="R2127">
        <v>2393751</v>
      </c>
    </row>
    <row r="2128" spans="1:18" x14ac:dyDescent="0.25">
      <c r="A2128" s="169">
        <v>45146</v>
      </c>
      <c r="B2128" s="116">
        <v>678.45</v>
      </c>
      <c r="C2128" s="116">
        <v>667.6</v>
      </c>
      <c r="D2128" s="116">
        <v>630</v>
      </c>
      <c r="E2128" s="116">
        <v>646.9</v>
      </c>
      <c r="F2128" s="116">
        <v>667.6</v>
      </c>
      <c r="G2128">
        <v>188714</v>
      </c>
      <c r="H2128" s="116"/>
      <c r="I2128" s="116"/>
      <c r="L2128" s="169">
        <v>45138</v>
      </c>
      <c r="M2128" s="116">
        <v>751.4</v>
      </c>
      <c r="N2128" s="116">
        <v>755.4</v>
      </c>
      <c r="O2128" s="116">
        <v>730.15</v>
      </c>
      <c r="P2128" s="116">
        <v>731</v>
      </c>
      <c r="Q2128" s="116">
        <v>751.4</v>
      </c>
      <c r="R2128">
        <v>1762697</v>
      </c>
    </row>
    <row r="2129" spans="1:18" x14ac:dyDescent="0.25">
      <c r="A2129" s="169">
        <v>45147</v>
      </c>
      <c r="B2129" s="116">
        <v>687.85</v>
      </c>
      <c r="C2129" s="116">
        <v>659.4</v>
      </c>
      <c r="D2129" s="116">
        <v>655</v>
      </c>
      <c r="E2129" s="116">
        <v>683.75</v>
      </c>
      <c r="F2129" s="116">
        <v>659.4</v>
      </c>
      <c r="G2129">
        <v>125107</v>
      </c>
      <c r="H2129" s="116"/>
      <c r="I2129" s="116"/>
      <c r="L2129" s="169">
        <v>45139</v>
      </c>
      <c r="M2129" s="116">
        <v>738.1</v>
      </c>
      <c r="N2129" s="116">
        <v>753.8</v>
      </c>
      <c r="O2129" s="116">
        <v>733.5</v>
      </c>
      <c r="P2129" s="116">
        <v>751.1</v>
      </c>
      <c r="Q2129" s="116">
        <v>738.1</v>
      </c>
      <c r="R2129">
        <v>1082718</v>
      </c>
    </row>
    <row r="2130" spans="1:18" x14ac:dyDescent="0.25">
      <c r="A2130" s="169">
        <v>45148</v>
      </c>
      <c r="B2130" s="116">
        <v>669.45</v>
      </c>
      <c r="C2130" s="116">
        <v>618.6</v>
      </c>
      <c r="D2130" s="116">
        <v>580</v>
      </c>
      <c r="E2130" s="116">
        <v>665</v>
      </c>
      <c r="F2130" s="116">
        <v>618.6</v>
      </c>
      <c r="G2130">
        <v>182219</v>
      </c>
      <c r="H2130" s="116"/>
      <c r="I2130" s="116"/>
      <c r="L2130" s="169">
        <v>45140</v>
      </c>
      <c r="M2130" s="116">
        <v>721.7</v>
      </c>
      <c r="N2130" s="116">
        <v>743.4</v>
      </c>
      <c r="O2130" s="116">
        <v>714.4</v>
      </c>
      <c r="P2130" s="116">
        <v>740.45</v>
      </c>
      <c r="Q2130" s="116">
        <v>721.7</v>
      </c>
      <c r="R2130">
        <v>1363681</v>
      </c>
    </row>
    <row r="2131" spans="1:18" x14ac:dyDescent="0.25">
      <c r="A2131" s="169">
        <v>45149</v>
      </c>
      <c r="B2131" s="116">
        <v>633</v>
      </c>
      <c r="C2131" s="116">
        <v>625.54999999999995</v>
      </c>
      <c r="D2131" s="116">
        <v>592</v>
      </c>
      <c r="E2131" s="116">
        <v>633</v>
      </c>
      <c r="F2131" s="116">
        <v>625.54999999999995</v>
      </c>
      <c r="G2131">
        <v>135206</v>
      </c>
      <c r="H2131" s="116"/>
      <c r="I2131" s="116"/>
      <c r="L2131" s="169">
        <v>45141</v>
      </c>
      <c r="M2131" s="116">
        <v>727.25</v>
      </c>
      <c r="N2131" s="116">
        <v>731.9</v>
      </c>
      <c r="O2131" s="116">
        <v>715.7</v>
      </c>
      <c r="P2131" s="116">
        <v>722.9</v>
      </c>
      <c r="Q2131" s="116">
        <v>727.25</v>
      </c>
      <c r="R2131">
        <v>583834</v>
      </c>
    </row>
    <row r="2132" spans="1:18" x14ac:dyDescent="0.25">
      <c r="A2132" s="169">
        <v>45152</v>
      </c>
      <c r="B2132" s="116">
        <v>630.1</v>
      </c>
      <c r="C2132" s="116">
        <v>603.6</v>
      </c>
      <c r="D2132" s="116">
        <v>598</v>
      </c>
      <c r="E2132" s="116">
        <v>625</v>
      </c>
      <c r="F2132" s="116">
        <v>603.6</v>
      </c>
      <c r="G2132">
        <v>120706</v>
      </c>
      <c r="H2132" s="116"/>
      <c r="I2132" s="116"/>
      <c r="L2132" s="169">
        <v>45142</v>
      </c>
      <c r="M2132" s="116">
        <v>733.1</v>
      </c>
      <c r="N2132" s="116">
        <v>739.4</v>
      </c>
      <c r="O2132" s="116">
        <v>726.1</v>
      </c>
      <c r="P2132" s="116">
        <v>736</v>
      </c>
      <c r="Q2132" s="116">
        <v>733.1</v>
      </c>
      <c r="R2132">
        <v>517243</v>
      </c>
    </row>
    <row r="2133" spans="1:18" x14ac:dyDescent="0.25">
      <c r="A2133" s="169">
        <v>45154</v>
      </c>
      <c r="B2133" s="116">
        <v>614.29999999999995</v>
      </c>
      <c r="C2133" s="116">
        <v>595.35</v>
      </c>
      <c r="D2133" s="116">
        <v>589.54999999999995</v>
      </c>
      <c r="E2133" s="116">
        <v>605</v>
      </c>
      <c r="F2133" s="116">
        <v>595.35</v>
      </c>
      <c r="G2133">
        <v>60345</v>
      </c>
      <c r="H2133" s="116"/>
      <c r="I2133" s="116"/>
      <c r="L2133" s="169">
        <v>45145</v>
      </c>
      <c r="M2133" s="116">
        <v>743.3</v>
      </c>
      <c r="N2133" s="116">
        <v>751</v>
      </c>
      <c r="O2133" s="116">
        <v>734.65</v>
      </c>
      <c r="P2133" s="116">
        <v>736</v>
      </c>
      <c r="Q2133" s="116">
        <v>743.3</v>
      </c>
      <c r="R2133">
        <v>1064653</v>
      </c>
    </row>
    <row r="2134" spans="1:18" x14ac:dyDescent="0.25">
      <c r="A2134" s="169">
        <v>45155</v>
      </c>
      <c r="B2134" s="116">
        <v>596</v>
      </c>
      <c r="C2134" s="116">
        <v>568.20000000000005</v>
      </c>
      <c r="D2134" s="116">
        <v>560</v>
      </c>
      <c r="E2134" s="116">
        <v>595.35</v>
      </c>
      <c r="F2134" s="116">
        <v>568.20000000000005</v>
      </c>
      <c r="G2134">
        <v>153803</v>
      </c>
      <c r="H2134" s="116"/>
      <c r="I2134" s="116"/>
      <c r="L2134" s="169">
        <v>45146</v>
      </c>
      <c r="M2134" s="116">
        <v>738.3</v>
      </c>
      <c r="N2134" s="116">
        <v>749.5</v>
      </c>
      <c r="O2134" s="116">
        <v>734.9</v>
      </c>
      <c r="P2134" s="116">
        <v>749.5</v>
      </c>
      <c r="Q2134" s="116">
        <v>738.3</v>
      </c>
      <c r="R2134">
        <v>437912</v>
      </c>
    </row>
    <row r="2135" spans="1:18" x14ac:dyDescent="0.25">
      <c r="A2135" s="169">
        <v>45156</v>
      </c>
      <c r="B2135" s="116">
        <v>592</v>
      </c>
      <c r="C2135" s="116">
        <v>570.54999999999995</v>
      </c>
      <c r="D2135" s="116">
        <v>526.29999999999995</v>
      </c>
      <c r="E2135" s="116">
        <v>568.20000000000005</v>
      </c>
      <c r="F2135" s="116">
        <v>570.54999999999995</v>
      </c>
      <c r="G2135">
        <v>159375</v>
      </c>
      <c r="H2135" s="116"/>
      <c r="I2135" s="116"/>
      <c r="L2135" s="169">
        <v>45147</v>
      </c>
      <c r="M2135" s="116">
        <v>732.7</v>
      </c>
      <c r="N2135" s="116">
        <v>742</v>
      </c>
      <c r="O2135" s="116">
        <v>728</v>
      </c>
      <c r="P2135" s="116">
        <v>739.05</v>
      </c>
      <c r="Q2135" s="116">
        <v>732.7</v>
      </c>
      <c r="R2135">
        <v>362215</v>
      </c>
    </row>
    <row r="2136" spans="1:18" x14ac:dyDescent="0.25">
      <c r="A2136" s="169">
        <v>45159</v>
      </c>
      <c r="B2136" s="116">
        <v>588</v>
      </c>
      <c r="C2136" s="116">
        <v>530.29999999999995</v>
      </c>
      <c r="D2136" s="116">
        <v>523.1</v>
      </c>
      <c r="E2136" s="116">
        <v>588</v>
      </c>
      <c r="F2136" s="116">
        <v>530.29999999999995</v>
      </c>
      <c r="G2136">
        <v>224981</v>
      </c>
      <c r="H2136" s="116"/>
      <c r="I2136" s="116"/>
      <c r="L2136" s="169">
        <v>45148</v>
      </c>
      <c r="M2136" s="116">
        <v>751.25</v>
      </c>
      <c r="N2136" s="116">
        <v>759.05</v>
      </c>
      <c r="O2136" s="116">
        <v>718</v>
      </c>
      <c r="P2136" s="116">
        <v>732.7</v>
      </c>
      <c r="Q2136" s="116">
        <v>751.25</v>
      </c>
      <c r="R2136">
        <v>1819423</v>
      </c>
    </row>
    <row r="2137" spans="1:18" x14ac:dyDescent="0.25">
      <c r="A2137" s="169">
        <v>45160</v>
      </c>
      <c r="B2137" s="116">
        <v>549.20000000000005</v>
      </c>
      <c r="C2137" s="116">
        <v>537.5</v>
      </c>
      <c r="D2137" s="116">
        <v>498.55</v>
      </c>
      <c r="E2137" s="116">
        <v>521.25</v>
      </c>
      <c r="F2137" s="116">
        <v>537.5</v>
      </c>
      <c r="G2137">
        <v>346002</v>
      </c>
      <c r="H2137" s="116"/>
      <c r="I2137" s="116"/>
      <c r="L2137" s="169">
        <v>45149</v>
      </c>
      <c r="M2137" s="116">
        <v>723.7</v>
      </c>
      <c r="N2137" s="116">
        <v>771.4</v>
      </c>
      <c r="O2137" s="116">
        <v>720</v>
      </c>
      <c r="P2137" s="116">
        <v>758</v>
      </c>
      <c r="Q2137" s="116">
        <v>723.7</v>
      </c>
      <c r="R2137">
        <v>4143870</v>
      </c>
    </row>
    <row r="2138" spans="1:18" x14ac:dyDescent="0.25">
      <c r="A2138" s="169">
        <v>45161</v>
      </c>
      <c r="B2138" s="116">
        <v>571</v>
      </c>
      <c r="C2138" s="116">
        <v>562.65</v>
      </c>
      <c r="D2138" s="116">
        <v>541.25</v>
      </c>
      <c r="E2138" s="116">
        <v>547.9</v>
      </c>
      <c r="F2138" s="116">
        <v>562.65</v>
      </c>
      <c r="G2138">
        <v>129190</v>
      </c>
      <c r="H2138" s="116"/>
      <c r="I2138" s="116"/>
      <c r="L2138" s="169">
        <v>45152</v>
      </c>
      <c r="M2138" s="116">
        <v>734.8</v>
      </c>
      <c r="N2138" s="116">
        <v>740</v>
      </c>
      <c r="O2138" s="116">
        <v>700.05</v>
      </c>
      <c r="P2138" s="116">
        <v>726</v>
      </c>
      <c r="Q2138" s="116">
        <v>734.8</v>
      </c>
      <c r="R2138">
        <v>2175253</v>
      </c>
    </row>
    <row r="2139" spans="1:18" x14ac:dyDescent="0.25">
      <c r="A2139" s="169">
        <v>45162</v>
      </c>
      <c r="B2139" s="116">
        <v>577.95000000000005</v>
      </c>
      <c r="C2139" s="116">
        <v>551.79999999999995</v>
      </c>
      <c r="D2139" s="116">
        <v>549.79999999999995</v>
      </c>
      <c r="E2139" s="116">
        <v>573</v>
      </c>
      <c r="F2139" s="116">
        <v>551.79999999999995</v>
      </c>
      <c r="G2139">
        <v>82764</v>
      </c>
      <c r="H2139" s="116"/>
      <c r="I2139" s="116"/>
      <c r="L2139" s="169">
        <v>45154</v>
      </c>
      <c r="M2139" s="116">
        <v>736.4</v>
      </c>
      <c r="N2139" s="116">
        <v>740.45</v>
      </c>
      <c r="O2139" s="116">
        <v>717.15</v>
      </c>
      <c r="P2139" s="116">
        <v>732</v>
      </c>
      <c r="Q2139" s="116">
        <v>736.4</v>
      </c>
      <c r="R2139">
        <v>1145518</v>
      </c>
    </row>
    <row r="2140" spans="1:18" x14ac:dyDescent="0.25">
      <c r="A2140" s="169">
        <v>45163</v>
      </c>
      <c r="B2140" s="116">
        <v>613.29999999999995</v>
      </c>
      <c r="C2140" s="116">
        <v>550.15</v>
      </c>
      <c r="D2140" s="116">
        <v>537.9</v>
      </c>
      <c r="E2140" s="116">
        <v>563.85</v>
      </c>
      <c r="F2140" s="116">
        <v>550.15</v>
      </c>
      <c r="G2140">
        <v>118471</v>
      </c>
      <c r="H2140" s="116"/>
      <c r="I2140" s="116"/>
      <c r="L2140" s="169">
        <v>45155</v>
      </c>
      <c r="M2140" s="116">
        <v>735.35</v>
      </c>
      <c r="N2140" s="116">
        <v>747.95</v>
      </c>
      <c r="O2140" s="116">
        <v>732.05</v>
      </c>
      <c r="P2140" s="116">
        <v>736.95</v>
      </c>
      <c r="Q2140" s="116">
        <v>735.35</v>
      </c>
      <c r="R2140">
        <v>796354</v>
      </c>
    </row>
    <row r="2141" spans="1:18" x14ac:dyDescent="0.25">
      <c r="A2141" s="169">
        <v>45166</v>
      </c>
      <c r="B2141" s="116">
        <v>557.5</v>
      </c>
      <c r="C2141" s="116">
        <v>542.35</v>
      </c>
      <c r="D2141" s="116">
        <v>527.35</v>
      </c>
      <c r="E2141" s="116">
        <v>551</v>
      </c>
      <c r="F2141" s="116">
        <v>542.35</v>
      </c>
      <c r="G2141">
        <v>61079</v>
      </c>
      <c r="H2141" s="116"/>
      <c r="I2141" s="116"/>
      <c r="L2141" s="169">
        <v>45156</v>
      </c>
      <c r="M2141" s="116">
        <v>726.55</v>
      </c>
      <c r="N2141" s="116">
        <v>737.95</v>
      </c>
      <c r="O2141" s="116">
        <v>722.3</v>
      </c>
      <c r="P2141" s="116">
        <v>737.35</v>
      </c>
      <c r="Q2141" s="116">
        <v>726.55</v>
      </c>
      <c r="R2141">
        <v>476526</v>
      </c>
    </row>
    <row r="2142" spans="1:18" x14ac:dyDescent="0.25">
      <c r="A2142" s="169">
        <v>45167</v>
      </c>
      <c r="B2142" s="116">
        <v>550</v>
      </c>
      <c r="C2142" s="116">
        <v>543.70000000000005</v>
      </c>
      <c r="D2142" s="116">
        <v>533.04999999999995</v>
      </c>
      <c r="E2142" s="116">
        <v>538.54999999999995</v>
      </c>
      <c r="F2142" s="116">
        <v>543.70000000000005</v>
      </c>
      <c r="G2142">
        <v>59555</v>
      </c>
      <c r="H2142" s="116"/>
      <c r="I2142" s="116"/>
      <c r="L2142" s="169">
        <v>45159</v>
      </c>
      <c r="M2142" s="116">
        <v>741.85</v>
      </c>
      <c r="N2142" s="116">
        <v>746.8</v>
      </c>
      <c r="O2142" s="116">
        <v>727</v>
      </c>
      <c r="P2142" s="116">
        <v>732.45</v>
      </c>
      <c r="Q2142" s="116">
        <v>741.85</v>
      </c>
      <c r="R2142">
        <v>689595</v>
      </c>
    </row>
    <row r="2143" spans="1:18" x14ac:dyDescent="0.25">
      <c r="A2143" s="169">
        <v>45168</v>
      </c>
      <c r="B2143" s="116">
        <v>547.65</v>
      </c>
      <c r="C2143" s="116">
        <v>540.79999999999995</v>
      </c>
      <c r="D2143" s="116">
        <v>536</v>
      </c>
      <c r="E2143" s="116">
        <v>545.15</v>
      </c>
      <c r="F2143" s="116">
        <v>540.79999999999995</v>
      </c>
      <c r="G2143">
        <v>29343</v>
      </c>
      <c r="H2143" s="116"/>
      <c r="I2143" s="116"/>
      <c r="L2143" s="169">
        <v>45160</v>
      </c>
      <c r="M2143" s="116">
        <v>746.55</v>
      </c>
      <c r="N2143" s="116">
        <v>752</v>
      </c>
      <c r="O2143" s="116">
        <v>740</v>
      </c>
      <c r="P2143" s="116">
        <v>746.9</v>
      </c>
      <c r="Q2143" s="116">
        <v>746.55</v>
      </c>
      <c r="R2143">
        <v>460473</v>
      </c>
    </row>
    <row r="2144" spans="1:18" x14ac:dyDescent="0.25">
      <c r="A2144" s="169">
        <v>45169</v>
      </c>
      <c r="B2144" s="116">
        <v>547.4</v>
      </c>
      <c r="C2144" s="116">
        <v>536.95000000000005</v>
      </c>
      <c r="D2144" s="116">
        <v>535.20000000000005</v>
      </c>
      <c r="E2144" s="116">
        <v>541.1</v>
      </c>
      <c r="F2144" s="116">
        <v>536.95000000000005</v>
      </c>
      <c r="G2144">
        <v>37950</v>
      </c>
      <c r="H2144" s="116"/>
      <c r="I2144" s="116"/>
      <c r="L2144" s="169">
        <v>45161</v>
      </c>
      <c r="M2144" s="116">
        <v>747.85</v>
      </c>
      <c r="N2144" s="116">
        <v>755.35</v>
      </c>
      <c r="O2144" s="116">
        <v>742</v>
      </c>
      <c r="P2144" s="116">
        <v>747</v>
      </c>
      <c r="Q2144" s="116">
        <v>747.85</v>
      </c>
      <c r="R2144">
        <v>384807</v>
      </c>
    </row>
    <row r="2145" spans="1:18" x14ac:dyDescent="0.25">
      <c r="A2145" s="169">
        <v>45170</v>
      </c>
      <c r="B2145" s="116">
        <v>556.20000000000005</v>
      </c>
      <c r="C2145" s="116">
        <v>548.70000000000005</v>
      </c>
      <c r="D2145" s="116">
        <v>533</v>
      </c>
      <c r="E2145" s="116">
        <v>533</v>
      </c>
      <c r="F2145" s="116">
        <v>548.70000000000005</v>
      </c>
      <c r="G2145">
        <v>63913</v>
      </c>
      <c r="H2145" s="116"/>
      <c r="I2145" s="116"/>
      <c r="L2145" s="169">
        <v>45162</v>
      </c>
      <c r="M2145" s="116">
        <v>748.05</v>
      </c>
      <c r="N2145" s="116">
        <v>761.75</v>
      </c>
      <c r="O2145" s="116">
        <v>745.25</v>
      </c>
      <c r="P2145" s="116">
        <v>757.95</v>
      </c>
      <c r="Q2145" s="116">
        <v>748.05</v>
      </c>
      <c r="R2145">
        <v>652056</v>
      </c>
    </row>
    <row r="2146" spans="1:18" x14ac:dyDescent="0.25">
      <c r="A2146" s="169">
        <v>45173</v>
      </c>
      <c r="B2146" s="116">
        <v>570</v>
      </c>
      <c r="C2146" s="116">
        <v>560.95000000000005</v>
      </c>
      <c r="D2146" s="116">
        <v>548.04999999999995</v>
      </c>
      <c r="E2146" s="116">
        <v>558</v>
      </c>
      <c r="F2146" s="116">
        <v>560.95000000000005</v>
      </c>
      <c r="G2146">
        <v>74872</v>
      </c>
      <c r="H2146" s="116"/>
      <c r="I2146" s="116"/>
      <c r="L2146" s="169">
        <v>45163</v>
      </c>
      <c r="M2146" s="116">
        <v>738.9</v>
      </c>
      <c r="N2146" s="116">
        <v>754.75</v>
      </c>
      <c r="O2146" s="116">
        <v>734.4</v>
      </c>
      <c r="P2146" s="116">
        <v>747.7</v>
      </c>
      <c r="Q2146" s="116">
        <v>738.9</v>
      </c>
      <c r="R2146">
        <v>643105</v>
      </c>
    </row>
    <row r="2147" spans="1:18" x14ac:dyDescent="0.25">
      <c r="A2147" s="169">
        <v>45174</v>
      </c>
      <c r="B2147" s="116">
        <v>575</v>
      </c>
      <c r="C2147" s="116">
        <v>564.9</v>
      </c>
      <c r="D2147" s="116">
        <v>556.6</v>
      </c>
      <c r="E2147" s="116">
        <v>569</v>
      </c>
      <c r="F2147" s="116">
        <v>564.9</v>
      </c>
      <c r="G2147">
        <v>33922</v>
      </c>
      <c r="H2147" s="116"/>
      <c r="I2147" s="116"/>
      <c r="L2147" s="169">
        <v>45166</v>
      </c>
      <c r="M2147" s="116">
        <v>743.55</v>
      </c>
      <c r="N2147" s="116">
        <v>750.9</v>
      </c>
      <c r="O2147" s="116">
        <v>739</v>
      </c>
      <c r="P2147" s="116">
        <v>740</v>
      </c>
      <c r="Q2147" s="116">
        <v>743.55</v>
      </c>
      <c r="R2147">
        <v>403428</v>
      </c>
    </row>
    <row r="2148" spans="1:18" x14ac:dyDescent="0.25">
      <c r="A2148" s="169">
        <v>45175</v>
      </c>
      <c r="B2148" s="116">
        <v>572</v>
      </c>
      <c r="C2148" s="116">
        <v>565.5</v>
      </c>
      <c r="D2148" s="116">
        <v>560.6</v>
      </c>
      <c r="E2148" s="116">
        <v>561.20000000000005</v>
      </c>
      <c r="F2148" s="116">
        <v>565.5</v>
      </c>
      <c r="G2148">
        <v>18946</v>
      </c>
      <c r="H2148" s="116"/>
      <c r="I2148" s="116"/>
      <c r="L2148" s="169">
        <v>45167</v>
      </c>
      <c r="M2148" s="116">
        <v>749.2</v>
      </c>
      <c r="N2148" s="116">
        <v>750.65</v>
      </c>
      <c r="O2148" s="116">
        <v>741.7</v>
      </c>
      <c r="P2148" s="116">
        <v>744.05</v>
      </c>
      <c r="Q2148" s="116">
        <v>749.2</v>
      </c>
      <c r="R2148">
        <v>494610</v>
      </c>
    </row>
    <row r="2149" spans="1:18" x14ac:dyDescent="0.25">
      <c r="A2149" s="169">
        <v>45176</v>
      </c>
      <c r="B2149" s="116">
        <v>570.79999999999995</v>
      </c>
      <c r="C2149" s="116">
        <v>558.75</v>
      </c>
      <c r="D2149" s="116">
        <v>557</v>
      </c>
      <c r="E2149" s="116">
        <v>570.79999999999995</v>
      </c>
      <c r="F2149" s="116">
        <v>558.75</v>
      </c>
      <c r="G2149">
        <v>16829</v>
      </c>
      <c r="H2149" s="116"/>
      <c r="I2149" s="116"/>
      <c r="L2149" s="169">
        <v>45168</v>
      </c>
      <c r="M2149" s="116">
        <v>749.65</v>
      </c>
      <c r="N2149" s="116">
        <v>756</v>
      </c>
      <c r="O2149" s="116">
        <v>748</v>
      </c>
      <c r="P2149" s="116">
        <v>751.05</v>
      </c>
      <c r="Q2149" s="116">
        <v>749.65</v>
      </c>
      <c r="R2149">
        <v>421738</v>
      </c>
    </row>
    <row r="2150" spans="1:18" x14ac:dyDescent="0.25">
      <c r="A2150" s="169">
        <v>45177</v>
      </c>
      <c r="B2150" s="116">
        <v>566.75</v>
      </c>
      <c r="C2150" s="116">
        <v>554.45000000000005</v>
      </c>
      <c r="D2150" s="116">
        <v>552.35</v>
      </c>
      <c r="E2150" s="116">
        <v>555.15</v>
      </c>
      <c r="F2150" s="116">
        <v>554.45000000000005</v>
      </c>
      <c r="G2150">
        <v>31962</v>
      </c>
      <c r="H2150" s="116"/>
      <c r="I2150" s="116"/>
      <c r="L2150" s="169">
        <v>45169</v>
      </c>
      <c r="M2150" s="116">
        <v>751.35</v>
      </c>
      <c r="N2150" s="116">
        <v>757.8</v>
      </c>
      <c r="O2150" s="116">
        <v>745.75</v>
      </c>
      <c r="P2150" s="116">
        <v>750.35</v>
      </c>
      <c r="Q2150" s="116">
        <v>751.35</v>
      </c>
      <c r="R2150">
        <v>503892</v>
      </c>
    </row>
    <row r="2151" spans="1:18" x14ac:dyDescent="0.25">
      <c r="A2151" s="169">
        <v>45180</v>
      </c>
      <c r="B2151" s="116">
        <v>589</v>
      </c>
      <c r="C2151" s="116">
        <v>581.29999999999995</v>
      </c>
      <c r="D2151" s="116">
        <v>545</v>
      </c>
      <c r="E2151" s="116">
        <v>545</v>
      </c>
      <c r="F2151" s="116">
        <v>581.29999999999995</v>
      </c>
      <c r="G2151">
        <v>54079</v>
      </c>
      <c r="H2151" s="116"/>
      <c r="I2151" s="116"/>
      <c r="L2151" s="169">
        <v>45170</v>
      </c>
      <c r="M2151" s="116">
        <v>760</v>
      </c>
      <c r="N2151" s="116">
        <v>765</v>
      </c>
      <c r="O2151" s="116">
        <v>745.6</v>
      </c>
      <c r="P2151" s="116">
        <v>751.85</v>
      </c>
      <c r="Q2151" s="116">
        <v>760</v>
      </c>
      <c r="R2151">
        <v>596150</v>
      </c>
    </row>
    <row r="2152" spans="1:18" x14ac:dyDescent="0.25">
      <c r="A2152" s="169">
        <v>45181</v>
      </c>
      <c r="B2152" s="116">
        <v>594.4</v>
      </c>
      <c r="C2152" s="116">
        <v>567.04999999999995</v>
      </c>
      <c r="D2152" s="116">
        <v>558.5</v>
      </c>
      <c r="E2152" s="116">
        <v>584</v>
      </c>
      <c r="F2152" s="116">
        <v>567.04999999999995</v>
      </c>
      <c r="G2152">
        <v>52885</v>
      </c>
      <c r="H2152" s="116"/>
      <c r="I2152" s="116"/>
      <c r="L2152" s="169">
        <v>45173</v>
      </c>
      <c r="M2152" s="116">
        <v>766.1</v>
      </c>
      <c r="N2152" s="116">
        <v>770</v>
      </c>
      <c r="O2152" s="116">
        <v>758.7</v>
      </c>
      <c r="P2152" s="116">
        <v>767.6</v>
      </c>
      <c r="Q2152" s="116">
        <v>766.1</v>
      </c>
      <c r="R2152">
        <v>633312</v>
      </c>
    </row>
    <row r="2153" spans="1:18" x14ac:dyDescent="0.25">
      <c r="A2153" s="169">
        <v>45182</v>
      </c>
      <c r="B2153" s="116">
        <v>579</v>
      </c>
      <c r="C2153" s="116">
        <v>576.5</v>
      </c>
      <c r="D2153" s="116">
        <v>537.9</v>
      </c>
      <c r="E2153" s="116">
        <v>560.1</v>
      </c>
      <c r="F2153" s="116">
        <v>576.5</v>
      </c>
      <c r="G2153">
        <v>25065</v>
      </c>
      <c r="H2153" s="116"/>
      <c r="I2153" s="116"/>
      <c r="L2153" s="169">
        <v>45174</v>
      </c>
      <c r="M2153" s="116">
        <v>782.9</v>
      </c>
      <c r="N2153" s="116">
        <v>797</v>
      </c>
      <c r="O2153" s="116">
        <v>768.15</v>
      </c>
      <c r="P2153" s="116">
        <v>769.95</v>
      </c>
      <c r="Q2153" s="116">
        <v>782.9</v>
      </c>
      <c r="R2153">
        <v>1574345</v>
      </c>
    </row>
    <row r="2154" spans="1:18" x14ac:dyDescent="0.25">
      <c r="A2154" s="169">
        <v>45183</v>
      </c>
      <c r="B2154" s="116">
        <v>587</v>
      </c>
      <c r="C2154" s="116">
        <v>575.95000000000005</v>
      </c>
      <c r="D2154" s="116">
        <v>571.54999999999995</v>
      </c>
      <c r="E2154" s="116">
        <v>575.75</v>
      </c>
      <c r="F2154" s="116">
        <v>575.95000000000005</v>
      </c>
      <c r="G2154">
        <v>29875</v>
      </c>
      <c r="H2154" s="116"/>
      <c r="I2154" s="116"/>
      <c r="L2154" s="169">
        <v>45175</v>
      </c>
      <c r="M2154" s="116">
        <v>782.1</v>
      </c>
      <c r="N2154" s="116">
        <v>792</v>
      </c>
      <c r="O2154" s="116">
        <v>775</v>
      </c>
      <c r="P2154" s="116">
        <v>784.75</v>
      </c>
      <c r="Q2154" s="116">
        <v>782.1</v>
      </c>
      <c r="R2154">
        <v>561361</v>
      </c>
    </row>
    <row r="2155" spans="1:18" x14ac:dyDescent="0.25">
      <c r="A2155" s="169">
        <v>45184</v>
      </c>
      <c r="B2155" s="116">
        <v>584</v>
      </c>
      <c r="C2155" s="116">
        <v>573.35</v>
      </c>
      <c r="D2155" s="116">
        <v>555.5</v>
      </c>
      <c r="E2155" s="116">
        <v>577.20000000000005</v>
      </c>
      <c r="F2155" s="116">
        <v>573.35</v>
      </c>
      <c r="G2155">
        <v>45610</v>
      </c>
      <c r="H2155" s="116"/>
      <c r="I2155" s="116"/>
      <c r="L2155" s="169">
        <v>45176</v>
      </c>
      <c r="M2155" s="116">
        <v>773.4</v>
      </c>
      <c r="N2155" s="116">
        <v>784.95</v>
      </c>
      <c r="O2155" s="116">
        <v>770.25</v>
      </c>
      <c r="P2155" s="116">
        <v>781.95</v>
      </c>
      <c r="Q2155" s="116">
        <v>773.4</v>
      </c>
      <c r="R2155">
        <v>378499</v>
      </c>
    </row>
    <row r="2156" spans="1:18" x14ac:dyDescent="0.25">
      <c r="A2156" s="169">
        <v>45187</v>
      </c>
      <c r="B2156" s="116">
        <v>578</v>
      </c>
      <c r="C2156" s="116">
        <v>561.20000000000005</v>
      </c>
      <c r="D2156" s="116">
        <v>559.6</v>
      </c>
      <c r="E2156" s="116">
        <v>578</v>
      </c>
      <c r="F2156" s="116">
        <v>561.20000000000005</v>
      </c>
      <c r="G2156">
        <v>38300</v>
      </c>
      <c r="H2156" s="116"/>
      <c r="I2156" s="116"/>
      <c r="L2156" s="169">
        <v>45177</v>
      </c>
      <c r="M2156" s="116">
        <v>773.65</v>
      </c>
      <c r="N2156" s="116">
        <v>783.95</v>
      </c>
      <c r="O2156" s="116">
        <v>770.4</v>
      </c>
      <c r="P2156" s="116">
        <v>778.7</v>
      </c>
      <c r="Q2156" s="116">
        <v>773.65</v>
      </c>
      <c r="R2156">
        <v>371319</v>
      </c>
    </row>
    <row r="2157" spans="1:18" x14ac:dyDescent="0.25">
      <c r="A2157" s="169">
        <v>45189</v>
      </c>
      <c r="B2157" s="116">
        <v>565.5</v>
      </c>
      <c r="C2157" s="116">
        <v>553.20000000000005</v>
      </c>
      <c r="D2157" s="116">
        <v>547.25</v>
      </c>
      <c r="E2157" s="116">
        <v>560</v>
      </c>
      <c r="F2157" s="116">
        <v>553.20000000000005</v>
      </c>
      <c r="G2157">
        <v>25587</v>
      </c>
      <c r="H2157" s="116"/>
      <c r="I2157" s="116"/>
      <c r="L2157" s="169">
        <v>45180</v>
      </c>
      <c r="M2157" s="116">
        <v>788.55</v>
      </c>
      <c r="N2157" s="116">
        <v>793.75</v>
      </c>
      <c r="O2157" s="116">
        <v>774.7</v>
      </c>
      <c r="P2157" s="116">
        <v>778.95</v>
      </c>
      <c r="Q2157" s="116">
        <v>788.55</v>
      </c>
      <c r="R2157">
        <v>602304</v>
      </c>
    </row>
    <row r="2158" spans="1:18" x14ac:dyDescent="0.25">
      <c r="A2158" s="169">
        <v>45190</v>
      </c>
      <c r="B2158" s="116">
        <v>562.4</v>
      </c>
      <c r="C2158" s="116">
        <v>549.35</v>
      </c>
      <c r="D2158" s="116">
        <v>544.95000000000005</v>
      </c>
      <c r="E2158" s="116">
        <v>558.95000000000005</v>
      </c>
      <c r="F2158" s="116">
        <v>549.35</v>
      </c>
      <c r="G2158">
        <v>26430</v>
      </c>
      <c r="H2158" s="116"/>
      <c r="I2158" s="116"/>
      <c r="L2158" s="169">
        <v>45181</v>
      </c>
      <c r="M2158" s="116">
        <v>751.8</v>
      </c>
      <c r="N2158" s="116">
        <v>794.2</v>
      </c>
      <c r="O2158" s="116">
        <v>740.6</v>
      </c>
      <c r="P2158" s="116">
        <v>793.7</v>
      </c>
      <c r="Q2158" s="116">
        <v>751.8</v>
      </c>
      <c r="R2158">
        <v>994930</v>
      </c>
    </row>
    <row r="2159" spans="1:18" x14ac:dyDescent="0.25">
      <c r="A2159" s="169">
        <v>45191</v>
      </c>
      <c r="B2159" s="116">
        <v>551.04999999999995</v>
      </c>
      <c r="C2159" s="116">
        <v>536.1</v>
      </c>
      <c r="D2159" s="116">
        <v>532.20000000000005</v>
      </c>
      <c r="E2159" s="116">
        <v>547.95000000000005</v>
      </c>
      <c r="F2159" s="116">
        <v>536.1</v>
      </c>
      <c r="G2159">
        <v>46684</v>
      </c>
      <c r="H2159" s="116"/>
      <c r="I2159" s="116"/>
      <c r="L2159" s="169">
        <v>45182</v>
      </c>
      <c r="M2159" s="116">
        <v>775.05</v>
      </c>
      <c r="N2159" s="116">
        <v>780.95</v>
      </c>
      <c r="O2159" s="116">
        <v>751.8</v>
      </c>
      <c r="P2159" s="116">
        <v>757.45</v>
      </c>
      <c r="Q2159" s="116">
        <v>775.05</v>
      </c>
      <c r="R2159">
        <v>1052204</v>
      </c>
    </row>
    <row r="2160" spans="1:18" x14ac:dyDescent="0.25">
      <c r="A2160" s="169">
        <v>45194</v>
      </c>
      <c r="B2160" s="116">
        <v>542</v>
      </c>
      <c r="C2160" s="116">
        <v>530.15</v>
      </c>
      <c r="D2160" s="116">
        <v>526.9</v>
      </c>
      <c r="E2160" s="116">
        <v>537.20000000000005</v>
      </c>
      <c r="F2160" s="116">
        <v>530.15</v>
      </c>
      <c r="G2160">
        <v>18457</v>
      </c>
      <c r="H2160" s="116"/>
      <c r="I2160" s="116"/>
      <c r="L2160" s="169">
        <v>45183</v>
      </c>
      <c r="M2160" s="116">
        <v>781.85</v>
      </c>
      <c r="N2160" s="116">
        <v>787.95</v>
      </c>
      <c r="O2160" s="116">
        <v>770.35</v>
      </c>
      <c r="P2160" s="116">
        <v>780.1</v>
      </c>
      <c r="Q2160" s="116">
        <v>781.85</v>
      </c>
      <c r="R2160">
        <v>523449</v>
      </c>
    </row>
    <row r="2161" spans="1:18" x14ac:dyDescent="0.25">
      <c r="A2161" s="169">
        <v>45195</v>
      </c>
      <c r="B2161" s="116">
        <v>540.5</v>
      </c>
      <c r="C2161" s="116">
        <v>534.75</v>
      </c>
      <c r="D2161" s="116">
        <v>521.20000000000005</v>
      </c>
      <c r="E2161" s="116">
        <v>521.20000000000005</v>
      </c>
      <c r="F2161" s="116">
        <v>534.75</v>
      </c>
      <c r="G2161">
        <v>8581</v>
      </c>
      <c r="H2161" s="116"/>
      <c r="I2161" s="116"/>
      <c r="L2161" s="169">
        <v>45184</v>
      </c>
      <c r="M2161" s="116">
        <v>781.25</v>
      </c>
      <c r="N2161" s="116">
        <v>791.7</v>
      </c>
      <c r="O2161" s="116">
        <v>778.8</v>
      </c>
      <c r="P2161" s="116">
        <v>787.9</v>
      </c>
      <c r="Q2161" s="116">
        <v>781.25</v>
      </c>
      <c r="R2161">
        <v>464526</v>
      </c>
    </row>
    <row r="2162" spans="1:18" x14ac:dyDescent="0.25">
      <c r="A2162" s="169">
        <v>45196</v>
      </c>
      <c r="B2162" s="116">
        <v>540</v>
      </c>
      <c r="C2162" s="116">
        <v>536.04999999999995</v>
      </c>
      <c r="D2162" s="116">
        <v>534.1</v>
      </c>
      <c r="E2162" s="116">
        <v>536.79999999999995</v>
      </c>
      <c r="F2162" s="116">
        <v>536.04999999999995</v>
      </c>
      <c r="G2162">
        <v>11506</v>
      </c>
      <c r="H2162" s="116"/>
      <c r="I2162" s="116"/>
      <c r="L2162" s="169">
        <v>45187</v>
      </c>
      <c r="M2162" s="116">
        <v>769.6</v>
      </c>
      <c r="N2162" s="116">
        <v>781.95</v>
      </c>
      <c r="O2162" s="116">
        <v>757.95</v>
      </c>
      <c r="P2162" s="116">
        <v>781.4</v>
      </c>
      <c r="Q2162" s="116">
        <v>769.6</v>
      </c>
      <c r="R2162">
        <v>669152</v>
      </c>
    </row>
    <row r="2163" spans="1:18" x14ac:dyDescent="0.25">
      <c r="A2163" s="169">
        <v>45197</v>
      </c>
      <c r="B2163" s="116">
        <v>541.20000000000005</v>
      </c>
      <c r="C2163" s="116">
        <v>535.45000000000005</v>
      </c>
      <c r="D2163" s="116">
        <v>534</v>
      </c>
      <c r="E2163" s="116">
        <v>535</v>
      </c>
      <c r="F2163" s="116">
        <v>535.45000000000005</v>
      </c>
      <c r="G2163">
        <v>20744</v>
      </c>
      <c r="H2163" s="116"/>
      <c r="I2163" s="116"/>
      <c r="L2163" s="169">
        <v>45189</v>
      </c>
      <c r="M2163" s="116">
        <v>771.5</v>
      </c>
      <c r="N2163" s="116">
        <v>783.3</v>
      </c>
      <c r="O2163" s="116">
        <v>764.85</v>
      </c>
      <c r="P2163" s="116">
        <v>767.05</v>
      </c>
      <c r="Q2163" s="116">
        <v>771.5</v>
      </c>
      <c r="R2163">
        <v>525752</v>
      </c>
    </row>
    <row r="2164" spans="1:18" x14ac:dyDescent="0.25">
      <c r="A2164" s="169">
        <v>45198</v>
      </c>
      <c r="B2164" s="116">
        <v>542</v>
      </c>
      <c r="C2164" s="116">
        <v>536.6</v>
      </c>
      <c r="D2164" s="116">
        <v>530.85</v>
      </c>
      <c r="E2164" s="116">
        <v>539.4</v>
      </c>
      <c r="F2164" s="116">
        <v>536.6</v>
      </c>
      <c r="G2164">
        <v>8465</v>
      </c>
      <c r="H2164" s="116"/>
      <c r="I2164" s="116"/>
      <c r="L2164" s="169">
        <v>45190</v>
      </c>
      <c r="M2164" s="116">
        <v>758.8</v>
      </c>
      <c r="N2164" s="116">
        <v>783.95</v>
      </c>
      <c r="O2164" s="116">
        <v>753.35</v>
      </c>
      <c r="P2164" s="116">
        <v>770.45</v>
      </c>
      <c r="Q2164" s="116">
        <v>758.8</v>
      </c>
      <c r="R2164">
        <v>467947</v>
      </c>
    </row>
    <row r="2165" spans="1:18" x14ac:dyDescent="0.25">
      <c r="A2165" s="169">
        <v>45202</v>
      </c>
      <c r="B2165" s="116">
        <v>556.65</v>
      </c>
      <c r="C2165" s="116">
        <v>550.6</v>
      </c>
      <c r="D2165" s="116">
        <v>537.85</v>
      </c>
      <c r="E2165" s="116">
        <v>545</v>
      </c>
      <c r="F2165" s="116">
        <v>550.6</v>
      </c>
      <c r="G2165">
        <v>35827</v>
      </c>
      <c r="H2165" s="116"/>
      <c r="I2165" s="116"/>
      <c r="L2165" s="169">
        <v>45191</v>
      </c>
      <c r="M2165" s="116">
        <v>761.5</v>
      </c>
      <c r="N2165" s="116">
        <v>770</v>
      </c>
      <c r="O2165" s="116">
        <v>755.6</v>
      </c>
      <c r="P2165" s="116">
        <v>765.45</v>
      </c>
      <c r="Q2165" s="116">
        <v>761.5</v>
      </c>
      <c r="R2165">
        <v>479223</v>
      </c>
    </row>
    <row r="2166" spans="1:18" x14ac:dyDescent="0.25">
      <c r="A2166" s="169">
        <v>45203</v>
      </c>
      <c r="B2166" s="116">
        <v>565</v>
      </c>
      <c r="C2166" s="116">
        <v>551.20000000000005</v>
      </c>
      <c r="D2166" s="116">
        <v>541.15</v>
      </c>
      <c r="E2166" s="116">
        <v>546.9</v>
      </c>
      <c r="F2166" s="116">
        <v>551.20000000000005</v>
      </c>
      <c r="G2166">
        <v>38578</v>
      </c>
      <c r="H2166" s="116"/>
      <c r="I2166" s="116"/>
      <c r="L2166" s="169">
        <v>45194</v>
      </c>
      <c r="M2166" s="116">
        <v>771.75</v>
      </c>
      <c r="N2166" s="116">
        <v>776.65</v>
      </c>
      <c r="O2166" s="116">
        <v>737.05</v>
      </c>
      <c r="P2166" s="116">
        <v>763</v>
      </c>
      <c r="Q2166" s="116">
        <v>771.75</v>
      </c>
      <c r="R2166">
        <v>1024817</v>
      </c>
    </row>
    <row r="2167" spans="1:18" x14ac:dyDescent="0.25">
      <c r="A2167" s="169">
        <v>45204</v>
      </c>
      <c r="B2167" s="116">
        <v>565</v>
      </c>
      <c r="C2167" s="116">
        <v>549.6</v>
      </c>
      <c r="D2167" s="116">
        <v>546.75</v>
      </c>
      <c r="E2167" s="116">
        <v>553.04999999999995</v>
      </c>
      <c r="F2167" s="116">
        <v>549.6</v>
      </c>
      <c r="G2167">
        <v>27711</v>
      </c>
      <c r="H2167" s="116"/>
      <c r="I2167" s="116"/>
      <c r="L2167" s="169">
        <v>45195</v>
      </c>
      <c r="M2167" s="116">
        <v>758.85</v>
      </c>
      <c r="N2167" s="116">
        <v>776.75</v>
      </c>
      <c r="O2167" s="116">
        <v>754.45</v>
      </c>
      <c r="P2167" s="116">
        <v>775</v>
      </c>
      <c r="Q2167" s="116">
        <v>758.85</v>
      </c>
      <c r="R2167">
        <v>437747</v>
      </c>
    </row>
    <row r="2168" spans="1:18" x14ac:dyDescent="0.25">
      <c r="A2168" s="169">
        <v>45205</v>
      </c>
      <c r="B2168" s="116">
        <v>567</v>
      </c>
      <c r="C2168" s="116">
        <v>564.04999999999995</v>
      </c>
      <c r="D2168" s="116">
        <v>553.45000000000005</v>
      </c>
      <c r="E2168" s="116">
        <v>553.45000000000005</v>
      </c>
      <c r="F2168" s="116">
        <v>564.04999999999995</v>
      </c>
      <c r="G2168">
        <v>25392</v>
      </c>
      <c r="H2168" s="116"/>
      <c r="I2168" s="116"/>
      <c r="L2168" s="169">
        <v>45196</v>
      </c>
      <c r="M2168" s="116">
        <v>769.95</v>
      </c>
      <c r="N2168" s="116">
        <v>777</v>
      </c>
      <c r="O2168" s="116">
        <v>758</v>
      </c>
      <c r="P2168" s="116">
        <v>758.85</v>
      </c>
      <c r="Q2168" s="116">
        <v>769.95</v>
      </c>
      <c r="R2168">
        <v>785341</v>
      </c>
    </row>
    <row r="2169" spans="1:18" x14ac:dyDescent="0.25">
      <c r="A2169" s="169">
        <v>45208</v>
      </c>
      <c r="B2169" s="116">
        <v>562.95000000000005</v>
      </c>
      <c r="C2169" s="116">
        <v>550.25</v>
      </c>
      <c r="D2169" s="116">
        <v>547.6</v>
      </c>
      <c r="E2169" s="116">
        <v>560</v>
      </c>
      <c r="F2169" s="116">
        <v>550.25</v>
      </c>
      <c r="G2169">
        <v>17159</v>
      </c>
      <c r="H2169" s="116"/>
      <c r="I2169" s="116"/>
      <c r="L2169" s="169">
        <v>45197</v>
      </c>
      <c r="M2169" s="116">
        <v>748.2</v>
      </c>
      <c r="N2169" s="116">
        <v>773.95</v>
      </c>
      <c r="O2169" s="116">
        <v>745.65</v>
      </c>
      <c r="P2169" s="116">
        <v>773.95</v>
      </c>
      <c r="Q2169" s="116">
        <v>748.2</v>
      </c>
      <c r="R2169">
        <v>739021</v>
      </c>
    </row>
    <row r="2170" spans="1:18" x14ac:dyDescent="0.25">
      <c r="A2170" s="169">
        <v>45209</v>
      </c>
      <c r="B2170" s="116">
        <v>585.04999999999995</v>
      </c>
      <c r="C2170" s="116">
        <v>579.1</v>
      </c>
      <c r="D2170" s="116">
        <v>547.04999999999995</v>
      </c>
      <c r="E2170" s="116">
        <v>547.04999999999995</v>
      </c>
      <c r="F2170" s="116">
        <v>579.1</v>
      </c>
      <c r="G2170">
        <v>53393</v>
      </c>
      <c r="H2170" s="116"/>
      <c r="I2170" s="116"/>
      <c r="L2170" s="169">
        <v>45198</v>
      </c>
      <c r="M2170" s="116">
        <v>764.8</v>
      </c>
      <c r="N2170" s="116">
        <v>770.25</v>
      </c>
      <c r="O2170" s="116">
        <v>753</v>
      </c>
      <c r="P2170" s="116">
        <v>754.8</v>
      </c>
      <c r="Q2170" s="116">
        <v>764.8</v>
      </c>
      <c r="R2170">
        <v>690640</v>
      </c>
    </row>
    <row r="2171" spans="1:18" x14ac:dyDescent="0.25">
      <c r="A2171" s="169">
        <v>45210</v>
      </c>
      <c r="B2171" s="116">
        <v>599</v>
      </c>
      <c r="C2171" s="116">
        <v>594.25</v>
      </c>
      <c r="D2171" s="116">
        <v>576.75</v>
      </c>
      <c r="E2171" s="116">
        <v>581</v>
      </c>
      <c r="F2171" s="116">
        <v>594.25</v>
      </c>
      <c r="G2171">
        <v>46626</v>
      </c>
      <c r="H2171" s="116"/>
      <c r="I2171" s="116"/>
      <c r="L2171" s="169">
        <v>45202</v>
      </c>
      <c r="M2171" s="116">
        <v>765.35</v>
      </c>
      <c r="N2171" s="116">
        <v>772.45</v>
      </c>
      <c r="O2171" s="116">
        <v>760.3</v>
      </c>
      <c r="P2171" s="116">
        <v>764.75</v>
      </c>
      <c r="Q2171" s="116">
        <v>765.35</v>
      </c>
      <c r="R2171">
        <v>425743</v>
      </c>
    </row>
    <row r="2172" spans="1:18" x14ac:dyDescent="0.25">
      <c r="A2172" s="169">
        <v>45211</v>
      </c>
      <c r="B2172" s="116">
        <v>611.1</v>
      </c>
      <c r="C2172" s="116">
        <v>603.35</v>
      </c>
      <c r="D2172" s="116">
        <v>594.04999999999995</v>
      </c>
      <c r="E2172" s="116">
        <v>603.9</v>
      </c>
      <c r="F2172" s="116">
        <v>603.35</v>
      </c>
      <c r="G2172">
        <v>70355</v>
      </c>
      <c r="H2172" s="116"/>
      <c r="I2172" s="116"/>
      <c r="L2172" s="169">
        <v>45203</v>
      </c>
      <c r="M2172" s="116">
        <v>754.25</v>
      </c>
      <c r="N2172" s="116">
        <v>763.55</v>
      </c>
      <c r="O2172" s="116">
        <v>746.8</v>
      </c>
      <c r="P2172" s="116">
        <v>760</v>
      </c>
      <c r="Q2172" s="116">
        <v>754.25</v>
      </c>
      <c r="R2172">
        <v>545246</v>
      </c>
    </row>
    <row r="2173" spans="1:18" x14ac:dyDescent="0.25">
      <c r="A2173" s="169">
        <v>45212</v>
      </c>
      <c r="B2173" s="116">
        <v>604.6</v>
      </c>
      <c r="C2173" s="116">
        <v>592.75</v>
      </c>
      <c r="D2173" s="116">
        <v>591</v>
      </c>
      <c r="E2173" s="116">
        <v>602.85</v>
      </c>
      <c r="F2173" s="116">
        <v>592.75</v>
      </c>
      <c r="G2173">
        <v>31753</v>
      </c>
      <c r="H2173" s="116"/>
      <c r="I2173" s="116"/>
      <c r="L2173" s="169">
        <v>45204</v>
      </c>
      <c r="M2173" s="116">
        <v>757.85</v>
      </c>
      <c r="N2173" s="116">
        <v>769.85</v>
      </c>
      <c r="O2173" s="116">
        <v>756.2</v>
      </c>
      <c r="P2173" s="116">
        <v>756.2</v>
      </c>
      <c r="Q2173" s="116">
        <v>757.85</v>
      </c>
      <c r="R2173">
        <v>340178</v>
      </c>
    </row>
    <row r="2174" spans="1:18" x14ac:dyDescent="0.25">
      <c r="A2174" s="169">
        <v>45215</v>
      </c>
      <c r="B2174" s="116">
        <v>599.75</v>
      </c>
      <c r="C2174" s="116">
        <v>576.4</v>
      </c>
      <c r="D2174" s="116">
        <v>574</v>
      </c>
      <c r="E2174" s="116">
        <v>599.75</v>
      </c>
      <c r="F2174" s="116">
        <v>576.4</v>
      </c>
      <c r="G2174">
        <v>22268</v>
      </c>
      <c r="H2174" s="116"/>
      <c r="I2174" s="116"/>
      <c r="L2174" s="169">
        <v>45205</v>
      </c>
      <c r="M2174" s="116">
        <v>773.7</v>
      </c>
      <c r="N2174" s="116">
        <v>776.9</v>
      </c>
      <c r="O2174" s="116">
        <v>759.1</v>
      </c>
      <c r="P2174" s="116">
        <v>759.1</v>
      </c>
      <c r="Q2174" s="116">
        <v>773.7</v>
      </c>
      <c r="R2174">
        <v>540414</v>
      </c>
    </row>
    <row r="2175" spans="1:18" x14ac:dyDescent="0.25">
      <c r="A2175" s="169">
        <v>45216</v>
      </c>
      <c r="B2175" s="116">
        <v>599</v>
      </c>
      <c r="C2175" s="116">
        <v>571.54999999999995</v>
      </c>
      <c r="D2175" s="116">
        <v>565.70000000000005</v>
      </c>
      <c r="E2175" s="116">
        <v>577</v>
      </c>
      <c r="F2175" s="116">
        <v>571.54999999999995</v>
      </c>
      <c r="G2175">
        <v>14915</v>
      </c>
      <c r="H2175" s="116"/>
      <c r="I2175" s="116"/>
      <c r="L2175" s="169">
        <v>45208</v>
      </c>
      <c r="M2175" s="116">
        <v>750.4</v>
      </c>
      <c r="N2175" s="116">
        <v>766.7</v>
      </c>
      <c r="O2175" s="116">
        <v>746.05</v>
      </c>
      <c r="P2175" s="116">
        <v>766.55</v>
      </c>
      <c r="Q2175" s="116">
        <v>750.4</v>
      </c>
      <c r="R2175">
        <v>405469</v>
      </c>
    </row>
    <row r="2176" spans="1:18" x14ac:dyDescent="0.25">
      <c r="A2176" s="169">
        <v>45217</v>
      </c>
      <c r="B2176" s="116">
        <v>579.4</v>
      </c>
      <c r="C2176" s="116">
        <v>566.35</v>
      </c>
      <c r="D2176" s="116">
        <v>560.35</v>
      </c>
      <c r="E2176" s="116">
        <v>572.04999999999995</v>
      </c>
      <c r="F2176" s="116">
        <v>566.35</v>
      </c>
      <c r="G2176">
        <v>14571</v>
      </c>
      <c r="H2176" s="116"/>
      <c r="I2176" s="116"/>
      <c r="L2176" s="169">
        <v>45209</v>
      </c>
      <c r="M2176" s="116">
        <v>758.9</v>
      </c>
      <c r="N2176" s="116">
        <v>761.55</v>
      </c>
      <c r="O2176" s="116">
        <v>753.55</v>
      </c>
      <c r="P2176" s="116">
        <v>756.4</v>
      </c>
      <c r="Q2176" s="116">
        <v>758.9</v>
      </c>
      <c r="R2176">
        <v>211643</v>
      </c>
    </row>
    <row r="2177" spans="1:18" x14ac:dyDescent="0.25">
      <c r="A2177" s="169">
        <v>45218</v>
      </c>
      <c r="B2177" s="116">
        <v>570.9</v>
      </c>
      <c r="C2177" s="116">
        <v>566.15</v>
      </c>
      <c r="D2177" s="116">
        <v>560.15</v>
      </c>
      <c r="E2177" s="116">
        <v>565.1</v>
      </c>
      <c r="F2177" s="116">
        <v>566.15</v>
      </c>
      <c r="G2177">
        <v>22638</v>
      </c>
      <c r="H2177" s="116"/>
      <c r="I2177" s="116"/>
      <c r="L2177" s="169">
        <v>45210</v>
      </c>
      <c r="M2177" s="116">
        <v>755.05</v>
      </c>
      <c r="N2177" s="116">
        <v>767.8</v>
      </c>
      <c r="O2177" s="116">
        <v>751.1</v>
      </c>
      <c r="P2177" s="116">
        <v>760</v>
      </c>
      <c r="Q2177" s="116">
        <v>755.05</v>
      </c>
      <c r="R2177">
        <v>509165</v>
      </c>
    </row>
    <row r="2178" spans="1:18" x14ac:dyDescent="0.25">
      <c r="A2178" s="169">
        <v>45219</v>
      </c>
      <c r="B2178" s="116">
        <v>574.4</v>
      </c>
      <c r="C2178" s="116">
        <v>555.45000000000005</v>
      </c>
      <c r="D2178" s="116">
        <v>553.95000000000005</v>
      </c>
      <c r="E2178" s="116">
        <v>567.9</v>
      </c>
      <c r="F2178" s="116">
        <v>555.45000000000005</v>
      </c>
      <c r="G2178">
        <v>27965</v>
      </c>
      <c r="H2178" s="116"/>
      <c r="I2178" s="116"/>
      <c r="L2178" s="169">
        <v>45211</v>
      </c>
      <c r="M2178" s="116">
        <v>752.25</v>
      </c>
      <c r="N2178" s="116">
        <v>762.6</v>
      </c>
      <c r="O2178" s="116">
        <v>750</v>
      </c>
      <c r="P2178" s="116">
        <v>756</v>
      </c>
      <c r="Q2178" s="116">
        <v>752.25</v>
      </c>
      <c r="R2178">
        <v>197145</v>
      </c>
    </row>
    <row r="2179" spans="1:18" x14ac:dyDescent="0.25">
      <c r="A2179" s="169">
        <v>45222</v>
      </c>
      <c r="B2179" s="116">
        <v>566.6</v>
      </c>
      <c r="C2179" s="116">
        <v>519.04999999999995</v>
      </c>
      <c r="D2179" s="116">
        <v>513</v>
      </c>
      <c r="E2179" s="116">
        <v>566.5</v>
      </c>
      <c r="F2179" s="116">
        <v>519.04999999999995</v>
      </c>
      <c r="G2179">
        <v>42112</v>
      </c>
      <c r="H2179" s="116"/>
      <c r="I2179" s="116"/>
      <c r="L2179" s="169">
        <v>45212</v>
      </c>
      <c r="M2179" s="116">
        <v>746.85</v>
      </c>
      <c r="N2179" s="116">
        <v>758.7</v>
      </c>
      <c r="O2179" s="116">
        <v>743.15</v>
      </c>
      <c r="P2179" s="116">
        <v>752</v>
      </c>
      <c r="Q2179" s="116">
        <v>746.85</v>
      </c>
      <c r="R2179">
        <v>453556</v>
      </c>
    </row>
    <row r="2180" spans="1:18" x14ac:dyDescent="0.25">
      <c r="A2180" s="169">
        <v>45224</v>
      </c>
      <c r="B2180" s="116">
        <v>531.6</v>
      </c>
      <c r="C2180" s="116">
        <v>517.04999999999995</v>
      </c>
      <c r="D2180" s="116">
        <v>502.45</v>
      </c>
      <c r="E2180" s="116">
        <v>525.95000000000005</v>
      </c>
      <c r="F2180" s="116">
        <v>517.04999999999995</v>
      </c>
      <c r="G2180">
        <v>60395</v>
      </c>
      <c r="H2180" s="116"/>
      <c r="I2180" s="116"/>
      <c r="L2180" s="169">
        <v>45215</v>
      </c>
      <c r="M2180" s="116">
        <v>738.95</v>
      </c>
      <c r="N2180" s="116">
        <v>746.85</v>
      </c>
      <c r="O2180" s="116">
        <v>738</v>
      </c>
      <c r="P2180" s="116">
        <v>742.2</v>
      </c>
      <c r="Q2180" s="116">
        <v>738.95</v>
      </c>
      <c r="R2180">
        <v>387137</v>
      </c>
    </row>
    <row r="2181" spans="1:18" x14ac:dyDescent="0.25">
      <c r="A2181" s="169">
        <v>45225</v>
      </c>
      <c r="B2181" s="116">
        <v>523.70000000000005</v>
      </c>
      <c r="C2181" s="116">
        <v>516.4</v>
      </c>
      <c r="D2181" s="116">
        <v>513</v>
      </c>
      <c r="E2181" s="116">
        <v>519.9</v>
      </c>
      <c r="F2181" s="116">
        <v>516.4</v>
      </c>
      <c r="G2181">
        <v>47181</v>
      </c>
      <c r="H2181" s="116"/>
      <c r="I2181" s="116"/>
      <c r="L2181" s="169">
        <v>45216</v>
      </c>
      <c r="M2181" s="116">
        <v>768.25</v>
      </c>
      <c r="N2181" s="116">
        <v>770.5</v>
      </c>
      <c r="O2181" s="116">
        <v>741.15</v>
      </c>
      <c r="P2181" s="116">
        <v>742.8</v>
      </c>
      <c r="Q2181" s="116">
        <v>768.25</v>
      </c>
      <c r="R2181">
        <v>1608867</v>
      </c>
    </row>
    <row r="2182" spans="1:18" x14ac:dyDescent="0.25">
      <c r="A2182" s="169">
        <v>45226</v>
      </c>
      <c r="B2182" s="116">
        <v>574.4</v>
      </c>
      <c r="C2182" s="116">
        <v>526.95000000000005</v>
      </c>
      <c r="D2182" s="116">
        <v>515.25</v>
      </c>
      <c r="E2182" s="116">
        <v>515.25</v>
      </c>
      <c r="F2182" s="116">
        <v>526.95000000000005</v>
      </c>
      <c r="G2182">
        <v>39589</v>
      </c>
      <c r="H2182" s="116"/>
      <c r="I2182" s="116"/>
      <c r="L2182" s="169">
        <v>45217</v>
      </c>
      <c r="M2182" s="116">
        <v>762.7</v>
      </c>
      <c r="N2182" s="116">
        <v>776</v>
      </c>
      <c r="O2182" s="116">
        <v>752</v>
      </c>
      <c r="P2182" s="116">
        <v>773</v>
      </c>
      <c r="Q2182" s="116">
        <v>762.7</v>
      </c>
      <c r="R2182">
        <v>1863055</v>
      </c>
    </row>
    <row r="2183" spans="1:18" x14ac:dyDescent="0.25">
      <c r="A2183" s="169">
        <v>45229</v>
      </c>
      <c r="B2183" s="116">
        <v>530.9</v>
      </c>
      <c r="C2183" s="116">
        <v>519.45000000000005</v>
      </c>
      <c r="D2183" s="116">
        <v>517</v>
      </c>
      <c r="E2183" s="116">
        <v>525</v>
      </c>
      <c r="F2183" s="116">
        <v>519.45000000000005</v>
      </c>
      <c r="G2183">
        <v>16571</v>
      </c>
      <c r="H2183" s="116"/>
      <c r="I2183" s="116"/>
      <c r="L2183" s="169">
        <v>45218</v>
      </c>
      <c r="M2183" s="116">
        <v>765.1</v>
      </c>
      <c r="N2183" s="116">
        <v>769.5</v>
      </c>
      <c r="O2183" s="116">
        <v>755.8</v>
      </c>
      <c r="P2183" s="116">
        <v>764.15</v>
      </c>
      <c r="Q2183" s="116">
        <v>765.1</v>
      </c>
      <c r="R2183">
        <v>1170357</v>
      </c>
    </row>
    <row r="2184" spans="1:18" x14ac:dyDescent="0.25">
      <c r="A2184" s="169">
        <v>45230</v>
      </c>
      <c r="B2184" s="116">
        <v>526.75</v>
      </c>
      <c r="C2184" s="116">
        <v>515.85</v>
      </c>
      <c r="D2184" s="116">
        <v>513.5</v>
      </c>
      <c r="E2184" s="116">
        <v>513.5</v>
      </c>
      <c r="F2184" s="116">
        <v>515.85</v>
      </c>
      <c r="G2184">
        <v>25799</v>
      </c>
      <c r="H2184" s="116"/>
      <c r="I2184" s="116"/>
      <c r="L2184" s="169">
        <v>45219</v>
      </c>
      <c r="M2184" s="116">
        <v>761.75</v>
      </c>
      <c r="N2184" s="116">
        <v>782.95</v>
      </c>
      <c r="O2184" s="116">
        <v>757.25</v>
      </c>
      <c r="P2184" s="116">
        <v>764.45</v>
      </c>
      <c r="Q2184" s="116">
        <v>761.75</v>
      </c>
      <c r="R2184">
        <v>2055776</v>
      </c>
    </row>
    <row r="2185" spans="1:18" x14ac:dyDescent="0.25">
      <c r="A2185" s="169">
        <v>45231</v>
      </c>
      <c r="B2185" s="116">
        <v>528</v>
      </c>
      <c r="C2185" s="116">
        <v>522.20000000000005</v>
      </c>
      <c r="D2185" s="116">
        <v>511.05</v>
      </c>
      <c r="E2185" s="116">
        <v>515.04999999999995</v>
      </c>
      <c r="F2185" s="116">
        <v>522.20000000000005</v>
      </c>
      <c r="G2185">
        <v>33210</v>
      </c>
      <c r="H2185" s="116"/>
      <c r="I2185" s="116"/>
      <c r="L2185" s="169">
        <v>45222</v>
      </c>
      <c r="M2185" s="116">
        <v>736.15</v>
      </c>
      <c r="N2185" s="116">
        <v>768.25</v>
      </c>
      <c r="O2185" s="116">
        <v>728.7</v>
      </c>
      <c r="P2185" s="116">
        <v>760.05</v>
      </c>
      <c r="Q2185" s="116">
        <v>736.15</v>
      </c>
      <c r="R2185">
        <v>838083</v>
      </c>
    </row>
    <row r="2186" spans="1:18" x14ac:dyDescent="0.25">
      <c r="A2186" s="169">
        <v>45232</v>
      </c>
      <c r="B2186" s="116">
        <v>533.9</v>
      </c>
      <c r="C2186" s="116">
        <v>523.45000000000005</v>
      </c>
      <c r="D2186" s="116">
        <v>520.79999999999995</v>
      </c>
      <c r="E2186" s="116">
        <v>531.6</v>
      </c>
      <c r="F2186" s="116">
        <v>523.45000000000005</v>
      </c>
      <c r="G2186">
        <v>29124</v>
      </c>
      <c r="H2186" s="116"/>
      <c r="I2186" s="116"/>
      <c r="L2186" s="169">
        <v>45224</v>
      </c>
      <c r="M2186" s="116">
        <v>720.9</v>
      </c>
      <c r="N2186" s="116">
        <v>746.2</v>
      </c>
      <c r="O2186" s="116">
        <v>717</v>
      </c>
      <c r="P2186" s="116">
        <v>740.45</v>
      </c>
      <c r="Q2186" s="116">
        <v>720.9</v>
      </c>
      <c r="R2186">
        <v>807717</v>
      </c>
    </row>
    <row r="2187" spans="1:18" x14ac:dyDescent="0.25">
      <c r="A2187" s="169">
        <v>45233</v>
      </c>
      <c r="B2187" s="116">
        <v>535.45000000000005</v>
      </c>
      <c r="C2187" s="116">
        <v>530.25</v>
      </c>
      <c r="D2187" s="116">
        <v>527.1</v>
      </c>
      <c r="E2187" s="116">
        <v>533.95000000000005</v>
      </c>
      <c r="F2187" s="116">
        <v>530.25</v>
      </c>
      <c r="G2187">
        <v>46828</v>
      </c>
      <c r="H2187" s="116"/>
      <c r="I2187" s="116"/>
      <c r="L2187" s="169">
        <v>45225</v>
      </c>
      <c r="M2187" s="116">
        <v>719.8</v>
      </c>
      <c r="N2187" s="116">
        <v>722</v>
      </c>
      <c r="O2187" s="116">
        <v>692.05</v>
      </c>
      <c r="P2187" s="116">
        <v>719.5</v>
      </c>
      <c r="Q2187" s="116">
        <v>719.8</v>
      </c>
      <c r="R2187">
        <v>987386</v>
      </c>
    </row>
    <row r="2188" spans="1:18" x14ac:dyDescent="0.25">
      <c r="A2188" s="169">
        <v>45236</v>
      </c>
      <c r="B2188" s="116">
        <v>549</v>
      </c>
      <c r="C2188" s="116">
        <v>539.5</v>
      </c>
      <c r="D2188" s="116">
        <v>485.3</v>
      </c>
      <c r="E2188" s="116">
        <v>535</v>
      </c>
      <c r="F2188" s="116">
        <v>539.5</v>
      </c>
      <c r="G2188">
        <v>156124</v>
      </c>
      <c r="H2188" s="116"/>
      <c r="I2188" s="116"/>
      <c r="L2188" s="169">
        <v>45226</v>
      </c>
      <c r="M2188" s="116">
        <v>740.7</v>
      </c>
      <c r="N2188" s="116">
        <v>745</v>
      </c>
      <c r="O2188" s="116">
        <v>721.35</v>
      </c>
      <c r="P2188" s="116">
        <v>723.95</v>
      </c>
      <c r="Q2188" s="116">
        <v>740.7</v>
      </c>
      <c r="R2188">
        <v>575335</v>
      </c>
    </row>
    <row r="2189" spans="1:18" x14ac:dyDescent="0.25">
      <c r="A2189" s="169">
        <v>45237</v>
      </c>
      <c r="B2189" s="116">
        <v>539.29999999999995</v>
      </c>
      <c r="C2189" s="116">
        <v>532.70000000000005</v>
      </c>
      <c r="D2189" s="116">
        <v>530.1</v>
      </c>
      <c r="E2189" s="116">
        <v>539.29999999999995</v>
      </c>
      <c r="F2189" s="116">
        <v>532.70000000000005</v>
      </c>
      <c r="G2189">
        <v>7536</v>
      </c>
      <c r="H2189" s="116"/>
      <c r="I2189" s="116"/>
      <c r="L2189" s="169">
        <v>45229</v>
      </c>
      <c r="M2189" s="116">
        <v>751.7</v>
      </c>
      <c r="N2189" s="116">
        <v>755</v>
      </c>
      <c r="O2189" s="116">
        <v>736.7</v>
      </c>
      <c r="P2189" s="116">
        <v>744.8</v>
      </c>
      <c r="Q2189" s="116">
        <v>751.7</v>
      </c>
      <c r="R2189">
        <v>480397</v>
      </c>
    </row>
    <row r="2190" spans="1:18" x14ac:dyDescent="0.25">
      <c r="A2190" s="169">
        <v>45238</v>
      </c>
      <c r="B2190" s="116">
        <v>540.15</v>
      </c>
      <c r="C2190" s="116">
        <v>530.70000000000005</v>
      </c>
      <c r="D2190" s="116">
        <v>529.79999999999995</v>
      </c>
      <c r="E2190" s="116">
        <v>538.65</v>
      </c>
      <c r="F2190" s="116">
        <v>530.70000000000005</v>
      </c>
      <c r="G2190">
        <v>13617</v>
      </c>
      <c r="H2190" s="116"/>
      <c r="I2190" s="116"/>
      <c r="L2190" s="169">
        <v>45230</v>
      </c>
      <c r="M2190" s="116">
        <v>763.45</v>
      </c>
      <c r="N2190" s="116">
        <v>768.2</v>
      </c>
      <c r="O2190" s="116">
        <v>752.75</v>
      </c>
      <c r="P2190" s="116">
        <v>752.95</v>
      </c>
      <c r="Q2190" s="116">
        <v>763.45</v>
      </c>
      <c r="R2190">
        <v>537057</v>
      </c>
    </row>
    <row r="2191" spans="1:18" x14ac:dyDescent="0.25">
      <c r="A2191" s="169">
        <v>45239</v>
      </c>
      <c r="B2191" s="116">
        <v>537.35</v>
      </c>
      <c r="C2191" s="116">
        <v>533.4</v>
      </c>
      <c r="D2191" s="116">
        <v>526.1</v>
      </c>
      <c r="E2191" s="116">
        <v>530</v>
      </c>
      <c r="F2191" s="116">
        <v>533.4</v>
      </c>
      <c r="G2191">
        <v>20258</v>
      </c>
      <c r="H2191" s="116"/>
      <c r="I2191" s="116"/>
      <c r="L2191" s="169">
        <v>45231</v>
      </c>
      <c r="M2191" s="116">
        <v>758.7</v>
      </c>
      <c r="N2191" s="116">
        <v>776.4</v>
      </c>
      <c r="O2191" s="116">
        <v>756.85</v>
      </c>
      <c r="P2191" s="116">
        <v>764.2</v>
      </c>
      <c r="Q2191" s="116">
        <v>758.7</v>
      </c>
      <c r="R2191">
        <v>437508</v>
      </c>
    </row>
    <row r="2192" spans="1:18" x14ac:dyDescent="0.25">
      <c r="A2192" s="169">
        <v>45240</v>
      </c>
      <c r="B2192" s="116">
        <v>539</v>
      </c>
      <c r="C2192" s="116">
        <v>522.29999999999995</v>
      </c>
      <c r="D2192" s="116">
        <v>518.54999999999995</v>
      </c>
      <c r="E2192" s="116">
        <v>533.79999999999995</v>
      </c>
      <c r="F2192" s="116">
        <v>522.29999999999995</v>
      </c>
      <c r="G2192">
        <v>17746</v>
      </c>
      <c r="H2192" s="116"/>
      <c r="I2192" s="116"/>
      <c r="L2192" s="169">
        <v>45232</v>
      </c>
      <c r="M2192" s="116">
        <v>768.9</v>
      </c>
      <c r="N2192" s="116">
        <v>772.9</v>
      </c>
      <c r="O2192" s="116">
        <v>762.55</v>
      </c>
      <c r="P2192" s="116">
        <v>762.7</v>
      </c>
      <c r="Q2192" s="116">
        <v>768.9</v>
      </c>
      <c r="R2192">
        <v>360254</v>
      </c>
    </row>
    <row r="2193" spans="1:18" x14ac:dyDescent="0.25">
      <c r="A2193" s="169">
        <v>45242</v>
      </c>
      <c r="B2193" s="116">
        <v>538</v>
      </c>
      <c r="C2193" s="116">
        <v>535.4</v>
      </c>
      <c r="D2193" s="116">
        <v>522.1</v>
      </c>
      <c r="E2193" s="116">
        <v>522.29999999999995</v>
      </c>
      <c r="F2193" s="116">
        <v>535.4</v>
      </c>
      <c r="G2193">
        <v>8802</v>
      </c>
      <c r="H2193" s="116"/>
      <c r="I2193" s="116"/>
      <c r="L2193" s="169">
        <v>45233</v>
      </c>
      <c r="M2193" s="116">
        <v>772.05</v>
      </c>
      <c r="N2193" s="116">
        <v>780.5</v>
      </c>
      <c r="O2193" s="116">
        <v>769</v>
      </c>
      <c r="P2193" s="116">
        <v>773.5</v>
      </c>
      <c r="Q2193" s="116">
        <v>772.05</v>
      </c>
      <c r="R2193">
        <v>380511</v>
      </c>
    </row>
    <row r="2194" spans="1:18" x14ac:dyDescent="0.25">
      <c r="A2194" s="169">
        <v>45243</v>
      </c>
      <c r="B2194" s="116">
        <v>536</v>
      </c>
      <c r="C2194" s="116">
        <v>524.75</v>
      </c>
      <c r="D2194" s="116">
        <v>521.5</v>
      </c>
      <c r="E2194" s="116">
        <v>536</v>
      </c>
      <c r="F2194" s="116">
        <v>524.75</v>
      </c>
      <c r="G2194">
        <v>18806</v>
      </c>
      <c r="H2194" s="116"/>
      <c r="I2194" s="116"/>
      <c r="L2194" s="169">
        <v>45236</v>
      </c>
      <c r="M2194" s="116">
        <v>776.6</v>
      </c>
      <c r="N2194" s="116">
        <v>781.1</v>
      </c>
      <c r="O2194" s="116">
        <v>770.95</v>
      </c>
      <c r="P2194" s="116">
        <v>775.25</v>
      </c>
      <c r="Q2194" s="116">
        <v>776.6</v>
      </c>
      <c r="R2194">
        <v>314085</v>
      </c>
    </row>
    <row r="2195" spans="1:18" x14ac:dyDescent="0.25">
      <c r="A2195" s="169">
        <v>45245</v>
      </c>
      <c r="B2195" s="116">
        <v>550</v>
      </c>
      <c r="C2195" s="116">
        <v>543.5</v>
      </c>
      <c r="D2195" s="116">
        <v>522.4</v>
      </c>
      <c r="E2195" s="116">
        <v>526.25</v>
      </c>
      <c r="F2195" s="116">
        <v>543.5</v>
      </c>
      <c r="G2195">
        <v>48217</v>
      </c>
      <c r="H2195" s="116"/>
      <c r="I2195" s="116"/>
      <c r="L2195" s="169">
        <v>45237</v>
      </c>
      <c r="M2195" s="116">
        <v>756.5</v>
      </c>
      <c r="N2195" s="116">
        <v>776.5</v>
      </c>
      <c r="O2195" s="116">
        <v>754.55</v>
      </c>
      <c r="P2195" s="116">
        <v>775.1</v>
      </c>
      <c r="Q2195" s="116">
        <v>756.5</v>
      </c>
      <c r="R2195">
        <v>335202</v>
      </c>
    </row>
    <row r="2196" spans="1:18" x14ac:dyDescent="0.25">
      <c r="A2196" s="169">
        <v>45246</v>
      </c>
      <c r="B2196" s="116">
        <v>565.15</v>
      </c>
      <c r="C2196" s="116">
        <v>557</v>
      </c>
      <c r="D2196" s="116">
        <v>542.5</v>
      </c>
      <c r="E2196" s="116">
        <v>544.35</v>
      </c>
      <c r="F2196" s="116">
        <v>557</v>
      </c>
      <c r="G2196">
        <v>36471</v>
      </c>
      <c r="H2196" s="116"/>
      <c r="I2196" s="116"/>
      <c r="L2196" s="169">
        <v>45238</v>
      </c>
      <c r="M2196" s="116">
        <v>761.4</v>
      </c>
      <c r="N2196" s="116">
        <v>764.95</v>
      </c>
      <c r="O2196" s="116">
        <v>757</v>
      </c>
      <c r="P2196" s="116">
        <v>757.25</v>
      </c>
      <c r="Q2196" s="116">
        <v>761.4</v>
      </c>
      <c r="R2196">
        <v>172512</v>
      </c>
    </row>
    <row r="2197" spans="1:18" x14ac:dyDescent="0.25">
      <c r="A2197" s="169">
        <v>45247</v>
      </c>
      <c r="B2197" s="116">
        <v>573.4</v>
      </c>
      <c r="C2197" s="116">
        <v>568.9</v>
      </c>
      <c r="D2197" s="116">
        <v>554</v>
      </c>
      <c r="E2197" s="116">
        <v>559</v>
      </c>
      <c r="F2197" s="116">
        <v>568.9</v>
      </c>
      <c r="G2197">
        <v>66285</v>
      </c>
      <c r="H2197" s="116"/>
      <c r="I2197" s="116"/>
      <c r="L2197" s="169">
        <v>45239</v>
      </c>
      <c r="M2197" s="116">
        <v>754.45</v>
      </c>
      <c r="N2197" s="116">
        <v>769.5</v>
      </c>
      <c r="O2197" s="116">
        <v>750.45</v>
      </c>
      <c r="P2197" s="116">
        <v>762.15</v>
      </c>
      <c r="Q2197" s="116">
        <v>754.45</v>
      </c>
      <c r="R2197">
        <v>276416</v>
      </c>
    </row>
    <row r="2198" spans="1:18" x14ac:dyDescent="0.25">
      <c r="A2198" s="169">
        <v>45250</v>
      </c>
      <c r="B2198" s="116">
        <v>578.5</v>
      </c>
      <c r="C2198" s="116">
        <v>563.75</v>
      </c>
      <c r="D2198" s="116">
        <v>559</v>
      </c>
      <c r="E2198" s="116">
        <v>568.9</v>
      </c>
      <c r="F2198" s="116">
        <v>563.75</v>
      </c>
      <c r="G2198">
        <v>35267</v>
      </c>
      <c r="H2198" s="116"/>
      <c r="I2198" s="116"/>
      <c r="L2198" s="169">
        <v>45240</v>
      </c>
      <c r="M2198" s="116">
        <v>748.35</v>
      </c>
      <c r="N2198" s="116">
        <v>755.9</v>
      </c>
      <c r="O2198" s="116">
        <v>746.7</v>
      </c>
      <c r="P2198" s="116">
        <v>753.9</v>
      </c>
      <c r="Q2198" s="116">
        <v>748.35</v>
      </c>
      <c r="R2198">
        <v>199819</v>
      </c>
    </row>
    <row r="2199" spans="1:18" x14ac:dyDescent="0.25">
      <c r="A2199" s="169">
        <v>45251</v>
      </c>
      <c r="B2199" s="116">
        <v>574.29999999999995</v>
      </c>
      <c r="C2199" s="116">
        <v>571.1</v>
      </c>
      <c r="D2199" s="116">
        <v>564.1</v>
      </c>
      <c r="E2199" s="116">
        <v>567.95000000000005</v>
      </c>
      <c r="F2199" s="116">
        <v>571.1</v>
      </c>
      <c r="G2199">
        <v>25849</v>
      </c>
      <c r="H2199" s="116"/>
      <c r="I2199" s="116"/>
      <c r="L2199" s="169">
        <v>45242</v>
      </c>
      <c r="M2199" s="116">
        <v>756.5</v>
      </c>
      <c r="N2199" s="116">
        <v>759</v>
      </c>
      <c r="O2199" s="116">
        <v>751.2</v>
      </c>
      <c r="P2199" s="116">
        <v>751.2</v>
      </c>
      <c r="Q2199" s="116">
        <v>756.5</v>
      </c>
      <c r="R2199">
        <v>29968</v>
      </c>
    </row>
    <row r="2200" spans="1:18" x14ac:dyDescent="0.25">
      <c r="A2200" s="169">
        <v>45252</v>
      </c>
      <c r="B2200" s="116">
        <v>624.29999999999995</v>
      </c>
      <c r="C2200" s="116">
        <v>568.6</v>
      </c>
      <c r="D2200" s="116">
        <v>565.04999999999995</v>
      </c>
      <c r="E2200" s="116">
        <v>571.1</v>
      </c>
      <c r="F2200" s="116">
        <v>568.6</v>
      </c>
      <c r="G2200">
        <v>125409</v>
      </c>
      <c r="H2200" s="116"/>
      <c r="I2200" s="116"/>
      <c r="L2200" s="169">
        <v>45243</v>
      </c>
      <c r="M2200" s="116">
        <v>748.7</v>
      </c>
      <c r="N2200" s="116">
        <v>756.8</v>
      </c>
      <c r="O2200" s="116">
        <v>746.85</v>
      </c>
      <c r="P2200" s="116">
        <v>756</v>
      </c>
      <c r="Q2200" s="116">
        <v>748.7</v>
      </c>
      <c r="R2200">
        <v>158426</v>
      </c>
    </row>
    <row r="2201" spans="1:18" x14ac:dyDescent="0.25">
      <c r="A2201" s="169">
        <v>45253</v>
      </c>
      <c r="B2201" s="116">
        <v>573.9</v>
      </c>
      <c r="C2201" s="116">
        <v>549.45000000000005</v>
      </c>
      <c r="D2201" s="116">
        <v>546.25</v>
      </c>
      <c r="E2201" s="116">
        <v>573.9</v>
      </c>
      <c r="F2201" s="116">
        <v>549.45000000000005</v>
      </c>
      <c r="G2201">
        <v>24643</v>
      </c>
      <c r="H2201" s="116"/>
      <c r="I2201" s="116"/>
      <c r="L2201" s="169">
        <v>45245</v>
      </c>
      <c r="M2201" s="116">
        <v>752.3</v>
      </c>
      <c r="N2201" s="116">
        <v>764.8</v>
      </c>
      <c r="O2201" s="116">
        <v>750.25</v>
      </c>
      <c r="P2201" s="116">
        <v>755.9</v>
      </c>
      <c r="Q2201" s="116">
        <v>752.3</v>
      </c>
      <c r="R2201">
        <v>606512</v>
      </c>
    </row>
    <row r="2202" spans="1:18" x14ac:dyDescent="0.25">
      <c r="A2202" s="169">
        <v>45254</v>
      </c>
      <c r="B2202" s="116">
        <v>557.79999999999995</v>
      </c>
      <c r="C2202" s="116">
        <v>538.79999999999995</v>
      </c>
      <c r="D2202" s="116">
        <v>537</v>
      </c>
      <c r="E2202" s="116">
        <v>557.79999999999995</v>
      </c>
      <c r="F2202" s="116">
        <v>538.79999999999995</v>
      </c>
      <c r="G2202">
        <v>16098</v>
      </c>
      <c r="H2202" s="116"/>
      <c r="I2202" s="116"/>
      <c r="L2202" s="169">
        <v>45246</v>
      </c>
      <c r="M2202" s="116">
        <v>749.5</v>
      </c>
      <c r="N2202" s="116">
        <v>757.25</v>
      </c>
      <c r="O2202" s="116">
        <v>747.7</v>
      </c>
      <c r="P2202" s="116">
        <v>752.4</v>
      </c>
      <c r="Q2202" s="116">
        <v>749.5</v>
      </c>
      <c r="R2202">
        <v>176802</v>
      </c>
    </row>
    <row r="2203" spans="1:18" x14ac:dyDescent="0.25">
      <c r="A2203" s="169">
        <v>45258</v>
      </c>
      <c r="B2203" s="116">
        <v>545.04999999999995</v>
      </c>
      <c r="C2203" s="116">
        <v>524.20000000000005</v>
      </c>
      <c r="D2203" s="116">
        <v>520.1</v>
      </c>
      <c r="E2203" s="116">
        <v>540.5</v>
      </c>
      <c r="F2203" s="116">
        <v>524.20000000000005</v>
      </c>
      <c r="G2203">
        <v>29723</v>
      </c>
      <c r="H2203" s="116"/>
      <c r="I2203" s="116"/>
      <c r="L2203" s="169">
        <v>45247</v>
      </c>
      <c r="M2203" s="116">
        <v>766.5</v>
      </c>
      <c r="N2203" s="116">
        <v>771.95</v>
      </c>
      <c r="O2203" s="116">
        <v>746.1</v>
      </c>
      <c r="P2203" s="116">
        <v>746.1</v>
      </c>
      <c r="Q2203" s="116">
        <v>766.5</v>
      </c>
      <c r="R2203">
        <v>1021033</v>
      </c>
    </row>
    <row r="2204" spans="1:18" x14ac:dyDescent="0.25">
      <c r="A2204" s="169">
        <v>45259</v>
      </c>
      <c r="B2204" s="116">
        <v>537.15</v>
      </c>
      <c r="C2204" s="116">
        <v>525.9</v>
      </c>
      <c r="D2204" s="116">
        <v>524.4</v>
      </c>
      <c r="E2204" s="116">
        <v>525</v>
      </c>
      <c r="F2204" s="116">
        <v>525.9</v>
      </c>
      <c r="G2204">
        <v>36605</v>
      </c>
      <c r="H2204" s="116"/>
      <c r="I2204" s="116"/>
      <c r="L2204" s="169">
        <v>45250</v>
      </c>
      <c r="M2204" s="116">
        <v>773.35</v>
      </c>
      <c r="N2204" s="116">
        <v>791.9</v>
      </c>
      <c r="O2204" s="116">
        <v>766.7</v>
      </c>
      <c r="P2204" s="116">
        <v>771.75</v>
      </c>
      <c r="Q2204" s="116">
        <v>773.35</v>
      </c>
      <c r="R2204">
        <v>1110878</v>
      </c>
    </row>
    <row r="2205" spans="1:18" x14ac:dyDescent="0.25">
      <c r="A2205" s="169">
        <v>45260</v>
      </c>
      <c r="B2205" s="116">
        <v>542.04999999999995</v>
      </c>
      <c r="C2205" s="116">
        <v>520.1</v>
      </c>
      <c r="D2205" s="116">
        <v>516.20000000000005</v>
      </c>
      <c r="E2205" s="116">
        <v>530</v>
      </c>
      <c r="F2205" s="116">
        <v>520.1</v>
      </c>
      <c r="G2205">
        <v>35115</v>
      </c>
      <c r="H2205" s="116"/>
      <c r="I2205" s="116"/>
      <c r="L2205" s="169">
        <v>45251</v>
      </c>
      <c r="M2205" s="116">
        <v>779.7</v>
      </c>
      <c r="N2205" s="116">
        <v>785</v>
      </c>
      <c r="O2205" s="116">
        <v>770.1</v>
      </c>
      <c r="P2205" s="116">
        <v>774</v>
      </c>
      <c r="Q2205" s="116">
        <v>779.7</v>
      </c>
      <c r="R2205">
        <v>539366</v>
      </c>
    </row>
    <row r="2206" spans="1:18" x14ac:dyDescent="0.25">
      <c r="A2206" s="169">
        <v>45261</v>
      </c>
      <c r="B2206" s="116">
        <v>537</v>
      </c>
      <c r="C2206" s="116">
        <v>523.70000000000005</v>
      </c>
      <c r="D2206" s="116">
        <v>522</v>
      </c>
      <c r="E2206" s="116">
        <v>537</v>
      </c>
      <c r="F2206" s="116">
        <v>523.70000000000005</v>
      </c>
      <c r="G2206">
        <v>8226</v>
      </c>
      <c r="H2206" s="116"/>
      <c r="I2206" s="116"/>
      <c r="L2206" s="169">
        <v>45252</v>
      </c>
      <c r="M2206" s="116">
        <v>766.4</v>
      </c>
      <c r="N2206" s="116">
        <v>786.15</v>
      </c>
      <c r="O2206" s="116">
        <v>762.5</v>
      </c>
      <c r="P2206" s="116">
        <v>780</v>
      </c>
      <c r="Q2206" s="116">
        <v>766.4</v>
      </c>
      <c r="R2206">
        <v>233945</v>
      </c>
    </row>
    <row r="2207" spans="1:18" x14ac:dyDescent="0.25">
      <c r="A2207" s="169">
        <v>45264</v>
      </c>
      <c r="B2207" s="116">
        <v>574</v>
      </c>
      <c r="C2207" s="116">
        <v>566.5</v>
      </c>
      <c r="D2207" s="116">
        <v>530.1</v>
      </c>
      <c r="E2207" s="116">
        <v>530.1</v>
      </c>
      <c r="F2207" s="116">
        <v>566.5</v>
      </c>
      <c r="G2207">
        <v>90545</v>
      </c>
      <c r="H2207" s="116"/>
      <c r="I2207" s="116"/>
      <c r="L2207" s="169">
        <v>45253</v>
      </c>
      <c r="M2207" s="116">
        <v>764.4</v>
      </c>
      <c r="N2207" s="116">
        <v>773.15</v>
      </c>
      <c r="O2207" s="116">
        <v>761.45</v>
      </c>
      <c r="P2207" s="116">
        <v>764</v>
      </c>
      <c r="Q2207" s="116">
        <v>764.4</v>
      </c>
      <c r="R2207">
        <v>222502</v>
      </c>
    </row>
    <row r="2208" spans="1:18" x14ac:dyDescent="0.25">
      <c r="A2208" s="169">
        <v>45265</v>
      </c>
      <c r="B2208" s="116">
        <v>610</v>
      </c>
      <c r="C2208" s="116">
        <v>602.79999999999995</v>
      </c>
      <c r="D2208" s="116">
        <v>568</v>
      </c>
      <c r="E2208" s="116">
        <v>568</v>
      </c>
      <c r="F2208" s="116">
        <v>602.79999999999995</v>
      </c>
      <c r="G2208">
        <v>170647</v>
      </c>
      <c r="H2208" s="116"/>
      <c r="I2208" s="116"/>
      <c r="L2208" s="169">
        <v>45254</v>
      </c>
      <c r="M2208" s="116">
        <v>753.65</v>
      </c>
      <c r="N2208" s="116">
        <v>767</v>
      </c>
      <c r="O2208" s="116">
        <v>751</v>
      </c>
      <c r="P2208" s="116">
        <v>765.15</v>
      </c>
      <c r="Q2208" s="116">
        <v>753.65</v>
      </c>
      <c r="R2208">
        <v>197122</v>
      </c>
    </row>
    <row r="2209" spans="1:18" x14ac:dyDescent="0.25">
      <c r="A2209" s="169">
        <v>45266</v>
      </c>
      <c r="B2209" s="116">
        <v>612</v>
      </c>
      <c r="C2209" s="116">
        <v>589.45000000000005</v>
      </c>
      <c r="D2209" s="116">
        <v>583.35</v>
      </c>
      <c r="E2209" s="116">
        <v>603</v>
      </c>
      <c r="F2209" s="116">
        <v>589.45000000000005</v>
      </c>
      <c r="G2209">
        <v>89994</v>
      </c>
      <c r="H2209" s="116"/>
      <c r="I2209" s="116"/>
      <c r="L2209" s="169">
        <v>45258</v>
      </c>
      <c r="M2209" s="116">
        <v>755.9</v>
      </c>
      <c r="N2209" s="116">
        <v>761</v>
      </c>
      <c r="O2209" s="116">
        <v>753.05</v>
      </c>
      <c r="P2209" s="116">
        <v>753.65</v>
      </c>
      <c r="Q2209" s="116">
        <v>755.9</v>
      </c>
      <c r="R2209">
        <v>206809</v>
      </c>
    </row>
    <row r="2210" spans="1:18" x14ac:dyDescent="0.25">
      <c r="A2210" s="169">
        <v>45267</v>
      </c>
      <c r="B2210" s="116">
        <v>609.85</v>
      </c>
      <c r="C2210" s="116">
        <v>602.6</v>
      </c>
      <c r="D2210" s="116">
        <v>585.9</v>
      </c>
      <c r="E2210" s="116">
        <v>593</v>
      </c>
      <c r="F2210" s="116">
        <v>602.6</v>
      </c>
      <c r="G2210">
        <v>35916</v>
      </c>
      <c r="H2210" s="116"/>
      <c r="I2210" s="116"/>
      <c r="L2210" s="169">
        <v>45259</v>
      </c>
      <c r="M2210" s="116">
        <v>769.35</v>
      </c>
      <c r="N2210" s="116">
        <v>775.4</v>
      </c>
      <c r="O2210" s="116">
        <v>754.75</v>
      </c>
      <c r="P2210" s="116">
        <v>758.8</v>
      </c>
      <c r="Q2210" s="116">
        <v>769.35</v>
      </c>
      <c r="R2210">
        <v>400245</v>
      </c>
    </row>
    <row r="2211" spans="1:18" x14ac:dyDescent="0.25">
      <c r="A2211" s="169">
        <v>45268</v>
      </c>
      <c r="B2211" s="116">
        <v>623.9</v>
      </c>
      <c r="C2211" s="116">
        <v>614.45000000000005</v>
      </c>
      <c r="D2211" s="116">
        <v>603.4</v>
      </c>
      <c r="E2211" s="116">
        <v>610</v>
      </c>
      <c r="F2211" s="116">
        <v>614.45000000000005</v>
      </c>
      <c r="G2211">
        <v>35913</v>
      </c>
      <c r="H2211" s="116"/>
      <c r="I2211" s="116"/>
      <c r="L2211" s="169">
        <v>45260</v>
      </c>
      <c r="M2211" s="116">
        <v>781.1</v>
      </c>
      <c r="N2211" s="116">
        <v>790</v>
      </c>
      <c r="O2211" s="116">
        <v>768.05</v>
      </c>
      <c r="P2211" s="116">
        <v>770.95</v>
      </c>
      <c r="Q2211" s="116">
        <v>781.1</v>
      </c>
      <c r="R2211">
        <v>1053538</v>
      </c>
    </row>
    <row r="2212" spans="1:18" x14ac:dyDescent="0.25">
      <c r="A2212" s="169">
        <v>45271</v>
      </c>
      <c r="B2212" s="116">
        <v>656.05</v>
      </c>
      <c r="C2212" s="116">
        <v>625.25</v>
      </c>
      <c r="D2212" s="116">
        <v>617.6</v>
      </c>
      <c r="E2212" s="116">
        <v>635.15</v>
      </c>
      <c r="F2212" s="116">
        <v>625.25</v>
      </c>
      <c r="G2212">
        <v>131648</v>
      </c>
      <c r="H2212" s="116"/>
      <c r="I2212" s="116"/>
      <c r="L2212" s="169">
        <v>45261</v>
      </c>
      <c r="M2212" s="116">
        <v>813.55</v>
      </c>
      <c r="N2212" s="116">
        <v>816.7</v>
      </c>
      <c r="O2212" s="116">
        <v>779</v>
      </c>
      <c r="P2212" s="116">
        <v>786</v>
      </c>
      <c r="Q2212" s="116">
        <v>813.55</v>
      </c>
      <c r="R2212">
        <v>1918869</v>
      </c>
    </row>
    <row r="2213" spans="1:18" x14ac:dyDescent="0.25">
      <c r="A2213" s="169">
        <v>45272</v>
      </c>
      <c r="B2213" s="116">
        <v>632.95000000000005</v>
      </c>
      <c r="C2213" s="116">
        <v>608.85</v>
      </c>
      <c r="D2213" s="116">
        <v>606.5</v>
      </c>
      <c r="E2213" s="116">
        <v>632.95000000000005</v>
      </c>
      <c r="F2213" s="116">
        <v>608.85</v>
      </c>
      <c r="G2213">
        <v>35102</v>
      </c>
      <c r="H2213" s="116"/>
      <c r="I2213" s="116"/>
      <c r="L2213" s="169">
        <v>45264</v>
      </c>
      <c r="M2213" s="116">
        <v>825.15</v>
      </c>
      <c r="N2213" s="116">
        <v>843</v>
      </c>
      <c r="O2213" s="116">
        <v>814.3</v>
      </c>
      <c r="P2213" s="116">
        <v>821</v>
      </c>
      <c r="Q2213" s="116">
        <v>825.15</v>
      </c>
      <c r="R2213">
        <v>1739451</v>
      </c>
    </row>
    <row r="2214" spans="1:18" x14ac:dyDescent="0.25">
      <c r="A2214" s="169">
        <v>45273</v>
      </c>
      <c r="B2214" s="116">
        <v>620</v>
      </c>
      <c r="C2214" s="116">
        <v>613.15</v>
      </c>
      <c r="D2214" s="116">
        <v>604.1</v>
      </c>
      <c r="E2214" s="116">
        <v>620</v>
      </c>
      <c r="F2214" s="116">
        <v>613.15</v>
      </c>
      <c r="G2214">
        <v>17088</v>
      </c>
      <c r="H2214" s="116"/>
      <c r="I2214" s="116"/>
      <c r="L2214" s="169">
        <v>45265</v>
      </c>
      <c r="M2214" s="116">
        <v>836.85</v>
      </c>
      <c r="N2214" s="116">
        <v>842.7</v>
      </c>
      <c r="O2214" s="116">
        <v>821.05</v>
      </c>
      <c r="P2214" s="116">
        <v>831</v>
      </c>
      <c r="Q2214" s="116">
        <v>836.85</v>
      </c>
      <c r="R2214">
        <v>939227</v>
      </c>
    </row>
    <row r="2215" spans="1:18" x14ac:dyDescent="0.25">
      <c r="A2215" s="169">
        <v>45274</v>
      </c>
      <c r="B2215" s="116">
        <v>627.70000000000005</v>
      </c>
      <c r="C2215" s="116">
        <v>607.70000000000005</v>
      </c>
      <c r="D2215" s="116">
        <v>604.9</v>
      </c>
      <c r="E2215" s="116">
        <v>624</v>
      </c>
      <c r="F2215" s="116">
        <v>607.70000000000005</v>
      </c>
      <c r="G2215">
        <v>25715</v>
      </c>
      <c r="H2215" s="116"/>
      <c r="I2215" s="116"/>
      <c r="L2215" s="169">
        <v>45266</v>
      </c>
      <c r="M2215" s="116">
        <v>788.75</v>
      </c>
      <c r="N2215" s="116">
        <v>839.7</v>
      </c>
      <c r="O2215" s="116">
        <v>785.2</v>
      </c>
      <c r="P2215" s="116">
        <v>839.7</v>
      </c>
      <c r="Q2215" s="116">
        <v>788.75</v>
      </c>
      <c r="R2215">
        <v>4153345</v>
      </c>
    </row>
    <row r="2216" spans="1:18" x14ac:dyDescent="0.25">
      <c r="A2216" s="169">
        <v>45275</v>
      </c>
      <c r="B2216" s="116">
        <v>620.75</v>
      </c>
      <c r="C2216" s="116">
        <v>608.4</v>
      </c>
      <c r="D2216" s="116">
        <v>604.65</v>
      </c>
      <c r="E2216" s="116">
        <v>605</v>
      </c>
      <c r="F2216" s="116">
        <v>608.4</v>
      </c>
      <c r="G2216">
        <v>33692</v>
      </c>
      <c r="H2216" s="116"/>
      <c r="I2216" s="116"/>
      <c r="L2216" s="169">
        <v>45267</v>
      </c>
      <c r="M2216" s="116">
        <v>797</v>
      </c>
      <c r="N2216" s="116">
        <v>810.1</v>
      </c>
      <c r="O2216" s="116">
        <v>788.35</v>
      </c>
      <c r="P2216" s="116">
        <v>795</v>
      </c>
      <c r="Q2216" s="116">
        <v>797</v>
      </c>
      <c r="R2216">
        <v>1213552</v>
      </c>
    </row>
    <row r="2217" spans="1:18" x14ac:dyDescent="0.25">
      <c r="A2217" s="169">
        <v>45278</v>
      </c>
      <c r="B2217" s="116">
        <v>633.65</v>
      </c>
      <c r="C2217" s="116">
        <v>623.6</v>
      </c>
      <c r="D2217" s="116">
        <v>608.4</v>
      </c>
      <c r="E2217" s="116">
        <v>614.5</v>
      </c>
      <c r="F2217" s="116">
        <v>623.6</v>
      </c>
      <c r="G2217">
        <v>43155</v>
      </c>
      <c r="H2217" s="116"/>
      <c r="I2217" s="116"/>
      <c r="L2217" s="169">
        <v>45268</v>
      </c>
      <c r="M2217" s="116">
        <v>790.45</v>
      </c>
      <c r="N2217" s="116">
        <v>803.95</v>
      </c>
      <c r="O2217" s="116">
        <v>779.5</v>
      </c>
      <c r="P2217" s="116">
        <v>800.8</v>
      </c>
      <c r="Q2217" s="116">
        <v>790.45</v>
      </c>
      <c r="R2217">
        <v>653127</v>
      </c>
    </row>
    <row r="2218" spans="1:18" x14ac:dyDescent="0.25">
      <c r="A2218" s="169">
        <v>45279</v>
      </c>
      <c r="B2218" s="116">
        <v>640</v>
      </c>
      <c r="C2218" s="116">
        <v>627.25</v>
      </c>
      <c r="D2218" s="116">
        <v>621</v>
      </c>
      <c r="E2218" s="116">
        <v>630</v>
      </c>
      <c r="F2218" s="116">
        <v>627.25</v>
      </c>
      <c r="G2218">
        <v>62684</v>
      </c>
      <c r="H2218" s="116"/>
      <c r="I2218" s="116"/>
      <c r="L2218" s="169">
        <v>45271</v>
      </c>
      <c r="M2218" s="116">
        <v>755.65</v>
      </c>
      <c r="N2218" s="116">
        <v>804</v>
      </c>
      <c r="O2218" s="116">
        <v>752.2</v>
      </c>
      <c r="P2218" s="116">
        <v>792.1</v>
      </c>
      <c r="Q2218" s="116">
        <v>755.65</v>
      </c>
      <c r="R2218">
        <v>3010666</v>
      </c>
    </row>
    <row r="2219" spans="1:18" x14ac:dyDescent="0.25">
      <c r="A2219" s="169">
        <v>45280</v>
      </c>
      <c r="B2219" s="116">
        <v>634.75</v>
      </c>
      <c r="C2219" s="116">
        <v>591.95000000000005</v>
      </c>
      <c r="D2219" s="116">
        <v>588</v>
      </c>
      <c r="E2219" s="116">
        <v>629.95000000000005</v>
      </c>
      <c r="F2219" s="116">
        <v>591.95000000000005</v>
      </c>
      <c r="G2219">
        <v>39222</v>
      </c>
      <c r="H2219" s="116"/>
      <c r="I2219" s="116"/>
      <c r="L2219" s="169">
        <v>45272</v>
      </c>
      <c r="M2219" s="116">
        <v>770.6</v>
      </c>
      <c r="N2219" s="116">
        <v>784.05</v>
      </c>
      <c r="O2219" s="116">
        <v>734.2</v>
      </c>
      <c r="P2219" s="116">
        <v>762.8</v>
      </c>
      <c r="Q2219" s="116">
        <v>770.6</v>
      </c>
      <c r="R2219">
        <v>3297558</v>
      </c>
    </row>
    <row r="2220" spans="1:18" x14ac:dyDescent="0.25">
      <c r="A2220" s="169">
        <v>45281</v>
      </c>
      <c r="B2220" s="116">
        <v>626.95000000000005</v>
      </c>
      <c r="C2220" s="116">
        <v>607.15</v>
      </c>
      <c r="D2220" s="116">
        <v>585.20000000000005</v>
      </c>
      <c r="E2220" s="116">
        <v>590.04999999999995</v>
      </c>
      <c r="F2220" s="116">
        <v>607.15</v>
      </c>
      <c r="G2220">
        <v>34871</v>
      </c>
      <c r="H2220" s="116"/>
      <c r="I2220" s="116"/>
      <c r="L2220" s="169">
        <v>45273</v>
      </c>
      <c r="M2220" s="116">
        <v>775.5</v>
      </c>
      <c r="N2220" s="116">
        <v>789</v>
      </c>
      <c r="O2220" s="116">
        <v>767.3</v>
      </c>
      <c r="P2220" s="116">
        <v>779</v>
      </c>
      <c r="Q2220" s="116">
        <v>775.5</v>
      </c>
      <c r="R2220">
        <v>995077</v>
      </c>
    </row>
    <row r="2221" spans="1:18" x14ac:dyDescent="0.25">
      <c r="A2221" s="169">
        <v>45282</v>
      </c>
      <c r="B2221" s="116">
        <v>631.5</v>
      </c>
      <c r="C2221" s="116">
        <v>616.20000000000005</v>
      </c>
      <c r="D2221" s="116">
        <v>608</v>
      </c>
      <c r="E2221" s="116">
        <v>619.25</v>
      </c>
      <c r="F2221" s="116">
        <v>616.20000000000005</v>
      </c>
      <c r="G2221">
        <v>47494</v>
      </c>
      <c r="H2221" s="116"/>
      <c r="I2221" s="116"/>
      <c r="L2221" s="169">
        <v>45274</v>
      </c>
      <c r="M2221" s="116">
        <v>791</v>
      </c>
      <c r="N2221" s="116">
        <v>797.95</v>
      </c>
      <c r="O2221" s="116">
        <v>779.7</v>
      </c>
      <c r="P2221" s="116">
        <v>782</v>
      </c>
      <c r="Q2221" s="116">
        <v>791</v>
      </c>
      <c r="R2221">
        <v>802841</v>
      </c>
    </row>
    <row r="2222" spans="1:18" x14ac:dyDescent="0.25">
      <c r="A2222" s="169">
        <v>45286</v>
      </c>
      <c r="B2222" s="116">
        <v>639</v>
      </c>
      <c r="C2222" s="116">
        <v>624.45000000000005</v>
      </c>
      <c r="D2222" s="116">
        <v>615.20000000000005</v>
      </c>
      <c r="E2222" s="116">
        <v>620.6</v>
      </c>
      <c r="F2222" s="116">
        <v>624.45000000000005</v>
      </c>
      <c r="G2222">
        <v>32245</v>
      </c>
      <c r="H2222" s="116"/>
      <c r="I2222" s="116"/>
      <c r="L2222" s="169">
        <v>45275</v>
      </c>
      <c r="M2222" s="116">
        <v>781.8</v>
      </c>
      <c r="N2222" s="116">
        <v>794</v>
      </c>
      <c r="O2222" s="116">
        <v>778.95</v>
      </c>
      <c r="P2222" s="116">
        <v>791.5</v>
      </c>
      <c r="Q2222" s="116">
        <v>781.8</v>
      </c>
      <c r="R2222">
        <v>519916</v>
      </c>
    </row>
    <row r="2223" spans="1:18" x14ac:dyDescent="0.25">
      <c r="A2223" s="169">
        <v>45287</v>
      </c>
      <c r="B2223" s="116">
        <v>637.9</v>
      </c>
      <c r="C2223" s="116">
        <v>616.79999999999995</v>
      </c>
      <c r="D2223" s="116">
        <v>612</v>
      </c>
      <c r="E2223" s="116">
        <v>624.45000000000005</v>
      </c>
      <c r="F2223" s="116">
        <v>616.79999999999995</v>
      </c>
      <c r="G2223">
        <v>24724</v>
      </c>
      <c r="H2223" s="116"/>
      <c r="I2223" s="116"/>
      <c r="L2223" s="169">
        <v>45278</v>
      </c>
      <c r="M2223" s="116">
        <v>783.55</v>
      </c>
      <c r="N2223" s="116">
        <v>791.1</v>
      </c>
      <c r="O2223" s="116">
        <v>779.2</v>
      </c>
      <c r="P2223" s="116">
        <v>784</v>
      </c>
      <c r="Q2223" s="116">
        <v>783.55</v>
      </c>
      <c r="R2223">
        <v>310641</v>
      </c>
    </row>
    <row r="2224" spans="1:18" x14ac:dyDescent="0.25">
      <c r="A2224" s="169">
        <v>45288</v>
      </c>
      <c r="B2224" s="116">
        <v>626.9</v>
      </c>
      <c r="C2224" s="116">
        <v>602.20000000000005</v>
      </c>
      <c r="D2224" s="116">
        <v>600</v>
      </c>
      <c r="E2224" s="116">
        <v>626.9</v>
      </c>
      <c r="F2224" s="116">
        <v>602.20000000000005</v>
      </c>
      <c r="G2224">
        <v>47075</v>
      </c>
      <c r="H2224" s="116"/>
      <c r="I2224" s="116"/>
      <c r="L2224" s="169">
        <v>45279</v>
      </c>
      <c r="M2224" s="116">
        <v>783.15</v>
      </c>
      <c r="N2224" s="116">
        <v>794.85</v>
      </c>
      <c r="O2224" s="116">
        <v>780.55</v>
      </c>
      <c r="P2224" s="116">
        <v>789</v>
      </c>
      <c r="Q2224" s="116">
        <v>783.15</v>
      </c>
      <c r="R2224">
        <v>365272</v>
      </c>
    </row>
    <row r="2225" spans="1:18" x14ac:dyDescent="0.25">
      <c r="A2225" s="169">
        <v>45289</v>
      </c>
      <c r="B2225" s="116">
        <v>609.54999999999995</v>
      </c>
      <c r="C2225" s="116">
        <v>599.20000000000005</v>
      </c>
      <c r="D2225" s="116">
        <v>593.79999999999995</v>
      </c>
      <c r="E2225" s="116">
        <v>605</v>
      </c>
      <c r="F2225" s="116">
        <v>599.20000000000005</v>
      </c>
      <c r="G2225">
        <v>20433</v>
      </c>
      <c r="H2225" s="116"/>
      <c r="I2225" s="116"/>
      <c r="L2225" s="169">
        <v>45280</v>
      </c>
      <c r="M2225" s="116">
        <v>753.8</v>
      </c>
      <c r="N2225" s="116">
        <v>790.4</v>
      </c>
      <c r="O2225" s="116">
        <v>750</v>
      </c>
      <c r="P2225" s="116">
        <v>788</v>
      </c>
      <c r="Q2225" s="116">
        <v>753.8</v>
      </c>
      <c r="R2225">
        <v>559996</v>
      </c>
    </row>
    <row r="2226" spans="1:18" x14ac:dyDescent="0.25">
      <c r="A2226" s="169">
        <v>45292</v>
      </c>
      <c r="B2226" s="116">
        <v>610.6</v>
      </c>
      <c r="C2226" s="116">
        <v>604</v>
      </c>
      <c r="D2226" s="116">
        <v>598.85</v>
      </c>
      <c r="E2226" s="116">
        <v>602.15</v>
      </c>
      <c r="F2226" s="116">
        <v>604</v>
      </c>
      <c r="G2226">
        <v>37168</v>
      </c>
      <c r="H2226" s="116"/>
      <c r="I2226" s="116"/>
      <c r="L2226" s="169">
        <v>45281</v>
      </c>
      <c r="M2226" s="116">
        <v>759.8</v>
      </c>
      <c r="N2226" s="116">
        <v>762.8</v>
      </c>
      <c r="O2226" s="116">
        <v>742</v>
      </c>
      <c r="P2226" s="116">
        <v>753.45</v>
      </c>
      <c r="Q2226" s="116">
        <v>759.8</v>
      </c>
      <c r="R2226">
        <v>403213</v>
      </c>
    </row>
    <row r="2227" spans="1:18" x14ac:dyDescent="0.25">
      <c r="A2227" s="169">
        <v>45293</v>
      </c>
      <c r="B2227" s="116">
        <v>617</v>
      </c>
      <c r="C2227" s="116">
        <v>602.65</v>
      </c>
      <c r="D2227" s="116">
        <v>592.95000000000005</v>
      </c>
      <c r="E2227" s="116">
        <v>607</v>
      </c>
      <c r="F2227" s="116">
        <v>602.65</v>
      </c>
      <c r="G2227">
        <v>68532</v>
      </c>
      <c r="H2227" s="116"/>
      <c r="I2227" s="116"/>
      <c r="L2227" s="169">
        <v>45282</v>
      </c>
      <c r="M2227" s="116">
        <v>764.55</v>
      </c>
      <c r="N2227" s="116">
        <v>768.1</v>
      </c>
      <c r="O2227" s="116">
        <v>749.1</v>
      </c>
      <c r="P2227" s="116">
        <v>763.8</v>
      </c>
      <c r="Q2227" s="116">
        <v>764.55</v>
      </c>
      <c r="R2227">
        <v>832625</v>
      </c>
    </row>
    <row r="2228" spans="1:18" x14ac:dyDescent="0.25">
      <c r="A2228" s="169">
        <v>45294</v>
      </c>
      <c r="B2228" s="116">
        <v>606.65</v>
      </c>
      <c r="C2228" s="116">
        <v>601.45000000000005</v>
      </c>
      <c r="D2228" s="116">
        <v>596.6</v>
      </c>
      <c r="E2228" s="116">
        <v>602.95000000000005</v>
      </c>
      <c r="F2228" s="116">
        <v>601.45000000000005</v>
      </c>
      <c r="G2228">
        <v>29467</v>
      </c>
      <c r="H2228" s="116"/>
      <c r="I2228" s="116"/>
      <c r="L2228" s="169">
        <v>45286</v>
      </c>
      <c r="M2228" s="116">
        <v>775</v>
      </c>
      <c r="N2228" s="116">
        <v>783.95</v>
      </c>
      <c r="O2228" s="116">
        <v>769.1</v>
      </c>
      <c r="P2228" s="116">
        <v>774</v>
      </c>
      <c r="Q2228" s="116">
        <v>775</v>
      </c>
      <c r="R2228">
        <v>630697</v>
      </c>
    </row>
    <row r="2229" spans="1:18" x14ac:dyDescent="0.25">
      <c r="A2229" s="169">
        <v>45295</v>
      </c>
      <c r="B2229" s="116">
        <v>608.5</v>
      </c>
      <c r="C2229" s="116">
        <v>589.9</v>
      </c>
      <c r="D2229" s="116">
        <v>580.04999999999995</v>
      </c>
      <c r="E2229" s="116">
        <v>599.54999999999995</v>
      </c>
      <c r="F2229" s="116">
        <v>589.9</v>
      </c>
      <c r="G2229">
        <v>19143</v>
      </c>
      <c r="H2229" s="116"/>
      <c r="I2229" s="116"/>
      <c r="L2229" s="169">
        <v>45287</v>
      </c>
      <c r="M2229" s="116">
        <v>778</v>
      </c>
      <c r="N2229" s="116">
        <v>786</v>
      </c>
      <c r="O2229" s="116">
        <v>767.45</v>
      </c>
      <c r="P2229" s="116">
        <v>777.45</v>
      </c>
      <c r="Q2229" s="116">
        <v>778</v>
      </c>
      <c r="R2229">
        <v>448984</v>
      </c>
    </row>
    <row r="2230" spans="1:18" x14ac:dyDescent="0.25">
      <c r="A2230" s="169">
        <v>45296</v>
      </c>
      <c r="B2230" s="116">
        <v>604.95000000000005</v>
      </c>
      <c r="C2230" s="116">
        <v>590.54999999999995</v>
      </c>
      <c r="D2230" s="116">
        <v>586.5</v>
      </c>
      <c r="E2230" s="116">
        <v>599.95000000000005</v>
      </c>
      <c r="F2230" s="116">
        <v>590.54999999999995</v>
      </c>
      <c r="G2230">
        <v>39885</v>
      </c>
      <c r="H2230" s="116"/>
      <c r="I2230" s="116"/>
      <c r="L2230" s="169">
        <v>45288</v>
      </c>
      <c r="M2230" s="116">
        <v>776.95</v>
      </c>
      <c r="N2230" s="116">
        <v>790.45</v>
      </c>
      <c r="O2230" s="116">
        <v>774.15</v>
      </c>
      <c r="P2230" s="116">
        <v>780</v>
      </c>
      <c r="Q2230" s="116">
        <v>776.95</v>
      </c>
      <c r="R2230">
        <v>889076</v>
      </c>
    </row>
    <row r="2231" spans="1:18" x14ac:dyDescent="0.25">
      <c r="A2231" s="169">
        <v>45299</v>
      </c>
      <c r="B2231" s="116">
        <v>599.95000000000005</v>
      </c>
      <c r="C2231" s="116">
        <v>576.45000000000005</v>
      </c>
      <c r="D2231" s="116">
        <v>572</v>
      </c>
      <c r="E2231" s="116">
        <v>599.95000000000005</v>
      </c>
      <c r="F2231" s="116">
        <v>576.45000000000005</v>
      </c>
      <c r="G2231">
        <v>26918</v>
      </c>
      <c r="H2231" s="116"/>
      <c r="I2231" s="116"/>
      <c r="L2231" s="169">
        <v>45289</v>
      </c>
      <c r="M2231" s="116">
        <v>777.65</v>
      </c>
      <c r="N2231" s="116">
        <v>780.8</v>
      </c>
      <c r="O2231" s="116">
        <v>774.6</v>
      </c>
      <c r="P2231" s="116">
        <v>775.95</v>
      </c>
      <c r="Q2231" s="116">
        <v>777.65</v>
      </c>
      <c r="R2231">
        <v>403254</v>
      </c>
    </row>
    <row r="2232" spans="1:18" x14ac:dyDescent="0.25">
      <c r="A2232" s="169">
        <v>45300</v>
      </c>
      <c r="B2232" s="116">
        <v>593.9</v>
      </c>
      <c r="C2232" s="116">
        <v>580</v>
      </c>
      <c r="D2232" s="116">
        <v>576.54999999999995</v>
      </c>
      <c r="E2232" s="116">
        <v>580.1</v>
      </c>
      <c r="F2232" s="116">
        <v>580</v>
      </c>
      <c r="G2232">
        <v>23219</v>
      </c>
      <c r="H2232" s="116"/>
      <c r="I2232" s="116"/>
      <c r="L2232" s="169">
        <v>45292</v>
      </c>
      <c r="M2232" s="116">
        <v>776.9</v>
      </c>
      <c r="N2232" s="116">
        <v>785.6</v>
      </c>
      <c r="O2232" s="116">
        <v>774.75</v>
      </c>
      <c r="P2232" s="116">
        <v>777.65</v>
      </c>
      <c r="Q2232" s="116">
        <v>776.9</v>
      </c>
      <c r="R2232">
        <v>474059</v>
      </c>
    </row>
    <row r="2233" spans="1:18" x14ac:dyDescent="0.25">
      <c r="A2233" s="169">
        <v>45301</v>
      </c>
      <c r="B2233" s="116">
        <v>585</v>
      </c>
      <c r="C2233" s="116">
        <v>578.4</v>
      </c>
      <c r="D2233" s="116">
        <v>573.70000000000005</v>
      </c>
      <c r="E2233" s="116">
        <v>584.95000000000005</v>
      </c>
      <c r="F2233" s="116">
        <v>578.4</v>
      </c>
      <c r="G2233">
        <v>13219</v>
      </c>
      <c r="H2233" s="116"/>
      <c r="I2233" s="116"/>
      <c r="L2233" s="169">
        <v>45293</v>
      </c>
      <c r="M2233" s="116">
        <v>766.1</v>
      </c>
      <c r="N2233" s="116">
        <v>780.75</v>
      </c>
      <c r="O2233" s="116">
        <v>763.35</v>
      </c>
      <c r="P2233" s="116">
        <v>780.45</v>
      </c>
      <c r="Q2233" s="116">
        <v>766.1</v>
      </c>
      <c r="R2233">
        <v>404115</v>
      </c>
    </row>
    <row r="2234" spans="1:18" x14ac:dyDescent="0.25">
      <c r="A2234" s="169">
        <v>45302</v>
      </c>
      <c r="B2234" s="116">
        <v>587.9</v>
      </c>
      <c r="C2234" s="116">
        <v>583.6</v>
      </c>
      <c r="D2234" s="116">
        <v>573.6</v>
      </c>
      <c r="E2234" s="116">
        <v>579.45000000000005</v>
      </c>
      <c r="F2234" s="116">
        <v>583.6</v>
      </c>
      <c r="G2234">
        <v>27934</v>
      </c>
      <c r="H2234" s="116"/>
      <c r="I2234" s="116"/>
      <c r="L2234" s="169">
        <v>45294</v>
      </c>
      <c r="M2234" s="116">
        <v>765.95</v>
      </c>
      <c r="N2234" s="116">
        <v>773.45</v>
      </c>
      <c r="O2234" s="116">
        <v>760.6</v>
      </c>
      <c r="P2234" s="116">
        <v>765</v>
      </c>
      <c r="Q2234" s="116">
        <v>765.95</v>
      </c>
      <c r="R2234">
        <v>612518</v>
      </c>
    </row>
    <row r="2235" spans="1:18" x14ac:dyDescent="0.25">
      <c r="A2235" s="169">
        <v>45303</v>
      </c>
      <c r="B2235" s="116">
        <v>594.95000000000005</v>
      </c>
      <c r="C2235" s="116">
        <v>581.4</v>
      </c>
      <c r="D2235" s="116">
        <v>571.79999999999995</v>
      </c>
      <c r="E2235" s="116">
        <v>587.85</v>
      </c>
      <c r="F2235" s="116">
        <v>581.4</v>
      </c>
      <c r="G2235">
        <v>47127</v>
      </c>
      <c r="H2235" s="116"/>
      <c r="I2235" s="116"/>
      <c r="L2235" s="169">
        <v>45295</v>
      </c>
      <c r="M2235" s="116">
        <v>785.75</v>
      </c>
      <c r="N2235" s="116">
        <v>789.9</v>
      </c>
      <c r="O2235" s="116">
        <v>768</v>
      </c>
      <c r="P2235" s="116">
        <v>768</v>
      </c>
      <c r="Q2235" s="116">
        <v>785.75</v>
      </c>
      <c r="R2235">
        <v>685873</v>
      </c>
    </row>
    <row r="2236" spans="1:18" x14ac:dyDescent="0.25">
      <c r="A2236" s="169">
        <v>45306</v>
      </c>
      <c r="B2236" s="116">
        <v>592.5</v>
      </c>
      <c r="C2236" s="116">
        <v>575.20000000000005</v>
      </c>
      <c r="D2236" s="116">
        <v>573.20000000000005</v>
      </c>
      <c r="E2236" s="116">
        <v>582.04999999999995</v>
      </c>
      <c r="F2236" s="116">
        <v>575.20000000000005</v>
      </c>
      <c r="G2236">
        <v>47204</v>
      </c>
      <c r="H2236" s="116"/>
      <c r="I2236" s="116"/>
      <c r="L2236" s="169">
        <v>45296</v>
      </c>
      <c r="M2236" s="116">
        <v>781.4</v>
      </c>
      <c r="N2236" s="116">
        <v>795.25</v>
      </c>
      <c r="O2236" s="116">
        <v>770.1</v>
      </c>
      <c r="P2236" s="116">
        <v>789.9</v>
      </c>
      <c r="Q2236" s="116">
        <v>781.4</v>
      </c>
      <c r="R2236">
        <v>830394</v>
      </c>
    </row>
    <row r="2237" spans="1:18" x14ac:dyDescent="0.25">
      <c r="A2237" s="169">
        <v>45307</v>
      </c>
      <c r="B2237" s="116">
        <v>594.75</v>
      </c>
      <c r="C2237" s="116">
        <v>590.5</v>
      </c>
      <c r="D2237" s="116">
        <v>578</v>
      </c>
      <c r="E2237" s="116">
        <v>588.95000000000005</v>
      </c>
      <c r="F2237" s="116">
        <v>590.5</v>
      </c>
      <c r="G2237">
        <v>30215</v>
      </c>
      <c r="H2237" s="116"/>
      <c r="I2237" s="116"/>
      <c r="L2237" s="169">
        <v>45299</v>
      </c>
      <c r="M2237" s="116">
        <v>771.05</v>
      </c>
      <c r="N2237" s="116">
        <v>793.9</v>
      </c>
      <c r="O2237" s="116">
        <v>767.95</v>
      </c>
      <c r="P2237" s="116">
        <v>787.8</v>
      </c>
      <c r="Q2237" s="116">
        <v>771.05</v>
      </c>
      <c r="R2237">
        <v>723933</v>
      </c>
    </row>
    <row r="2238" spans="1:18" x14ac:dyDescent="0.25">
      <c r="A2238" s="169">
        <v>45308</v>
      </c>
      <c r="B2238" s="116">
        <v>594.95000000000005</v>
      </c>
      <c r="C2238" s="116">
        <v>579.45000000000005</v>
      </c>
      <c r="D2238" s="116">
        <v>570.9</v>
      </c>
      <c r="E2238" s="116">
        <v>588</v>
      </c>
      <c r="F2238" s="116">
        <v>579.45000000000005</v>
      </c>
      <c r="G2238">
        <v>50543</v>
      </c>
      <c r="H2238" s="116"/>
      <c r="I2238" s="116"/>
      <c r="L2238" s="169">
        <v>45300</v>
      </c>
      <c r="M2238" s="116">
        <v>775.05</v>
      </c>
      <c r="N2238" s="116">
        <v>782.55</v>
      </c>
      <c r="O2238" s="116">
        <v>769</v>
      </c>
      <c r="P2238" s="116">
        <v>775.7</v>
      </c>
      <c r="Q2238" s="116">
        <v>775.05</v>
      </c>
      <c r="R2238">
        <v>594552</v>
      </c>
    </row>
    <row r="2239" spans="1:18" x14ac:dyDescent="0.25">
      <c r="A2239" s="169">
        <v>45309</v>
      </c>
      <c r="B2239" s="116">
        <v>586.9</v>
      </c>
      <c r="C2239" s="116">
        <v>579.35</v>
      </c>
      <c r="D2239" s="116">
        <v>564.95000000000005</v>
      </c>
      <c r="E2239" s="116">
        <v>585.04999999999995</v>
      </c>
      <c r="F2239" s="116">
        <v>579.35</v>
      </c>
      <c r="G2239">
        <v>51453</v>
      </c>
      <c r="H2239" s="116"/>
      <c r="I2239" s="116"/>
      <c r="L2239" s="169">
        <v>45301</v>
      </c>
      <c r="M2239" s="116">
        <v>759.7</v>
      </c>
      <c r="N2239" s="116">
        <v>773.5</v>
      </c>
      <c r="O2239" s="116">
        <v>751.3</v>
      </c>
      <c r="P2239" s="116">
        <v>773.5</v>
      </c>
      <c r="Q2239" s="116">
        <v>759.7</v>
      </c>
      <c r="R2239">
        <v>610061</v>
      </c>
    </row>
    <row r="2240" spans="1:18" x14ac:dyDescent="0.25">
      <c r="A2240" s="169">
        <v>45310</v>
      </c>
      <c r="B2240" s="116">
        <v>589.9</v>
      </c>
      <c r="C2240" s="116">
        <v>579.54999999999995</v>
      </c>
      <c r="D2240" s="116">
        <v>575.04999999999995</v>
      </c>
      <c r="E2240" s="116">
        <v>580.04999999999995</v>
      </c>
      <c r="F2240" s="116">
        <v>579.54999999999995</v>
      </c>
      <c r="G2240">
        <v>39480</v>
      </c>
      <c r="H2240" s="116"/>
      <c r="I2240" s="116"/>
      <c r="L2240" s="169">
        <v>45302</v>
      </c>
      <c r="M2240" s="116">
        <v>769.75</v>
      </c>
      <c r="N2240" s="116">
        <v>777</v>
      </c>
      <c r="O2240" s="116">
        <v>765</v>
      </c>
      <c r="P2240" s="116">
        <v>765</v>
      </c>
      <c r="Q2240" s="116">
        <v>769.75</v>
      </c>
      <c r="R2240">
        <v>574476</v>
      </c>
    </row>
    <row r="2241" spans="1:18" x14ac:dyDescent="0.25">
      <c r="A2241" s="169">
        <v>45311</v>
      </c>
      <c r="B2241" s="116">
        <v>594.70000000000005</v>
      </c>
      <c r="C2241" s="116">
        <v>592.6</v>
      </c>
      <c r="D2241" s="116">
        <v>586.6</v>
      </c>
      <c r="E2241" s="116">
        <v>587</v>
      </c>
      <c r="F2241" s="116">
        <v>592.6</v>
      </c>
      <c r="G2241">
        <v>12477</v>
      </c>
      <c r="H2241" s="116"/>
      <c r="I2241" s="116"/>
      <c r="L2241" s="169">
        <v>45303</v>
      </c>
      <c r="M2241" s="116">
        <v>767.3</v>
      </c>
      <c r="N2241" s="116">
        <v>774</v>
      </c>
      <c r="O2241" s="116">
        <v>761.05</v>
      </c>
      <c r="P2241" s="116">
        <v>772</v>
      </c>
      <c r="Q2241" s="116">
        <v>767.3</v>
      </c>
      <c r="R2241">
        <v>431866</v>
      </c>
    </row>
    <row r="2242" spans="1:18" x14ac:dyDescent="0.25">
      <c r="A2242" s="169">
        <v>45314</v>
      </c>
      <c r="B2242" s="116">
        <v>637</v>
      </c>
      <c r="C2242" s="116">
        <v>588.75</v>
      </c>
      <c r="D2242" s="116">
        <v>585.29999999999995</v>
      </c>
      <c r="E2242" s="116">
        <v>637</v>
      </c>
      <c r="F2242" s="116">
        <v>588.75</v>
      </c>
      <c r="G2242">
        <v>124204</v>
      </c>
      <c r="H2242" s="116"/>
      <c r="I2242" s="116"/>
      <c r="L2242" s="169">
        <v>45306</v>
      </c>
      <c r="M2242" s="116">
        <v>763.9</v>
      </c>
      <c r="N2242" s="116">
        <v>773</v>
      </c>
      <c r="O2242" s="116">
        <v>753</v>
      </c>
      <c r="P2242" s="116">
        <v>770</v>
      </c>
      <c r="Q2242" s="116">
        <v>763.9</v>
      </c>
      <c r="R2242">
        <v>678182</v>
      </c>
    </row>
    <row r="2243" spans="1:18" x14ac:dyDescent="0.25">
      <c r="A2243" s="169">
        <v>45315</v>
      </c>
      <c r="B2243" s="116">
        <v>604.6</v>
      </c>
      <c r="C2243" s="116">
        <v>590.70000000000005</v>
      </c>
      <c r="D2243" s="116">
        <v>580.79999999999995</v>
      </c>
      <c r="E2243" s="116">
        <v>595</v>
      </c>
      <c r="F2243" s="116">
        <v>590.70000000000005</v>
      </c>
      <c r="G2243">
        <v>67082</v>
      </c>
      <c r="H2243" s="116"/>
      <c r="I2243" s="116"/>
      <c r="L2243" s="169">
        <v>45307</v>
      </c>
      <c r="M2243" s="116">
        <v>756.6</v>
      </c>
      <c r="N2243" s="116">
        <v>769</v>
      </c>
      <c r="O2243" s="116">
        <v>751.2</v>
      </c>
      <c r="P2243" s="116">
        <v>763.9</v>
      </c>
      <c r="Q2243" s="116">
        <v>756.6</v>
      </c>
      <c r="R2243">
        <v>345653</v>
      </c>
    </row>
    <row r="2244" spans="1:18" x14ac:dyDescent="0.25">
      <c r="A2244" s="169">
        <v>45316</v>
      </c>
      <c r="B2244" s="116">
        <v>600.29999999999995</v>
      </c>
      <c r="C2244" s="116">
        <v>595.29999999999995</v>
      </c>
      <c r="D2244" s="116">
        <v>590</v>
      </c>
      <c r="E2244" s="116">
        <v>590</v>
      </c>
      <c r="F2244" s="116">
        <v>595.29999999999995</v>
      </c>
      <c r="G2244">
        <v>60273</v>
      </c>
      <c r="H2244" s="116"/>
      <c r="I2244" s="116"/>
      <c r="L2244" s="169">
        <v>45308</v>
      </c>
      <c r="M2244" s="116">
        <v>764.1</v>
      </c>
      <c r="N2244" s="116">
        <v>766.1</v>
      </c>
      <c r="O2244" s="116">
        <v>749</v>
      </c>
      <c r="P2244" s="116">
        <v>752.6</v>
      </c>
      <c r="Q2244" s="116">
        <v>764.1</v>
      </c>
      <c r="R2244">
        <v>634008</v>
      </c>
    </row>
    <row r="2245" spans="1:18" x14ac:dyDescent="0.25">
      <c r="A2245" s="169">
        <v>45320</v>
      </c>
      <c r="B2245" s="116">
        <v>599.75</v>
      </c>
      <c r="C2245" s="116">
        <v>576.65</v>
      </c>
      <c r="D2245" s="116">
        <v>574.95000000000005</v>
      </c>
      <c r="E2245" s="116">
        <v>591.4</v>
      </c>
      <c r="F2245" s="116">
        <v>576.65</v>
      </c>
      <c r="G2245">
        <v>28835</v>
      </c>
      <c r="H2245" s="116"/>
      <c r="I2245" s="116"/>
      <c r="L2245" s="169">
        <v>45309</v>
      </c>
      <c r="M2245" s="116">
        <v>777.9</v>
      </c>
      <c r="N2245" s="116">
        <v>784.4</v>
      </c>
      <c r="O2245" s="116">
        <v>759.65</v>
      </c>
      <c r="P2245" s="116">
        <v>760</v>
      </c>
      <c r="Q2245" s="116">
        <v>777.9</v>
      </c>
      <c r="R2245">
        <v>965088</v>
      </c>
    </row>
    <row r="2246" spans="1:18" x14ac:dyDescent="0.25">
      <c r="A2246" s="169">
        <v>45321</v>
      </c>
      <c r="B2246" s="116">
        <v>584.85</v>
      </c>
      <c r="C2246" s="116">
        <v>566.6</v>
      </c>
      <c r="D2246" s="116">
        <v>565</v>
      </c>
      <c r="E2246" s="116">
        <v>584.85</v>
      </c>
      <c r="F2246" s="116">
        <v>566.6</v>
      </c>
      <c r="G2246">
        <v>49083</v>
      </c>
      <c r="H2246" s="116"/>
      <c r="I2246" s="116"/>
      <c r="L2246" s="169">
        <v>45310</v>
      </c>
      <c r="M2246" s="116">
        <v>794.15</v>
      </c>
      <c r="N2246" s="116">
        <v>799</v>
      </c>
      <c r="O2246" s="116">
        <v>778.45</v>
      </c>
      <c r="P2246" s="116">
        <v>784.8</v>
      </c>
      <c r="Q2246" s="116">
        <v>794.15</v>
      </c>
      <c r="R2246">
        <v>1015337</v>
      </c>
    </row>
    <row r="2247" spans="1:18" x14ac:dyDescent="0.25">
      <c r="A2247" s="169">
        <v>45322</v>
      </c>
      <c r="B2247" s="116">
        <v>582.54999999999995</v>
      </c>
      <c r="C2247" s="116">
        <v>566.45000000000005</v>
      </c>
      <c r="D2247" s="116">
        <v>557.6</v>
      </c>
      <c r="E2247" s="116">
        <v>561.1</v>
      </c>
      <c r="F2247" s="116">
        <v>566.45000000000005</v>
      </c>
      <c r="G2247">
        <v>51262</v>
      </c>
      <c r="H2247" s="116"/>
      <c r="I2247" s="116"/>
      <c r="L2247" s="169">
        <v>45311</v>
      </c>
      <c r="M2247" s="116">
        <v>768.35</v>
      </c>
      <c r="N2247" s="116">
        <v>809.95</v>
      </c>
      <c r="O2247" s="116">
        <v>765</v>
      </c>
      <c r="P2247" s="116">
        <v>797.05</v>
      </c>
      <c r="Q2247" s="116">
        <v>768.35</v>
      </c>
      <c r="R2247">
        <v>2216237</v>
      </c>
    </row>
    <row r="2248" spans="1:18" x14ac:dyDescent="0.25">
      <c r="A2248" s="169">
        <v>45323</v>
      </c>
      <c r="B2248" s="116">
        <v>574.79999999999995</v>
      </c>
      <c r="C2248" s="116">
        <v>559.85</v>
      </c>
      <c r="D2248" s="116">
        <v>555</v>
      </c>
      <c r="E2248" s="116">
        <v>565.29999999999995</v>
      </c>
      <c r="F2248" s="116">
        <v>559.85</v>
      </c>
      <c r="G2248">
        <v>17382</v>
      </c>
      <c r="H2248" s="116"/>
      <c r="I2248" s="116"/>
      <c r="L2248" s="169">
        <v>45314</v>
      </c>
      <c r="M2248" s="116">
        <v>725.4</v>
      </c>
      <c r="N2248" s="116">
        <v>779.2</v>
      </c>
      <c r="O2248" s="116">
        <v>721.5</v>
      </c>
      <c r="P2248" s="116">
        <v>775</v>
      </c>
      <c r="Q2248" s="116">
        <v>725.4</v>
      </c>
      <c r="R2248">
        <v>2758262</v>
      </c>
    </row>
    <row r="2249" spans="1:18" x14ac:dyDescent="0.25">
      <c r="A2249" s="169">
        <v>45324</v>
      </c>
      <c r="B2249" s="116">
        <v>565.6</v>
      </c>
      <c r="C2249" s="116">
        <v>543.95000000000005</v>
      </c>
      <c r="D2249" s="116">
        <v>540</v>
      </c>
      <c r="E2249" s="116">
        <v>565.6</v>
      </c>
      <c r="F2249" s="116">
        <v>543.95000000000005</v>
      </c>
      <c r="G2249">
        <v>54574</v>
      </c>
      <c r="H2249" s="116"/>
      <c r="I2249" s="116"/>
      <c r="L2249" s="169">
        <v>45315</v>
      </c>
      <c r="M2249" s="116">
        <v>745.65</v>
      </c>
      <c r="N2249" s="116">
        <v>749.7</v>
      </c>
      <c r="O2249" s="116">
        <v>721.05</v>
      </c>
      <c r="P2249" s="116">
        <v>731.4</v>
      </c>
      <c r="Q2249" s="116">
        <v>745.65</v>
      </c>
      <c r="R2249">
        <v>1339277</v>
      </c>
    </row>
    <row r="2250" spans="1:18" x14ac:dyDescent="0.25">
      <c r="A2250" s="169">
        <v>45327</v>
      </c>
      <c r="B2250" s="116">
        <v>573.95000000000005</v>
      </c>
      <c r="C2250" s="116">
        <v>551.95000000000005</v>
      </c>
      <c r="D2250" s="116">
        <v>550</v>
      </c>
      <c r="E2250" s="116">
        <v>550.95000000000005</v>
      </c>
      <c r="F2250" s="116">
        <v>551.95000000000005</v>
      </c>
      <c r="G2250">
        <v>66995</v>
      </c>
      <c r="H2250" s="116"/>
      <c r="I2250" s="116"/>
      <c r="L2250" s="169">
        <v>45316</v>
      </c>
      <c r="M2250" s="116">
        <v>770.5</v>
      </c>
      <c r="N2250" s="116">
        <v>773.05</v>
      </c>
      <c r="O2250" s="116">
        <v>747</v>
      </c>
      <c r="P2250" s="116">
        <v>749.7</v>
      </c>
      <c r="Q2250" s="116">
        <v>770.5</v>
      </c>
      <c r="R2250">
        <v>1041879</v>
      </c>
    </row>
    <row r="2251" spans="1:18" x14ac:dyDescent="0.25">
      <c r="A2251" s="169">
        <v>45328</v>
      </c>
      <c r="B2251" s="116">
        <v>574.95000000000005</v>
      </c>
      <c r="C2251" s="116">
        <v>570.45000000000005</v>
      </c>
      <c r="D2251" s="116">
        <v>546.04999999999995</v>
      </c>
      <c r="E2251" s="116">
        <v>555.5</v>
      </c>
      <c r="F2251" s="116">
        <v>570.45000000000005</v>
      </c>
      <c r="G2251">
        <v>47913</v>
      </c>
      <c r="H2251" s="116"/>
      <c r="I2251" s="116"/>
      <c r="L2251" s="169">
        <v>45320</v>
      </c>
      <c r="M2251" s="116">
        <v>766</v>
      </c>
      <c r="N2251" s="116">
        <v>778.3</v>
      </c>
      <c r="O2251" s="116">
        <v>762.6</v>
      </c>
      <c r="P2251" s="116">
        <v>778.3</v>
      </c>
      <c r="Q2251" s="116">
        <v>766</v>
      </c>
      <c r="R2251">
        <v>557047</v>
      </c>
    </row>
    <row r="2252" spans="1:18" x14ac:dyDescent="0.25">
      <c r="A2252" s="169">
        <v>45329</v>
      </c>
      <c r="B2252" s="116">
        <v>585.25</v>
      </c>
      <c r="C2252" s="116">
        <v>571.79999999999995</v>
      </c>
      <c r="D2252" s="116">
        <v>570</v>
      </c>
      <c r="E2252" s="116">
        <v>575</v>
      </c>
      <c r="F2252" s="116">
        <v>571.79999999999995</v>
      </c>
      <c r="G2252">
        <v>19794</v>
      </c>
      <c r="H2252" s="116"/>
      <c r="I2252" s="116"/>
      <c r="L2252" s="169">
        <v>45321</v>
      </c>
      <c r="M2252" s="116">
        <v>764.35</v>
      </c>
      <c r="N2252" s="116">
        <v>780</v>
      </c>
      <c r="O2252" s="116">
        <v>763</v>
      </c>
      <c r="P2252" s="116">
        <v>767.9</v>
      </c>
      <c r="Q2252" s="116">
        <v>764.35</v>
      </c>
      <c r="R2252">
        <v>536250</v>
      </c>
    </row>
    <row r="2253" spans="1:18" x14ac:dyDescent="0.25">
      <c r="A2253" s="169">
        <v>45330</v>
      </c>
      <c r="B2253" s="116">
        <v>582</v>
      </c>
      <c r="C2253" s="116">
        <v>570</v>
      </c>
      <c r="D2253" s="116">
        <v>560.4</v>
      </c>
      <c r="E2253" s="116">
        <v>571.79999999999995</v>
      </c>
      <c r="F2253" s="116">
        <v>570</v>
      </c>
      <c r="G2253">
        <v>33357</v>
      </c>
      <c r="H2253" s="116"/>
      <c r="I2253" s="116"/>
      <c r="L2253" s="169">
        <v>45322</v>
      </c>
      <c r="M2253" s="116">
        <v>776.4</v>
      </c>
      <c r="N2253" s="116">
        <v>779.45</v>
      </c>
      <c r="O2253" s="116">
        <v>764.35</v>
      </c>
      <c r="P2253" s="116">
        <v>767.05</v>
      </c>
      <c r="Q2253" s="116">
        <v>776.4</v>
      </c>
      <c r="R2253">
        <v>461465</v>
      </c>
    </row>
    <row r="2254" spans="1:18" x14ac:dyDescent="0.25">
      <c r="A2254" s="169">
        <v>45331</v>
      </c>
      <c r="B2254" s="116">
        <v>576.85</v>
      </c>
      <c r="C2254" s="116">
        <v>558.25</v>
      </c>
      <c r="D2254" s="116">
        <v>547</v>
      </c>
      <c r="E2254" s="116">
        <v>576.85</v>
      </c>
      <c r="F2254" s="116">
        <v>558.25</v>
      </c>
      <c r="G2254">
        <v>32672</v>
      </c>
      <c r="H2254" s="116"/>
      <c r="I2254" s="116"/>
      <c r="L2254" s="169">
        <v>45323</v>
      </c>
      <c r="M2254" s="116">
        <v>794.95</v>
      </c>
      <c r="N2254" s="116">
        <v>800</v>
      </c>
      <c r="O2254" s="116">
        <v>774</v>
      </c>
      <c r="P2254" s="116">
        <v>781</v>
      </c>
      <c r="Q2254" s="116">
        <v>794.95</v>
      </c>
      <c r="R2254">
        <v>733221</v>
      </c>
    </row>
    <row r="2255" spans="1:18" x14ac:dyDescent="0.25">
      <c r="A2255" s="169">
        <v>45334</v>
      </c>
      <c r="B2255" s="116">
        <v>567.35</v>
      </c>
      <c r="C2255" s="116">
        <v>546</v>
      </c>
      <c r="D2255" s="116">
        <v>531.5</v>
      </c>
      <c r="E2255" s="116">
        <v>567.35</v>
      </c>
      <c r="F2255" s="116">
        <v>546</v>
      </c>
      <c r="G2255">
        <v>34190</v>
      </c>
      <c r="H2255" s="116"/>
      <c r="I2255" s="116"/>
      <c r="L2255" s="169">
        <v>45324</v>
      </c>
      <c r="M2255" s="116">
        <v>828.85</v>
      </c>
      <c r="N2255" s="116">
        <v>838</v>
      </c>
      <c r="O2255" s="116">
        <v>799.9</v>
      </c>
      <c r="P2255" s="116">
        <v>806.7</v>
      </c>
      <c r="Q2255" s="116">
        <v>828.85</v>
      </c>
      <c r="R2255">
        <v>3651061</v>
      </c>
    </row>
    <row r="2256" spans="1:18" x14ac:dyDescent="0.25">
      <c r="A2256" s="169">
        <v>45335</v>
      </c>
      <c r="B2256" s="116">
        <v>549.95000000000005</v>
      </c>
      <c r="C2256" s="116">
        <v>532.9</v>
      </c>
      <c r="D2256" s="116">
        <v>530</v>
      </c>
      <c r="E2256" s="116">
        <v>549.95000000000005</v>
      </c>
      <c r="F2256" s="116">
        <v>532.9</v>
      </c>
      <c r="G2256">
        <v>20307</v>
      </c>
      <c r="H2256" s="116"/>
      <c r="I2256" s="116"/>
      <c r="L2256" s="169">
        <v>45327</v>
      </c>
      <c r="M2256" s="116">
        <v>801.75</v>
      </c>
      <c r="N2256" s="116">
        <v>836.85</v>
      </c>
      <c r="O2256" s="116">
        <v>797</v>
      </c>
      <c r="P2256" s="116">
        <v>836.85</v>
      </c>
      <c r="Q2256" s="116">
        <v>801.75</v>
      </c>
      <c r="R2256">
        <v>1318696</v>
      </c>
    </row>
    <row r="2257" spans="1:18" x14ac:dyDescent="0.25">
      <c r="A2257" s="169">
        <v>45336</v>
      </c>
      <c r="B2257" s="116">
        <v>539.5</v>
      </c>
      <c r="C2257" s="116">
        <v>533.04999999999995</v>
      </c>
      <c r="D2257" s="116">
        <v>522.4</v>
      </c>
      <c r="E2257" s="116">
        <v>530</v>
      </c>
      <c r="F2257" s="116">
        <v>533.04999999999995</v>
      </c>
      <c r="G2257">
        <v>46635</v>
      </c>
      <c r="H2257" s="116"/>
      <c r="I2257" s="116"/>
      <c r="L2257" s="169">
        <v>45328</v>
      </c>
      <c r="M2257" s="116">
        <v>818.1</v>
      </c>
      <c r="N2257" s="116">
        <v>819.8</v>
      </c>
      <c r="O2257" s="116">
        <v>802</v>
      </c>
      <c r="P2257" s="116">
        <v>808.7</v>
      </c>
      <c r="Q2257" s="116">
        <v>818.1</v>
      </c>
      <c r="R2257">
        <v>757804</v>
      </c>
    </row>
    <row r="2258" spans="1:18" x14ac:dyDescent="0.25">
      <c r="A2258" s="169">
        <v>45337</v>
      </c>
      <c r="B2258" s="116">
        <v>567.95000000000005</v>
      </c>
      <c r="C2258" s="116">
        <v>558.1</v>
      </c>
      <c r="D2258" s="116">
        <v>528.04999999999995</v>
      </c>
      <c r="E2258" s="116">
        <v>528.04999999999995</v>
      </c>
      <c r="F2258" s="116">
        <v>558.1</v>
      </c>
      <c r="G2258">
        <v>49187</v>
      </c>
      <c r="H2258" s="116"/>
      <c r="I2258" s="116"/>
      <c r="L2258" s="169">
        <v>45329</v>
      </c>
      <c r="M2258" s="116">
        <v>850.95</v>
      </c>
      <c r="N2258" s="116">
        <v>859.9</v>
      </c>
      <c r="O2258" s="116">
        <v>819.05</v>
      </c>
      <c r="P2258" s="116">
        <v>821</v>
      </c>
      <c r="Q2258" s="116">
        <v>850.95</v>
      </c>
      <c r="R2258">
        <v>3220370</v>
      </c>
    </row>
    <row r="2259" spans="1:18" x14ac:dyDescent="0.25">
      <c r="A2259" s="169">
        <v>45338</v>
      </c>
      <c r="B2259" s="116">
        <v>570.95000000000005</v>
      </c>
      <c r="C2259" s="116">
        <v>559.29999999999995</v>
      </c>
      <c r="D2259" s="116">
        <v>556.15</v>
      </c>
      <c r="E2259" s="116">
        <v>568.95000000000005</v>
      </c>
      <c r="F2259" s="116">
        <v>559.29999999999995</v>
      </c>
      <c r="G2259">
        <v>32351</v>
      </c>
      <c r="H2259" s="116"/>
      <c r="I2259" s="116"/>
      <c r="L2259" s="169">
        <v>45330</v>
      </c>
      <c r="M2259" s="116">
        <v>813.3</v>
      </c>
      <c r="N2259" s="116">
        <v>857.8</v>
      </c>
      <c r="O2259" s="116">
        <v>809.7</v>
      </c>
      <c r="P2259" s="116">
        <v>857.8</v>
      </c>
      <c r="Q2259" s="116">
        <v>813.3</v>
      </c>
      <c r="R2259">
        <v>1158979</v>
      </c>
    </row>
    <row r="2260" spans="1:18" x14ac:dyDescent="0.25">
      <c r="A2260" s="169">
        <v>45341</v>
      </c>
      <c r="B2260" s="116">
        <v>580</v>
      </c>
      <c r="C2260" s="116">
        <v>576.04999999999995</v>
      </c>
      <c r="D2260" s="116">
        <v>557.5</v>
      </c>
      <c r="E2260" s="116">
        <v>560</v>
      </c>
      <c r="F2260" s="116">
        <v>576.04999999999995</v>
      </c>
      <c r="G2260">
        <v>36592</v>
      </c>
      <c r="H2260" s="116"/>
      <c r="I2260" s="116"/>
      <c r="L2260" s="169">
        <v>45331</v>
      </c>
      <c r="M2260" s="116">
        <v>809.15</v>
      </c>
      <c r="N2260" s="116">
        <v>819.9</v>
      </c>
      <c r="O2260" s="116">
        <v>787.35</v>
      </c>
      <c r="P2260" s="116">
        <v>819.9</v>
      </c>
      <c r="Q2260" s="116">
        <v>809.15</v>
      </c>
      <c r="R2260">
        <v>682750</v>
      </c>
    </row>
    <row r="2261" spans="1:18" x14ac:dyDescent="0.25">
      <c r="A2261" s="169">
        <v>45342</v>
      </c>
      <c r="B2261" s="116">
        <v>583.6</v>
      </c>
      <c r="C2261" s="116">
        <v>575.15</v>
      </c>
      <c r="D2261" s="116">
        <v>572.79999999999995</v>
      </c>
      <c r="E2261" s="116">
        <v>578</v>
      </c>
      <c r="F2261" s="116">
        <v>575.15</v>
      </c>
      <c r="G2261">
        <v>41949</v>
      </c>
      <c r="H2261" s="116"/>
      <c r="I2261" s="116"/>
      <c r="L2261" s="169">
        <v>45334</v>
      </c>
      <c r="M2261" s="116">
        <v>784.15</v>
      </c>
      <c r="N2261" s="116">
        <v>816.75</v>
      </c>
      <c r="O2261" s="116">
        <v>777.6</v>
      </c>
      <c r="P2261" s="116">
        <v>809.15</v>
      </c>
      <c r="Q2261" s="116">
        <v>784.15</v>
      </c>
      <c r="R2261">
        <v>495821</v>
      </c>
    </row>
    <row r="2262" spans="1:18" x14ac:dyDescent="0.25">
      <c r="A2262" s="169">
        <v>45343</v>
      </c>
      <c r="B2262" s="116">
        <v>601.25</v>
      </c>
      <c r="C2262" s="116">
        <v>574.20000000000005</v>
      </c>
      <c r="D2262" s="116">
        <v>570.15</v>
      </c>
      <c r="E2262" s="116">
        <v>578.75</v>
      </c>
      <c r="F2262" s="116">
        <v>574.20000000000005</v>
      </c>
      <c r="G2262">
        <v>50911</v>
      </c>
      <c r="H2262" s="116"/>
      <c r="I2262" s="116"/>
      <c r="L2262" s="169">
        <v>45335</v>
      </c>
      <c r="M2262" s="116">
        <v>797.55</v>
      </c>
      <c r="N2262" s="116">
        <v>799.9</v>
      </c>
      <c r="O2262" s="116">
        <v>774.4</v>
      </c>
      <c r="P2262" s="116">
        <v>781.5</v>
      </c>
      <c r="Q2262" s="116">
        <v>797.55</v>
      </c>
      <c r="R2262">
        <v>349282</v>
      </c>
    </row>
    <row r="2263" spans="1:18" x14ac:dyDescent="0.25">
      <c r="A2263" s="169">
        <v>45344</v>
      </c>
      <c r="B2263" s="116">
        <v>590</v>
      </c>
      <c r="C2263" s="116">
        <v>570.1</v>
      </c>
      <c r="D2263" s="116">
        <v>562</v>
      </c>
      <c r="E2263" s="116">
        <v>575</v>
      </c>
      <c r="F2263" s="116">
        <v>570.1</v>
      </c>
      <c r="G2263">
        <v>54790</v>
      </c>
      <c r="H2263" s="116"/>
      <c r="I2263" s="116"/>
      <c r="L2263" s="169">
        <v>45336</v>
      </c>
      <c r="M2263" s="116">
        <v>804.1</v>
      </c>
      <c r="N2263" s="116">
        <v>806.85</v>
      </c>
      <c r="O2263" s="116">
        <v>776.45</v>
      </c>
      <c r="P2263" s="116">
        <v>781</v>
      </c>
      <c r="Q2263" s="116">
        <v>804.1</v>
      </c>
      <c r="R2263">
        <v>300045</v>
      </c>
    </row>
    <row r="2264" spans="1:18" x14ac:dyDescent="0.25">
      <c r="A2264" s="169">
        <v>45345</v>
      </c>
      <c r="B2264" s="116">
        <v>594.04999999999995</v>
      </c>
      <c r="C2264" s="116">
        <v>590.70000000000005</v>
      </c>
      <c r="D2264" s="116">
        <v>574.1</v>
      </c>
      <c r="E2264" s="116">
        <v>574.1</v>
      </c>
      <c r="F2264" s="116">
        <v>590.70000000000005</v>
      </c>
      <c r="G2264">
        <v>33987</v>
      </c>
      <c r="H2264" s="116"/>
      <c r="I2264" s="116"/>
      <c r="L2264" s="169">
        <v>45337</v>
      </c>
      <c r="M2264" s="116">
        <v>816.85</v>
      </c>
      <c r="N2264" s="116">
        <v>821.4</v>
      </c>
      <c r="O2264" s="116">
        <v>806</v>
      </c>
      <c r="P2264" s="116">
        <v>817.2</v>
      </c>
      <c r="Q2264" s="116">
        <v>816.85</v>
      </c>
      <c r="R2264">
        <v>465670</v>
      </c>
    </row>
    <row r="2265" spans="1:18" x14ac:dyDescent="0.25">
      <c r="A2265" s="169">
        <v>45348</v>
      </c>
      <c r="B2265" s="116">
        <v>606.45000000000005</v>
      </c>
      <c r="C2265" s="116">
        <v>596.75</v>
      </c>
      <c r="D2265" s="116">
        <v>592</v>
      </c>
      <c r="E2265" s="116">
        <v>600.4</v>
      </c>
      <c r="F2265" s="116">
        <v>596.75</v>
      </c>
      <c r="G2265">
        <v>58858</v>
      </c>
      <c r="H2265" s="116"/>
      <c r="I2265" s="116"/>
      <c r="L2265" s="169">
        <v>45338</v>
      </c>
      <c r="M2265" s="116">
        <v>807.25</v>
      </c>
      <c r="N2265" s="116">
        <v>825</v>
      </c>
      <c r="O2265" s="116">
        <v>804</v>
      </c>
      <c r="P2265" s="116">
        <v>820.25</v>
      </c>
      <c r="Q2265" s="116">
        <v>807.25</v>
      </c>
      <c r="R2265">
        <v>580292</v>
      </c>
    </row>
    <row r="2266" spans="1:18" x14ac:dyDescent="0.25">
      <c r="A2266" s="169">
        <v>45349</v>
      </c>
      <c r="B2266" s="116">
        <v>606.95000000000005</v>
      </c>
      <c r="C2266" s="116">
        <v>583.54999999999995</v>
      </c>
      <c r="D2266" s="116">
        <v>577.75</v>
      </c>
      <c r="E2266" s="116">
        <v>606.95000000000005</v>
      </c>
      <c r="F2266" s="116">
        <v>583.54999999999995</v>
      </c>
      <c r="G2266">
        <v>58837</v>
      </c>
      <c r="H2266" s="116"/>
      <c r="I2266" s="116"/>
      <c r="L2266" s="169">
        <v>45341</v>
      </c>
      <c r="M2266" s="116">
        <v>801.45</v>
      </c>
      <c r="N2266" s="116">
        <v>814.6</v>
      </c>
      <c r="O2266" s="116">
        <v>799.8</v>
      </c>
      <c r="P2266" s="116">
        <v>807.9</v>
      </c>
      <c r="Q2266" s="116">
        <v>801.45</v>
      </c>
      <c r="R2266">
        <v>208480</v>
      </c>
    </row>
    <row r="2267" spans="1:18" x14ac:dyDescent="0.25">
      <c r="A2267" s="169">
        <v>45350</v>
      </c>
      <c r="B2267" s="116">
        <v>589.79999999999995</v>
      </c>
      <c r="C2267" s="116">
        <v>564.75</v>
      </c>
      <c r="D2267" s="116">
        <v>558</v>
      </c>
      <c r="E2267" s="116">
        <v>587.35</v>
      </c>
      <c r="F2267" s="116">
        <v>564.75</v>
      </c>
      <c r="G2267">
        <v>54345</v>
      </c>
      <c r="H2267" s="116"/>
      <c r="I2267" s="116"/>
      <c r="L2267" s="169">
        <v>45342</v>
      </c>
      <c r="M2267" s="116">
        <v>797.95</v>
      </c>
      <c r="N2267" s="116">
        <v>806.2</v>
      </c>
      <c r="O2267" s="116">
        <v>790.65</v>
      </c>
      <c r="P2267" s="116">
        <v>804</v>
      </c>
      <c r="Q2267" s="116">
        <v>797.95</v>
      </c>
      <c r="R2267">
        <v>333698</v>
      </c>
    </row>
    <row r="2268" spans="1:18" x14ac:dyDescent="0.25">
      <c r="A2268" s="169">
        <v>45351</v>
      </c>
      <c r="B2268" s="116">
        <v>598.45000000000005</v>
      </c>
      <c r="C2268" s="116">
        <v>596.5</v>
      </c>
      <c r="D2268" s="116">
        <v>560.65</v>
      </c>
      <c r="E2268" s="116">
        <v>577.20000000000005</v>
      </c>
      <c r="F2268" s="116">
        <v>596.5</v>
      </c>
      <c r="G2268">
        <v>144719</v>
      </c>
      <c r="H2268" s="116"/>
      <c r="I2268" s="116"/>
      <c r="L2268" s="169">
        <v>45343</v>
      </c>
      <c r="M2268" s="116">
        <v>786.1</v>
      </c>
      <c r="N2268" s="116">
        <v>811.4</v>
      </c>
      <c r="O2268" s="116">
        <v>782.4</v>
      </c>
      <c r="P2268" s="116">
        <v>797.95</v>
      </c>
      <c r="Q2268" s="116">
        <v>786.1</v>
      </c>
      <c r="R2268">
        <v>445219</v>
      </c>
    </row>
    <row r="2269" spans="1:18" x14ac:dyDescent="0.25">
      <c r="A2269" s="169">
        <v>45352</v>
      </c>
      <c r="B2269" s="116">
        <v>600.5</v>
      </c>
      <c r="C2269" s="116">
        <v>587.45000000000005</v>
      </c>
      <c r="D2269" s="116">
        <v>578.35</v>
      </c>
      <c r="E2269" s="116">
        <v>596.5</v>
      </c>
      <c r="F2269" s="116">
        <v>587.45000000000005</v>
      </c>
      <c r="G2269">
        <v>79596</v>
      </c>
      <c r="H2269" s="116"/>
      <c r="I2269" s="116"/>
      <c r="L2269" s="169">
        <v>45344</v>
      </c>
      <c r="M2269" s="116">
        <v>794.85</v>
      </c>
      <c r="N2269" s="116">
        <v>797</v>
      </c>
      <c r="O2269" s="116">
        <v>781.5</v>
      </c>
      <c r="P2269" s="116">
        <v>790</v>
      </c>
      <c r="Q2269" s="116">
        <v>794.85</v>
      </c>
      <c r="R2269">
        <v>258141</v>
      </c>
    </row>
    <row r="2270" spans="1:18" x14ac:dyDescent="0.25">
      <c r="A2270" s="169">
        <v>45353</v>
      </c>
      <c r="B2270" s="116">
        <v>596.85</v>
      </c>
      <c r="C2270" s="116">
        <v>588.75</v>
      </c>
      <c r="D2270" s="116">
        <v>578</v>
      </c>
      <c r="E2270" s="116">
        <v>587.45000000000005</v>
      </c>
      <c r="F2270" s="116">
        <v>588.75</v>
      </c>
      <c r="G2270">
        <v>3812</v>
      </c>
      <c r="H2270" s="116"/>
      <c r="I2270" s="116"/>
      <c r="L2270" s="169">
        <v>45345</v>
      </c>
      <c r="M2270" s="116">
        <v>799.65</v>
      </c>
      <c r="N2270" s="116">
        <v>811.85</v>
      </c>
      <c r="O2270" s="116">
        <v>797</v>
      </c>
      <c r="P2270" s="116">
        <v>800</v>
      </c>
      <c r="Q2270" s="116">
        <v>799.65</v>
      </c>
      <c r="R2270">
        <v>445438</v>
      </c>
    </row>
    <row r="2271" spans="1:18" x14ac:dyDescent="0.25">
      <c r="A2271" s="169">
        <v>45355</v>
      </c>
      <c r="B2271" s="116">
        <v>610.25</v>
      </c>
      <c r="C2271" s="116">
        <v>607.9</v>
      </c>
      <c r="D2271" s="116">
        <v>589.25</v>
      </c>
      <c r="E2271" s="116">
        <v>598</v>
      </c>
      <c r="F2271" s="116">
        <v>607.9</v>
      </c>
      <c r="G2271">
        <v>119032</v>
      </c>
      <c r="H2271" s="116"/>
      <c r="I2271" s="116"/>
      <c r="L2271" s="169">
        <v>45348</v>
      </c>
      <c r="M2271" s="116">
        <v>799.3</v>
      </c>
      <c r="N2271" s="116">
        <v>809</v>
      </c>
      <c r="O2271" s="116">
        <v>795.5</v>
      </c>
      <c r="P2271" s="116">
        <v>804</v>
      </c>
      <c r="Q2271" s="116">
        <v>799.3</v>
      </c>
      <c r="R2271">
        <v>310941</v>
      </c>
    </row>
    <row r="2272" spans="1:18" x14ac:dyDescent="0.25">
      <c r="A2272" s="169">
        <v>45356</v>
      </c>
      <c r="B2272" s="116">
        <v>610.95000000000005</v>
      </c>
      <c r="C2272" s="116">
        <v>605.54999999999995</v>
      </c>
      <c r="D2272" s="116">
        <v>600.04999999999995</v>
      </c>
      <c r="E2272" s="116">
        <v>609</v>
      </c>
      <c r="F2272" s="116">
        <v>605.54999999999995</v>
      </c>
      <c r="G2272">
        <v>89149</v>
      </c>
      <c r="H2272" s="116"/>
      <c r="I2272" s="116"/>
      <c r="L2272" s="169">
        <v>45349</v>
      </c>
      <c r="M2272" s="116">
        <v>791.55</v>
      </c>
      <c r="N2272" s="116">
        <v>803.4</v>
      </c>
      <c r="O2272" s="116">
        <v>785.25</v>
      </c>
      <c r="P2272" s="116">
        <v>799.3</v>
      </c>
      <c r="Q2272" s="116">
        <v>791.55</v>
      </c>
      <c r="R2272">
        <v>297797</v>
      </c>
    </row>
    <row r="2273" spans="1:18" x14ac:dyDescent="0.25">
      <c r="A2273" s="169">
        <v>45357</v>
      </c>
      <c r="B2273" s="116">
        <v>606</v>
      </c>
      <c r="C2273" s="116">
        <v>583.65</v>
      </c>
      <c r="D2273" s="116">
        <v>576.04999999999995</v>
      </c>
      <c r="E2273" s="116">
        <v>606</v>
      </c>
      <c r="F2273" s="116">
        <v>583.65</v>
      </c>
      <c r="G2273">
        <v>124959</v>
      </c>
      <c r="H2273" s="116"/>
      <c r="I2273" s="116"/>
      <c r="L2273" s="169">
        <v>45350</v>
      </c>
      <c r="M2273" s="116">
        <v>767.7</v>
      </c>
      <c r="N2273" s="116">
        <v>795.35</v>
      </c>
      <c r="O2273" s="116">
        <v>761.9</v>
      </c>
      <c r="P2273" s="116">
        <v>791.6</v>
      </c>
      <c r="Q2273" s="116">
        <v>767.7</v>
      </c>
      <c r="R2273">
        <v>309315</v>
      </c>
    </row>
    <row r="2274" spans="1:18" x14ac:dyDescent="0.25">
      <c r="A2274" s="169">
        <v>45358</v>
      </c>
      <c r="B2274" s="116">
        <v>602</v>
      </c>
      <c r="C2274" s="116">
        <v>592.4</v>
      </c>
      <c r="D2274" s="116">
        <v>570.1</v>
      </c>
      <c r="E2274" s="116">
        <v>597.95000000000005</v>
      </c>
      <c r="F2274" s="116">
        <v>592.4</v>
      </c>
      <c r="G2274">
        <v>89390</v>
      </c>
      <c r="H2274" s="116"/>
      <c r="I2274" s="116"/>
      <c r="L2274" s="169">
        <v>45351</v>
      </c>
      <c r="M2274" s="116">
        <v>774.45</v>
      </c>
      <c r="N2274" s="116">
        <v>777.8</v>
      </c>
      <c r="O2274" s="116">
        <v>762.65</v>
      </c>
      <c r="P2274" s="116">
        <v>768.55</v>
      </c>
      <c r="Q2274" s="116">
        <v>774.45</v>
      </c>
      <c r="R2274">
        <v>397438</v>
      </c>
    </row>
    <row r="2275" spans="1:18" x14ac:dyDescent="0.25">
      <c r="A2275" s="169">
        <v>45362</v>
      </c>
      <c r="B2275" s="116">
        <v>598.5</v>
      </c>
      <c r="C2275" s="116">
        <v>572.85</v>
      </c>
      <c r="D2275" s="116">
        <v>564.04999999999995</v>
      </c>
      <c r="E2275" s="116">
        <v>598.5</v>
      </c>
      <c r="F2275" s="116">
        <v>572.85</v>
      </c>
      <c r="G2275">
        <v>76329</v>
      </c>
      <c r="H2275" s="116"/>
      <c r="I2275" s="116"/>
      <c r="L2275" s="169">
        <v>45352</v>
      </c>
      <c r="M2275" s="116">
        <v>792.55</v>
      </c>
      <c r="N2275" s="116">
        <v>797.75</v>
      </c>
      <c r="O2275" s="116">
        <v>774.45</v>
      </c>
      <c r="P2275" s="116">
        <v>785.35</v>
      </c>
      <c r="Q2275" s="116">
        <v>792.55</v>
      </c>
      <c r="R2275">
        <v>346647</v>
      </c>
    </row>
    <row r="2276" spans="1:18" x14ac:dyDescent="0.25">
      <c r="A2276" s="169">
        <v>45363</v>
      </c>
      <c r="B2276" s="116">
        <v>589.04999999999995</v>
      </c>
      <c r="C2276" s="116">
        <v>561</v>
      </c>
      <c r="D2276" s="116">
        <v>558</v>
      </c>
      <c r="E2276" s="116">
        <v>575.45000000000005</v>
      </c>
      <c r="F2276" s="116">
        <v>561</v>
      </c>
      <c r="G2276">
        <v>87583</v>
      </c>
      <c r="H2276" s="116"/>
      <c r="I2276" s="116"/>
      <c r="L2276" s="169">
        <v>45353</v>
      </c>
      <c r="M2276" s="116">
        <v>790.45</v>
      </c>
      <c r="N2276" s="116">
        <v>800</v>
      </c>
      <c r="O2276" s="116">
        <v>783</v>
      </c>
      <c r="P2276" s="116">
        <v>792</v>
      </c>
      <c r="Q2276" s="116">
        <v>790.45</v>
      </c>
      <c r="R2276">
        <v>20674</v>
      </c>
    </row>
    <row r="2277" spans="1:18" x14ac:dyDescent="0.25">
      <c r="A2277" s="169">
        <v>45364</v>
      </c>
      <c r="B2277" s="116">
        <v>565.1</v>
      </c>
      <c r="C2277" s="116">
        <v>540.4</v>
      </c>
      <c r="D2277" s="116">
        <v>530.75</v>
      </c>
      <c r="E2277" s="116">
        <v>560.70000000000005</v>
      </c>
      <c r="F2277" s="116">
        <v>540.4</v>
      </c>
      <c r="G2277">
        <v>188995</v>
      </c>
      <c r="H2277" s="116"/>
      <c r="I2277" s="116"/>
      <c r="L2277" s="169">
        <v>45355</v>
      </c>
      <c r="M2277" s="116">
        <v>790.8</v>
      </c>
      <c r="N2277" s="116">
        <v>797</v>
      </c>
      <c r="O2277" s="116">
        <v>787.05</v>
      </c>
      <c r="P2277" s="116">
        <v>790.45</v>
      </c>
      <c r="Q2277" s="116">
        <v>790.8</v>
      </c>
      <c r="R2277">
        <v>278586</v>
      </c>
    </row>
    <row r="2278" spans="1:18" x14ac:dyDescent="0.25">
      <c r="A2278" s="169">
        <v>45365</v>
      </c>
      <c r="B2278" s="116">
        <v>578.35</v>
      </c>
      <c r="C2278" s="116">
        <v>561.35</v>
      </c>
      <c r="D2278" s="116">
        <v>530</v>
      </c>
      <c r="E2278" s="116">
        <v>530</v>
      </c>
      <c r="F2278" s="116">
        <v>561.35</v>
      </c>
      <c r="G2278">
        <v>44328</v>
      </c>
      <c r="H2278" s="116"/>
      <c r="I2278" s="116"/>
      <c r="L2278" s="169">
        <v>45356</v>
      </c>
      <c r="M2278" s="116">
        <v>791.95</v>
      </c>
      <c r="N2278" s="116">
        <v>801</v>
      </c>
      <c r="O2278" s="116">
        <v>785.35</v>
      </c>
      <c r="P2278" s="116">
        <v>789.95</v>
      </c>
      <c r="Q2278" s="116">
        <v>791.95</v>
      </c>
      <c r="R2278">
        <v>448025</v>
      </c>
    </row>
    <row r="2279" spans="1:18" x14ac:dyDescent="0.25">
      <c r="A2279" s="169">
        <v>45366</v>
      </c>
      <c r="B2279" s="116">
        <v>579.9</v>
      </c>
      <c r="C2279" s="116">
        <v>563.75</v>
      </c>
      <c r="D2279" s="116">
        <v>548.29999999999995</v>
      </c>
      <c r="E2279" s="116">
        <v>558</v>
      </c>
      <c r="F2279" s="116">
        <v>563.75</v>
      </c>
      <c r="G2279">
        <v>629414</v>
      </c>
      <c r="H2279" s="116"/>
      <c r="I2279" s="116"/>
      <c r="L2279" s="169">
        <v>45357</v>
      </c>
      <c r="M2279" s="116">
        <v>784.8</v>
      </c>
      <c r="N2279" s="116">
        <v>795.6</v>
      </c>
      <c r="O2279" s="116">
        <v>761</v>
      </c>
      <c r="P2279" s="116">
        <v>791.9</v>
      </c>
      <c r="Q2279" s="116">
        <v>784.8</v>
      </c>
      <c r="R2279">
        <v>636798</v>
      </c>
    </row>
    <row r="2280" spans="1:18" x14ac:dyDescent="0.25">
      <c r="A2280" s="169">
        <v>45369</v>
      </c>
      <c r="B2280" s="116">
        <v>590</v>
      </c>
      <c r="C2280" s="116">
        <v>586.5</v>
      </c>
      <c r="D2280" s="116">
        <v>560.6</v>
      </c>
      <c r="E2280" s="116">
        <v>579</v>
      </c>
      <c r="F2280" s="116">
        <v>586.5</v>
      </c>
      <c r="G2280">
        <v>31817</v>
      </c>
      <c r="H2280" s="116"/>
      <c r="I2280" s="116"/>
      <c r="L2280" s="169">
        <v>45358</v>
      </c>
      <c r="M2280" s="116">
        <v>786.6</v>
      </c>
      <c r="N2280" s="116">
        <v>791.95</v>
      </c>
      <c r="O2280" s="116">
        <v>782.8</v>
      </c>
      <c r="P2280" s="116">
        <v>784.8</v>
      </c>
      <c r="Q2280" s="116">
        <v>786.6</v>
      </c>
      <c r="R2280">
        <v>306652</v>
      </c>
    </row>
    <row r="2281" spans="1:18" x14ac:dyDescent="0.25">
      <c r="A2281" s="169">
        <v>45370</v>
      </c>
      <c r="B2281" s="116">
        <v>599.70000000000005</v>
      </c>
      <c r="C2281" s="116">
        <v>579.45000000000005</v>
      </c>
      <c r="D2281" s="116">
        <v>573.79999999999995</v>
      </c>
      <c r="E2281" s="116">
        <v>589</v>
      </c>
      <c r="F2281" s="116">
        <v>579.45000000000005</v>
      </c>
      <c r="G2281">
        <v>30212</v>
      </c>
      <c r="H2281" s="116"/>
      <c r="I2281" s="116"/>
      <c r="L2281" s="169">
        <v>45362</v>
      </c>
      <c r="M2281" s="116">
        <v>771</v>
      </c>
      <c r="N2281" s="116">
        <v>787.7</v>
      </c>
      <c r="O2281" s="116">
        <v>766</v>
      </c>
      <c r="P2281" s="116">
        <v>783.1</v>
      </c>
      <c r="Q2281" s="116">
        <v>771</v>
      </c>
      <c r="R2281">
        <v>553779</v>
      </c>
    </row>
    <row r="2282" spans="1:18" x14ac:dyDescent="0.25">
      <c r="A2282" s="169">
        <v>45371</v>
      </c>
      <c r="B2282" s="116">
        <v>589</v>
      </c>
      <c r="C2282" s="116">
        <v>575.79999999999995</v>
      </c>
      <c r="D2282" s="116">
        <v>570.95000000000005</v>
      </c>
      <c r="E2282" s="116">
        <v>580.70000000000005</v>
      </c>
      <c r="F2282" s="116">
        <v>575.79999999999995</v>
      </c>
      <c r="G2282">
        <v>18861</v>
      </c>
      <c r="H2282" s="116"/>
      <c r="I2282" s="116"/>
      <c r="L2282" s="169">
        <v>45363</v>
      </c>
      <c r="M2282" s="116">
        <v>760.3</v>
      </c>
      <c r="N2282" s="116">
        <v>771.6</v>
      </c>
      <c r="O2282" s="116">
        <v>754</v>
      </c>
      <c r="P2282" s="116">
        <v>770.95</v>
      </c>
      <c r="Q2282" s="116">
        <v>760.3</v>
      </c>
      <c r="R2282">
        <v>311361</v>
      </c>
    </row>
    <row r="2283" spans="1:18" x14ac:dyDescent="0.25">
      <c r="A2283" s="169">
        <v>45372</v>
      </c>
      <c r="B2283" s="116">
        <v>595</v>
      </c>
      <c r="C2283" s="116">
        <v>589.6</v>
      </c>
      <c r="D2283" s="116">
        <v>581.1</v>
      </c>
      <c r="E2283" s="116">
        <v>588.4</v>
      </c>
      <c r="F2283" s="116">
        <v>589.6</v>
      </c>
      <c r="G2283">
        <v>32525</v>
      </c>
      <c r="H2283" s="116"/>
      <c r="I2283" s="116"/>
      <c r="L2283" s="169">
        <v>45364</v>
      </c>
      <c r="M2283" s="116">
        <v>721.45</v>
      </c>
      <c r="N2283" s="116">
        <v>761.2</v>
      </c>
      <c r="O2283" s="116">
        <v>717.95</v>
      </c>
      <c r="P2283" s="116">
        <v>757.2</v>
      </c>
      <c r="Q2283" s="116">
        <v>721.45</v>
      </c>
      <c r="R2283">
        <v>467762</v>
      </c>
    </row>
    <row r="2284" spans="1:18" x14ac:dyDescent="0.25">
      <c r="A2284" s="169">
        <v>45373</v>
      </c>
      <c r="B2284" s="116">
        <v>595</v>
      </c>
      <c r="C2284" s="116">
        <v>578.04999999999995</v>
      </c>
      <c r="D2284" s="116">
        <v>575.4</v>
      </c>
      <c r="E2284" s="116">
        <v>595</v>
      </c>
      <c r="F2284" s="116">
        <v>578.04999999999995</v>
      </c>
      <c r="G2284">
        <v>14567</v>
      </c>
      <c r="H2284" s="116"/>
      <c r="I2284" s="116"/>
      <c r="L2284" s="169">
        <v>45365</v>
      </c>
      <c r="M2284" s="116">
        <v>729.45</v>
      </c>
      <c r="N2284" s="116">
        <v>736.05</v>
      </c>
      <c r="O2284" s="116">
        <v>711.65</v>
      </c>
      <c r="P2284" s="116">
        <v>716.85</v>
      </c>
      <c r="Q2284" s="116">
        <v>729.45</v>
      </c>
      <c r="R2284">
        <v>394070</v>
      </c>
    </row>
    <row r="2285" spans="1:18" x14ac:dyDescent="0.25">
      <c r="A2285" s="169">
        <v>45377</v>
      </c>
      <c r="B2285" s="116">
        <v>584.35</v>
      </c>
      <c r="C2285" s="116">
        <v>566.15</v>
      </c>
      <c r="D2285" s="116">
        <v>564.70000000000005</v>
      </c>
      <c r="E2285" s="116">
        <v>582.95000000000005</v>
      </c>
      <c r="F2285" s="116">
        <v>566.15</v>
      </c>
      <c r="G2285">
        <v>34882</v>
      </c>
      <c r="H2285" s="116"/>
      <c r="I2285" s="116"/>
      <c r="L2285" s="169">
        <v>45366</v>
      </c>
      <c r="M2285" s="116">
        <v>724.45</v>
      </c>
      <c r="N2285" s="116">
        <v>734.35</v>
      </c>
      <c r="O2285" s="116">
        <v>709.15</v>
      </c>
      <c r="P2285" s="116">
        <v>734.35</v>
      </c>
      <c r="Q2285" s="116">
        <v>724.45</v>
      </c>
      <c r="R2285">
        <v>734692</v>
      </c>
    </row>
    <row r="2286" spans="1:18" x14ac:dyDescent="0.25">
      <c r="A2286" s="169">
        <v>45378</v>
      </c>
      <c r="B2286" s="116">
        <v>624.95000000000005</v>
      </c>
      <c r="C2286" s="116">
        <v>606.95000000000005</v>
      </c>
      <c r="D2286" s="116">
        <v>568.54999999999995</v>
      </c>
      <c r="E2286" s="116">
        <v>574</v>
      </c>
      <c r="F2286" s="116">
        <v>606.95000000000005</v>
      </c>
      <c r="G2286">
        <v>80582</v>
      </c>
      <c r="H2286" s="116"/>
      <c r="I2286" s="116"/>
      <c r="L2286" s="169">
        <v>45369</v>
      </c>
      <c r="M2286" s="116">
        <v>719.55</v>
      </c>
      <c r="N2286" s="116">
        <v>727.55</v>
      </c>
      <c r="O2286" s="116">
        <v>712.1</v>
      </c>
      <c r="P2286" s="116">
        <v>724.45</v>
      </c>
      <c r="Q2286" s="116">
        <v>719.55</v>
      </c>
      <c r="R2286">
        <v>523546</v>
      </c>
    </row>
    <row r="2287" spans="1:18" x14ac:dyDescent="0.25">
      <c r="A2287" s="169">
        <v>45379</v>
      </c>
      <c r="B2287" s="116">
        <v>634.4</v>
      </c>
      <c r="C2287" s="116">
        <v>602.95000000000005</v>
      </c>
      <c r="D2287" s="116">
        <v>596.79999999999995</v>
      </c>
      <c r="E2287" s="116">
        <v>614.95000000000005</v>
      </c>
      <c r="F2287" s="116">
        <v>602.95000000000005</v>
      </c>
      <c r="G2287">
        <v>52675</v>
      </c>
      <c r="H2287" s="116"/>
      <c r="I2287" s="116"/>
      <c r="L2287" s="169">
        <v>45370</v>
      </c>
      <c r="M2287" s="116">
        <v>709</v>
      </c>
      <c r="N2287" s="116">
        <v>722</v>
      </c>
      <c r="O2287" s="116">
        <v>701.95</v>
      </c>
      <c r="P2287" s="116">
        <v>722</v>
      </c>
      <c r="Q2287" s="116">
        <v>709</v>
      </c>
      <c r="R2287">
        <v>595062</v>
      </c>
    </row>
    <row r="2288" spans="1:18" x14ac:dyDescent="0.25">
      <c r="A2288" s="169">
        <v>45383</v>
      </c>
      <c r="B2288" s="116">
        <v>615</v>
      </c>
      <c r="C2288" s="116">
        <v>599.85</v>
      </c>
      <c r="D2288" s="116">
        <v>593.85</v>
      </c>
      <c r="E2288" s="116">
        <v>615</v>
      </c>
      <c r="F2288" s="116">
        <v>599.85</v>
      </c>
      <c r="G2288">
        <v>100948</v>
      </c>
      <c r="H2288" s="116"/>
      <c r="I2288" s="116"/>
      <c r="L2288" s="169">
        <v>45371</v>
      </c>
      <c r="M2288" s="116">
        <v>718.05</v>
      </c>
      <c r="N2288" s="116">
        <v>720.65</v>
      </c>
      <c r="O2288" s="116">
        <v>702.1</v>
      </c>
      <c r="P2288" s="116">
        <v>709.4</v>
      </c>
      <c r="Q2288" s="116">
        <v>718.05</v>
      </c>
      <c r="R2288">
        <v>306618</v>
      </c>
    </row>
    <row r="2289" spans="1:18" x14ac:dyDescent="0.25">
      <c r="A2289" s="169">
        <v>45384</v>
      </c>
      <c r="B2289" s="116">
        <v>613</v>
      </c>
      <c r="C2289" s="116">
        <v>611.4</v>
      </c>
      <c r="D2289" s="116">
        <v>595.45000000000005</v>
      </c>
      <c r="E2289" s="116">
        <v>595.45000000000005</v>
      </c>
      <c r="F2289" s="116">
        <v>611.4</v>
      </c>
      <c r="G2289">
        <v>59230</v>
      </c>
      <c r="H2289" s="116"/>
      <c r="I2289" s="116"/>
      <c r="L2289" s="169">
        <v>45372</v>
      </c>
      <c r="M2289" s="116">
        <v>738.2</v>
      </c>
      <c r="N2289" s="116">
        <v>741.95</v>
      </c>
      <c r="O2289" s="116">
        <v>723.35</v>
      </c>
      <c r="P2289" s="116">
        <v>724</v>
      </c>
      <c r="Q2289" s="116">
        <v>738.2</v>
      </c>
      <c r="R2289">
        <v>620355</v>
      </c>
    </row>
    <row r="2290" spans="1:18" x14ac:dyDescent="0.25">
      <c r="A2290" s="169">
        <v>45385</v>
      </c>
      <c r="B2290" s="116">
        <v>621</v>
      </c>
      <c r="C2290" s="116">
        <v>609.1</v>
      </c>
      <c r="D2290" s="116">
        <v>606.25</v>
      </c>
      <c r="E2290" s="116">
        <v>610.6</v>
      </c>
      <c r="F2290" s="116">
        <v>609.1</v>
      </c>
      <c r="G2290">
        <v>40543</v>
      </c>
      <c r="H2290" s="116"/>
      <c r="I2290" s="116"/>
      <c r="L2290" s="169">
        <v>45373</v>
      </c>
      <c r="M2290" s="116">
        <v>747.1</v>
      </c>
      <c r="N2290" s="116">
        <v>751.95</v>
      </c>
      <c r="O2290" s="116">
        <v>736.25</v>
      </c>
      <c r="P2290" s="116">
        <v>739.95</v>
      </c>
      <c r="Q2290" s="116">
        <v>747.1</v>
      </c>
      <c r="R2290">
        <v>496110</v>
      </c>
    </row>
    <row r="2291" spans="1:18" x14ac:dyDescent="0.25">
      <c r="A2291" s="169">
        <v>45386</v>
      </c>
      <c r="B2291" s="116">
        <v>645.9</v>
      </c>
      <c r="C2291" s="116">
        <v>628.79999999999995</v>
      </c>
      <c r="D2291" s="116">
        <v>617.1</v>
      </c>
      <c r="E2291" s="116">
        <v>619.9</v>
      </c>
      <c r="F2291" s="116">
        <v>628.79999999999995</v>
      </c>
      <c r="G2291">
        <v>63780</v>
      </c>
      <c r="H2291" s="116"/>
      <c r="I2291" s="116"/>
      <c r="L2291" s="169">
        <v>45377</v>
      </c>
      <c r="M2291" s="116">
        <v>754.45</v>
      </c>
      <c r="N2291" s="116">
        <v>758.1</v>
      </c>
      <c r="O2291" s="116">
        <v>740.9</v>
      </c>
      <c r="P2291" s="116">
        <v>747</v>
      </c>
      <c r="Q2291" s="116">
        <v>754.45</v>
      </c>
      <c r="R2291">
        <v>293576</v>
      </c>
    </row>
    <row r="2292" spans="1:18" x14ac:dyDescent="0.25">
      <c r="A2292" s="169">
        <v>45387</v>
      </c>
      <c r="B2292" s="116">
        <v>649.5</v>
      </c>
      <c r="C2292" s="116">
        <v>642.4</v>
      </c>
      <c r="D2292" s="116">
        <v>630.9</v>
      </c>
      <c r="E2292" s="116">
        <v>635</v>
      </c>
      <c r="F2292" s="116">
        <v>642.4</v>
      </c>
      <c r="G2292">
        <v>38286</v>
      </c>
      <c r="H2292" s="116"/>
      <c r="I2292" s="116"/>
      <c r="L2292" s="169">
        <v>45378</v>
      </c>
      <c r="M2292" s="116">
        <v>757.15</v>
      </c>
      <c r="N2292" s="116">
        <v>761.5</v>
      </c>
      <c r="O2292" s="116">
        <v>750.7</v>
      </c>
      <c r="P2292" s="116">
        <v>758.6</v>
      </c>
      <c r="Q2292" s="116">
        <v>757.15</v>
      </c>
      <c r="R2292">
        <v>314645</v>
      </c>
    </row>
    <row r="2293" spans="1:18" x14ac:dyDescent="0.25">
      <c r="A2293" s="169">
        <v>45390</v>
      </c>
      <c r="B2293" s="116">
        <v>659</v>
      </c>
      <c r="C2293" s="116">
        <v>651.6</v>
      </c>
      <c r="D2293" s="116">
        <v>641.1</v>
      </c>
      <c r="E2293" s="116">
        <v>649</v>
      </c>
      <c r="F2293" s="116">
        <v>651.6</v>
      </c>
      <c r="G2293">
        <v>39546</v>
      </c>
      <c r="H2293" s="116"/>
      <c r="I2293" s="116"/>
      <c r="L2293" s="169">
        <v>45379</v>
      </c>
      <c r="M2293" s="116">
        <v>752.95</v>
      </c>
      <c r="N2293" s="116">
        <v>761.3</v>
      </c>
      <c r="O2293" s="116">
        <v>748.1</v>
      </c>
      <c r="P2293" s="116">
        <v>757.95</v>
      </c>
      <c r="Q2293" s="116">
        <v>752.95</v>
      </c>
      <c r="R2293">
        <v>400597</v>
      </c>
    </row>
    <row r="2294" spans="1:18" x14ac:dyDescent="0.25">
      <c r="A2294" s="169">
        <v>45391</v>
      </c>
      <c r="B2294" s="116">
        <v>660.95</v>
      </c>
      <c r="C2294" s="116">
        <v>658.3</v>
      </c>
      <c r="D2294" s="116">
        <v>649</v>
      </c>
      <c r="E2294" s="116">
        <v>660.95</v>
      </c>
      <c r="F2294" s="116">
        <v>658.3</v>
      </c>
      <c r="G2294">
        <v>30565</v>
      </c>
      <c r="H2294" s="116"/>
      <c r="I2294" s="116"/>
      <c r="L2294" s="169">
        <v>45383</v>
      </c>
      <c r="M2294" s="116">
        <v>792.25</v>
      </c>
      <c r="N2294" s="116">
        <v>802</v>
      </c>
      <c r="O2294" s="116">
        <v>754</v>
      </c>
      <c r="P2294" s="116">
        <v>754</v>
      </c>
      <c r="Q2294" s="116">
        <v>792.25</v>
      </c>
      <c r="R2294">
        <v>701556</v>
      </c>
    </row>
    <row r="2295" spans="1:18" x14ac:dyDescent="0.25">
      <c r="A2295" s="169">
        <v>45392</v>
      </c>
      <c r="B2295" s="116">
        <v>707.15</v>
      </c>
      <c r="C2295" s="116">
        <v>694.55</v>
      </c>
      <c r="D2295" s="116">
        <v>655.35</v>
      </c>
      <c r="E2295" s="116">
        <v>660.95</v>
      </c>
      <c r="F2295" s="116">
        <v>694.55</v>
      </c>
      <c r="G2295">
        <v>136176</v>
      </c>
      <c r="H2295" s="116"/>
      <c r="I2295" s="116"/>
      <c r="L2295" s="169">
        <v>45384</v>
      </c>
      <c r="M2295" s="116">
        <v>793.05</v>
      </c>
      <c r="N2295" s="116">
        <v>796.9</v>
      </c>
      <c r="O2295" s="116">
        <v>781.05</v>
      </c>
      <c r="P2295" s="116">
        <v>790.75</v>
      </c>
      <c r="Q2295" s="116">
        <v>793.05</v>
      </c>
      <c r="R2295">
        <v>222656</v>
      </c>
    </row>
    <row r="2296" spans="1:18" x14ac:dyDescent="0.25">
      <c r="A2296" s="169">
        <v>45394</v>
      </c>
      <c r="B2296" s="116">
        <v>710.5</v>
      </c>
      <c r="C2296" s="116">
        <v>696</v>
      </c>
      <c r="D2296" s="116">
        <v>692.6</v>
      </c>
      <c r="E2296" s="116">
        <v>704.95</v>
      </c>
      <c r="F2296" s="116">
        <v>696</v>
      </c>
      <c r="G2296">
        <v>121993</v>
      </c>
      <c r="H2296" s="116"/>
      <c r="I2296" s="116"/>
      <c r="L2296" s="169">
        <v>45385</v>
      </c>
      <c r="M2296" s="116">
        <v>805.2</v>
      </c>
      <c r="N2296" s="116">
        <v>807.7</v>
      </c>
      <c r="O2296" s="116">
        <v>789</v>
      </c>
      <c r="P2296" s="116">
        <v>789.95</v>
      </c>
      <c r="Q2296" s="116">
        <v>805.2</v>
      </c>
      <c r="R2296">
        <v>320322</v>
      </c>
    </row>
    <row r="2297" spans="1:18" x14ac:dyDescent="0.25">
      <c r="A2297" s="169">
        <v>45397</v>
      </c>
      <c r="B2297" s="116">
        <v>709.8</v>
      </c>
      <c r="C2297" s="116">
        <v>694.65</v>
      </c>
      <c r="D2297" s="116">
        <v>660.15</v>
      </c>
      <c r="E2297" s="116">
        <v>694</v>
      </c>
      <c r="F2297" s="116">
        <v>694.65</v>
      </c>
      <c r="G2297">
        <v>61392</v>
      </c>
      <c r="H2297" s="116"/>
      <c r="I2297" s="116"/>
      <c r="L2297" s="169">
        <v>45386</v>
      </c>
      <c r="M2297" s="116">
        <v>808.7</v>
      </c>
      <c r="N2297" s="116">
        <v>817.95</v>
      </c>
      <c r="O2297" s="116">
        <v>796.75</v>
      </c>
      <c r="P2297" s="116">
        <v>813</v>
      </c>
      <c r="Q2297" s="116">
        <v>808.7</v>
      </c>
      <c r="R2297">
        <v>467410</v>
      </c>
    </row>
    <row r="2298" spans="1:18" x14ac:dyDescent="0.25">
      <c r="A2298" s="169">
        <v>45398</v>
      </c>
      <c r="B2298" s="116">
        <v>704.9</v>
      </c>
      <c r="C2298" s="116">
        <v>697.2</v>
      </c>
      <c r="D2298" s="116">
        <v>685</v>
      </c>
      <c r="E2298" s="116">
        <v>685.05</v>
      </c>
      <c r="F2298" s="116">
        <v>697.2</v>
      </c>
      <c r="G2298">
        <v>29120</v>
      </c>
      <c r="H2298" s="116"/>
      <c r="I2298" s="116"/>
      <c r="L2298" s="169">
        <v>45387</v>
      </c>
      <c r="M2298" s="116">
        <v>798.85</v>
      </c>
      <c r="N2298" s="116">
        <v>808.75</v>
      </c>
      <c r="O2298" s="116">
        <v>797.5</v>
      </c>
      <c r="P2298" s="116">
        <v>799.05</v>
      </c>
      <c r="Q2298" s="116">
        <v>798.85</v>
      </c>
      <c r="R2298">
        <v>226057</v>
      </c>
    </row>
    <row r="2299" spans="1:18" x14ac:dyDescent="0.25">
      <c r="A2299" s="169">
        <v>45400</v>
      </c>
      <c r="B2299" s="116">
        <v>725</v>
      </c>
      <c r="C2299" s="116">
        <v>721.35</v>
      </c>
      <c r="D2299" s="116">
        <v>700</v>
      </c>
      <c r="E2299" s="116">
        <v>700</v>
      </c>
      <c r="F2299" s="116">
        <v>721.35</v>
      </c>
      <c r="G2299">
        <v>133539</v>
      </c>
      <c r="H2299" s="116"/>
      <c r="I2299" s="116"/>
      <c r="L2299" s="169">
        <v>45390</v>
      </c>
      <c r="M2299" s="116">
        <v>798.95</v>
      </c>
      <c r="N2299" s="116">
        <v>808</v>
      </c>
      <c r="O2299" s="116">
        <v>796</v>
      </c>
      <c r="P2299" s="116">
        <v>798.85</v>
      </c>
      <c r="Q2299" s="116">
        <v>798.95</v>
      </c>
      <c r="R2299">
        <v>292135</v>
      </c>
    </row>
    <row r="2300" spans="1:18" x14ac:dyDescent="0.25">
      <c r="A2300" s="169">
        <v>45401</v>
      </c>
      <c r="B2300" s="116">
        <v>729</v>
      </c>
      <c r="C2300" s="116">
        <v>723.35</v>
      </c>
      <c r="D2300" s="116">
        <v>701</v>
      </c>
      <c r="E2300" s="116">
        <v>704.95</v>
      </c>
      <c r="F2300" s="116">
        <v>723.35</v>
      </c>
      <c r="G2300">
        <v>84278</v>
      </c>
      <c r="H2300" s="116"/>
      <c r="I2300" s="116"/>
      <c r="L2300" s="169">
        <v>45391</v>
      </c>
      <c r="M2300" s="116">
        <v>810.55</v>
      </c>
      <c r="N2300" s="116">
        <v>836</v>
      </c>
      <c r="O2300" s="116">
        <v>805</v>
      </c>
      <c r="P2300" s="116">
        <v>815</v>
      </c>
      <c r="Q2300" s="116">
        <v>810.55</v>
      </c>
      <c r="R2300">
        <v>3011848</v>
      </c>
    </row>
    <row r="2301" spans="1:18" x14ac:dyDescent="0.25">
      <c r="A2301" s="169">
        <v>45404</v>
      </c>
      <c r="B2301" s="116">
        <v>735</v>
      </c>
      <c r="C2301" s="116">
        <v>731.1</v>
      </c>
      <c r="D2301" s="116">
        <v>721.1</v>
      </c>
      <c r="E2301" s="116">
        <v>728</v>
      </c>
      <c r="F2301" s="116">
        <v>731.1</v>
      </c>
      <c r="G2301">
        <v>48195</v>
      </c>
      <c r="H2301" s="116"/>
      <c r="I2301" s="116"/>
      <c r="L2301" s="169">
        <v>45392</v>
      </c>
      <c r="M2301" s="116">
        <v>808.05</v>
      </c>
      <c r="N2301" s="116">
        <v>828.9</v>
      </c>
      <c r="O2301" s="116">
        <v>805.85</v>
      </c>
      <c r="P2301" s="116">
        <v>812</v>
      </c>
      <c r="Q2301" s="116">
        <v>808.05</v>
      </c>
      <c r="R2301">
        <v>636792</v>
      </c>
    </row>
    <row r="2302" spans="1:18" x14ac:dyDescent="0.25">
      <c r="A2302" s="169">
        <v>45405</v>
      </c>
      <c r="B2302" s="116">
        <v>739</v>
      </c>
      <c r="C2302" s="116">
        <v>716.05</v>
      </c>
      <c r="D2302" s="116">
        <v>709.05</v>
      </c>
      <c r="E2302" s="116">
        <v>732</v>
      </c>
      <c r="F2302" s="116">
        <v>716.05</v>
      </c>
      <c r="G2302">
        <v>28312</v>
      </c>
      <c r="H2302" s="116"/>
      <c r="I2302" s="116"/>
      <c r="L2302" s="169">
        <v>45394</v>
      </c>
      <c r="M2302" s="116">
        <v>785.75</v>
      </c>
      <c r="N2302" s="116">
        <v>813.7</v>
      </c>
      <c r="O2302" s="116">
        <v>784.15</v>
      </c>
      <c r="P2302" s="116">
        <v>808.8</v>
      </c>
      <c r="Q2302" s="116">
        <v>785.75</v>
      </c>
      <c r="R2302">
        <v>396428</v>
      </c>
    </row>
    <row r="2303" spans="1:18" x14ac:dyDescent="0.25">
      <c r="A2303" s="169">
        <v>45406</v>
      </c>
      <c r="B2303" s="116">
        <v>739.1</v>
      </c>
      <c r="C2303" s="116">
        <v>729.3</v>
      </c>
      <c r="D2303" s="116">
        <v>716.4</v>
      </c>
      <c r="E2303" s="116">
        <v>720.4</v>
      </c>
      <c r="F2303" s="116">
        <v>729.3</v>
      </c>
      <c r="G2303">
        <v>30380</v>
      </c>
      <c r="H2303" s="116"/>
      <c r="I2303" s="116"/>
      <c r="L2303" s="169">
        <v>45397</v>
      </c>
      <c r="M2303" s="116">
        <v>775.8</v>
      </c>
      <c r="N2303" s="116">
        <v>787.9</v>
      </c>
      <c r="O2303" s="116">
        <v>762.7</v>
      </c>
      <c r="P2303" s="116">
        <v>781.5</v>
      </c>
      <c r="Q2303" s="116">
        <v>775.8</v>
      </c>
      <c r="R2303">
        <v>355718</v>
      </c>
    </row>
    <row r="2304" spans="1:18" x14ac:dyDescent="0.25">
      <c r="A2304" s="169">
        <v>45407</v>
      </c>
      <c r="B2304" s="116">
        <v>749.25</v>
      </c>
      <c r="C2304" s="116">
        <v>730.55</v>
      </c>
      <c r="D2304" s="116">
        <v>727.25</v>
      </c>
      <c r="E2304" s="116">
        <v>732</v>
      </c>
      <c r="F2304" s="116">
        <v>730.55</v>
      </c>
      <c r="G2304">
        <v>36843</v>
      </c>
      <c r="H2304" s="116"/>
      <c r="I2304" s="116"/>
      <c r="L2304" s="169">
        <v>45398</v>
      </c>
      <c r="M2304" s="116">
        <v>765.2</v>
      </c>
      <c r="N2304" s="116">
        <v>776.05</v>
      </c>
      <c r="O2304" s="116">
        <v>762.1</v>
      </c>
      <c r="P2304" s="116">
        <v>776.05</v>
      </c>
      <c r="Q2304" s="116">
        <v>765.2</v>
      </c>
      <c r="R2304">
        <v>380265</v>
      </c>
    </row>
    <row r="2305" spans="1:18" x14ac:dyDescent="0.25">
      <c r="A2305" s="169">
        <v>45408</v>
      </c>
      <c r="B2305" s="116">
        <v>741</v>
      </c>
      <c r="C2305" s="116">
        <v>726.15</v>
      </c>
      <c r="D2305" s="116">
        <v>718.9</v>
      </c>
      <c r="E2305" s="116">
        <v>740.5</v>
      </c>
      <c r="F2305" s="116">
        <v>726.15</v>
      </c>
      <c r="G2305">
        <v>27628</v>
      </c>
      <c r="H2305" s="116"/>
      <c r="I2305" s="116"/>
      <c r="L2305" s="169">
        <v>45400</v>
      </c>
      <c r="M2305" s="116">
        <v>762.1</v>
      </c>
      <c r="N2305" s="116">
        <v>778.05</v>
      </c>
      <c r="O2305" s="116">
        <v>758.7</v>
      </c>
      <c r="P2305" s="116">
        <v>770.55</v>
      </c>
      <c r="Q2305" s="116">
        <v>762.1</v>
      </c>
      <c r="R2305">
        <v>616472</v>
      </c>
    </row>
    <row r="2306" spans="1:18" x14ac:dyDescent="0.25">
      <c r="A2306" s="169">
        <v>45411</v>
      </c>
      <c r="B2306" s="116">
        <v>740.65</v>
      </c>
      <c r="C2306" s="116">
        <v>716.65</v>
      </c>
      <c r="D2306" s="116">
        <v>713.9</v>
      </c>
      <c r="E2306" s="116">
        <v>740.65</v>
      </c>
      <c r="F2306" s="116">
        <v>716.65</v>
      </c>
      <c r="G2306">
        <v>17918</v>
      </c>
      <c r="H2306" s="116"/>
      <c r="I2306" s="116"/>
      <c r="L2306" s="169">
        <v>45401</v>
      </c>
      <c r="M2306" s="116">
        <v>754.8</v>
      </c>
      <c r="N2306" s="116">
        <v>760.75</v>
      </c>
      <c r="O2306" s="116">
        <v>742.15</v>
      </c>
      <c r="P2306" s="116">
        <v>754.6</v>
      </c>
      <c r="Q2306" s="116">
        <v>754.8</v>
      </c>
      <c r="R2306">
        <v>360337</v>
      </c>
    </row>
    <row r="2307" spans="1:18" x14ac:dyDescent="0.25">
      <c r="A2307" s="169">
        <v>45412</v>
      </c>
      <c r="B2307" s="116">
        <v>749.85</v>
      </c>
      <c r="C2307" s="116">
        <v>744.05</v>
      </c>
      <c r="D2307" s="116">
        <v>714.05</v>
      </c>
      <c r="E2307" s="116">
        <v>714.05</v>
      </c>
      <c r="F2307" s="116">
        <v>744.05</v>
      </c>
      <c r="G2307">
        <v>40656</v>
      </c>
      <c r="H2307" s="116"/>
      <c r="I2307" s="116"/>
      <c r="L2307" s="169">
        <v>45404</v>
      </c>
      <c r="M2307" s="116">
        <v>752.85</v>
      </c>
      <c r="N2307" s="116">
        <v>767.25</v>
      </c>
      <c r="O2307" s="116">
        <v>750.55</v>
      </c>
      <c r="P2307" s="116">
        <v>762</v>
      </c>
      <c r="Q2307" s="116">
        <v>752.85</v>
      </c>
      <c r="R2307">
        <v>305781</v>
      </c>
    </row>
    <row r="2308" spans="1:18" x14ac:dyDescent="0.25">
      <c r="A2308" s="169">
        <v>45414</v>
      </c>
      <c r="B2308" s="116">
        <v>750</v>
      </c>
      <c r="C2308" s="116">
        <v>738.5</v>
      </c>
      <c r="D2308" s="116">
        <v>729</v>
      </c>
      <c r="E2308" s="116">
        <v>745</v>
      </c>
      <c r="F2308" s="116">
        <v>738.5</v>
      </c>
      <c r="G2308">
        <v>93831</v>
      </c>
      <c r="H2308" s="116"/>
      <c r="I2308" s="116"/>
      <c r="L2308" s="169">
        <v>45405</v>
      </c>
      <c r="M2308" s="116">
        <v>744.2</v>
      </c>
      <c r="N2308" s="116">
        <v>759.45</v>
      </c>
      <c r="O2308" s="116">
        <v>739</v>
      </c>
      <c r="P2308" s="116">
        <v>752.95</v>
      </c>
      <c r="Q2308" s="116">
        <v>744.2</v>
      </c>
      <c r="R2308">
        <v>894176</v>
      </c>
    </row>
    <row r="2309" spans="1:18" x14ac:dyDescent="0.25">
      <c r="A2309" s="169">
        <v>45415</v>
      </c>
      <c r="B2309" s="116">
        <v>749.85</v>
      </c>
      <c r="C2309" s="116">
        <v>710.4</v>
      </c>
      <c r="D2309" s="116">
        <v>704</v>
      </c>
      <c r="E2309" s="116">
        <v>749.8</v>
      </c>
      <c r="F2309" s="116">
        <v>710.4</v>
      </c>
      <c r="G2309">
        <v>44486</v>
      </c>
      <c r="H2309" s="116"/>
      <c r="I2309" s="116"/>
      <c r="L2309" s="169">
        <v>45406</v>
      </c>
      <c r="M2309" s="116">
        <v>743.85</v>
      </c>
      <c r="N2309" s="116">
        <v>770</v>
      </c>
      <c r="O2309" s="116">
        <v>738.55</v>
      </c>
      <c r="P2309" s="116">
        <v>747.65</v>
      </c>
      <c r="Q2309" s="116">
        <v>743.85</v>
      </c>
      <c r="R2309">
        <v>1765054</v>
      </c>
    </row>
    <row r="2310" spans="1:18" x14ac:dyDescent="0.25">
      <c r="A2310" s="169">
        <v>45418</v>
      </c>
      <c r="B2310" s="116">
        <v>723.95</v>
      </c>
      <c r="C2310" s="116">
        <v>690.8</v>
      </c>
      <c r="D2310" s="116">
        <v>669.6</v>
      </c>
      <c r="E2310" s="116">
        <v>723.95</v>
      </c>
      <c r="F2310" s="116">
        <v>690.8</v>
      </c>
      <c r="G2310">
        <v>58385</v>
      </c>
      <c r="H2310" s="116"/>
      <c r="I2310" s="116"/>
      <c r="L2310" s="169">
        <v>45407</v>
      </c>
      <c r="M2310" s="116">
        <v>745.4</v>
      </c>
      <c r="N2310" s="116">
        <v>749</v>
      </c>
      <c r="O2310" s="116">
        <v>735.7</v>
      </c>
      <c r="P2310" s="116">
        <v>749</v>
      </c>
      <c r="Q2310" s="116">
        <v>745.4</v>
      </c>
      <c r="R2310">
        <v>740636</v>
      </c>
    </row>
    <row r="2311" spans="1:18" x14ac:dyDescent="0.25">
      <c r="A2311" s="169">
        <v>45419</v>
      </c>
      <c r="B2311" s="116">
        <v>706.75</v>
      </c>
      <c r="C2311" s="116">
        <v>680.3</v>
      </c>
      <c r="D2311" s="116">
        <v>675.4</v>
      </c>
      <c r="E2311" s="116">
        <v>699.9</v>
      </c>
      <c r="F2311" s="116">
        <v>680.3</v>
      </c>
      <c r="G2311">
        <v>29574</v>
      </c>
      <c r="H2311" s="116"/>
      <c r="I2311" s="116"/>
      <c r="L2311" s="169">
        <v>45408</v>
      </c>
      <c r="M2311" s="116">
        <v>746.95</v>
      </c>
      <c r="N2311" s="116">
        <v>752</v>
      </c>
      <c r="O2311" s="116">
        <v>741.5</v>
      </c>
      <c r="P2311" s="116">
        <v>752</v>
      </c>
      <c r="Q2311" s="116">
        <v>746.95</v>
      </c>
      <c r="R2311">
        <v>474706</v>
      </c>
    </row>
    <row r="2312" spans="1:18" x14ac:dyDescent="0.25">
      <c r="A2312" s="169">
        <v>45420</v>
      </c>
      <c r="B2312" s="116">
        <v>696.95</v>
      </c>
      <c r="C2312" s="116">
        <v>678.45</v>
      </c>
      <c r="D2312" s="116">
        <v>676</v>
      </c>
      <c r="E2312" s="116">
        <v>676.05</v>
      </c>
      <c r="F2312" s="116">
        <v>678.45</v>
      </c>
      <c r="G2312">
        <v>25476</v>
      </c>
      <c r="H2312" s="116"/>
      <c r="I2312" s="116"/>
      <c r="L2312" s="169">
        <v>45411</v>
      </c>
      <c r="M2312" s="116">
        <v>746.3</v>
      </c>
      <c r="N2312" s="116">
        <v>753.75</v>
      </c>
      <c r="O2312" s="116">
        <v>728.2</v>
      </c>
      <c r="P2312" s="116">
        <v>751.9</v>
      </c>
      <c r="Q2312" s="116">
        <v>746.3</v>
      </c>
      <c r="R2312">
        <v>1464619</v>
      </c>
    </row>
    <row r="2313" spans="1:18" x14ac:dyDescent="0.25">
      <c r="A2313" s="169">
        <v>45421</v>
      </c>
      <c r="B2313" s="116">
        <v>683.15</v>
      </c>
      <c r="C2313" s="116">
        <v>664.05</v>
      </c>
      <c r="D2313" s="116">
        <v>658.4</v>
      </c>
      <c r="E2313" s="116">
        <v>679</v>
      </c>
      <c r="F2313" s="116">
        <v>664.05</v>
      </c>
      <c r="G2313">
        <v>52318</v>
      </c>
      <c r="H2313" s="116"/>
      <c r="I2313" s="116"/>
      <c r="L2313" s="169">
        <v>45412</v>
      </c>
      <c r="M2313" s="116">
        <v>762.65</v>
      </c>
      <c r="N2313" s="116">
        <v>782</v>
      </c>
      <c r="O2313" s="116">
        <v>752.75</v>
      </c>
      <c r="P2313" s="116">
        <v>770.2</v>
      </c>
      <c r="Q2313" s="116">
        <v>762.65</v>
      </c>
      <c r="R2313">
        <v>4060950</v>
      </c>
    </row>
    <row r="2314" spans="1:18" x14ac:dyDescent="0.25">
      <c r="A2314" s="169">
        <v>45422</v>
      </c>
      <c r="B2314" s="116">
        <v>689.65</v>
      </c>
      <c r="C2314" s="116">
        <v>681.4</v>
      </c>
      <c r="D2314" s="116">
        <v>655</v>
      </c>
      <c r="E2314" s="116">
        <v>664.05</v>
      </c>
      <c r="F2314" s="116">
        <v>681.4</v>
      </c>
      <c r="G2314">
        <v>42562</v>
      </c>
      <c r="H2314" s="116"/>
      <c r="I2314" s="116"/>
      <c r="L2314" s="169">
        <v>45414</v>
      </c>
      <c r="M2314" s="116">
        <v>775.95</v>
      </c>
      <c r="N2314" s="116">
        <v>792</v>
      </c>
      <c r="O2314" s="116">
        <v>763.9</v>
      </c>
      <c r="P2314" s="116">
        <v>767</v>
      </c>
      <c r="Q2314" s="116">
        <v>775.95</v>
      </c>
      <c r="R2314">
        <v>1520140</v>
      </c>
    </row>
    <row r="2315" spans="1:18" x14ac:dyDescent="0.25">
      <c r="A2315" s="169">
        <v>45425</v>
      </c>
      <c r="B2315" s="116">
        <v>708.55</v>
      </c>
      <c r="C2315" s="116">
        <v>700.15</v>
      </c>
      <c r="D2315" s="116">
        <v>663.6</v>
      </c>
      <c r="E2315" s="116">
        <v>686.5</v>
      </c>
      <c r="F2315" s="116">
        <v>700.15</v>
      </c>
      <c r="G2315">
        <v>58087</v>
      </c>
      <c r="H2315" s="116"/>
      <c r="I2315" s="116"/>
      <c r="L2315" s="169">
        <v>45415</v>
      </c>
      <c r="M2315" s="116">
        <v>768.85</v>
      </c>
      <c r="N2315" s="116">
        <v>786.75</v>
      </c>
      <c r="O2315" s="116">
        <v>761.25</v>
      </c>
      <c r="P2315" s="116">
        <v>779.95</v>
      </c>
      <c r="Q2315" s="116">
        <v>768.85</v>
      </c>
      <c r="R2315">
        <v>659380</v>
      </c>
    </row>
    <row r="2316" spans="1:18" x14ac:dyDescent="0.25">
      <c r="A2316" s="169">
        <v>45426</v>
      </c>
      <c r="B2316" s="116">
        <v>708.7</v>
      </c>
      <c r="C2316" s="116">
        <v>699.5</v>
      </c>
      <c r="D2316" s="116">
        <v>692.8</v>
      </c>
      <c r="E2316" s="116">
        <v>701</v>
      </c>
      <c r="F2316" s="116">
        <v>699.5</v>
      </c>
      <c r="G2316">
        <v>41221</v>
      </c>
      <c r="H2316" s="116"/>
      <c r="I2316" s="116"/>
      <c r="L2316" s="169">
        <v>45418</v>
      </c>
      <c r="M2316" s="116">
        <v>759.55</v>
      </c>
      <c r="N2316" s="116">
        <v>776.5</v>
      </c>
      <c r="O2316" s="116">
        <v>756.55</v>
      </c>
      <c r="P2316" s="116">
        <v>776.5</v>
      </c>
      <c r="Q2316" s="116">
        <v>759.55</v>
      </c>
      <c r="R2316">
        <v>353854</v>
      </c>
    </row>
    <row r="2317" spans="1:18" x14ac:dyDescent="0.25">
      <c r="A2317" s="169">
        <v>45427</v>
      </c>
      <c r="B2317" s="116">
        <v>705.85</v>
      </c>
      <c r="C2317" s="116">
        <v>691.95</v>
      </c>
      <c r="D2317" s="116">
        <v>690.1</v>
      </c>
      <c r="E2317" s="116">
        <v>699.5</v>
      </c>
      <c r="F2317" s="116">
        <v>691.95</v>
      </c>
      <c r="G2317">
        <v>19128</v>
      </c>
      <c r="H2317" s="116"/>
      <c r="I2317" s="116"/>
      <c r="L2317" s="169">
        <v>45419</v>
      </c>
      <c r="M2317" s="116">
        <v>739.4</v>
      </c>
      <c r="N2317" s="116">
        <v>759.9</v>
      </c>
      <c r="O2317" s="116">
        <v>732</v>
      </c>
      <c r="P2317" s="116">
        <v>759.9</v>
      </c>
      <c r="Q2317" s="116">
        <v>739.4</v>
      </c>
      <c r="R2317">
        <v>493507</v>
      </c>
    </row>
    <row r="2318" spans="1:18" x14ac:dyDescent="0.25">
      <c r="A2318" s="169">
        <v>45428</v>
      </c>
      <c r="B2318" s="116">
        <v>699.95</v>
      </c>
      <c r="C2318" s="116">
        <v>682.6</v>
      </c>
      <c r="D2318" s="116">
        <v>680.9</v>
      </c>
      <c r="E2318" s="116">
        <v>699.95</v>
      </c>
      <c r="F2318" s="116">
        <v>682.6</v>
      </c>
      <c r="G2318">
        <v>14494</v>
      </c>
      <c r="H2318" s="116"/>
      <c r="I2318" s="116"/>
      <c r="L2318" s="169">
        <v>45420</v>
      </c>
      <c r="M2318" s="116">
        <v>742.25</v>
      </c>
      <c r="N2318" s="116">
        <v>752</v>
      </c>
      <c r="O2318" s="116">
        <v>732.4</v>
      </c>
      <c r="P2318" s="116">
        <v>739.8</v>
      </c>
      <c r="Q2318" s="116">
        <v>742.25</v>
      </c>
      <c r="R2318">
        <v>503561</v>
      </c>
    </row>
    <row r="2319" spans="1:18" x14ac:dyDescent="0.25">
      <c r="A2319" s="169">
        <v>45429</v>
      </c>
      <c r="B2319" s="116">
        <v>724</v>
      </c>
      <c r="C2319" s="116">
        <v>711.05</v>
      </c>
      <c r="D2319" s="116">
        <v>689.95</v>
      </c>
      <c r="E2319" s="116">
        <v>689.95</v>
      </c>
      <c r="F2319" s="116">
        <v>711.05</v>
      </c>
      <c r="G2319">
        <v>41652</v>
      </c>
      <c r="H2319" s="116"/>
      <c r="I2319" s="116"/>
      <c r="L2319" s="169">
        <v>45421</v>
      </c>
      <c r="M2319" s="116">
        <v>719.6</v>
      </c>
      <c r="N2319" s="116">
        <v>745.8</v>
      </c>
      <c r="O2319" s="116">
        <v>716.15</v>
      </c>
      <c r="P2319" s="116">
        <v>745.8</v>
      </c>
      <c r="Q2319" s="116">
        <v>719.6</v>
      </c>
      <c r="R2319">
        <v>380606</v>
      </c>
    </row>
    <row r="2320" spans="1:18" x14ac:dyDescent="0.25">
      <c r="A2320" s="169">
        <v>45430</v>
      </c>
      <c r="B2320" s="116">
        <v>730</v>
      </c>
      <c r="C2320" s="116">
        <v>706.25</v>
      </c>
      <c r="D2320" s="116">
        <v>702.5</v>
      </c>
      <c r="E2320" s="116">
        <v>730</v>
      </c>
      <c r="F2320" s="116">
        <v>706.25</v>
      </c>
      <c r="G2320">
        <v>5821</v>
      </c>
      <c r="H2320" s="116"/>
      <c r="I2320" s="116"/>
      <c r="L2320" s="169">
        <v>45422</v>
      </c>
      <c r="M2320" s="116">
        <v>734.95</v>
      </c>
      <c r="N2320" s="116">
        <v>740</v>
      </c>
      <c r="O2320" s="116">
        <v>718.2</v>
      </c>
      <c r="P2320" s="116">
        <v>725</v>
      </c>
      <c r="Q2320" s="116">
        <v>734.95</v>
      </c>
      <c r="R2320">
        <v>481490</v>
      </c>
    </row>
    <row r="2321" spans="1:18" x14ac:dyDescent="0.25">
      <c r="A2321" s="169">
        <v>45433</v>
      </c>
      <c r="B2321" s="116">
        <v>729</v>
      </c>
      <c r="C2321" s="116">
        <v>714.85</v>
      </c>
      <c r="D2321" s="116">
        <v>702</v>
      </c>
      <c r="E2321" s="116">
        <v>717.55</v>
      </c>
      <c r="F2321" s="116">
        <v>714.85</v>
      </c>
      <c r="G2321">
        <v>41331</v>
      </c>
      <c r="H2321" s="116"/>
      <c r="I2321" s="116"/>
      <c r="L2321" s="169">
        <v>45425</v>
      </c>
      <c r="M2321" s="116">
        <v>738.75</v>
      </c>
      <c r="N2321" s="116">
        <v>742.5</v>
      </c>
      <c r="O2321" s="116">
        <v>721.15</v>
      </c>
      <c r="P2321" s="116">
        <v>735.5</v>
      </c>
      <c r="Q2321" s="116">
        <v>738.75</v>
      </c>
      <c r="R2321">
        <v>275017</v>
      </c>
    </row>
    <row r="2322" spans="1:18" x14ac:dyDescent="0.25">
      <c r="A2322" s="169">
        <v>45434</v>
      </c>
      <c r="B2322" s="116">
        <v>728.9</v>
      </c>
      <c r="C2322" s="116">
        <v>705</v>
      </c>
      <c r="D2322" s="116">
        <v>703.25</v>
      </c>
      <c r="E2322" s="116">
        <v>728.9</v>
      </c>
      <c r="F2322" s="116">
        <v>705</v>
      </c>
      <c r="G2322">
        <v>26258</v>
      </c>
      <c r="H2322" s="116"/>
      <c r="I2322" s="116"/>
      <c r="L2322" s="169">
        <v>45426</v>
      </c>
      <c r="M2322" s="116">
        <v>750</v>
      </c>
      <c r="N2322" s="116">
        <v>753</v>
      </c>
      <c r="O2322" s="116">
        <v>737.85</v>
      </c>
      <c r="P2322" s="116">
        <v>742.8</v>
      </c>
      <c r="Q2322" s="116">
        <v>750</v>
      </c>
      <c r="R2322">
        <v>270229</v>
      </c>
    </row>
    <row r="2323" spans="1:18" x14ac:dyDescent="0.25">
      <c r="A2323" s="169">
        <v>45435</v>
      </c>
      <c r="B2323" s="116">
        <v>712.9</v>
      </c>
      <c r="C2323" s="116">
        <v>704.4</v>
      </c>
      <c r="D2323" s="116">
        <v>700</v>
      </c>
      <c r="E2323" s="116">
        <v>709</v>
      </c>
      <c r="F2323" s="116">
        <v>704.4</v>
      </c>
      <c r="G2323">
        <v>32002</v>
      </c>
      <c r="H2323" s="116"/>
      <c r="I2323" s="116"/>
      <c r="L2323" s="169">
        <v>45427</v>
      </c>
      <c r="M2323" s="116">
        <v>753</v>
      </c>
      <c r="N2323" s="116">
        <v>757.2</v>
      </c>
      <c r="O2323" s="116">
        <v>746.45</v>
      </c>
      <c r="P2323" s="116">
        <v>751</v>
      </c>
      <c r="Q2323" s="116">
        <v>753</v>
      </c>
      <c r="R2323">
        <v>270791</v>
      </c>
    </row>
    <row r="2324" spans="1:18" x14ac:dyDescent="0.25">
      <c r="A2324" s="169">
        <v>45436</v>
      </c>
      <c r="B2324" s="116">
        <v>712</v>
      </c>
      <c r="C2324" s="116">
        <v>702.1</v>
      </c>
      <c r="D2324" s="116">
        <v>701</v>
      </c>
      <c r="E2324" s="116">
        <v>712</v>
      </c>
      <c r="F2324" s="116">
        <v>702.1</v>
      </c>
      <c r="G2324">
        <v>9035</v>
      </c>
      <c r="H2324" s="116"/>
      <c r="I2324" s="116"/>
      <c r="L2324" s="169">
        <v>45428</v>
      </c>
      <c r="M2324" s="116">
        <v>760.25</v>
      </c>
      <c r="N2324" s="116">
        <v>762.7</v>
      </c>
      <c r="O2324" s="116">
        <v>752.1</v>
      </c>
      <c r="P2324" s="116">
        <v>760</v>
      </c>
      <c r="Q2324" s="116">
        <v>760.25</v>
      </c>
      <c r="R2324">
        <v>226162</v>
      </c>
    </row>
    <row r="2325" spans="1:18" x14ac:dyDescent="0.25">
      <c r="A2325" s="169">
        <v>45439</v>
      </c>
      <c r="B2325" s="116">
        <v>709.8</v>
      </c>
      <c r="C2325" s="116">
        <v>696.25</v>
      </c>
      <c r="D2325" s="116">
        <v>692</v>
      </c>
      <c r="E2325" s="116">
        <v>709.8</v>
      </c>
      <c r="F2325" s="116">
        <v>696.25</v>
      </c>
      <c r="G2325">
        <v>15498</v>
      </c>
      <c r="H2325" s="116"/>
      <c r="I2325" s="116"/>
      <c r="L2325" s="169">
        <v>45429</v>
      </c>
      <c r="M2325" s="116">
        <v>757.75</v>
      </c>
      <c r="N2325" s="116">
        <v>765.95</v>
      </c>
      <c r="O2325" s="116">
        <v>753.1</v>
      </c>
      <c r="P2325" s="116">
        <v>760.25</v>
      </c>
      <c r="Q2325" s="116">
        <v>757.75</v>
      </c>
      <c r="R2325">
        <v>189482</v>
      </c>
    </row>
    <row r="2326" spans="1:18" x14ac:dyDescent="0.25">
      <c r="A2326" s="169">
        <v>45440</v>
      </c>
      <c r="B2326" s="116">
        <v>709</v>
      </c>
      <c r="C2326" s="116">
        <v>692</v>
      </c>
      <c r="D2326" s="116">
        <v>683</v>
      </c>
      <c r="E2326" s="116">
        <v>709</v>
      </c>
      <c r="F2326" s="116">
        <v>692</v>
      </c>
      <c r="G2326">
        <v>16109</v>
      </c>
      <c r="H2326" s="116"/>
      <c r="I2326" s="116"/>
      <c r="L2326" s="169">
        <v>45430</v>
      </c>
      <c r="M2326" s="116">
        <v>758.35</v>
      </c>
      <c r="N2326" s="116">
        <v>764</v>
      </c>
      <c r="O2326" s="116">
        <v>755.15</v>
      </c>
      <c r="P2326" s="116">
        <v>763.45</v>
      </c>
      <c r="Q2326" s="116">
        <v>758.35</v>
      </c>
      <c r="R2326">
        <v>23441</v>
      </c>
    </row>
    <row r="2327" spans="1:18" x14ac:dyDescent="0.25">
      <c r="A2327" s="169">
        <v>45441</v>
      </c>
      <c r="B2327" s="116">
        <v>694.1</v>
      </c>
      <c r="C2327" s="116">
        <v>691.1</v>
      </c>
      <c r="D2327" s="116">
        <v>680</v>
      </c>
      <c r="E2327" s="116">
        <v>680</v>
      </c>
      <c r="F2327" s="116">
        <v>691.1</v>
      </c>
      <c r="G2327">
        <v>28593</v>
      </c>
      <c r="H2327" s="116"/>
      <c r="I2327" s="116"/>
      <c r="L2327" s="169">
        <v>45433</v>
      </c>
      <c r="M2327" s="116">
        <v>744.9</v>
      </c>
      <c r="N2327" s="116">
        <v>759.95</v>
      </c>
      <c r="O2327" s="116">
        <v>743</v>
      </c>
      <c r="P2327" s="116">
        <v>756.5</v>
      </c>
      <c r="Q2327" s="116">
        <v>744.9</v>
      </c>
      <c r="R2327">
        <v>333716</v>
      </c>
    </row>
    <row r="2328" spans="1:18" x14ac:dyDescent="0.25">
      <c r="A2328" s="169">
        <v>45442</v>
      </c>
      <c r="B2328" s="116">
        <v>697</v>
      </c>
      <c r="C2328" s="116">
        <v>684.2</v>
      </c>
      <c r="D2328" s="116">
        <v>683</v>
      </c>
      <c r="E2328" s="116">
        <v>697</v>
      </c>
      <c r="F2328" s="116">
        <v>684.2</v>
      </c>
      <c r="G2328">
        <v>14943</v>
      </c>
      <c r="H2328" s="116"/>
      <c r="I2328" s="116"/>
      <c r="L2328" s="169">
        <v>45434</v>
      </c>
      <c r="M2328" s="116">
        <v>739.5</v>
      </c>
      <c r="N2328" s="116">
        <v>752.6</v>
      </c>
      <c r="O2328" s="116">
        <v>735.65</v>
      </c>
      <c r="P2328" s="116">
        <v>744.9</v>
      </c>
      <c r="Q2328" s="116">
        <v>739.5</v>
      </c>
      <c r="R2328">
        <v>301251</v>
      </c>
    </row>
    <row r="2329" spans="1:18" x14ac:dyDescent="0.25">
      <c r="A2329" s="169">
        <v>45443</v>
      </c>
      <c r="B2329" s="116">
        <v>684.7</v>
      </c>
      <c r="C2329" s="116">
        <v>680.35</v>
      </c>
      <c r="D2329" s="116">
        <v>670.6</v>
      </c>
      <c r="E2329" s="116">
        <v>684</v>
      </c>
      <c r="F2329" s="116">
        <v>680.35</v>
      </c>
      <c r="G2329">
        <v>10375</v>
      </c>
      <c r="H2329" s="116"/>
      <c r="I2329" s="116"/>
      <c r="L2329" s="169">
        <v>45435</v>
      </c>
      <c r="M2329" s="116">
        <v>744.6</v>
      </c>
      <c r="N2329" s="116">
        <v>746.7</v>
      </c>
      <c r="O2329" s="116">
        <v>734.5</v>
      </c>
      <c r="P2329" s="116">
        <v>739.5</v>
      </c>
      <c r="Q2329" s="116">
        <v>744.6</v>
      </c>
      <c r="R2329">
        <v>405125</v>
      </c>
    </row>
    <row r="2330" spans="1:18" x14ac:dyDescent="0.25">
      <c r="A2330" s="169">
        <v>45446</v>
      </c>
      <c r="B2330" s="116">
        <v>725</v>
      </c>
      <c r="C2330" s="116">
        <v>692.25</v>
      </c>
      <c r="D2330" s="116">
        <v>685</v>
      </c>
      <c r="E2330" s="116">
        <v>700</v>
      </c>
      <c r="F2330" s="116">
        <v>692.25</v>
      </c>
      <c r="G2330">
        <v>28224</v>
      </c>
      <c r="H2330" s="116"/>
      <c r="I2330" s="116"/>
      <c r="L2330" s="169">
        <v>45436</v>
      </c>
      <c r="M2330" s="116">
        <v>738.55</v>
      </c>
      <c r="N2330" s="116">
        <v>747.2</v>
      </c>
      <c r="O2330" s="116">
        <v>735.9</v>
      </c>
      <c r="P2330" s="116">
        <v>744.6</v>
      </c>
      <c r="Q2330" s="116">
        <v>738.55</v>
      </c>
      <c r="R2330">
        <v>377050</v>
      </c>
    </row>
    <row r="2331" spans="1:18" x14ac:dyDescent="0.25">
      <c r="A2331" s="169">
        <v>45447</v>
      </c>
      <c r="B2331" s="116">
        <v>697</v>
      </c>
      <c r="C2331" s="116">
        <v>629.4</v>
      </c>
      <c r="D2331" s="116">
        <v>592.1</v>
      </c>
      <c r="E2331" s="116">
        <v>697</v>
      </c>
      <c r="F2331" s="116">
        <v>629.4</v>
      </c>
      <c r="G2331">
        <v>52057</v>
      </c>
      <c r="H2331" s="116"/>
      <c r="I2331" s="116"/>
      <c r="L2331" s="169">
        <v>45439</v>
      </c>
      <c r="M2331" s="116">
        <v>742</v>
      </c>
      <c r="N2331" s="116">
        <v>749</v>
      </c>
      <c r="O2331" s="116">
        <v>733.55</v>
      </c>
      <c r="P2331" s="116">
        <v>742.85</v>
      </c>
      <c r="Q2331" s="116">
        <v>742</v>
      </c>
      <c r="R2331">
        <v>423585</v>
      </c>
    </row>
    <row r="2332" spans="1:18" x14ac:dyDescent="0.25">
      <c r="A2332" s="169">
        <v>45448</v>
      </c>
      <c r="B2332" s="116">
        <v>655.65</v>
      </c>
      <c r="C2332" s="116">
        <v>649.6</v>
      </c>
      <c r="D2332" s="116">
        <v>604.70000000000005</v>
      </c>
      <c r="E2332" s="116">
        <v>642.04999999999995</v>
      </c>
      <c r="F2332" s="116">
        <v>649.6</v>
      </c>
      <c r="G2332">
        <v>31347</v>
      </c>
      <c r="H2332" s="116"/>
      <c r="I2332" s="116"/>
      <c r="L2332" s="169">
        <v>45440</v>
      </c>
      <c r="M2332" s="116">
        <v>744.95</v>
      </c>
      <c r="N2332" s="116">
        <v>755.95</v>
      </c>
      <c r="O2332" s="116">
        <v>740.2</v>
      </c>
      <c r="P2332" s="116">
        <v>742</v>
      </c>
      <c r="Q2332" s="116">
        <v>744.95</v>
      </c>
      <c r="R2332">
        <v>506474</v>
      </c>
    </row>
    <row r="2333" spans="1:18" x14ac:dyDescent="0.25">
      <c r="A2333" s="169">
        <v>45449</v>
      </c>
      <c r="B2333" s="116">
        <v>724</v>
      </c>
      <c r="C2333" s="116">
        <v>700.8</v>
      </c>
      <c r="D2333" s="116">
        <v>656.95</v>
      </c>
      <c r="E2333" s="116">
        <v>668.4</v>
      </c>
      <c r="F2333" s="116">
        <v>700.8</v>
      </c>
      <c r="G2333">
        <v>65741</v>
      </c>
      <c r="H2333" s="116"/>
      <c r="I2333" s="116"/>
      <c r="L2333" s="169">
        <v>45441</v>
      </c>
      <c r="M2333" s="116">
        <v>722.2</v>
      </c>
      <c r="N2333" s="116">
        <v>743.9</v>
      </c>
      <c r="O2333" s="116">
        <v>720.3</v>
      </c>
      <c r="P2333" s="116">
        <v>743.9</v>
      </c>
      <c r="Q2333" s="116">
        <v>722.2</v>
      </c>
      <c r="R2333">
        <v>1026105</v>
      </c>
    </row>
    <row r="2334" spans="1:18" x14ac:dyDescent="0.25">
      <c r="A2334" s="169">
        <v>45450</v>
      </c>
      <c r="B2334" s="116">
        <v>710</v>
      </c>
      <c r="C2334" s="116">
        <v>705.25</v>
      </c>
      <c r="D2334" s="116">
        <v>692.15</v>
      </c>
      <c r="E2334" s="116">
        <v>709</v>
      </c>
      <c r="F2334" s="116">
        <v>705.25</v>
      </c>
      <c r="G2334">
        <v>35210</v>
      </c>
      <c r="H2334" s="116"/>
      <c r="I2334" s="116"/>
      <c r="L2334" s="169">
        <v>45442</v>
      </c>
      <c r="M2334" s="116">
        <v>720.65</v>
      </c>
      <c r="N2334" s="116">
        <v>730.85</v>
      </c>
      <c r="O2334" s="116">
        <v>715.2</v>
      </c>
      <c r="P2334" s="116">
        <v>722</v>
      </c>
      <c r="Q2334" s="116">
        <v>720.65</v>
      </c>
      <c r="R2334">
        <v>563019</v>
      </c>
    </row>
    <row r="2335" spans="1:18" x14ac:dyDescent="0.25">
      <c r="A2335" s="169">
        <v>45453</v>
      </c>
      <c r="B2335" s="116">
        <v>745.55</v>
      </c>
      <c r="C2335" s="116">
        <v>718.45</v>
      </c>
      <c r="D2335" s="116">
        <v>710.2</v>
      </c>
      <c r="E2335" s="116">
        <v>725</v>
      </c>
      <c r="F2335" s="116">
        <v>718.45</v>
      </c>
      <c r="G2335">
        <v>93588</v>
      </c>
      <c r="H2335" s="116"/>
      <c r="I2335" s="116"/>
      <c r="L2335" s="169">
        <v>45443</v>
      </c>
      <c r="M2335" s="116">
        <v>727.2</v>
      </c>
      <c r="N2335" s="116">
        <v>734.9</v>
      </c>
      <c r="O2335" s="116">
        <v>722.55</v>
      </c>
      <c r="P2335" s="116">
        <v>723</v>
      </c>
      <c r="Q2335" s="116">
        <v>727.2</v>
      </c>
      <c r="R2335">
        <v>384226</v>
      </c>
    </row>
    <row r="2336" spans="1:18" x14ac:dyDescent="0.25">
      <c r="A2336" s="169">
        <v>45454</v>
      </c>
      <c r="B2336" s="116">
        <v>735.45</v>
      </c>
      <c r="C2336" s="116">
        <v>723.9</v>
      </c>
      <c r="D2336" s="116">
        <v>710.5</v>
      </c>
      <c r="E2336" s="116">
        <v>732.85</v>
      </c>
      <c r="F2336" s="116">
        <v>723.9</v>
      </c>
      <c r="G2336">
        <v>28499</v>
      </c>
      <c r="H2336" s="116"/>
      <c r="I2336" s="116"/>
      <c r="L2336" s="169">
        <v>45446</v>
      </c>
      <c r="M2336" s="116">
        <v>752.15</v>
      </c>
      <c r="N2336" s="116">
        <v>759</v>
      </c>
      <c r="O2336" s="116">
        <v>736</v>
      </c>
      <c r="P2336" s="116">
        <v>750</v>
      </c>
      <c r="Q2336" s="116">
        <v>752.15</v>
      </c>
      <c r="R2336">
        <v>753365</v>
      </c>
    </row>
    <row r="2337" spans="1:18" x14ac:dyDescent="0.25">
      <c r="A2337" s="169">
        <v>45455</v>
      </c>
      <c r="B2337" s="116">
        <v>736</v>
      </c>
      <c r="C2337" s="116">
        <v>723.9</v>
      </c>
      <c r="D2337" s="116">
        <v>711.1</v>
      </c>
      <c r="E2337" s="116">
        <v>734</v>
      </c>
      <c r="F2337" s="116">
        <v>723.9</v>
      </c>
      <c r="G2337">
        <v>55494</v>
      </c>
      <c r="H2337" s="116"/>
      <c r="I2337" s="116"/>
      <c r="L2337" s="169">
        <v>45447</v>
      </c>
      <c r="M2337" s="116">
        <v>698.95</v>
      </c>
      <c r="N2337" s="116">
        <v>752.15</v>
      </c>
      <c r="O2337" s="116">
        <v>680</v>
      </c>
      <c r="P2337" s="116">
        <v>752.15</v>
      </c>
      <c r="Q2337" s="116">
        <v>698.95</v>
      </c>
      <c r="R2337">
        <v>1127713</v>
      </c>
    </row>
    <row r="2338" spans="1:18" x14ac:dyDescent="0.25">
      <c r="A2338" s="169">
        <v>45456</v>
      </c>
      <c r="B2338" s="116">
        <v>731.2</v>
      </c>
      <c r="C2338" s="116">
        <v>720.05</v>
      </c>
      <c r="D2338" s="116">
        <v>716.65</v>
      </c>
      <c r="E2338" s="116">
        <v>719.15</v>
      </c>
      <c r="F2338" s="116">
        <v>720.05</v>
      </c>
      <c r="G2338">
        <v>19251</v>
      </c>
      <c r="H2338" s="116"/>
      <c r="I2338" s="116"/>
      <c r="L2338" s="169">
        <v>45448</v>
      </c>
      <c r="M2338" s="116">
        <v>745.25</v>
      </c>
      <c r="N2338" s="116">
        <v>750.9</v>
      </c>
      <c r="O2338" s="116">
        <v>701.75</v>
      </c>
      <c r="P2338" s="116">
        <v>705</v>
      </c>
      <c r="Q2338" s="116">
        <v>745.25</v>
      </c>
      <c r="R2338">
        <v>992953</v>
      </c>
    </row>
    <row r="2339" spans="1:18" x14ac:dyDescent="0.25">
      <c r="A2339" s="169">
        <v>45457</v>
      </c>
      <c r="B2339" s="116">
        <v>730.35</v>
      </c>
      <c r="C2339" s="116">
        <v>723.8</v>
      </c>
      <c r="D2339" s="116">
        <v>718.55</v>
      </c>
      <c r="E2339" s="116">
        <v>729</v>
      </c>
      <c r="F2339" s="116">
        <v>723.8</v>
      </c>
      <c r="G2339">
        <v>20645</v>
      </c>
      <c r="H2339" s="116"/>
      <c r="I2339" s="116"/>
      <c r="L2339" s="169">
        <v>45449</v>
      </c>
      <c r="M2339" s="116">
        <v>763.95</v>
      </c>
      <c r="N2339" s="116">
        <v>770</v>
      </c>
      <c r="O2339" s="116">
        <v>747.6</v>
      </c>
      <c r="P2339" s="116">
        <v>754</v>
      </c>
      <c r="Q2339" s="116">
        <v>763.95</v>
      </c>
      <c r="R2339">
        <v>812090</v>
      </c>
    </row>
    <row r="2340" spans="1:18" x14ac:dyDescent="0.25">
      <c r="A2340" s="169">
        <v>45461</v>
      </c>
      <c r="B2340" s="116">
        <v>774.95</v>
      </c>
      <c r="C2340" s="116">
        <v>747.1</v>
      </c>
      <c r="D2340" s="116">
        <v>725.65</v>
      </c>
      <c r="E2340" s="116">
        <v>725.65</v>
      </c>
      <c r="F2340" s="116">
        <v>747.1</v>
      </c>
      <c r="G2340">
        <v>107327</v>
      </c>
      <c r="H2340" s="116"/>
      <c r="I2340" s="116"/>
      <c r="L2340" s="169">
        <v>45450</v>
      </c>
      <c r="M2340" s="116">
        <v>774.3</v>
      </c>
      <c r="N2340" s="116">
        <v>777.9</v>
      </c>
      <c r="O2340" s="116">
        <v>761.05</v>
      </c>
      <c r="P2340" s="116">
        <v>774.8</v>
      </c>
      <c r="Q2340" s="116">
        <v>774.3</v>
      </c>
      <c r="R2340">
        <v>888474</v>
      </c>
    </row>
    <row r="2341" spans="1:18" x14ac:dyDescent="0.25">
      <c r="A2341" s="169">
        <v>45462</v>
      </c>
      <c r="B2341" s="116">
        <v>754.85</v>
      </c>
      <c r="C2341" s="116">
        <v>718.3</v>
      </c>
      <c r="D2341" s="116">
        <v>699</v>
      </c>
      <c r="E2341" s="116">
        <v>754.85</v>
      </c>
      <c r="F2341" s="116">
        <v>718.3</v>
      </c>
      <c r="G2341">
        <v>43190</v>
      </c>
      <c r="H2341" s="116"/>
      <c r="I2341" s="116"/>
      <c r="L2341" s="169">
        <v>45453</v>
      </c>
      <c r="M2341" s="116">
        <v>773.35</v>
      </c>
      <c r="N2341" s="116">
        <v>786.15</v>
      </c>
      <c r="O2341" s="116">
        <v>767.15</v>
      </c>
      <c r="P2341" s="116">
        <v>774.95</v>
      </c>
      <c r="Q2341" s="116">
        <v>773.35</v>
      </c>
      <c r="R2341">
        <v>434782</v>
      </c>
    </row>
    <row r="2342" spans="1:18" x14ac:dyDescent="0.25">
      <c r="A2342" s="169">
        <v>45463</v>
      </c>
      <c r="B2342" s="116">
        <v>739.9</v>
      </c>
      <c r="C2342" s="116">
        <v>734.25</v>
      </c>
      <c r="D2342" s="116">
        <v>718.05</v>
      </c>
      <c r="E2342" s="116">
        <v>723</v>
      </c>
      <c r="F2342" s="116">
        <v>734.25</v>
      </c>
      <c r="G2342">
        <v>56549</v>
      </c>
      <c r="H2342" s="116"/>
      <c r="I2342" s="116"/>
      <c r="L2342" s="169">
        <v>45454</v>
      </c>
      <c r="M2342" s="116">
        <v>790.7</v>
      </c>
      <c r="N2342" s="116">
        <v>797</v>
      </c>
      <c r="O2342" s="116">
        <v>775</v>
      </c>
      <c r="P2342" s="116">
        <v>782</v>
      </c>
      <c r="Q2342" s="116">
        <v>790.7</v>
      </c>
      <c r="R2342">
        <v>1269109</v>
      </c>
    </row>
    <row r="2343" spans="1:18" x14ac:dyDescent="0.25">
      <c r="A2343" s="169">
        <v>45464</v>
      </c>
      <c r="B2343" s="116">
        <v>748</v>
      </c>
      <c r="C2343" s="116">
        <v>734.75</v>
      </c>
      <c r="D2343" s="116">
        <v>730</v>
      </c>
      <c r="E2343" s="116">
        <v>748</v>
      </c>
      <c r="F2343" s="116">
        <v>734.75</v>
      </c>
      <c r="G2343">
        <v>66846</v>
      </c>
      <c r="H2343" s="116"/>
      <c r="I2343" s="116"/>
      <c r="L2343" s="169">
        <v>45455</v>
      </c>
      <c r="M2343" s="116">
        <v>804.5</v>
      </c>
      <c r="N2343" s="116">
        <v>811</v>
      </c>
      <c r="O2343" s="116">
        <v>787.05</v>
      </c>
      <c r="P2343" s="116">
        <v>795.8</v>
      </c>
      <c r="Q2343" s="116">
        <v>804.5</v>
      </c>
      <c r="R2343">
        <v>1357409</v>
      </c>
    </row>
    <row r="2344" spans="1:18" x14ac:dyDescent="0.25">
      <c r="A2344" s="169">
        <v>45467</v>
      </c>
      <c r="B2344" s="116">
        <v>744.6</v>
      </c>
      <c r="C2344" s="116">
        <v>728.7</v>
      </c>
      <c r="D2344" s="116">
        <v>724.55</v>
      </c>
      <c r="E2344" s="116">
        <v>734.3</v>
      </c>
      <c r="F2344" s="116">
        <v>728.7</v>
      </c>
      <c r="G2344">
        <v>56629</v>
      </c>
      <c r="H2344" s="116"/>
      <c r="I2344" s="116"/>
      <c r="L2344" s="169">
        <v>45456</v>
      </c>
      <c r="M2344" s="116">
        <v>817.35</v>
      </c>
      <c r="N2344" s="116">
        <v>819.85</v>
      </c>
      <c r="O2344" s="116">
        <v>800.05</v>
      </c>
      <c r="P2344" s="116">
        <v>815</v>
      </c>
      <c r="Q2344" s="116">
        <v>817.35</v>
      </c>
      <c r="R2344">
        <v>780406</v>
      </c>
    </row>
    <row r="2345" spans="1:18" x14ac:dyDescent="0.25">
      <c r="A2345" s="169">
        <v>45468</v>
      </c>
      <c r="B2345" s="116">
        <v>748.05</v>
      </c>
      <c r="C2345" s="116">
        <v>726.75</v>
      </c>
      <c r="D2345" s="116">
        <v>723.5</v>
      </c>
      <c r="E2345" s="116">
        <v>725.25</v>
      </c>
      <c r="F2345" s="116">
        <v>726.75</v>
      </c>
      <c r="G2345">
        <v>36677</v>
      </c>
      <c r="H2345" s="116"/>
      <c r="I2345" s="116"/>
      <c r="L2345" s="169">
        <v>45457</v>
      </c>
      <c r="M2345" s="116">
        <v>834.9</v>
      </c>
      <c r="N2345" s="116">
        <v>837.45</v>
      </c>
      <c r="O2345" s="116">
        <v>816.5</v>
      </c>
      <c r="P2345" s="116">
        <v>824.15</v>
      </c>
      <c r="Q2345" s="116">
        <v>834.9</v>
      </c>
      <c r="R2345">
        <v>1045330</v>
      </c>
    </row>
    <row r="2346" spans="1:18" x14ac:dyDescent="0.25">
      <c r="A2346" s="169">
        <v>45469</v>
      </c>
      <c r="B2346" s="116">
        <v>740.75</v>
      </c>
      <c r="C2346" s="116">
        <v>728.75</v>
      </c>
      <c r="D2346" s="116">
        <v>725.45</v>
      </c>
      <c r="E2346" s="116">
        <v>726</v>
      </c>
      <c r="F2346" s="116">
        <v>728.75</v>
      </c>
      <c r="G2346">
        <v>24165</v>
      </c>
      <c r="H2346" s="116"/>
      <c r="I2346" s="116"/>
      <c r="L2346" s="169">
        <v>45461</v>
      </c>
      <c r="M2346" s="116">
        <v>889.25</v>
      </c>
      <c r="N2346" s="116">
        <v>902.3</v>
      </c>
      <c r="O2346" s="116">
        <v>834.3</v>
      </c>
      <c r="P2346" s="116">
        <v>841.95</v>
      </c>
      <c r="Q2346" s="116">
        <v>889.25</v>
      </c>
      <c r="R2346">
        <v>4784271</v>
      </c>
    </row>
    <row r="2347" spans="1:18" x14ac:dyDescent="0.25">
      <c r="A2347" s="169">
        <v>45470</v>
      </c>
      <c r="B2347" s="116">
        <v>745</v>
      </c>
      <c r="C2347" s="116">
        <v>727.9</v>
      </c>
      <c r="D2347" s="116">
        <v>725.95</v>
      </c>
      <c r="E2347" s="116">
        <v>728.75</v>
      </c>
      <c r="F2347" s="116">
        <v>727.9</v>
      </c>
      <c r="G2347">
        <v>36195</v>
      </c>
      <c r="H2347" s="116"/>
      <c r="I2347" s="116"/>
      <c r="L2347" s="169">
        <v>45462</v>
      </c>
      <c r="M2347" s="116">
        <v>866.25</v>
      </c>
      <c r="N2347" s="116">
        <v>894.85</v>
      </c>
      <c r="O2347" s="116">
        <v>863.6</v>
      </c>
      <c r="P2347" s="116">
        <v>889.9</v>
      </c>
      <c r="Q2347" s="116">
        <v>866.25</v>
      </c>
      <c r="R2347">
        <v>844031</v>
      </c>
    </row>
    <row r="2348" spans="1:18" x14ac:dyDescent="0.25">
      <c r="A2348" s="169">
        <v>45471</v>
      </c>
      <c r="B2348" s="116">
        <v>743.95</v>
      </c>
      <c r="C2348" s="116">
        <v>732.25</v>
      </c>
      <c r="D2348" s="116">
        <v>730</v>
      </c>
      <c r="E2348" s="116">
        <v>739.9</v>
      </c>
      <c r="F2348" s="116">
        <v>732.25</v>
      </c>
      <c r="G2348">
        <v>15914</v>
      </c>
      <c r="H2348" s="116"/>
      <c r="I2348" s="116"/>
      <c r="L2348" s="169">
        <v>45463</v>
      </c>
      <c r="M2348" s="116">
        <v>862.5</v>
      </c>
      <c r="N2348" s="116">
        <v>879</v>
      </c>
      <c r="O2348" s="116">
        <v>858.75</v>
      </c>
      <c r="P2348" s="116">
        <v>860.25</v>
      </c>
      <c r="Q2348" s="116">
        <v>862.5</v>
      </c>
      <c r="R2348">
        <v>542596</v>
      </c>
    </row>
    <row r="2349" spans="1:18" x14ac:dyDescent="0.25">
      <c r="A2349" s="169">
        <v>45474</v>
      </c>
      <c r="B2349" s="116">
        <v>760</v>
      </c>
      <c r="C2349" s="116">
        <v>734.35</v>
      </c>
      <c r="D2349" s="116">
        <v>728.1</v>
      </c>
      <c r="E2349" s="116">
        <v>730.2</v>
      </c>
      <c r="F2349" s="116">
        <v>734.35</v>
      </c>
      <c r="G2349">
        <v>83409</v>
      </c>
      <c r="H2349" s="116"/>
      <c r="I2349" s="116"/>
      <c r="L2349" s="169">
        <v>45464</v>
      </c>
      <c r="M2349" s="116">
        <v>860.85</v>
      </c>
      <c r="N2349" s="116">
        <v>874.1</v>
      </c>
      <c r="O2349" s="116">
        <v>850.05</v>
      </c>
      <c r="P2349" s="116">
        <v>860</v>
      </c>
      <c r="Q2349" s="116">
        <v>860.85</v>
      </c>
      <c r="R2349">
        <v>739407</v>
      </c>
    </row>
    <row r="2350" spans="1:18" x14ac:dyDescent="0.25">
      <c r="A2350" s="169">
        <v>45475</v>
      </c>
      <c r="B2350" s="116">
        <v>748.5</v>
      </c>
      <c r="C2350" s="116">
        <v>730.5</v>
      </c>
      <c r="D2350" s="116">
        <v>726.8</v>
      </c>
      <c r="E2350" s="116">
        <v>743.95</v>
      </c>
      <c r="F2350" s="116">
        <v>730.5</v>
      </c>
      <c r="G2350">
        <v>36443</v>
      </c>
      <c r="H2350" s="116"/>
      <c r="I2350" s="116"/>
      <c r="L2350" s="169">
        <v>45467</v>
      </c>
      <c r="M2350" s="116">
        <v>882.65</v>
      </c>
      <c r="N2350" s="116">
        <v>900</v>
      </c>
      <c r="O2350" s="116">
        <v>854.95</v>
      </c>
      <c r="P2350" s="116">
        <v>859.7</v>
      </c>
      <c r="Q2350" s="116">
        <v>882.65</v>
      </c>
      <c r="R2350">
        <v>2210250</v>
      </c>
    </row>
    <row r="2351" spans="1:18" x14ac:dyDescent="0.25">
      <c r="A2351" s="169">
        <v>45476</v>
      </c>
      <c r="B2351" s="116">
        <v>747.5</v>
      </c>
      <c r="C2351" s="116">
        <v>738.9</v>
      </c>
      <c r="D2351" s="116">
        <v>729.75</v>
      </c>
      <c r="E2351" s="116">
        <v>743</v>
      </c>
      <c r="F2351" s="116">
        <v>738.9</v>
      </c>
      <c r="G2351">
        <v>70392</v>
      </c>
      <c r="H2351" s="116"/>
      <c r="I2351" s="116"/>
      <c r="L2351" s="169">
        <v>45468</v>
      </c>
      <c r="M2351" s="116">
        <v>899.6</v>
      </c>
      <c r="N2351" s="116">
        <v>909.9</v>
      </c>
      <c r="O2351" s="116">
        <v>865.2</v>
      </c>
      <c r="P2351" s="116">
        <v>883.65</v>
      </c>
      <c r="Q2351" s="116">
        <v>899.6</v>
      </c>
      <c r="R2351">
        <v>1583825</v>
      </c>
    </row>
    <row r="2352" spans="1:18" x14ac:dyDescent="0.25">
      <c r="A2352" s="169">
        <v>45477</v>
      </c>
      <c r="B2352" s="116">
        <v>785.9</v>
      </c>
      <c r="C2352" s="116">
        <v>774.3</v>
      </c>
      <c r="D2352" s="116">
        <v>739.6</v>
      </c>
      <c r="E2352" s="116">
        <v>739.6</v>
      </c>
      <c r="F2352" s="116">
        <v>774.3</v>
      </c>
      <c r="G2352">
        <v>325106</v>
      </c>
      <c r="H2352" s="116"/>
      <c r="I2352" s="116"/>
      <c r="L2352" s="169">
        <v>45469</v>
      </c>
      <c r="M2352" s="116">
        <v>901.25</v>
      </c>
      <c r="N2352" s="116">
        <v>912.65</v>
      </c>
      <c r="O2352" s="116">
        <v>885.5</v>
      </c>
      <c r="P2352" s="116">
        <v>897</v>
      </c>
      <c r="Q2352" s="116">
        <v>901.25</v>
      </c>
      <c r="R2352">
        <v>949576</v>
      </c>
    </row>
    <row r="2353" spans="1:18" x14ac:dyDescent="0.25">
      <c r="A2353" s="169">
        <v>45478</v>
      </c>
      <c r="B2353" s="116">
        <v>778.4</v>
      </c>
      <c r="C2353" s="116">
        <v>763.25</v>
      </c>
      <c r="D2353" s="116">
        <v>756.3</v>
      </c>
      <c r="E2353" s="116">
        <v>778</v>
      </c>
      <c r="F2353" s="116">
        <v>763.25</v>
      </c>
      <c r="G2353">
        <v>85276</v>
      </c>
      <c r="H2353" s="116"/>
      <c r="I2353" s="116"/>
      <c r="L2353" s="169">
        <v>45470</v>
      </c>
      <c r="M2353" s="116">
        <v>910.85</v>
      </c>
      <c r="N2353" s="116">
        <v>922</v>
      </c>
      <c r="O2353" s="116">
        <v>896.45</v>
      </c>
      <c r="P2353" s="116">
        <v>907.85</v>
      </c>
      <c r="Q2353" s="116">
        <v>910.85</v>
      </c>
      <c r="R2353">
        <v>1431374</v>
      </c>
    </row>
    <row r="2354" spans="1:18" x14ac:dyDescent="0.25">
      <c r="A2354" s="169">
        <v>45481</v>
      </c>
      <c r="B2354" s="116">
        <v>769.75</v>
      </c>
      <c r="C2354" s="116">
        <v>754.85</v>
      </c>
      <c r="D2354" s="116">
        <v>745.25</v>
      </c>
      <c r="E2354" s="116">
        <v>765</v>
      </c>
      <c r="F2354" s="116">
        <v>754.85</v>
      </c>
      <c r="G2354">
        <v>45430</v>
      </c>
      <c r="H2354" s="116"/>
      <c r="I2354" s="116"/>
      <c r="L2354" s="169">
        <v>45471</v>
      </c>
      <c r="M2354" s="116">
        <v>915.2</v>
      </c>
      <c r="N2354" s="116">
        <v>927.45</v>
      </c>
      <c r="O2354" s="116">
        <v>909.45</v>
      </c>
      <c r="P2354" s="116">
        <v>911</v>
      </c>
      <c r="Q2354" s="116">
        <v>915.2</v>
      </c>
      <c r="R2354">
        <v>796344</v>
      </c>
    </row>
    <row r="2355" spans="1:18" x14ac:dyDescent="0.25">
      <c r="A2355" s="169">
        <v>45482</v>
      </c>
      <c r="B2355" s="116">
        <v>776.95</v>
      </c>
      <c r="C2355" s="116">
        <v>760.4</v>
      </c>
      <c r="D2355" s="116">
        <v>740.15</v>
      </c>
      <c r="E2355" s="116">
        <v>757.85</v>
      </c>
      <c r="F2355" s="116">
        <v>760.4</v>
      </c>
      <c r="G2355">
        <v>57369</v>
      </c>
      <c r="H2355" s="116"/>
      <c r="I2355" s="116"/>
      <c r="L2355" s="169">
        <v>45474</v>
      </c>
      <c r="M2355" s="116">
        <v>923.45</v>
      </c>
      <c r="N2355" s="116">
        <v>938</v>
      </c>
      <c r="O2355" s="116">
        <v>916.25</v>
      </c>
      <c r="P2355" s="116">
        <v>928.8</v>
      </c>
      <c r="Q2355" s="116">
        <v>923.45</v>
      </c>
      <c r="R2355">
        <v>1260759</v>
      </c>
    </row>
    <row r="2356" spans="1:18" x14ac:dyDescent="0.25">
      <c r="A2356" s="169">
        <v>45483</v>
      </c>
      <c r="B2356" s="116">
        <v>776.9</v>
      </c>
      <c r="C2356" s="116">
        <v>755.7</v>
      </c>
      <c r="D2356" s="116">
        <v>740.85</v>
      </c>
      <c r="E2356" s="116">
        <v>776.9</v>
      </c>
      <c r="F2356" s="116">
        <v>755.7</v>
      </c>
      <c r="G2356">
        <v>89743</v>
      </c>
      <c r="H2356" s="116"/>
      <c r="I2356" s="116"/>
      <c r="L2356" s="169">
        <v>45475</v>
      </c>
      <c r="M2356" s="116">
        <v>889.8</v>
      </c>
      <c r="N2356" s="116">
        <v>930.95</v>
      </c>
      <c r="O2356" s="116">
        <v>870.35</v>
      </c>
      <c r="P2356" s="116">
        <v>924.8</v>
      </c>
      <c r="Q2356" s="116">
        <v>889.8</v>
      </c>
      <c r="R2356">
        <v>2178450</v>
      </c>
    </row>
    <row r="2357" spans="1:18" x14ac:dyDescent="0.25">
      <c r="A2357" s="169">
        <v>45484</v>
      </c>
      <c r="B2357" s="116">
        <v>763</v>
      </c>
      <c r="C2357" s="116">
        <v>745.45</v>
      </c>
      <c r="D2357" s="116">
        <v>743</v>
      </c>
      <c r="E2357" s="116">
        <v>763</v>
      </c>
      <c r="F2357" s="116">
        <v>745.45</v>
      </c>
      <c r="G2357">
        <v>39763</v>
      </c>
      <c r="H2357" s="116"/>
      <c r="I2357" s="116"/>
      <c r="L2357" s="169">
        <v>45476</v>
      </c>
      <c r="M2357" s="116">
        <v>902.85</v>
      </c>
      <c r="N2357" s="116">
        <v>909.6</v>
      </c>
      <c r="O2357" s="116">
        <v>881</v>
      </c>
      <c r="P2357" s="116">
        <v>893</v>
      </c>
      <c r="Q2357" s="116">
        <v>902.85</v>
      </c>
      <c r="R2357">
        <v>1326007</v>
      </c>
    </row>
    <row r="2358" spans="1:18" x14ac:dyDescent="0.25">
      <c r="A2358" s="169">
        <v>45485</v>
      </c>
      <c r="B2358" s="116">
        <v>763</v>
      </c>
      <c r="C2358" s="116">
        <v>745.25</v>
      </c>
      <c r="D2358" s="116">
        <v>720.55</v>
      </c>
      <c r="E2358" s="116">
        <v>751.95</v>
      </c>
      <c r="F2358" s="116">
        <v>745.25</v>
      </c>
      <c r="G2358">
        <v>124570</v>
      </c>
      <c r="H2358" s="116"/>
      <c r="I2358" s="116"/>
      <c r="L2358" s="169">
        <v>45477</v>
      </c>
      <c r="M2358" s="116">
        <v>890.6</v>
      </c>
      <c r="N2358" s="116">
        <v>908</v>
      </c>
      <c r="O2358" s="116">
        <v>886.45</v>
      </c>
      <c r="P2358" s="116">
        <v>908</v>
      </c>
      <c r="Q2358" s="116">
        <v>890.6</v>
      </c>
      <c r="R2358">
        <v>369698</v>
      </c>
    </row>
    <row r="2359" spans="1:18" x14ac:dyDescent="0.25">
      <c r="A2359" s="169">
        <v>45488</v>
      </c>
      <c r="B2359" s="116">
        <v>770.65</v>
      </c>
      <c r="C2359" s="116">
        <v>739.8</v>
      </c>
      <c r="D2359" s="116">
        <v>738.1</v>
      </c>
      <c r="E2359" s="116">
        <v>769.75</v>
      </c>
      <c r="F2359" s="116">
        <v>739.8</v>
      </c>
      <c r="G2359">
        <v>37643</v>
      </c>
      <c r="H2359" s="116"/>
      <c r="I2359" s="116"/>
      <c r="L2359" s="169">
        <v>45478</v>
      </c>
      <c r="M2359" s="116">
        <v>886.9</v>
      </c>
      <c r="N2359" s="116">
        <v>895.4</v>
      </c>
      <c r="O2359" s="116">
        <v>879.5</v>
      </c>
      <c r="P2359" s="116">
        <v>890.6</v>
      </c>
      <c r="Q2359" s="116">
        <v>886.9</v>
      </c>
      <c r="R2359">
        <v>340493</v>
      </c>
    </row>
    <row r="2360" spans="1:18" x14ac:dyDescent="0.25">
      <c r="A2360" s="169">
        <v>45489</v>
      </c>
      <c r="B2360" s="116">
        <v>754</v>
      </c>
      <c r="C2360" s="116">
        <v>733.25</v>
      </c>
      <c r="D2360" s="116">
        <v>729.75</v>
      </c>
      <c r="E2360" s="116">
        <v>754</v>
      </c>
      <c r="F2360" s="116">
        <v>733.25</v>
      </c>
      <c r="G2360">
        <v>31730</v>
      </c>
      <c r="H2360" s="116"/>
      <c r="I2360" s="116"/>
      <c r="L2360" s="169">
        <v>45481</v>
      </c>
      <c r="M2360" s="116">
        <v>886.85</v>
      </c>
      <c r="N2360" s="116">
        <v>898</v>
      </c>
      <c r="O2360" s="116">
        <v>875</v>
      </c>
      <c r="P2360" s="116">
        <v>886.6</v>
      </c>
      <c r="Q2360" s="116">
        <v>886.85</v>
      </c>
      <c r="R2360">
        <v>404409</v>
      </c>
    </row>
    <row r="2361" spans="1:18" x14ac:dyDescent="0.25">
      <c r="A2361" s="169">
        <v>45491</v>
      </c>
      <c r="B2361" s="116">
        <v>748.7</v>
      </c>
      <c r="C2361" s="116">
        <v>739.7</v>
      </c>
      <c r="D2361" s="116">
        <v>733.1</v>
      </c>
      <c r="E2361" s="116">
        <v>742.9</v>
      </c>
      <c r="F2361" s="116">
        <v>739.7</v>
      </c>
      <c r="G2361">
        <v>37473</v>
      </c>
      <c r="H2361" s="116"/>
      <c r="I2361" s="116"/>
      <c r="L2361" s="169">
        <v>45482</v>
      </c>
      <c r="M2361" s="116">
        <v>879.3</v>
      </c>
      <c r="N2361" s="116">
        <v>902</v>
      </c>
      <c r="O2361" s="116">
        <v>874.95</v>
      </c>
      <c r="P2361" s="116">
        <v>892.1</v>
      </c>
      <c r="Q2361" s="116">
        <v>879.3</v>
      </c>
      <c r="R2361">
        <v>1075285</v>
      </c>
    </row>
    <row r="2362" spans="1:18" x14ac:dyDescent="0.25">
      <c r="A2362" s="169">
        <v>45492</v>
      </c>
      <c r="B2362" s="116">
        <v>745.75</v>
      </c>
      <c r="C2362" s="116">
        <v>710.6</v>
      </c>
      <c r="D2362" s="116">
        <v>706.15</v>
      </c>
      <c r="E2362" s="116">
        <v>740.5</v>
      </c>
      <c r="F2362" s="116">
        <v>710.6</v>
      </c>
      <c r="G2362">
        <v>49193</v>
      </c>
      <c r="H2362" s="116"/>
      <c r="I2362" s="116"/>
      <c r="L2362" s="169">
        <v>45483</v>
      </c>
      <c r="M2362" s="116">
        <v>883.25</v>
      </c>
      <c r="N2362" s="116">
        <v>888.7</v>
      </c>
      <c r="O2362" s="116">
        <v>860.4</v>
      </c>
      <c r="P2362" s="116">
        <v>882.35</v>
      </c>
      <c r="Q2362" s="116">
        <v>883.25</v>
      </c>
      <c r="R2362">
        <v>443690</v>
      </c>
    </row>
    <row r="2363" spans="1:18" x14ac:dyDescent="0.25">
      <c r="A2363" s="169">
        <v>45495</v>
      </c>
      <c r="B2363" s="116">
        <v>710.75</v>
      </c>
      <c r="C2363" s="116">
        <v>698.4</v>
      </c>
      <c r="D2363" s="116">
        <v>691.95</v>
      </c>
      <c r="E2363" s="116">
        <v>710.65</v>
      </c>
      <c r="F2363" s="116">
        <v>698.4</v>
      </c>
      <c r="G2363">
        <v>87375</v>
      </c>
      <c r="H2363" s="116"/>
      <c r="I2363" s="116"/>
      <c r="L2363" s="169">
        <v>45484</v>
      </c>
      <c r="M2363" s="116">
        <v>878.25</v>
      </c>
      <c r="N2363" s="116">
        <v>890.4</v>
      </c>
      <c r="O2363" s="116">
        <v>875</v>
      </c>
      <c r="P2363" s="116">
        <v>890</v>
      </c>
      <c r="Q2363" s="116">
        <v>878.25</v>
      </c>
      <c r="R2363">
        <v>196440</v>
      </c>
    </row>
    <row r="2364" spans="1:18" x14ac:dyDescent="0.25">
      <c r="A2364" s="169">
        <v>45496</v>
      </c>
      <c r="B2364" s="116">
        <v>718.25</v>
      </c>
      <c r="C2364" s="116">
        <v>711.8</v>
      </c>
      <c r="D2364" s="116">
        <v>675</v>
      </c>
      <c r="E2364" s="116">
        <v>700.5</v>
      </c>
      <c r="F2364" s="116">
        <v>711.8</v>
      </c>
      <c r="G2364">
        <v>48028</v>
      </c>
      <c r="H2364" s="116"/>
      <c r="I2364" s="116"/>
      <c r="L2364" s="169">
        <v>45485</v>
      </c>
      <c r="M2364" s="116">
        <v>868.25</v>
      </c>
      <c r="N2364" s="116">
        <v>881.95</v>
      </c>
      <c r="O2364" s="116">
        <v>865</v>
      </c>
      <c r="P2364" s="116">
        <v>881.95</v>
      </c>
      <c r="Q2364" s="116">
        <v>868.25</v>
      </c>
      <c r="R2364">
        <v>866676</v>
      </c>
    </row>
    <row r="2365" spans="1:18" x14ac:dyDescent="0.25">
      <c r="A2365" s="169">
        <v>45497</v>
      </c>
      <c r="B2365" s="116">
        <v>722</v>
      </c>
      <c r="C2365" s="116">
        <v>710.25</v>
      </c>
      <c r="D2365" s="116">
        <v>707.6</v>
      </c>
      <c r="E2365" s="116">
        <v>711.8</v>
      </c>
      <c r="F2365" s="116">
        <v>710.25</v>
      </c>
      <c r="G2365">
        <v>15958</v>
      </c>
      <c r="H2365" s="116"/>
      <c r="I2365" s="116"/>
      <c r="L2365" s="169">
        <v>45488</v>
      </c>
      <c r="M2365" s="116">
        <v>878.45</v>
      </c>
      <c r="N2365" s="116">
        <v>882.45</v>
      </c>
      <c r="O2365" s="116">
        <v>855.25</v>
      </c>
      <c r="P2365" s="116">
        <v>865</v>
      </c>
      <c r="Q2365" s="116">
        <v>878.45</v>
      </c>
      <c r="R2365">
        <v>737699</v>
      </c>
    </row>
    <row r="2366" spans="1:18" x14ac:dyDescent="0.25">
      <c r="A2366" s="169">
        <v>45498</v>
      </c>
      <c r="B2366" s="116">
        <v>729.35</v>
      </c>
      <c r="C2366" s="116">
        <v>725.75</v>
      </c>
      <c r="D2366" s="116">
        <v>706.6</v>
      </c>
      <c r="E2366" s="116">
        <v>708</v>
      </c>
      <c r="F2366" s="116">
        <v>725.75</v>
      </c>
      <c r="G2366">
        <v>18420</v>
      </c>
      <c r="H2366" s="116"/>
      <c r="I2366" s="116"/>
      <c r="L2366" s="169">
        <v>45489</v>
      </c>
      <c r="M2366" s="116">
        <v>887.7</v>
      </c>
      <c r="N2366" s="116">
        <v>900</v>
      </c>
      <c r="O2366" s="116">
        <v>878.5</v>
      </c>
      <c r="P2366" s="116">
        <v>879</v>
      </c>
      <c r="Q2366" s="116">
        <v>887.7</v>
      </c>
      <c r="R2366">
        <v>897775</v>
      </c>
    </row>
    <row r="2367" spans="1:18" x14ac:dyDescent="0.25">
      <c r="A2367" s="169">
        <v>45499</v>
      </c>
      <c r="B2367" s="116">
        <v>753</v>
      </c>
      <c r="C2367" s="116">
        <v>748.35</v>
      </c>
      <c r="D2367" s="116">
        <v>725</v>
      </c>
      <c r="E2367" s="116">
        <v>725</v>
      </c>
      <c r="F2367" s="116">
        <v>748.35</v>
      </c>
      <c r="G2367">
        <v>32134</v>
      </c>
      <c r="H2367" s="116"/>
      <c r="I2367" s="116"/>
      <c r="L2367" s="169">
        <v>45491</v>
      </c>
      <c r="M2367" s="116">
        <v>877.1</v>
      </c>
      <c r="N2367" s="116">
        <v>894.7</v>
      </c>
      <c r="O2367" s="116">
        <v>866.15</v>
      </c>
      <c r="P2367" s="116">
        <v>894</v>
      </c>
      <c r="Q2367" s="116">
        <v>877.1</v>
      </c>
      <c r="R2367">
        <v>392701</v>
      </c>
    </row>
    <row r="2368" spans="1:18" x14ac:dyDescent="0.25">
      <c r="A2368" s="169">
        <v>45502</v>
      </c>
      <c r="B2368" s="116">
        <v>755</v>
      </c>
      <c r="C2368" s="116">
        <v>735.4</v>
      </c>
      <c r="D2368" s="116">
        <v>732.25</v>
      </c>
      <c r="E2368" s="116">
        <v>748.35</v>
      </c>
      <c r="F2368" s="116">
        <v>735.4</v>
      </c>
      <c r="G2368">
        <v>45347</v>
      </c>
      <c r="H2368" s="116"/>
      <c r="I2368" s="116"/>
      <c r="L2368" s="169">
        <v>45492</v>
      </c>
      <c r="M2368" s="116">
        <v>849.3</v>
      </c>
      <c r="N2368" s="116">
        <v>884.8</v>
      </c>
      <c r="O2368" s="116">
        <v>844</v>
      </c>
      <c r="P2368" s="116">
        <v>884.8</v>
      </c>
      <c r="Q2368" s="116">
        <v>849.3</v>
      </c>
      <c r="R2368">
        <v>555823</v>
      </c>
    </row>
    <row r="2369" spans="1:18" x14ac:dyDescent="0.25">
      <c r="A2369" s="169">
        <v>45503</v>
      </c>
      <c r="B2369" s="116">
        <v>755.05</v>
      </c>
      <c r="C2369" s="116">
        <v>736.8</v>
      </c>
      <c r="D2369" s="116">
        <v>727.55</v>
      </c>
      <c r="E2369" s="116">
        <v>740</v>
      </c>
      <c r="F2369" s="116">
        <v>736.8</v>
      </c>
      <c r="G2369">
        <v>120924</v>
      </c>
      <c r="H2369" s="116"/>
      <c r="I2369" s="116"/>
      <c r="L2369" s="169">
        <v>45495</v>
      </c>
      <c r="M2369" s="116">
        <v>845.25</v>
      </c>
      <c r="N2369" s="116">
        <v>856.4</v>
      </c>
      <c r="O2369" s="116">
        <v>806.3</v>
      </c>
      <c r="P2369" s="116">
        <v>830</v>
      </c>
      <c r="Q2369" s="116">
        <v>845.25</v>
      </c>
      <c r="R2369">
        <v>3996731</v>
      </c>
    </row>
    <row r="2370" spans="1:18" x14ac:dyDescent="0.25">
      <c r="A2370" s="169">
        <v>45504</v>
      </c>
      <c r="B2370" s="116">
        <v>755.6</v>
      </c>
      <c r="C2370" s="116">
        <v>732.3</v>
      </c>
      <c r="D2370" s="116">
        <v>727</v>
      </c>
      <c r="E2370" s="116">
        <v>747</v>
      </c>
      <c r="F2370" s="116">
        <v>732.3</v>
      </c>
      <c r="G2370">
        <v>25329</v>
      </c>
      <c r="H2370" s="116"/>
      <c r="I2370" s="116"/>
      <c r="L2370" s="169">
        <v>45496</v>
      </c>
      <c r="M2370" s="116">
        <v>842.8</v>
      </c>
      <c r="N2370" s="116">
        <v>862.2</v>
      </c>
      <c r="O2370" s="116">
        <v>792.95</v>
      </c>
      <c r="P2370" s="116">
        <v>857.45</v>
      </c>
      <c r="Q2370" s="116">
        <v>842.8</v>
      </c>
      <c r="R2370">
        <v>2849622</v>
      </c>
    </row>
    <row r="2371" spans="1:18" x14ac:dyDescent="0.25">
      <c r="A2371" s="169">
        <v>45505</v>
      </c>
      <c r="B2371" s="116">
        <v>798.95</v>
      </c>
      <c r="C2371" s="116">
        <v>777.2</v>
      </c>
      <c r="D2371" s="116">
        <v>738</v>
      </c>
      <c r="E2371" s="116">
        <v>738.9</v>
      </c>
      <c r="F2371" s="116">
        <v>777.2</v>
      </c>
      <c r="G2371">
        <v>370288</v>
      </c>
      <c r="H2371" s="116"/>
      <c r="I2371" s="116"/>
      <c r="L2371" s="169">
        <v>45497</v>
      </c>
      <c r="M2371" s="116">
        <v>850.25</v>
      </c>
      <c r="N2371" s="116">
        <v>855</v>
      </c>
      <c r="O2371" s="116">
        <v>829</v>
      </c>
      <c r="P2371" s="116">
        <v>840</v>
      </c>
      <c r="Q2371" s="116">
        <v>850.25</v>
      </c>
      <c r="R2371">
        <v>1333753</v>
      </c>
    </row>
    <row r="2372" spans="1:18" x14ac:dyDescent="0.25">
      <c r="A2372" s="169">
        <v>45506</v>
      </c>
      <c r="B2372" s="116">
        <v>797.6</v>
      </c>
      <c r="C2372" s="116">
        <v>782.25</v>
      </c>
      <c r="D2372" s="116">
        <v>763.15</v>
      </c>
      <c r="E2372" s="116">
        <v>770</v>
      </c>
      <c r="F2372" s="116">
        <v>782.25</v>
      </c>
      <c r="G2372">
        <v>82529</v>
      </c>
      <c r="H2372" s="116"/>
      <c r="I2372" s="116"/>
      <c r="L2372" s="169">
        <v>45498</v>
      </c>
      <c r="M2372" s="116">
        <v>827.8</v>
      </c>
      <c r="N2372" s="116">
        <v>844.95</v>
      </c>
      <c r="O2372" s="116">
        <v>822</v>
      </c>
      <c r="P2372" s="116">
        <v>844.95</v>
      </c>
      <c r="Q2372" s="116">
        <v>827.8</v>
      </c>
      <c r="R2372">
        <v>1079220</v>
      </c>
    </row>
    <row r="2373" spans="1:18" x14ac:dyDescent="0.25">
      <c r="A2373" s="169">
        <v>45509</v>
      </c>
      <c r="B2373" s="116">
        <v>766.65</v>
      </c>
      <c r="C2373" s="116">
        <v>726.75</v>
      </c>
      <c r="D2373" s="116">
        <v>721.95</v>
      </c>
      <c r="E2373" s="116">
        <v>765.1</v>
      </c>
      <c r="F2373" s="116">
        <v>726.75</v>
      </c>
      <c r="G2373">
        <v>132293</v>
      </c>
      <c r="H2373" s="116"/>
      <c r="I2373" s="116"/>
      <c r="L2373" s="169">
        <v>45499</v>
      </c>
      <c r="M2373" s="116">
        <v>856.9</v>
      </c>
      <c r="N2373" s="116">
        <v>868.35</v>
      </c>
      <c r="O2373" s="116">
        <v>828.05</v>
      </c>
      <c r="P2373" s="116">
        <v>828.05</v>
      </c>
      <c r="Q2373" s="116">
        <v>856.9</v>
      </c>
      <c r="R2373">
        <v>831348</v>
      </c>
    </row>
    <row r="2374" spans="1:18" x14ac:dyDescent="0.25">
      <c r="A2374" s="169">
        <v>45510</v>
      </c>
      <c r="B2374" s="116">
        <v>748.35</v>
      </c>
      <c r="C2374" s="116">
        <v>715.2</v>
      </c>
      <c r="D2374" s="116">
        <v>704.75</v>
      </c>
      <c r="E2374" s="116">
        <v>736.05</v>
      </c>
      <c r="F2374" s="116">
        <v>715.2</v>
      </c>
      <c r="G2374">
        <v>89740</v>
      </c>
      <c r="H2374" s="116"/>
      <c r="I2374" s="116"/>
      <c r="L2374" s="169">
        <v>45502</v>
      </c>
      <c r="M2374" s="116">
        <v>855.75</v>
      </c>
      <c r="N2374" s="116">
        <v>872</v>
      </c>
      <c r="O2374" s="116">
        <v>853.05</v>
      </c>
      <c r="P2374" s="116">
        <v>857</v>
      </c>
      <c r="Q2374" s="116">
        <v>855.75</v>
      </c>
      <c r="R2374">
        <v>609474</v>
      </c>
    </row>
    <row r="2375" spans="1:18" x14ac:dyDescent="0.25">
      <c r="A2375" s="169">
        <v>45511</v>
      </c>
      <c r="B2375" s="116">
        <v>745</v>
      </c>
      <c r="C2375" s="116">
        <v>739.9</v>
      </c>
      <c r="D2375" s="116">
        <v>721.45</v>
      </c>
      <c r="E2375" s="116">
        <v>726.95</v>
      </c>
      <c r="F2375" s="116">
        <v>739.9</v>
      </c>
      <c r="G2375">
        <v>32280</v>
      </c>
      <c r="H2375" s="116"/>
      <c r="I2375" s="116"/>
      <c r="L2375" s="169">
        <v>45503</v>
      </c>
      <c r="M2375" s="116">
        <v>851.55</v>
      </c>
      <c r="N2375" s="116">
        <v>861.3</v>
      </c>
      <c r="O2375" s="116">
        <v>845.75</v>
      </c>
      <c r="P2375" s="116">
        <v>855</v>
      </c>
      <c r="Q2375" s="116">
        <v>851.55</v>
      </c>
      <c r="R2375">
        <v>268939</v>
      </c>
    </row>
    <row r="2376" spans="1:18" x14ac:dyDescent="0.25">
      <c r="A2376" s="169">
        <v>45512</v>
      </c>
      <c r="B2376" s="116">
        <v>746</v>
      </c>
      <c r="C2376" s="116">
        <v>735.55</v>
      </c>
      <c r="D2376" s="116">
        <v>727.2</v>
      </c>
      <c r="E2376" s="116">
        <v>740</v>
      </c>
      <c r="F2376" s="116">
        <v>735.55</v>
      </c>
      <c r="G2376">
        <v>36246</v>
      </c>
      <c r="H2376" s="116"/>
      <c r="I2376" s="116"/>
      <c r="L2376" s="169">
        <v>45504</v>
      </c>
      <c r="M2376" s="116">
        <v>848.65</v>
      </c>
      <c r="N2376" s="116">
        <v>857.4</v>
      </c>
      <c r="O2376" s="116">
        <v>845.15</v>
      </c>
      <c r="P2376" s="116">
        <v>855.35</v>
      </c>
      <c r="Q2376" s="116">
        <v>848.65</v>
      </c>
      <c r="R2376">
        <v>164005</v>
      </c>
    </row>
    <row r="2377" spans="1:18" x14ac:dyDescent="0.25">
      <c r="A2377" s="169">
        <v>45513</v>
      </c>
      <c r="B2377" s="116">
        <v>774.7</v>
      </c>
      <c r="C2377" s="116">
        <v>761.35</v>
      </c>
      <c r="D2377" s="116">
        <v>736.2</v>
      </c>
      <c r="E2377" s="116">
        <v>736.2</v>
      </c>
      <c r="F2377" s="116">
        <v>761.35</v>
      </c>
      <c r="G2377">
        <v>29595</v>
      </c>
      <c r="H2377" s="116"/>
      <c r="I2377" s="116"/>
      <c r="L2377" s="169">
        <v>45505</v>
      </c>
      <c r="M2377" s="116">
        <v>835</v>
      </c>
      <c r="N2377" s="116">
        <v>853.45</v>
      </c>
      <c r="O2377" s="116">
        <v>829.25</v>
      </c>
      <c r="P2377" s="116">
        <v>850</v>
      </c>
      <c r="Q2377" s="116">
        <v>835</v>
      </c>
      <c r="R2377">
        <v>324361</v>
      </c>
    </row>
    <row r="2378" spans="1:18" x14ac:dyDescent="0.25">
      <c r="A2378" s="169">
        <v>45516</v>
      </c>
      <c r="B2378" s="116">
        <v>773.65</v>
      </c>
      <c r="C2378" s="116">
        <v>759.3</v>
      </c>
      <c r="D2378" s="116">
        <v>750</v>
      </c>
      <c r="E2378" s="116">
        <v>769.85</v>
      </c>
      <c r="F2378" s="116">
        <v>759.3</v>
      </c>
      <c r="G2378">
        <v>21506</v>
      </c>
      <c r="H2378" s="116"/>
      <c r="I2378" s="116"/>
      <c r="L2378" s="169">
        <v>45506</v>
      </c>
      <c r="M2378" s="116">
        <v>836.6</v>
      </c>
      <c r="N2378" s="116">
        <v>841.8</v>
      </c>
      <c r="O2378" s="116">
        <v>815</v>
      </c>
      <c r="P2378" s="116">
        <v>829.8</v>
      </c>
      <c r="Q2378" s="116">
        <v>836.6</v>
      </c>
      <c r="R2378">
        <v>442892</v>
      </c>
    </row>
    <row r="2379" spans="1:18" x14ac:dyDescent="0.25">
      <c r="A2379" s="169">
        <v>45517</v>
      </c>
      <c r="B2379" s="116">
        <v>770.7</v>
      </c>
      <c r="C2379" s="116">
        <v>748.1</v>
      </c>
      <c r="D2379" s="116">
        <v>745</v>
      </c>
      <c r="E2379" s="116">
        <v>757.85</v>
      </c>
      <c r="F2379" s="116">
        <v>748.1</v>
      </c>
      <c r="G2379">
        <v>18349</v>
      </c>
      <c r="H2379" s="116"/>
      <c r="I2379" s="116"/>
      <c r="L2379" s="169">
        <v>45509</v>
      </c>
      <c r="M2379" s="116">
        <v>782</v>
      </c>
      <c r="N2379" s="116">
        <v>819.8</v>
      </c>
      <c r="O2379" s="116">
        <v>773.6</v>
      </c>
      <c r="P2379" s="116">
        <v>819.8</v>
      </c>
      <c r="Q2379" s="116">
        <v>782</v>
      </c>
      <c r="R2379">
        <v>1151511</v>
      </c>
    </row>
    <row r="2380" spans="1:18" x14ac:dyDescent="0.25">
      <c r="A2380" s="169">
        <v>45518</v>
      </c>
      <c r="B2380" s="116">
        <v>753</v>
      </c>
      <c r="C2380" s="116">
        <v>733.55</v>
      </c>
      <c r="D2380" s="116">
        <v>725.95</v>
      </c>
      <c r="E2380" s="116">
        <v>748.1</v>
      </c>
      <c r="F2380" s="116">
        <v>733.55</v>
      </c>
      <c r="G2380">
        <v>27223</v>
      </c>
      <c r="H2380" s="116"/>
      <c r="I2380" s="116"/>
      <c r="L2380" s="169">
        <v>45510</v>
      </c>
      <c r="M2380" s="116">
        <v>772.4</v>
      </c>
      <c r="N2380" s="116">
        <v>807</v>
      </c>
      <c r="O2380" s="116">
        <v>766.35</v>
      </c>
      <c r="P2380" s="116">
        <v>792.45</v>
      </c>
      <c r="Q2380" s="116">
        <v>772.4</v>
      </c>
      <c r="R2380">
        <v>685408</v>
      </c>
    </row>
    <row r="2381" spans="1:18" x14ac:dyDescent="0.25">
      <c r="A2381" s="169">
        <v>45520</v>
      </c>
      <c r="B2381" s="116">
        <v>743.55</v>
      </c>
      <c r="C2381" s="116">
        <v>740.35</v>
      </c>
      <c r="D2381" s="116">
        <v>729</v>
      </c>
      <c r="E2381" s="116">
        <v>734.05</v>
      </c>
      <c r="F2381" s="116">
        <v>740.35</v>
      </c>
      <c r="G2381">
        <v>12347</v>
      </c>
      <c r="H2381" s="116"/>
      <c r="I2381" s="116"/>
      <c r="L2381" s="169">
        <v>45511</v>
      </c>
      <c r="M2381" s="116">
        <v>787.55</v>
      </c>
      <c r="N2381" s="116">
        <v>789.75</v>
      </c>
      <c r="O2381" s="116">
        <v>774</v>
      </c>
      <c r="P2381" s="116">
        <v>788</v>
      </c>
      <c r="Q2381" s="116">
        <v>787.55</v>
      </c>
      <c r="R2381">
        <v>265308</v>
      </c>
    </row>
    <row r="2382" spans="1:18" x14ac:dyDescent="0.25">
      <c r="A2382" s="169">
        <v>45523</v>
      </c>
      <c r="B2382" s="116">
        <v>753</v>
      </c>
      <c r="C2382" s="116">
        <v>749.65</v>
      </c>
      <c r="D2382" s="116">
        <v>732.55</v>
      </c>
      <c r="E2382" s="116">
        <v>749.05</v>
      </c>
      <c r="F2382" s="116">
        <v>749.65</v>
      </c>
      <c r="G2382">
        <v>33177</v>
      </c>
      <c r="H2382" s="116"/>
      <c r="I2382" s="116"/>
      <c r="L2382" s="169">
        <v>45512</v>
      </c>
      <c r="M2382" s="116">
        <v>786.1</v>
      </c>
      <c r="N2382" s="116">
        <v>800.85</v>
      </c>
      <c r="O2382" s="116">
        <v>780.55</v>
      </c>
      <c r="P2382" s="116">
        <v>787.55</v>
      </c>
      <c r="Q2382" s="116">
        <v>786.1</v>
      </c>
      <c r="R2382">
        <v>1032271</v>
      </c>
    </row>
    <row r="2383" spans="1:18" x14ac:dyDescent="0.25">
      <c r="A2383" s="169">
        <v>45524</v>
      </c>
      <c r="B2383" s="116">
        <v>760</v>
      </c>
      <c r="C2383" s="116">
        <v>747.05</v>
      </c>
      <c r="D2383" s="116">
        <v>742.8</v>
      </c>
      <c r="E2383" s="116">
        <v>749.65</v>
      </c>
      <c r="F2383" s="116">
        <v>747.05</v>
      </c>
      <c r="G2383">
        <v>19871</v>
      </c>
      <c r="H2383" s="116"/>
      <c r="I2383" s="116"/>
      <c r="L2383" s="169">
        <v>45513</v>
      </c>
      <c r="M2383" s="116">
        <v>803.15</v>
      </c>
      <c r="N2383" s="116">
        <v>808</v>
      </c>
      <c r="O2383" s="116">
        <v>790.05</v>
      </c>
      <c r="P2383" s="116">
        <v>790.05</v>
      </c>
      <c r="Q2383" s="116">
        <v>803.15</v>
      </c>
      <c r="R2383">
        <v>663662</v>
      </c>
    </row>
    <row r="2384" spans="1:18" x14ac:dyDescent="0.25">
      <c r="A2384" s="169">
        <v>45525</v>
      </c>
      <c r="B2384" s="116">
        <v>760</v>
      </c>
      <c r="C2384" s="116">
        <v>755.95</v>
      </c>
      <c r="D2384" s="116">
        <v>742.05</v>
      </c>
      <c r="E2384" s="116">
        <v>753</v>
      </c>
      <c r="F2384" s="116">
        <v>755.95</v>
      </c>
      <c r="G2384">
        <v>13152</v>
      </c>
      <c r="H2384" s="116"/>
      <c r="I2384" s="116"/>
      <c r="L2384" s="169">
        <v>45516</v>
      </c>
      <c r="M2384" s="116">
        <v>818.2</v>
      </c>
      <c r="N2384" s="116">
        <v>822.8</v>
      </c>
      <c r="O2384" s="116">
        <v>798</v>
      </c>
      <c r="P2384" s="116">
        <v>805</v>
      </c>
      <c r="Q2384" s="116">
        <v>818.2</v>
      </c>
      <c r="R2384">
        <v>613242</v>
      </c>
    </row>
    <row r="2385" spans="1:18" x14ac:dyDescent="0.25">
      <c r="A2385" s="169">
        <v>45526</v>
      </c>
      <c r="B2385" s="116">
        <v>790</v>
      </c>
      <c r="C2385" s="116">
        <v>776.8</v>
      </c>
      <c r="D2385" s="116">
        <v>759</v>
      </c>
      <c r="E2385" s="116">
        <v>759</v>
      </c>
      <c r="F2385" s="116">
        <v>776.8</v>
      </c>
      <c r="G2385">
        <v>66303</v>
      </c>
      <c r="H2385" s="116"/>
      <c r="I2385" s="116"/>
      <c r="L2385" s="169">
        <v>45517</v>
      </c>
      <c r="M2385" s="116">
        <v>802.85</v>
      </c>
      <c r="N2385" s="116">
        <v>818.2</v>
      </c>
      <c r="O2385" s="116">
        <v>800</v>
      </c>
      <c r="P2385" s="116">
        <v>813</v>
      </c>
      <c r="Q2385" s="116">
        <v>802.85</v>
      </c>
      <c r="R2385">
        <v>472800</v>
      </c>
    </row>
    <row r="2386" spans="1:18" x14ac:dyDescent="0.25">
      <c r="A2386" s="169">
        <v>45527</v>
      </c>
      <c r="B2386" s="116">
        <v>789.95</v>
      </c>
      <c r="C2386" s="116">
        <v>769.6</v>
      </c>
      <c r="D2386" s="116">
        <v>761</v>
      </c>
      <c r="E2386" s="116">
        <v>789.95</v>
      </c>
      <c r="F2386" s="116">
        <v>769.6</v>
      </c>
      <c r="G2386">
        <v>44127</v>
      </c>
      <c r="H2386" s="116"/>
      <c r="I2386" s="116"/>
      <c r="L2386" s="169">
        <v>45518</v>
      </c>
      <c r="M2386" s="116">
        <v>805.4</v>
      </c>
      <c r="N2386" s="116">
        <v>808.85</v>
      </c>
      <c r="O2386" s="116">
        <v>793.05</v>
      </c>
      <c r="P2386" s="116">
        <v>807</v>
      </c>
      <c r="Q2386" s="116">
        <v>805.4</v>
      </c>
      <c r="R2386">
        <v>272425</v>
      </c>
    </row>
    <row r="2387" spans="1:18" x14ac:dyDescent="0.25">
      <c r="A2387" s="169">
        <v>45530</v>
      </c>
      <c r="B2387" s="116">
        <v>786.5</v>
      </c>
      <c r="C2387" s="116">
        <v>778.7</v>
      </c>
      <c r="D2387" s="116">
        <v>765.1</v>
      </c>
      <c r="E2387" s="116">
        <v>765.1</v>
      </c>
      <c r="F2387" s="116">
        <v>778.7</v>
      </c>
      <c r="G2387">
        <v>41723</v>
      </c>
      <c r="H2387" s="116"/>
      <c r="I2387" s="116"/>
      <c r="L2387" s="169">
        <v>45520</v>
      </c>
      <c r="M2387" s="116">
        <v>834.55</v>
      </c>
      <c r="N2387" s="116">
        <v>839</v>
      </c>
      <c r="O2387" s="116">
        <v>805.4</v>
      </c>
      <c r="P2387" s="116">
        <v>805.4</v>
      </c>
      <c r="Q2387" s="116">
        <v>834.55</v>
      </c>
      <c r="R2387">
        <v>397103</v>
      </c>
    </row>
    <row r="2388" spans="1:18" x14ac:dyDescent="0.25">
      <c r="A2388" s="169">
        <v>45531</v>
      </c>
      <c r="B2388" s="116">
        <v>809</v>
      </c>
      <c r="C2388" s="116">
        <v>776.1</v>
      </c>
      <c r="D2388" s="116">
        <v>770.45</v>
      </c>
      <c r="E2388" s="116">
        <v>787.65</v>
      </c>
      <c r="F2388" s="116">
        <v>776.1</v>
      </c>
      <c r="G2388">
        <v>69732</v>
      </c>
      <c r="H2388" s="116"/>
      <c r="I2388" s="116"/>
      <c r="L2388" s="169">
        <v>45523</v>
      </c>
      <c r="M2388" s="116">
        <v>843.75</v>
      </c>
      <c r="N2388" s="116">
        <v>846</v>
      </c>
      <c r="O2388" s="116">
        <v>835.7</v>
      </c>
      <c r="P2388" s="116">
        <v>836.65</v>
      </c>
      <c r="Q2388" s="116">
        <v>843.75</v>
      </c>
      <c r="R2388">
        <v>242818</v>
      </c>
    </row>
    <row r="2389" spans="1:18" x14ac:dyDescent="0.25">
      <c r="A2389" s="169">
        <v>45532</v>
      </c>
      <c r="B2389" s="116">
        <v>798</v>
      </c>
      <c r="C2389" s="116">
        <v>780.8</v>
      </c>
      <c r="D2389" s="116">
        <v>775.6</v>
      </c>
      <c r="E2389" s="116">
        <v>798</v>
      </c>
      <c r="F2389" s="116">
        <v>780.8</v>
      </c>
      <c r="G2389">
        <v>37427</v>
      </c>
      <c r="H2389" s="116"/>
      <c r="I2389" s="116"/>
      <c r="L2389" s="169">
        <v>45524</v>
      </c>
      <c r="M2389" s="116">
        <v>847.65</v>
      </c>
      <c r="N2389" s="116">
        <v>850.8</v>
      </c>
      <c r="O2389" s="116">
        <v>840.65</v>
      </c>
      <c r="P2389" s="116">
        <v>844.9</v>
      </c>
      <c r="Q2389" s="116">
        <v>847.65</v>
      </c>
      <c r="R2389">
        <v>265744</v>
      </c>
    </row>
    <row r="2390" spans="1:18" x14ac:dyDescent="0.25">
      <c r="A2390" s="169">
        <v>45533</v>
      </c>
      <c r="B2390" s="116">
        <v>785.05</v>
      </c>
      <c r="C2390" s="116">
        <v>769.2</v>
      </c>
      <c r="D2390" s="116">
        <v>752.85</v>
      </c>
      <c r="E2390" s="116">
        <v>782.5</v>
      </c>
      <c r="F2390" s="116">
        <v>769.2</v>
      </c>
      <c r="G2390">
        <v>61484</v>
      </c>
      <c r="H2390" s="116"/>
      <c r="I2390" s="116"/>
      <c r="L2390" s="169">
        <v>45525</v>
      </c>
      <c r="M2390" s="116">
        <v>847</v>
      </c>
      <c r="N2390" s="116">
        <v>859.4</v>
      </c>
      <c r="O2390" s="116">
        <v>844.1</v>
      </c>
      <c r="P2390" s="116">
        <v>847.85</v>
      </c>
      <c r="Q2390" s="116">
        <v>847</v>
      </c>
      <c r="R2390">
        <v>352021</v>
      </c>
    </row>
    <row r="2391" spans="1:18" x14ac:dyDescent="0.25">
      <c r="A2391" s="169">
        <v>45534</v>
      </c>
      <c r="B2391" s="116">
        <v>778.7</v>
      </c>
      <c r="C2391" s="116">
        <v>774.2</v>
      </c>
      <c r="D2391" s="116">
        <v>768.1</v>
      </c>
      <c r="E2391" s="116">
        <v>774</v>
      </c>
      <c r="F2391" s="116">
        <v>774.2</v>
      </c>
      <c r="G2391">
        <v>14869</v>
      </c>
      <c r="H2391" s="116"/>
      <c r="I2391" s="116"/>
      <c r="L2391" s="169">
        <v>45526</v>
      </c>
      <c r="M2391" s="116">
        <v>849.6</v>
      </c>
      <c r="N2391" s="116">
        <v>853</v>
      </c>
      <c r="O2391" s="116">
        <v>840.9</v>
      </c>
      <c r="P2391" s="116">
        <v>850</v>
      </c>
      <c r="Q2391" s="116">
        <v>849.6</v>
      </c>
      <c r="R2391">
        <v>425674</v>
      </c>
    </row>
    <row r="2392" spans="1:18" x14ac:dyDescent="0.25">
      <c r="A2392" s="169">
        <v>45537</v>
      </c>
      <c r="B2392" s="116">
        <v>773.8</v>
      </c>
      <c r="C2392" s="116">
        <v>765.8</v>
      </c>
      <c r="D2392" s="116">
        <v>741.8</v>
      </c>
      <c r="E2392" s="116">
        <v>773.8</v>
      </c>
      <c r="F2392" s="116">
        <v>765.8</v>
      </c>
      <c r="G2392">
        <v>34515</v>
      </c>
      <c r="H2392" s="116"/>
      <c r="I2392" s="116"/>
      <c r="L2392" s="169">
        <v>45527</v>
      </c>
      <c r="M2392" s="116">
        <v>850.1</v>
      </c>
      <c r="N2392" s="116">
        <v>857.65</v>
      </c>
      <c r="O2392" s="116">
        <v>842.55</v>
      </c>
      <c r="P2392" s="116">
        <v>849.9</v>
      </c>
      <c r="Q2392" s="116">
        <v>850.1</v>
      </c>
      <c r="R2392">
        <v>795371</v>
      </c>
    </row>
    <row r="2393" spans="1:18" x14ac:dyDescent="0.25">
      <c r="A2393" s="169">
        <v>45538</v>
      </c>
      <c r="B2393" s="116">
        <v>775.8</v>
      </c>
      <c r="C2393" s="116">
        <v>771.15</v>
      </c>
      <c r="D2393" s="116">
        <v>754.25</v>
      </c>
      <c r="E2393" s="116">
        <v>754.25</v>
      </c>
      <c r="F2393" s="116">
        <v>771.15</v>
      </c>
      <c r="G2393">
        <v>17902</v>
      </c>
      <c r="H2393" s="116"/>
      <c r="I2393" s="116"/>
      <c r="L2393" s="169">
        <v>45530</v>
      </c>
      <c r="M2393" s="116">
        <v>852.35</v>
      </c>
      <c r="N2393" s="116">
        <v>856.95</v>
      </c>
      <c r="O2393" s="116">
        <v>842.45</v>
      </c>
      <c r="P2393" s="116">
        <v>855.45</v>
      </c>
      <c r="Q2393" s="116">
        <v>852.35</v>
      </c>
      <c r="R2393">
        <v>306215</v>
      </c>
    </row>
    <row r="2394" spans="1:18" x14ac:dyDescent="0.25">
      <c r="A2394" s="169">
        <v>45539</v>
      </c>
      <c r="B2394" s="116">
        <v>782.3</v>
      </c>
      <c r="C2394" s="116">
        <v>778.9</v>
      </c>
      <c r="D2394" s="116">
        <v>758.1</v>
      </c>
      <c r="E2394" s="116">
        <v>761.15</v>
      </c>
      <c r="F2394" s="116">
        <v>778.9</v>
      </c>
      <c r="G2394">
        <v>26753</v>
      </c>
      <c r="H2394" s="116"/>
      <c r="I2394" s="116"/>
      <c r="L2394" s="169">
        <v>45531</v>
      </c>
      <c r="M2394" s="116">
        <v>861.3</v>
      </c>
      <c r="N2394" s="116">
        <v>867.25</v>
      </c>
      <c r="O2394" s="116">
        <v>846.5</v>
      </c>
      <c r="P2394" s="116">
        <v>852.35</v>
      </c>
      <c r="Q2394" s="116">
        <v>861.3</v>
      </c>
      <c r="R2394">
        <v>432911</v>
      </c>
    </row>
    <row r="2395" spans="1:18" x14ac:dyDescent="0.25">
      <c r="A2395" s="169">
        <v>45540</v>
      </c>
      <c r="B2395" s="116">
        <v>785.35</v>
      </c>
      <c r="C2395" s="116">
        <v>779.35</v>
      </c>
      <c r="D2395" s="116">
        <v>775</v>
      </c>
      <c r="E2395" s="116">
        <v>777</v>
      </c>
      <c r="F2395" s="116">
        <v>779.35</v>
      </c>
      <c r="G2395">
        <v>8277</v>
      </c>
      <c r="H2395" s="116"/>
      <c r="I2395" s="116"/>
      <c r="L2395" s="169">
        <v>45532</v>
      </c>
      <c r="M2395" s="116">
        <v>873.7</v>
      </c>
      <c r="N2395" s="116">
        <v>877.7</v>
      </c>
      <c r="O2395" s="116">
        <v>858.25</v>
      </c>
      <c r="P2395" s="116">
        <v>867</v>
      </c>
      <c r="Q2395" s="116">
        <v>873.7</v>
      </c>
      <c r="R2395">
        <v>669843</v>
      </c>
    </row>
    <row r="2396" spans="1:18" x14ac:dyDescent="0.25">
      <c r="A2396" s="169">
        <v>45541</v>
      </c>
      <c r="B2396" s="116">
        <v>780.4</v>
      </c>
      <c r="C2396" s="116">
        <v>769.15</v>
      </c>
      <c r="D2396" s="116">
        <v>765</v>
      </c>
      <c r="E2396" s="116">
        <v>777.2</v>
      </c>
      <c r="F2396" s="116">
        <v>769.15</v>
      </c>
      <c r="G2396">
        <v>23563</v>
      </c>
      <c r="H2396" s="116"/>
      <c r="I2396" s="116"/>
      <c r="L2396" s="169">
        <v>45533</v>
      </c>
      <c r="M2396" s="116">
        <v>882.9</v>
      </c>
      <c r="N2396" s="116">
        <v>903.85</v>
      </c>
      <c r="O2396" s="116">
        <v>868.5</v>
      </c>
      <c r="P2396" s="116">
        <v>873.7</v>
      </c>
      <c r="Q2396" s="116">
        <v>882.9</v>
      </c>
      <c r="R2396">
        <v>2174332</v>
      </c>
    </row>
    <row r="2397" spans="1:18" x14ac:dyDescent="0.25">
      <c r="A2397" s="169">
        <v>45544</v>
      </c>
      <c r="B2397" s="116">
        <v>768.75</v>
      </c>
      <c r="C2397" s="116">
        <v>759.75</v>
      </c>
      <c r="D2397" s="116">
        <v>750.55</v>
      </c>
      <c r="E2397" s="116">
        <v>768.75</v>
      </c>
      <c r="F2397" s="116">
        <v>759.75</v>
      </c>
      <c r="G2397">
        <v>16262</v>
      </c>
      <c r="H2397" s="116"/>
      <c r="I2397" s="116"/>
      <c r="L2397" s="169">
        <v>45534</v>
      </c>
      <c r="M2397" s="116">
        <v>863.55</v>
      </c>
      <c r="N2397" s="116">
        <v>899.5</v>
      </c>
      <c r="O2397" s="116">
        <v>860</v>
      </c>
      <c r="P2397" s="116">
        <v>890</v>
      </c>
      <c r="Q2397" s="116">
        <v>863.55</v>
      </c>
      <c r="R2397">
        <v>591783</v>
      </c>
    </row>
    <row r="2398" spans="1:18" x14ac:dyDescent="0.25">
      <c r="A2398" s="169">
        <v>45545</v>
      </c>
      <c r="B2398" s="116">
        <v>770.45</v>
      </c>
      <c r="C2398" s="116">
        <v>750.2</v>
      </c>
      <c r="D2398" s="116">
        <v>747.15</v>
      </c>
      <c r="E2398" s="116">
        <v>769.9</v>
      </c>
      <c r="F2398" s="116">
        <v>750.2</v>
      </c>
      <c r="G2398">
        <v>12037</v>
      </c>
      <c r="H2398" s="116"/>
      <c r="I2398" s="116"/>
      <c r="L2398" s="169">
        <v>45537</v>
      </c>
      <c r="M2398" s="116">
        <v>879.9</v>
      </c>
      <c r="N2398" s="116">
        <v>885.05</v>
      </c>
      <c r="O2398" s="116">
        <v>858</v>
      </c>
      <c r="P2398" s="116">
        <v>865.85</v>
      </c>
      <c r="Q2398" s="116">
        <v>879.9</v>
      </c>
      <c r="R2398">
        <v>810362</v>
      </c>
    </row>
    <row r="2399" spans="1:18" x14ac:dyDescent="0.25">
      <c r="A2399" s="169">
        <v>45546</v>
      </c>
      <c r="B2399" s="116">
        <v>766.1</v>
      </c>
      <c r="C2399" s="116">
        <v>741.25</v>
      </c>
      <c r="D2399" s="116">
        <v>734.1</v>
      </c>
      <c r="E2399" s="116">
        <v>755.2</v>
      </c>
      <c r="F2399" s="116">
        <v>741.25</v>
      </c>
      <c r="G2399">
        <v>14184</v>
      </c>
      <c r="H2399" s="116"/>
      <c r="I2399" s="116"/>
      <c r="L2399" s="169">
        <v>45538</v>
      </c>
      <c r="M2399" s="116">
        <v>882.9</v>
      </c>
      <c r="N2399" s="116">
        <v>890</v>
      </c>
      <c r="O2399" s="116">
        <v>878.75</v>
      </c>
      <c r="P2399" s="116">
        <v>885.8</v>
      </c>
      <c r="Q2399" s="116">
        <v>882.9</v>
      </c>
      <c r="R2399">
        <v>290414</v>
      </c>
    </row>
    <row r="2400" spans="1:18" x14ac:dyDescent="0.25">
      <c r="A2400" s="169">
        <v>45547</v>
      </c>
      <c r="B2400" s="116">
        <v>758</v>
      </c>
      <c r="C2400" s="116">
        <v>755</v>
      </c>
      <c r="D2400" s="116">
        <v>741.7</v>
      </c>
      <c r="E2400" s="116">
        <v>750.1</v>
      </c>
      <c r="F2400" s="116">
        <v>755</v>
      </c>
      <c r="G2400">
        <v>24730</v>
      </c>
      <c r="H2400" s="116"/>
      <c r="I2400" s="116"/>
      <c r="L2400" s="169">
        <v>45539</v>
      </c>
      <c r="M2400" s="116">
        <v>881.9</v>
      </c>
      <c r="N2400" s="116">
        <v>896.25</v>
      </c>
      <c r="O2400" s="116">
        <v>872.95</v>
      </c>
      <c r="P2400" s="116">
        <v>874.1</v>
      </c>
      <c r="Q2400" s="116">
        <v>881.9</v>
      </c>
      <c r="R2400">
        <v>467093</v>
      </c>
    </row>
    <row r="2401" spans="1:18" x14ac:dyDescent="0.25">
      <c r="A2401" s="169">
        <v>45548</v>
      </c>
      <c r="B2401" s="116">
        <v>783.7</v>
      </c>
      <c r="C2401" s="116">
        <v>773.25</v>
      </c>
      <c r="D2401" s="116">
        <v>749</v>
      </c>
      <c r="E2401" s="116">
        <v>759.35</v>
      </c>
      <c r="F2401" s="116">
        <v>773.25</v>
      </c>
      <c r="G2401">
        <v>47959</v>
      </c>
      <c r="H2401" s="116"/>
      <c r="I2401" s="116"/>
      <c r="L2401" s="169">
        <v>45540</v>
      </c>
      <c r="M2401" s="116">
        <v>885.6</v>
      </c>
      <c r="N2401" s="116">
        <v>897.2</v>
      </c>
      <c r="O2401" s="116">
        <v>882.65</v>
      </c>
      <c r="P2401" s="116">
        <v>889</v>
      </c>
      <c r="Q2401" s="116">
        <v>885.6</v>
      </c>
      <c r="R2401">
        <v>688432</v>
      </c>
    </row>
    <row r="2402" spans="1:18" x14ac:dyDescent="0.25">
      <c r="A2402" s="169">
        <v>45551</v>
      </c>
      <c r="B2402" s="116">
        <v>798</v>
      </c>
      <c r="C2402" s="116">
        <v>789.6</v>
      </c>
      <c r="D2402" s="116">
        <v>777.6</v>
      </c>
      <c r="E2402" s="116">
        <v>784.4</v>
      </c>
      <c r="F2402" s="116">
        <v>789.6</v>
      </c>
      <c r="G2402">
        <v>59600</v>
      </c>
      <c r="H2402" s="116"/>
      <c r="I2402" s="116"/>
      <c r="L2402" s="169">
        <v>45541</v>
      </c>
      <c r="M2402" s="116">
        <v>870.75</v>
      </c>
      <c r="N2402" s="116">
        <v>898.85</v>
      </c>
      <c r="O2402" s="116">
        <v>865</v>
      </c>
      <c r="P2402" s="116">
        <v>888</v>
      </c>
      <c r="Q2402" s="116">
        <v>870.75</v>
      </c>
      <c r="R2402">
        <v>473713</v>
      </c>
    </row>
    <row r="2403" spans="1:18" x14ac:dyDescent="0.25">
      <c r="A2403" s="169">
        <v>45552</v>
      </c>
      <c r="B2403" s="116">
        <v>825</v>
      </c>
      <c r="C2403" s="116">
        <v>820.35</v>
      </c>
      <c r="D2403" s="116">
        <v>790</v>
      </c>
      <c r="E2403" s="116">
        <v>790</v>
      </c>
      <c r="F2403" s="116">
        <v>820.35</v>
      </c>
      <c r="G2403">
        <v>101734</v>
      </c>
      <c r="H2403" s="116"/>
      <c r="I2403" s="116"/>
      <c r="L2403" s="169">
        <v>45544</v>
      </c>
      <c r="M2403" s="116">
        <v>869.25</v>
      </c>
      <c r="N2403" s="116">
        <v>873.95</v>
      </c>
      <c r="O2403" s="116">
        <v>853.35</v>
      </c>
      <c r="P2403" s="116">
        <v>869.8</v>
      </c>
      <c r="Q2403" s="116">
        <v>869.25</v>
      </c>
      <c r="R2403">
        <v>491448</v>
      </c>
    </row>
    <row r="2404" spans="1:18" x14ac:dyDescent="0.25">
      <c r="A2404" s="169">
        <v>45553</v>
      </c>
      <c r="B2404" s="116">
        <v>834</v>
      </c>
      <c r="C2404" s="116">
        <v>817.1</v>
      </c>
      <c r="D2404" s="116">
        <v>813</v>
      </c>
      <c r="E2404" s="116">
        <v>827</v>
      </c>
      <c r="F2404" s="116">
        <v>817.1</v>
      </c>
      <c r="G2404">
        <v>45765</v>
      </c>
      <c r="H2404" s="116"/>
      <c r="I2404" s="116"/>
      <c r="L2404" s="169">
        <v>45545</v>
      </c>
      <c r="M2404" s="116">
        <v>848.7</v>
      </c>
      <c r="N2404" s="116">
        <v>873.75</v>
      </c>
      <c r="O2404" s="116">
        <v>845.45</v>
      </c>
      <c r="P2404" s="116">
        <v>873</v>
      </c>
      <c r="Q2404" s="116">
        <v>848.7</v>
      </c>
      <c r="R2404">
        <v>692077</v>
      </c>
    </row>
    <row r="2405" spans="1:18" x14ac:dyDescent="0.25">
      <c r="A2405" s="169">
        <v>45554</v>
      </c>
      <c r="B2405" s="116">
        <v>827.75</v>
      </c>
      <c r="C2405" s="116">
        <v>803.5</v>
      </c>
      <c r="D2405" s="116">
        <v>791.85</v>
      </c>
      <c r="E2405" s="116">
        <v>825</v>
      </c>
      <c r="F2405" s="116">
        <v>803.5</v>
      </c>
      <c r="G2405">
        <v>48940</v>
      </c>
      <c r="H2405" s="116"/>
      <c r="I2405" s="116"/>
      <c r="L2405" s="169">
        <v>45546</v>
      </c>
      <c r="M2405" s="116">
        <v>865.5</v>
      </c>
      <c r="N2405" s="116">
        <v>870.3</v>
      </c>
      <c r="O2405" s="116">
        <v>838</v>
      </c>
      <c r="P2405" s="116">
        <v>849.6</v>
      </c>
      <c r="Q2405" s="116">
        <v>865.5</v>
      </c>
      <c r="R2405">
        <v>559042</v>
      </c>
    </row>
    <row r="2406" spans="1:18" x14ac:dyDescent="0.25">
      <c r="A2406" s="169">
        <v>45555</v>
      </c>
      <c r="B2406" s="116">
        <v>849.9</v>
      </c>
      <c r="C2406" s="116">
        <v>842.65</v>
      </c>
      <c r="D2406" s="116">
        <v>805</v>
      </c>
      <c r="E2406" s="116">
        <v>817.85</v>
      </c>
      <c r="F2406" s="116">
        <v>842.65</v>
      </c>
      <c r="G2406">
        <v>590947</v>
      </c>
      <c r="H2406" s="116"/>
      <c r="I2406" s="116"/>
      <c r="L2406" s="169">
        <v>45547</v>
      </c>
      <c r="M2406" s="116">
        <v>908.35</v>
      </c>
      <c r="N2406" s="116">
        <v>914</v>
      </c>
      <c r="O2406" s="116">
        <v>873.05</v>
      </c>
      <c r="P2406" s="116">
        <v>875</v>
      </c>
      <c r="Q2406" s="116">
        <v>908.35</v>
      </c>
      <c r="R2406">
        <v>1794537</v>
      </c>
    </row>
    <row r="2407" spans="1:18" x14ac:dyDescent="0.25">
      <c r="A2407" s="169">
        <v>45558</v>
      </c>
      <c r="B2407" s="116">
        <v>874.55</v>
      </c>
      <c r="C2407" s="116">
        <v>871.1</v>
      </c>
      <c r="D2407" s="116">
        <v>839.25</v>
      </c>
      <c r="E2407" s="116">
        <v>850.05</v>
      </c>
      <c r="F2407" s="116">
        <v>871.1</v>
      </c>
      <c r="G2407">
        <v>43704</v>
      </c>
      <c r="H2407" s="116"/>
      <c r="I2407" s="116"/>
      <c r="L2407" s="169">
        <v>45548</v>
      </c>
      <c r="M2407" s="116">
        <v>931.2</v>
      </c>
      <c r="N2407" s="116">
        <v>951.75</v>
      </c>
      <c r="O2407" s="116">
        <v>909.35</v>
      </c>
      <c r="P2407" s="116">
        <v>915.55</v>
      </c>
      <c r="Q2407" s="116">
        <v>931.2</v>
      </c>
      <c r="R2407">
        <v>3072023</v>
      </c>
    </row>
    <row r="2408" spans="1:18" x14ac:dyDescent="0.25">
      <c r="A2408" s="169">
        <v>45559</v>
      </c>
      <c r="B2408" s="116">
        <v>889.4</v>
      </c>
      <c r="C2408" s="116">
        <v>877.55</v>
      </c>
      <c r="D2408" s="116">
        <v>864.05</v>
      </c>
      <c r="E2408" s="116">
        <v>887.35</v>
      </c>
      <c r="F2408" s="116">
        <v>877.55</v>
      </c>
      <c r="G2408">
        <v>68749</v>
      </c>
      <c r="H2408" s="116"/>
      <c r="I2408" s="116"/>
      <c r="L2408" s="169">
        <v>45551</v>
      </c>
      <c r="M2408" s="116">
        <v>903.5</v>
      </c>
      <c r="N2408" s="116">
        <v>947.65</v>
      </c>
      <c r="O2408" s="116">
        <v>883.8</v>
      </c>
      <c r="P2408" s="116">
        <v>939.45</v>
      </c>
      <c r="Q2408" s="116">
        <v>903.5</v>
      </c>
      <c r="R2408">
        <v>1972984</v>
      </c>
    </row>
    <row r="2409" spans="1:18" x14ac:dyDescent="0.25">
      <c r="A2409" s="169">
        <v>45560</v>
      </c>
      <c r="B2409" s="116">
        <v>902</v>
      </c>
      <c r="C2409" s="116">
        <v>875.6</v>
      </c>
      <c r="D2409" s="116">
        <v>864.1</v>
      </c>
      <c r="E2409" s="116">
        <v>889.3</v>
      </c>
      <c r="F2409" s="116">
        <v>875.6</v>
      </c>
      <c r="G2409">
        <v>154210</v>
      </c>
      <c r="H2409" s="116"/>
      <c r="I2409" s="116"/>
      <c r="L2409" s="169">
        <v>45552</v>
      </c>
      <c r="M2409" s="116">
        <v>881.35</v>
      </c>
      <c r="N2409" s="116">
        <v>908.35</v>
      </c>
      <c r="O2409" s="116">
        <v>877.05</v>
      </c>
      <c r="P2409" s="116">
        <v>905.2</v>
      </c>
      <c r="Q2409" s="116">
        <v>881.35</v>
      </c>
      <c r="R2409">
        <v>712240</v>
      </c>
    </row>
    <row r="2410" spans="1:18" x14ac:dyDescent="0.25">
      <c r="A2410" s="169">
        <v>45561</v>
      </c>
      <c r="B2410" s="116">
        <v>925</v>
      </c>
      <c r="C2410" s="116">
        <v>918.9</v>
      </c>
      <c r="D2410" s="116">
        <v>876.1</v>
      </c>
      <c r="E2410" s="116">
        <v>884.6</v>
      </c>
      <c r="F2410" s="116">
        <v>918.9</v>
      </c>
      <c r="G2410">
        <v>131593</v>
      </c>
      <c r="H2410" s="116"/>
      <c r="I2410" s="116"/>
      <c r="L2410" s="169">
        <v>45553</v>
      </c>
      <c r="M2410" s="116">
        <v>877.4</v>
      </c>
      <c r="N2410" s="116">
        <v>898</v>
      </c>
      <c r="O2410" s="116">
        <v>869.05</v>
      </c>
      <c r="P2410" s="116">
        <v>883</v>
      </c>
      <c r="Q2410" s="116">
        <v>877.4</v>
      </c>
      <c r="R2410">
        <v>699623</v>
      </c>
    </row>
    <row r="2411" spans="1:18" x14ac:dyDescent="0.25">
      <c r="A2411" s="169">
        <v>45562</v>
      </c>
      <c r="B2411" s="116">
        <v>947.9</v>
      </c>
      <c r="C2411" s="116">
        <v>942.9</v>
      </c>
      <c r="D2411" s="116">
        <v>917</v>
      </c>
      <c r="E2411" s="116">
        <v>921.05</v>
      </c>
      <c r="F2411" s="116">
        <v>942.9</v>
      </c>
      <c r="G2411">
        <v>41829</v>
      </c>
      <c r="H2411" s="116"/>
      <c r="I2411" s="116"/>
      <c r="L2411" s="169">
        <v>45554</v>
      </c>
      <c r="M2411" s="116">
        <v>851.85</v>
      </c>
      <c r="N2411" s="116">
        <v>889.2</v>
      </c>
      <c r="O2411" s="116">
        <v>836.15</v>
      </c>
      <c r="P2411" s="116">
        <v>884</v>
      </c>
      <c r="Q2411" s="116">
        <v>851.85</v>
      </c>
      <c r="R2411">
        <v>841701</v>
      </c>
    </row>
    <row r="2412" spans="1:18" x14ac:dyDescent="0.25">
      <c r="A2412" s="169">
        <v>45565</v>
      </c>
      <c r="B2412" s="116">
        <v>959.65</v>
      </c>
      <c r="C2412" s="116">
        <v>948.65</v>
      </c>
      <c r="D2412" s="116">
        <v>918.25</v>
      </c>
      <c r="E2412" s="116">
        <v>949.45</v>
      </c>
      <c r="F2412" s="116">
        <v>948.65</v>
      </c>
      <c r="G2412">
        <v>80522</v>
      </c>
      <c r="H2412" s="116"/>
      <c r="I2412" s="116"/>
      <c r="L2412" s="169">
        <v>45555</v>
      </c>
      <c r="M2412" s="116">
        <v>862.65</v>
      </c>
      <c r="N2412" s="116">
        <v>869.95</v>
      </c>
      <c r="O2412" s="116">
        <v>848.6</v>
      </c>
      <c r="P2412" s="116">
        <v>858.7</v>
      </c>
      <c r="Q2412" s="116">
        <v>862.65</v>
      </c>
      <c r="R2412">
        <v>442052</v>
      </c>
    </row>
    <row r="2413" spans="1:18" x14ac:dyDescent="0.25">
      <c r="A2413" s="169">
        <v>45566</v>
      </c>
      <c r="B2413" s="116">
        <v>984.8</v>
      </c>
      <c r="C2413" s="116">
        <v>979.8</v>
      </c>
      <c r="D2413" s="116">
        <v>940.2</v>
      </c>
      <c r="E2413" s="116">
        <v>948.65</v>
      </c>
      <c r="F2413" s="116">
        <v>979.8</v>
      </c>
      <c r="G2413">
        <v>117365</v>
      </c>
      <c r="H2413" s="116"/>
      <c r="I2413" s="116"/>
      <c r="L2413" s="169">
        <v>45558</v>
      </c>
      <c r="M2413" s="116">
        <v>880</v>
      </c>
      <c r="N2413" s="116">
        <v>885.9</v>
      </c>
      <c r="O2413" s="116">
        <v>866.25</v>
      </c>
      <c r="P2413" s="116">
        <v>870.4</v>
      </c>
      <c r="Q2413" s="116">
        <v>880</v>
      </c>
      <c r="R2413">
        <v>549217</v>
      </c>
    </row>
    <row r="2414" spans="1:18" x14ac:dyDescent="0.25">
      <c r="A2414" s="169">
        <v>45568</v>
      </c>
      <c r="B2414" s="116">
        <v>991</v>
      </c>
      <c r="C2414" s="116">
        <v>987.45</v>
      </c>
      <c r="D2414" s="116">
        <v>959.5</v>
      </c>
      <c r="E2414" s="116">
        <v>976.1</v>
      </c>
      <c r="F2414" s="116">
        <v>987.45</v>
      </c>
      <c r="G2414">
        <v>84392</v>
      </c>
      <c r="H2414" s="116"/>
      <c r="I2414" s="116"/>
      <c r="L2414" s="169">
        <v>45559</v>
      </c>
      <c r="M2414" s="116">
        <v>861.4</v>
      </c>
      <c r="N2414" s="116">
        <v>888.65</v>
      </c>
      <c r="O2414" s="116">
        <v>859.55</v>
      </c>
      <c r="P2414" s="116">
        <v>884</v>
      </c>
      <c r="Q2414" s="116">
        <v>861.4</v>
      </c>
      <c r="R2414">
        <v>490770</v>
      </c>
    </row>
    <row r="2415" spans="1:18" x14ac:dyDescent="0.25">
      <c r="A2415" s="169">
        <v>45569</v>
      </c>
      <c r="B2415" s="116">
        <v>998.95</v>
      </c>
      <c r="C2415" s="116">
        <v>970.7</v>
      </c>
      <c r="D2415" s="116">
        <v>962.25</v>
      </c>
      <c r="E2415" s="116">
        <v>994.95</v>
      </c>
      <c r="F2415" s="116">
        <v>970.7</v>
      </c>
      <c r="G2415">
        <v>70667</v>
      </c>
      <c r="H2415" s="116"/>
      <c r="I2415" s="116"/>
      <c r="L2415" s="169">
        <v>45560</v>
      </c>
      <c r="M2415" s="116">
        <v>868.05</v>
      </c>
      <c r="N2415" s="116">
        <v>871.8</v>
      </c>
      <c r="O2415" s="116">
        <v>857.65</v>
      </c>
      <c r="P2415" s="116">
        <v>865</v>
      </c>
      <c r="Q2415" s="116">
        <v>868.05</v>
      </c>
      <c r="R2415">
        <v>360410</v>
      </c>
    </row>
    <row r="2416" spans="1:18" x14ac:dyDescent="0.25">
      <c r="A2416" s="169">
        <v>45572</v>
      </c>
      <c r="B2416" s="116">
        <v>984</v>
      </c>
      <c r="C2416" s="116">
        <v>906.35</v>
      </c>
      <c r="D2416" s="116">
        <v>880.95</v>
      </c>
      <c r="E2416" s="116">
        <v>984</v>
      </c>
      <c r="F2416" s="116">
        <v>906.35</v>
      </c>
      <c r="G2416">
        <v>63029</v>
      </c>
      <c r="H2416" s="116"/>
      <c r="I2416" s="116"/>
      <c r="L2416" s="169">
        <v>45561</v>
      </c>
      <c r="M2416" s="116">
        <v>885.25</v>
      </c>
      <c r="N2416" s="116">
        <v>892.7</v>
      </c>
      <c r="O2416" s="116">
        <v>859.45</v>
      </c>
      <c r="P2416" s="116">
        <v>873</v>
      </c>
      <c r="Q2416" s="116">
        <v>885.25</v>
      </c>
      <c r="R2416">
        <v>729666</v>
      </c>
    </row>
    <row r="2417" spans="1:18" x14ac:dyDescent="0.25">
      <c r="A2417" s="169">
        <v>45573</v>
      </c>
      <c r="B2417" s="116">
        <v>934.1</v>
      </c>
      <c r="C2417" s="116">
        <v>929.8</v>
      </c>
      <c r="D2417" s="116">
        <v>893.05</v>
      </c>
      <c r="E2417" s="116">
        <v>893.05</v>
      </c>
      <c r="F2417" s="116">
        <v>929.8</v>
      </c>
      <c r="G2417">
        <v>41432</v>
      </c>
      <c r="H2417" s="116"/>
      <c r="I2417" s="116"/>
      <c r="L2417" s="169">
        <v>45562</v>
      </c>
      <c r="M2417" s="116">
        <v>884.3</v>
      </c>
      <c r="N2417" s="116">
        <v>885.9</v>
      </c>
      <c r="O2417" s="116">
        <v>872.05</v>
      </c>
      <c r="P2417" s="116">
        <v>885.2</v>
      </c>
      <c r="Q2417" s="116">
        <v>884.3</v>
      </c>
      <c r="R2417">
        <v>535642</v>
      </c>
    </row>
    <row r="2418" spans="1:18" x14ac:dyDescent="0.25">
      <c r="A2418" s="169">
        <v>45574</v>
      </c>
      <c r="B2418" s="116">
        <v>1005.1</v>
      </c>
      <c r="C2418" s="116">
        <v>983.2</v>
      </c>
      <c r="D2418" s="116">
        <v>942.1</v>
      </c>
      <c r="E2418" s="116">
        <v>944</v>
      </c>
      <c r="F2418" s="116">
        <v>983.2</v>
      </c>
      <c r="G2418">
        <v>110464</v>
      </c>
      <c r="H2418" s="116"/>
      <c r="I2418" s="116"/>
      <c r="L2418" s="169">
        <v>45565</v>
      </c>
      <c r="M2418" s="116">
        <v>892.25</v>
      </c>
      <c r="N2418" s="116">
        <v>901</v>
      </c>
      <c r="O2418" s="116">
        <v>873.05</v>
      </c>
      <c r="P2418" s="116">
        <v>885</v>
      </c>
      <c r="Q2418" s="116">
        <v>892.25</v>
      </c>
      <c r="R2418">
        <v>537306</v>
      </c>
    </row>
    <row r="2419" spans="1:18" x14ac:dyDescent="0.25">
      <c r="A2419" s="169">
        <v>45575</v>
      </c>
      <c r="B2419" s="116">
        <v>999</v>
      </c>
      <c r="C2419" s="116">
        <v>994.7</v>
      </c>
      <c r="D2419" s="116">
        <v>975.85</v>
      </c>
      <c r="E2419" s="116">
        <v>988.5</v>
      </c>
      <c r="F2419" s="116">
        <v>994.7</v>
      </c>
      <c r="G2419">
        <v>47191</v>
      </c>
      <c r="H2419" s="116"/>
      <c r="I2419" s="116"/>
      <c r="L2419" s="169">
        <v>45566</v>
      </c>
      <c r="M2419" s="116">
        <v>901.95</v>
      </c>
      <c r="N2419" s="116">
        <v>925.45</v>
      </c>
      <c r="O2419" s="116">
        <v>896.55</v>
      </c>
      <c r="P2419" s="116">
        <v>899.65</v>
      </c>
      <c r="Q2419" s="116">
        <v>901.95</v>
      </c>
      <c r="R2419">
        <v>1572768</v>
      </c>
    </row>
    <row r="2420" spans="1:18" x14ac:dyDescent="0.25">
      <c r="A2420" s="169">
        <v>45576</v>
      </c>
      <c r="B2420" s="116">
        <v>1003.95</v>
      </c>
      <c r="C2420" s="116">
        <v>983.5</v>
      </c>
      <c r="D2420" s="116">
        <v>980</v>
      </c>
      <c r="E2420" s="116">
        <v>994.7</v>
      </c>
      <c r="F2420" s="116">
        <v>983.5</v>
      </c>
      <c r="G2420">
        <v>33270</v>
      </c>
      <c r="H2420" s="116"/>
      <c r="I2420" s="116"/>
      <c r="L2420" s="169">
        <v>45568</v>
      </c>
      <c r="M2420" s="116">
        <v>883.9</v>
      </c>
      <c r="N2420" s="116">
        <v>894.4</v>
      </c>
      <c r="O2420" s="116">
        <v>869.75</v>
      </c>
      <c r="P2420" s="116">
        <v>887.6</v>
      </c>
      <c r="Q2420" s="116">
        <v>883.9</v>
      </c>
      <c r="R2420">
        <v>934129</v>
      </c>
    </row>
    <row r="2421" spans="1:18" x14ac:dyDescent="0.25">
      <c r="A2421" s="169">
        <v>45579</v>
      </c>
      <c r="B2421" s="116">
        <v>1002</v>
      </c>
      <c r="C2421" s="116">
        <v>998.25</v>
      </c>
      <c r="D2421" s="116">
        <v>961.1</v>
      </c>
      <c r="E2421" s="116">
        <v>995.95</v>
      </c>
      <c r="F2421" s="116">
        <v>998.25</v>
      </c>
      <c r="G2421">
        <v>43575</v>
      </c>
      <c r="H2421" s="116"/>
      <c r="I2421" s="116"/>
      <c r="L2421" s="169">
        <v>45569</v>
      </c>
      <c r="M2421" s="116">
        <v>847.15</v>
      </c>
      <c r="N2421" s="116">
        <v>880</v>
      </c>
      <c r="O2421" s="116">
        <v>833</v>
      </c>
      <c r="P2421" s="116">
        <v>880</v>
      </c>
      <c r="Q2421" s="116">
        <v>847.15</v>
      </c>
      <c r="R2421">
        <v>864805</v>
      </c>
    </row>
    <row r="2422" spans="1:18" x14ac:dyDescent="0.25">
      <c r="A2422" s="169">
        <v>45580</v>
      </c>
      <c r="B2422" s="116">
        <v>1041</v>
      </c>
      <c r="C2422" s="116">
        <v>999.15</v>
      </c>
      <c r="D2422" s="116">
        <v>991</v>
      </c>
      <c r="E2422" s="116">
        <v>1000.05</v>
      </c>
      <c r="F2422" s="116">
        <v>999.15</v>
      </c>
      <c r="G2422">
        <v>71834</v>
      </c>
      <c r="H2422" s="116"/>
      <c r="I2422" s="116"/>
      <c r="L2422" s="169">
        <v>45572</v>
      </c>
      <c r="M2422" s="116">
        <v>824.1</v>
      </c>
      <c r="N2422" s="116">
        <v>858.3</v>
      </c>
      <c r="O2422" s="116">
        <v>821</v>
      </c>
      <c r="P2422" s="116">
        <v>852.05</v>
      </c>
      <c r="Q2422" s="116">
        <v>824.1</v>
      </c>
      <c r="R2422">
        <v>309966</v>
      </c>
    </row>
    <row r="2423" spans="1:18" x14ac:dyDescent="0.25">
      <c r="A2423" s="169">
        <v>45581</v>
      </c>
      <c r="B2423" s="116">
        <v>1031</v>
      </c>
      <c r="C2423" s="116">
        <v>1006.8</v>
      </c>
      <c r="D2423" s="116">
        <v>993</v>
      </c>
      <c r="E2423" s="116">
        <v>998.05</v>
      </c>
      <c r="F2423" s="116">
        <v>1006.8</v>
      </c>
      <c r="G2423">
        <v>68708</v>
      </c>
      <c r="H2423" s="116"/>
      <c r="I2423" s="116"/>
      <c r="L2423" s="169">
        <v>45573</v>
      </c>
      <c r="M2423" s="116">
        <v>854.45</v>
      </c>
      <c r="N2423" s="116">
        <v>857</v>
      </c>
      <c r="O2423" s="116">
        <v>822.4</v>
      </c>
      <c r="P2423" s="116">
        <v>824</v>
      </c>
      <c r="Q2423" s="116">
        <v>854.45</v>
      </c>
      <c r="R2423">
        <v>415781</v>
      </c>
    </row>
    <row r="2424" spans="1:18" x14ac:dyDescent="0.25">
      <c r="A2424" s="169">
        <v>45582</v>
      </c>
      <c r="B2424" s="116">
        <v>1019.3</v>
      </c>
      <c r="C2424" s="116">
        <v>1002.65</v>
      </c>
      <c r="D2424" s="116">
        <v>993.9</v>
      </c>
      <c r="E2424" s="116">
        <v>1006.15</v>
      </c>
      <c r="F2424" s="116">
        <v>1002.65</v>
      </c>
      <c r="G2424">
        <v>39704</v>
      </c>
      <c r="H2424" s="116"/>
      <c r="I2424" s="116"/>
      <c r="L2424" s="169">
        <v>45574</v>
      </c>
      <c r="M2424" s="116">
        <v>870.2</v>
      </c>
      <c r="N2424" s="116">
        <v>880.35</v>
      </c>
      <c r="O2424" s="116">
        <v>842.75</v>
      </c>
      <c r="P2424" s="116">
        <v>860</v>
      </c>
      <c r="Q2424" s="116">
        <v>870.2</v>
      </c>
      <c r="R2424">
        <v>555932</v>
      </c>
    </row>
    <row r="2425" spans="1:18" x14ac:dyDescent="0.25">
      <c r="A2425" s="169">
        <v>45583</v>
      </c>
      <c r="B2425" s="116">
        <v>1008.65</v>
      </c>
      <c r="C2425" s="116">
        <v>997</v>
      </c>
      <c r="D2425" s="116">
        <v>964.85</v>
      </c>
      <c r="E2425" s="116">
        <v>996.1</v>
      </c>
      <c r="F2425" s="116">
        <v>997</v>
      </c>
      <c r="G2425">
        <v>54551</v>
      </c>
      <c r="H2425" s="116"/>
      <c r="I2425" s="116"/>
      <c r="L2425" s="169">
        <v>45575</v>
      </c>
      <c r="M2425" s="116">
        <v>858.1</v>
      </c>
      <c r="N2425" s="116">
        <v>876.85</v>
      </c>
      <c r="O2425" s="116">
        <v>854</v>
      </c>
      <c r="P2425" s="116">
        <v>874.45</v>
      </c>
      <c r="Q2425" s="116">
        <v>858.1</v>
      </c>
      <c r="R2425">
        <v>189500</v>
      </c>
    </row>
    <row r="2426" spans="1:18" x14ac:dyDescent="0.25">
      <c r="A2426" s="169">
        <v>45586</v>
      </c>
      <c r="B2426" s="116">
        <v>1025</v>
      </c>
      <c r="C2426" s="116">
        <v>1001.95</v>
      </c>
      <c r="D2426" s="116">
        <v>993.15</v>
      </c>
      <c r="E2426" s="116">
        <v>1000.9</v>
      </c>
      <c r="F2426" s="116">
        <v>1001.95</v>
      </c>
      <c r="G2426">
        <v>38407</v>
      </c>
      <c r="H2426" s="116"/>
      <c r="I2426" s="116"/>
      <c r="L2426" s="169">
        <v>45576</v>
      </c>
      <c r="M2426" s="116">
        <v>867.75</v>
      </c>
      <c r="N2426" s="116">
        <v>872</v>
      </c>
      <c r="O2426" s="116">
        <v>852.9</v>
      </c>
      <c r="P2426" s="116">
        <v>860</v>
      </c>
      <c r="Q2426" s="116">
        <v>867.75</v>
      </c>
      <c r="R2426">
        <v>220490</v>
      </c>
    </row>
    <row r="2427" spans="1:18" x14ac:dyDescent="0.25">
      <c r="A2427" s="169">
        <v>45587</v>
      </c>
      <c r="B2427" s="116">
        <v>1013.5</v>
      </c>
      <c r="C2427" s="116">
        <v>977.7</v>
      </c>
      <c r="D2427" s="116">
        <v>971.55</v>
      </c>
      <c r="E2427" s="116">
        <v>1001.95</v>
      </c>
      <c r="F2427" s="116">
        <v>977.7</v>
      </c>
      <c r="G2427">
        <v>54581</v>
      </c>
      <c r="H2427" s="116"/>
      <c r="I2427" s="116"/>
      <c r="L2427" s="169">
        <v>45579</v>
      </c>
      <c r="M2427" s="116">
        <v>871.9</v>
      </c>
      <c r="N2427" s="116">
        <v>876.2</v>
      </c>
      <c r="O2427" s="116">
        <v>858.35</v>
      </c>
      <c r="P2427" s="116">
        <v>873.8</v>
      </c>
      <c r="Q2427" s="116">
        <v>871.9</v>
      </c>
      <c r="R2427">
        <v>410371</v>
      </c>
    </row>
    <row r="2428" spans="1:18" x14ac:dyDescent="0.25">
      <c r="A2428" s="169">
        <v>45588</v>
      </c>
      <c r="B2428" s="116">
        <v>997.95</v>
      </c>
      <c r="C2428" s="116">
        <v>974.7</v>
      </c>
      <c r="D2428" s="116">
        <v>951</v>
      </c>
      <c r="E2428" s="116">
        <v>973</v>
      </c>
      <c r="F2428" s="116">
        <v>974.7</v>
      </c>
      <c r="G2428">
        <v>62116</v>
      </c>
      <c r="H2428" s="116"/>
      <c r="I2428" s="116"/>
      <c r="L2428" s="169">
        <v>45580</v>
      </c>
      <c r="M2428" s="116">
        <v>890.8</v>
      </c>
      <c r="N2428" s="116">
        <v>897</v>
      </c>
      <c r="O2428" s="116">
        <v>874</v>
      </c>
      <c r="P2428" s="116">
        <v>878.3</v>
      </c>
      <c r="Q2428" s="116">
        <v>890.8</v>
      </c>
      <c r="R2428">
        <v>717891</v>
      </c>
    </row>
    <row r="2429" spans="1:18" x14ac:dyDescent="0.25">
      <c r="A2429" s="169">
        <v>45589</v>
      </c>
      <c r="B2429" s="116">
        <v>1002.6</v>
      </c>
      <c r="C2429" s="116">
        <v>997.05</v>
      </c>
      <c r="D2429" s="116">
        <v>950</v>
      </c>
      <c r="E2429" s="116">
        <v>950.05</v>
      </c>
      <c r="F2429" s="116">
        <v>997.05</v>
      </c>
      <c r="G2429">
        <v>47211</v>
      </c>
      <c r="H2429" s="116"/>
      <c r="I2429" s="116"/>
      <c r="L2429" s="169">
        <v>45581</v>
      </c>
      <c r="M2429" s="116">
        <v>882.35</v>
      </c>
      <c r="N2429" s="116">
        <v>889.95</v>
      </c>
      <c r="O2429" s="116">
        <v>873.6</v>
      </c>
      <c r="P2429" s="116">
        <v>885</v>
      </c>
      <c r="Q2429" s="116">
        <v>882.35</v>
      </c>
      <c r="R2429">
        <v>194324</v>
      </c>
    </row>
    <row r="2430" spans="1:18" x14ac:dyDescent="0.25">
      <c r="A2430" s="169">
        <v>45590</v>
      </c>
      <c r="B2430" s="116">
        <v>1010.45</v>
      </c>
      <c r="C2430" s="116">
        <v>963.2</v>
      </c>
      <c r="D2430" s="116">
        <v>958</v>
      </c>
      <c r="E2430" s="116">
        <v>997</v>
      </c>
      <c r="F2430" s="116">
        <v>963.2</v>
      </c>
      <c r="G2430">
        <v>41895</v>
      </c>
      <c r="H2430" s="116"/>
      <c r="I2430" s="116"/>
      <c r="L2430" s="169">
        <v>45582</v>
      </c>
      <c r="M2430" s="116">
        <v>857.6</v>
      </c>
      <c r="N2430" s="116">
        <v>883</v>
      </c>
      <c r="O2430" s="116">
        <v>854.7</v>
      </c>
      <c r="P2430" s="116">
        <v>883</v>
      </c>
      <c r="Q2430" s="116">
        <v>857.6</v>
      </c>
      <c r="R2430">
        <v>295183</v>
      </c>
    </row>
    <row r="2431" spans="1:18" x14ac:dyDescent="0.25">
      <c r="A2431" s="169">
        <v>45593</v>
      </c>
      <c r="B2431" s="116">
        <v>963.2</v>
      </c>
      <c r="C2431" s="116">
        <v>938.85</v>
      </c>
      <c r="D2431" s="116">
        <v>931.05</v>
      </c>
      <c r="E2431" s="116">
        <v>963.2</v>
      </c>
      <c r="F2431" s="116">
        <v>938.85</v>
      </c>
      <c r="G2431">
        <v>53013</v>
      </c>
      <c r="H2431" s="116"/>
      <c r="I2431" s="116"/>
      <c r="L2431" s="169">
        <v>45583</v>
      </c>
      <c r="M2431" s="116">
        <v>861.1</v>
      </c>
      <c r="N2431" s="116">
        <v>865</v>
      </c>
      <c r="O2431" s="116">
        <v>842.05</v>
      </c>
      <c r="P2431" s="116">
        <v>853</v>
      </c>
      <c r="Q2431" s="116">
        <v>861.1</v>
      </c>
      <c r="R2431">
        <v>175385</v>
      </c>
    </row>
    <row r="2432" spans="1:18" x14ac:dyDescent="0.25">
      <c r="A2432" s="169">
        <v>45594</v>
      </c>
      <c r="B2432" s="116">
        <v>968.9</v>
      </c>
      <c r="C2432" s="116">
        <v>953.05</v>
      </c>
      <c r="D2432" s="116">
        <v>933.35</v>
      </c>
      <c r="E2432" s="116">
        <v>933.35</v>
      </c>
      <c r="F2432" s="116">
        <v>953.05</v>
      </c>
      <c r="G2432">
        <v>23770</v>
      </c>
      <c r="H2432" s="116"/>
      <c r="I2432" s="116"/>
      <c r="L2432" s="169">
        <v>45586</v>
      </c>
      <c r="M2432" s="116">
        <v>859.45</v>
      </c>
      <c r="N2432" s="116">
        <v>872.95</v>
      </c>
      <c r="O2432" s="116">
        <v>848.25</v>
      </c>
      <c r="P2432" s="116">
        <v>864</v>
      </c>
      <c r="Q2432" s="116">
        <v>859.45</v>
      </c>
      <c r="R2432">
        <v>279871</v>
      </c>
    </row>
    <row r="2433" spans="1:18" x14ac:dyDescent="0.25">
      <c r="A2433" s="169">
        <v>45595</v>
      </c>
      <c r="B2433" s="116">
        <v>985</v>
      </c>
      <c r="C2433" s="116">
        <v>957.5</v>
      </c>
      <c r="D2433" s="116">
        <v>949.95</v>
      </c>
      <c r="E2433" s="116">
        <v>963.65</v>
      </c>
      <c r="F2433" s="116">
        <v>957.5</v>
      </c>
      <c r="G2433">
        <v>32946</v>
      </c>
      <c r="H2433" s="116"/>
      <c r="I2433" s="116"/>
      <c r="L2433" s="169">
        <v>45587</v>
      </c>
      <c r="M2433" s="116">
        <v>832.9</v>
      </c>
      <c r="N2433" s="116">
        <v>863.9</v>
      </c>
      <c r="O2433" s="116">
        <v>828.8</v>
      </c>
      <c r="P2433" s="116">
        <v>861.75</v>
      </c>
      <c r="Q2433" s="116">
        <v>832.9</v>
      </c>
      <c r="R2433">
        <v>334033</v>
      </c>
    </row>
    <row r="2434" spans="1:18" x14ac:dyDescent="0.25">
      <c r="A2434" s="169">
        <v>45596</v>
      </c>
      <c r="B2434" s="116">
        <v>977.15</v>
      </c>
      <c r="C2434" s="116">
        <v>971.9</v>
      </c>
      <c r="D2434" s="116">
        <v>940</v>
      </c>
      <c r="E2434" s="116">
        <v>962.6</v>
      </c>
      <c r="F2434" s="116">
        <v>971.9</v>
      </c>
      <c r="G2434">
        <v>31393</v>
      </c>
      <c r="H2434" s="116"/>
      <c r="I2434" s="116"/>
      <c r="L2434" s="169">
        <v>45588</v>
      </c>
      <c r="M2434" s="116">
        <v>871.3</v>
      </c>
      <c r="N2434" s="116">
        <v>897.95</v>
      </c>
      <c r="O2434" s="116">
        <v>840.25</v>
      </c>
      <c r="P2434" s="116">
        <v>844</v>
      </c>
      <c r="Q2434" s="116">
        <v>871.3</v>
      </c>
      <c r="R2434">
        <v>2265745</v>
      </c>
    </row>
    <row r="2435" spans="1:18" x14ac:dyDescent="0.25">
      <c r="A2435" s="169">
        <v>45597</v>
      </c>
      <c r="B2435" s="116">
        <v>986.7</v>
      </c>
      <c r="C2435" s="116">
        <v>975.35</v>
      </c>
      <c r="D2435" s="116">
        <v>970.6</v>
      </c>
      <c r="E2435" s="116">
        <v>972.1</v>
      </c>
      <c r="F2435" s="116">
        <v>975.35</v>
      </c>
      <c r="G2435">
        <v>6858</v>
      </c>
      <c r="H2435" s="116"/>
      <c r="I2435" s="116"/>
      <c r="L2435" s="169">
        <v>45589</v>
      </c>
      <c r="M2435" s="116">
        <v>845.45</v>
      </c>
      <c r="N2435" s="116">
        <v>887.9</v>
      </c>
      <c r="O2435" s="116">
        <v>841.3</v>
      </c>
      <c r="P2435" s="116">
        <v>869.8</v>
      </c>
      <c r="Q2435" s="116">
        <v>845.45</v>
      </c>
      <c r="R2435">
        <v>900505</v>
      </c>
    </row>
    <row r="2436" spans="1:18" x14ac:dyDescent="0.25">
      <c r="A2436" s="169">
        <v>45600</v>
      </c>
      <c r="B2436" s="116">
        <v>975.7</v>
      </c>
      <c r="C2436" s="116">
        <v>970.6</v>
      </c>
      <c r="D2436" s="116">
        <v>956.2</v>
      </c>
      <c r="E2436" s="116">
        <v>975.7</v>
      </c>
      <c r="F2436" s="116">
        <v>970.6</v>
      </c>
      <c r="G2436">
        <v>15333</v>
      </c>
      <c r="H2436" s="116"/>
      <c r="I2436" s="116"/>
      <c r="L2436" s="169">
        <v>45590</v>
      </c>
      <c r="M2436" s="116">
        <v>850.65</v>
      </c>
      <c r="N2436" s="116">
        <v>867.85</v>
      </c>
      <c r="O2436" s="116">
        <v>845</v>
      </c>
      <c r="P2436" s="116">
        <v>850.85</v>
      </c>
      <c r="Q2436" s="116">
        <v>850.65</v>
      </c>
      <c r="R2436">
        <v>752327</v>
      </c>
    </row>
    <row r="2437" spans="1:18" x14ac:dyDescent="0.25">
      <c r="A2437" s="169">
        <v>45601</v>
      </c>
      <c r="B2437" s="116">
        <v>987.5</v>
      </c>
      <c r="C2437" s="116">
        <v>974.9</v>
      </c>
      <c r="D2437" s="116">
        <v>956.3</v>
      </c>
      <c r="E2437" s="116">
        <v>956.3</v>
      </c>
      <c r="F2437" s="116">
        <v>974.9</v>
      </c>
      <c r="G2437">
        <v>12445</v>
      </c>
      <c r="H2437" s="116"/>
      <c r="I2437" s="116"/>
      <c r="L2437" s="169">
        <v>45593</v>
      </c>
      <c r="M2437" s="116">
        <v>847.75</v>
      </c>
      <c r="N2437" s="116">
        <v>871</v>
      </c>
      <c r="O2437" s="116">
        <v>844.5</v>
      </c>
      <c r="P2437" s="116">
        <v>850</v>
      </c>
      <c r="Q2437" s="116">
        <v>847.75</v>
      </c>
      <c r="R2437">
        <v>485963</v>
      </c>
    </row>
    <row r="2438" spans="1:18" x14ac:dyDescent="0.25">
      <c r="A2438" s="169">
        <v>45602</v>
      </c>
      <c r="B2438" s="116">
        <v>1020</v>
      </c>
      <c r="C2438" s="116">
        <v>1016.35</v>
      </c>
      <c r="D2438" s="116">
        <v>975</v>
      </c>
      <c r="E2438" s="116">
        <v>975</v>
      </c>
      <c r="F2438" s="116">
        <v>1016.35</v>
      </c>
      <c r="G2438">
        <v>23238</v>
      </c>
      <c r="H2438" s="116"/>
      <c r="I2438" s="116"/>
      <c r="L2438" s="169">
        <v>45594</v>
      </c>
      <c r="M2438" s="116">
        <v>862.6</v>
      </c>
      <c r="N2438" s="116">
        <v>866.9</v>
      </c>
      <c r="O2438" s="116">
        <v>832.05</v>
      </c>
      <c r="P2438" s="116">
        <v>850.35</v>
      </c>
      <c r="Q2438" s="116">
        <v>862.6</v>
      </c>
      <c r="R2438">
        <v>655404</v>
      </c>
    </row>
    <row r="2439" spans="1:18" x14ac:dyDescent="0.25">
      <c r="A2439" s="169">
        <v>45603</v>
      </c>
      <c r="B2439" s="116">
        <v>1028.4000000000001</v>
      </c>
      <c r="C2439" s="116">
        <v>996.05</v>
      </c>
      <c r="D2439" s="116">
        <v>989.5</v>
      </c>
      <c r="E2439" s="116">
        <v>1015</v>
      </c>
      <c r="F2439" s="116">
        <v>996.05</v>
      </c>
      <c r="G2439">
        <v>37541</v>
      </c>
      <c r="H2439" s="116"/>
      <c r="I2439" s="116"/>
      <c r="L2439" s="169">
        <v>45595</v>
      </c>
      <c r="M2439" s="116">
        <v>884.8</v>
      </c>
      <c r="N2439" s="116">
        <v>896.8</v>
      </c>
      <c r="O2439" s="116">
        <v>863</v>
      </c>
      <c r="P2439" s="116">
        <v>863</v>
      </c>
      <c r="Q2439" s="116">
        <v>884.8</v>
      </c>
      <c r="R2439">
        <v>1311532</v>
      </c>
    </row>
    <row r="2440" spans="1:18" x14ac:dyDescent="0.25">
      <c r="A2440" s="169">
        <v>45604</v>
      </c>
      <c r="B2440" s="116">
        <v>1021.5</v>
      </c>
      <c r="C2440" s="116">
        <v>1006</v>
      </c>
      <c r="D2440" s="116">
        <v>981.65</v>
      </c>
      <c r="E2440" s="116">
        <v>1002</v>
      </c>
      <c r="F2440" s="116">
        <v>1006</v>
      </c>
      <c r="G2440">
        <v>36178</v>
      </c>
      <c r="H2440" s="116"/>
      <c r="I2440" s="116"/>
      <c r="L2440" s="169">
        <v>45596</v>
      </c>
      <c r="M2440" s="116">
        <v>867.95</v>
      </c>
      <c r="N2440" s="116">
        <v>884.05</v>
      </c>
      <c r="O2440" s="116">
        <v>861.7</v>
      </c>
      <c r="P2440" s="116">
        <v>883.85</v>
      </c>
      <c r="Q2440" s="116">
        <v>867.95</v>
      </c>
      <c r="R2440">
        <v>465469</v>
      </c>
    </row>
    <row r="2441" spans="1:18" x14ac:dyDescent="0.25">
      <c r="A2441" s="169">
        <v>45607</v>
      </c>
      <c r="B2441" s="116">
        <v>1036</v>
      </c>
      <c r="C2441" s="116">
        <v>990.7</v>
      </c>
      <c r="D2441" s="116">
        <v>985.1</v>
      </c>
      <c r="E2441" s="116">
        <v>1017.35</v>
      </c>
      <c r="F2441" s="116">
        <v>990.7</v>
      </c>
      <c r="G2441">
        <v>25641</v>
      </c>
      <c r="H2441" s="116"/>
      <c r="I2441" s="116"/>
      <c r="L2441" s="169">
        <v>45597</v>
      </c>
      <c r="M2441" s="116">
        <v>876.05</v>
      </c>
      <c r="N2441" s="116">
        <v>879</v>
      </c>
      <c r="O2441" s="116">
        <v>871.75</v>
      </c>
      <c r="P2441" s="116">
        <v>878</v>
      </c>
      <c r="Q2441" s="116">
        <v>876.05</v>
      </c>
      <c r="R2441">
        <v>71313</v>
      </c>
    </row>
    <row r="2442" spans="1:18" x14ac:dyDescent="0.25">
      <c r="A2442" s="169">
        <v>45608</v>
      </c>
      <c r="B2442" s="116">
        <v>1013</v>
      </c>
      <c r="C2442" s="116">
        <v>992.95</v>
      </c>
      <c r="D2442" s="116">
        <v>987</v>
      </c>
      <c r="E2442" s="116">
        <v>999.75</v>
      </c>
      <c r="F2442" s="116">
        <v>992.95</v>
      </c>
      <c r="G2442">
        <v>17961</v>
      </c>
      <c r="H2442" s="116"/>
      <c r="I2442" s="116"/>
      <c r="L2442" s="169">
        <v>45600</v>
      </c>
      <c r="M2442" s="116">
        <v>856.35</v>
      </c>
      <c r="N2442" s="116">
        <v>879</v>
      </c>
      <c r="O2442" s="116">
        <v>847.8</v>
      </c>
      <c r="P2442" s="116">
        <v>879</v>
      </c>
      <c r="Q2442" s="116">
        <v>856.35</v>
      </c>
      <c r="R2442">
        <v>268481</v>
      </c>
    </row>
    <row r="2443" spans="1:18" x14ac:dyDescent="0.25">
      <c r="A2443" s="169">
        <v>45609</v>
      </c>
      <c r="B2443" s="116">
        <v>995.3</v>
      </c>
      <c r="C2443" s="116">
        <v>941.05</v>
      </c>
      <c r="D2443" s="116">
        <v>932.5</v>
      </c>
      <c r="E2443" s="116">
        <v>983</v>
      </c>
      <c r="F2443" s="116">
        <v>941.05</v>
      </c>
      <c r="G2443">
        <v>55074</v>
      </c>
      <c r="H2443" s="116"/>
      <c r="I2443" s="116"/>
      <c r="L2443" s="169">
        <v>45601</v>
      </c>
      <c r="M2443" s="116">
        <v>865.8</v>
      </c>
      <c r="N2443" s="116">
        <v>870.5</v>
      </c>
      <c r="O2443" s="116">
        <v>841.85</v>
      </c>
      <c r="P2443" s="116">
        <v>855</v>
      </c>
      <c r="Q2443" s="116">
        <v>865.8</v>
      </c>
      <c r="R2443">
        <v>372561</v>
      </c>
    </row>
    <row r="2444" spans="1:18" x14ac:dyDescent="0.25">
      <c r="A2444" s="169">
        <v>45610</v>
      </c>
      <c r="B2444" s="116">
        <v>960.15</v>
      </c>
      <c r="C2444" s="116">
        <v>926.3</v>
      </c>
      <c r="D2444" s="116">
        <v>921.6</v>
      </c>
      <c r="E2444" s="116">
        <v>955</v>
      </c>
      <c r="F2444" s="116">
        <v>926.3</v>
      </c>
      <c r="G2444">
        <v>18895</v>
      </c>
      <c r="H2444" s="116"/>
      <c r="I2444" s="116"/>
      <c r="L2444" s="169">
        <v>45602</v>
      </c>
      <c r="M2444" s="116">
        <v>869.8</v>
      </c>
      <c r="N2444" s="116">
        <v>891.9</v>
      </c>
      <c r="O2444" s="116">
        <v>863.65</v>
      </c>
      <c r="P2444" s="116">
        <v>867.4</v>
      </c>
      <c r="Q2444" s="116">
        <v>869.8</v>
      </c>
      <c r="R2444">
        <v>516391</v>
      </c>
    </row>
    <row r="2445" spans="1:18" x14ac:dyDescent="0.25">
      <c r="A2445" s="169">
        <v>45614</v>
      </c>
      <c r="B2445" s="116">
        <v>933.55</v>
      </c>
      <c r="C2445" s="116">
        <v>925.3</v>
      </c>
      <c r="D2445" s="116">
        <v>915.3</v>
      </c>
      <c r="E2445" s="116">
        <v>919.65</v>
      </c>
      <c r="F2445" s="116">
        <v>925.3</v>
      </c>
      <c r="G2445">
        <v>21021</v>
      </c>
      <c r="H2445" s="116"/>
      <c r="I2445" s="116"/>
      <c r="L2445" s="169">
        <v>45603</v>
      </c>
      <c r="M2445" s="116">
        <v>858.55</v>
      </c>
      <c r="N2445" s="116">
        <v>874.45</v>
      </c>
      <c r="O2445" s="116">
        <v>854.9</v>
      </c>
      <c r="P2445" s="116">
        <v>872.35</v>
      </c>
      <c r="Q2445" s="116">
        <v>858.55</v>
      </c>
      <c r="R2445">
        <v>187974</v>
      </c>
    </row>
    <row r="2446" spans="1:18" x14ac:dyDescent="0.25">
      <c r="A2446" s="169">
        <v>45615</v>
      </c>
      <c r="B2446" s="116">
        <v>954.9</v>
      </c>
      <c r="C2446" s="116">
        <v>949.45</v>
      </c>
      <c r="D2446" s="116">
        <v>922.5</v>
      </c>
      <c r="E2446" s="116">
        <v>922.5</v>
      </c>
      <c r="F2446" s="116">
        <v>949.45</v>
      </c>
      <c r="G2446">
        <v>19498</v>
      </c>
      <c r="H2446" s="116"/>
      <c r="I2446" s="116"/>
      <c r="L2446" s="169">
        <v>45604</v>
      </c>
      <c r="M2446" s="116">
        <v>849.6</v>
      </c>
      <c r="N2446" s="116">
        <v>863</v>
      </c>
      <c r="O2446" s="116">
        <v>845.4</v>
      </c>
      <c r="P2446" s="116">
        <v>859.95</v>
      </c>
      <c r="Q2446" s="116">
        <v>849.6</v>
      </c>
      <c r="R2446">
        <v>200702</v>
      </c>
    </row>
    <row r="2447" spans="1:18" x14ac:dyDescent="0.25">
      <c r="A2447" s="169">
        <v>45617</v>
      </c>
      <c r="B2447" s="116">
        <v>939.95</v>
      </c>
      <c r="C2447" s="116">
        <v>914.8</v>
      </c>
      <c r="D2447" s="116">
        <v>909.9</v>
      </c>
      <c r="E2447" s="116">
        <v>938.6</v>
      </c>
      <c r="F2447" s="116">
        <v>914.8</v>
      </c>
      <c r="G2447">
        <v>38919</v>
      </c>
      <c r="H2447" s="116"/>
      <c r="I2447" s="116"/>
      <c r="L2447" s="169">
        <v>45607</v>
      </c>
      <c r="M2447" s="116">
        <v>838.65</v>
      </c>
      <c r="N2447" s="116">
        <v>848.1</v>
      </c>
      <c r="O2447" s="116">
        <v>830</v>
      </c>
      <c r="P2447" s="116">
        <v>845</v>
      </c>
      <c r="Q2447" s="116">
        <v>838.65</v>
      </c>
      <c r="R2447">
        <v>193207</v>
      </c>
    </row>
    <row r="2448" spans="1:18" x14ac:dyDescent="0.25">
      <c r="A2448" s="169">
        <v>45618</v>
      </c>
      <c r="B2448" s="116">
        <v>931.95</v>
      </c>
      <c r="C2448" s="116">
        <v>914</v>
      </c>
      <c r="D2448" s="116">
        <v>907.95</v>
      </c>
      <c r="E2448" s="116">
        <v>919.65</v>
      </c>
      <c r="F2448" s="116">
        <v>914</v>
      </c>
      <c r="G2448">
        <v>14868</v>
      </c>
      <c r="H2448" s="116"/>
      <c r="I2448" s="116"/>
      <c r="L2448" s="169">
        <v>45608</v>
      </c>
      <c r="M2448" s="116">
        <v>828.85</v>
      </c>
      <c r="N2448" s="116">
        <v>847.25</v>
      </c>
      <c r="O2448" s="116">
        <v>826</v>
      </c>
      <c r="P2448" s="116">
        <v>841.1</v>
      </c>
      <c r="Q2448" s="116">
        <v>828.85</v>
      </c>
      <c r="R2448">
        <v>183237</v>
      </c>
    </row>
    <row r="2449" spans="1:18" x14ac:dyDescent="0.25">
      <c r="A2449" s="169">
        <v>45621</v>
      </c>
      <c r="B2449" s="116">
        <v>1006</v>
      </c>
      <c r="C2449" s="116">
        <v>965.5</v>
      </c>
      <c r="D2449" s="116">
        <v>945.25</v>
      </c>
      <c r="E2449" s="116">
        <v>999.95</v>
      </c>
      <c r="F2449" s="116">
        <v>965.5</v>
      </c>
      <c r="G2449">
        <v>74749</v>
      </c>
      <c r="H2449" s="116"/>
      <c r="I2449" s="116"/>
      <c r="L2449" s="169">
        <v>45609</v>
      </c>
      <c r="M2449" s="116">
        <v>815.6</v>
      </c>
      <c r="N2449" s="116">
        <v>827.8</v>
      </c>
      <c r="O2449" s="116">
        <v>810.5</v>
      </c>
      <c r="P2449" s="116">
        <v>827.8</v>
      </c>
      <c r="Q2449" s="116">
        <v>815.6</v>
      </c>
      <c r="R2449">
        <v>299321</v>
      </c>
    </row>
    <row r="2450" spans="1:18" x14ac:dyDescent="0.25">
      <c r="A2450" s="169">
        <v>45622</v>
      </c>
      <c r="B2450" s="116">
        <v>993.4</v>
      </c>
      <c r="C2450" s="116">
        <v>956.75</v>
      </c>
      <c r="D2450" s="116">
        <v>953.1</v>
      </c>
      <c r="E2450" s="116">
        <v>974.35</v>
      </c>
      <c r="F2450" s="116">
        <v>956.75</v>
      </c>
      <c r="G2450">
        <v>31223</v>
      </c>
      <c r="H2450" s="116"/>
      <c r="I2450" s="116"/>
      <c r="L2450" s="169">
        <v>45610</v>
      </c>
      <c r="M2450" s="116">
        <v>822.95</v>
      </c>
      <c r="N2450" s="116">
        <v>832.2</v>
      </c>
      <c r="O2450" s="116">
        <v>813.8</v>
      </c>
      <c r="P2450" s="116">
        <v>815.6</v>
      </c>
      <c r="Q2450" s="116">
        <v>822.95</v>
      </c>
      <c r="R2450">
        <v>199382</v>
      </c>
    </row>
    <row r="2451" spans="1:18" x14ac:dyDescent="0.25">
      <c r="A2451" s="169">
        <v>45623</v>
      </c>
      <c r="B2451" s="116">
        <v>984.95</v>
      </c>
      <c r="C2451" s="116">
        <v>960.15</v>
      </c>
      <c r="D2451" s="116">
        <v>945.65</v>
      </c>
      <c r="E2451" s="116">
        <v>984.95</v>
      </c>
      <c r="F2451" s="116">
        <v>960.15</v>
      </c>
      <c r="G2451">
        <v>11339</v>
      </c>
      <c r="H2451" s="116"/>
      <c r="I2451" s="116"/>
      <c r="L2451" s="169">
        <v>45614</v>
      </c>
      <c r="M2451" s="116">
        <v>829.5</v>
      </c>
      <c r="N2451" s="116">
        <v>837.95</v>
      </c>
      <c r="O2451" s="116">
        <v>811.9</v>
      </c>
      <c r="P2451" s="116">
        <v>816.05</v>
      </c>
      <c r="Q2451" s="116">
        <v>829.5</v>
      </c>
      <c r="R2451">
        <v>206386</v>
      </c>
    </row>
    <row r="2452" spans="1:18" x14ac:dyDescent="0.25">
      <c r="A2452" s="169">
        <v>45624</v>
      </c>
      <c r="B2452" s="116">
        <v>970.2</v>
      </c>
      <c r="C2452" s="116">
        <v>968.45</v>
      </c>
      <c r="D2452" s="116">
        <v>958.5</v>
      </c>
      <c r="E2452" s="116">
        <v>970</v>
      </c>
      <c r="F2452" s="116">
        <v>968.45</v>
      </c>
      <c r="G2452">
        <v>11822</v>
      </c>
      <c r="H2452" s="116"/>
      <c r="I2452" s="116"/>
      <c r="L2452" s="169">
        <v>45615</v>
      </c>
      <c r="M2452" s="116">
        <v>832.65</v>
      </c>
      <c r="N2452" s="116">
        <v>852.2</v>
      </c>
      <c r="O2452" s="116">
        <v>828.6</v>
      </c>
      <c r="P2452" s="116">
        <v>830.6</v>
      </c>
      <c r="Q2452" s="116">
        <v>832.65</v>
      </c>
      <c r="R2452">
        <v>248145</v>
      </c>
    </row>
    <row r="2453" spans="1:18" x14ac:dyDescent="0.25">
      <c r="A2453" s="169">
        <v>45625</v>
      </c>
      <c r="B2453" s="116">
        <v>1061.25</v>
      </c>
      <c r="C2453" s="116">
        <v>1040.5</v>
      </c>
      <c r="D2453" s="116">
        <v>968.45</v>
      </c>
      <c r="E2453" s="116">
        <v>968.45</v>
      </c>
      <c r="F2453" s="116">
        <v>1040.5</v>
      </c>
      <c r="G2453">
        <v>114688</v>
      </c>
      <c r="H2453" s="116"/>
      <c r="I2453" s="116"/>
      <c r="L2453" s="169">
        <v>45617</v>
      </c>
      <c r="M2453" s="116">
        <v>822.65</v>
      </c>
      <c r="N2453" s="116">
        <v>834.9</v>
      </c>
      <c r="O2453" s="116">
        <v>812.35</v>
      </c>
      <c r="P2453" s="116">
        <v>832.65</v>
      </c>
      <c r="Q2453" s="116">
        <v>822.65</v>
      </c>
      <c r="R2453">
        <v>266625</v>
      </c>
    </row>
    <row r="2454" spans="1:18" x14ac:dyDescent="0.25">
      <c r="A2454" s="169">
        <v>45628</v>
      </c>
      <c r="B2454" s="116">
        <v>1093.55</v>
      </c>
      <c r="C2454" s="116">
        <v>1052.75</v>
      </c>
      <c r="D2454" s="116">
        <v>1042.0999999999999</v>
      </c>
      <c r="E2454" s="116">
        <v>1050</v>
      </c>
      <c r="F2454" s="116">
        <v>1052.75</v>
      </c>
      <c r="G2454">
        <v>56447</v>
      </c>
      <c r="H2454" s="116"/>
      <c r="I2454" s="116"/>
      <c r="L2454" s="169">
        <v>45618</v>
      </c>
      <c r="M2454" s="116">
        <v>842.8</v>
      </c>
      <c r="N2454" s="116">
        <v>848.35</v>
      </c>
      <c r="O2454" s="116">
        <v>823.5</v>
      </c>
      <c r="P2454" s="116">
        <v>823.5</v>
      </c>
      <c r="Q2454" s="116">
        <v>842.8</v>
      </c>
      <c r="R2454">
        <v>365815</v>
      </c>
    </row>
    <row r="2455" spans="1:18" x14ac:dyDescent="0.25">
      <c r="A2455" s="169">
        <v>45629</v>
      </c>
      <c r="B2455" s="116">
        <v>1075.9000000000001</v>
      </c>
      <c r="C2455" s="116">
        <v>1055.5</v>
      </c>
      <c r="D2455" s="116">
        <v>1047.55</v>
      </c>
      <c r="E2455" s="116">
        <v>1062.5</v>
      </c>
      <c r="F2455" s="116">
        <v>1055.5</v>
      </c>
      <c r="G2455">
        <v>46805</v>
      </c>
      <c r="H2455" s="116"/>
      <c r="I2455" s="116"/>
      <c r="L2455" s="169">
        <v>45621</v>
      </c>
      <c r="M2455" s="116">
        <v>844.25</v>
      </c>
      <c r="N2455" s="116">
        <v>873.65</v>
      </c>
      <c r="O2455" s="116">
        <v>840</v>
      </c>
      <c r="P2455" s="116">
        <v>855</v>
      </c>
      <c r="Q2455" s="116">
        <v>844.25</v>
      </c>
      <c r="R2455">
        <v>541970</v>
      </c>
    </row>
    <row r="2456" spans="1:18" x14ac:dyDescent="0.25">
      <c r="A2456" s="169">
        <v>45630</v>
      </c>
      <c r="B2456" s="116">
        <v>1076.4000000000001</v>
      </c>
      <c r="C2456" s="116">
        <v>1068.5</v>
      </c>
      <c r="D2456" s="116">
        <v>1054.4000000000001</v>
      </c>
      <c r="E2456" s="116">
        <v>1055.55</v>
      </c>
      <c r="F2456" s="116">
        <v>1068.5</v>
      </c>
      <c r="G2456">
        <v>16513</v>
      </c>
      <c r="H2456" s="116"/>
      <c r="I2456" s="116"/>
      <c r="L2456" s="169">
        <v>45622</v>
      </c>
      <c r="M2456" s="116">
        <v>821.05</v>
      </c>
      <c r="N2456" s="116">
        <v>844.35</v>
      </c>
      <c r="O2456" s="116">
        <v>819.4</v>
      </c>
      <c r="P2456" s="116">
        <v>844.25</v>
      </c>
      <c r="Q2456" s="116">
        <v>821.05</v>
      </c>
      <c r="R2456">
        <v>716832</v>
      </c>
    </row>
    <row r="2457" spans="1:18" x14ac:dyDescent="0.25">
      <c r="A2457" s="169">
        <v>45631</v>
      </c>
      <c r="B2457" s="116">
        <v>1074.2</v>
      </c>
      <c r="C2457" s="116">
        <v>1060.25</v>
      </c>
      <c r="D2457" s="116">
        <v>1055.5999999999999</v>
      </c>
      <c r="E2457" s="116">
        <v>1072.5999999999999</v>
      </c>
      <c r="F2457" s="116">
        <v>1060.25</v>
      </c>
      <c r="G2457">
        <v>36107</v>
      </c>
      <c r="H2457" s="116"/>
      <c r="I2457" s="116"/>
      <c r="L2457" s="169">
        <v>45623</v>
      </c>
      <c r="M2457" s="116">
        <v>826.25</v>
      </c>
      <c r="N2457" s="116">
        <v>833.5</v>
      </c>
      <c r="O2457" s="116">
        <v>815.6</v>
      </c>
      <c r="P2457" s="116">
        <v>825</v>
      </c>
      <c r="Q2457" s="116">
        <v>826.25</v>
      </c>
      <c r="R2457">
        <v>977644</v>
      </c>
    </row>
    <row r="2458" spans="1:18" x14ac:dyDescent="0.25">
      <c r="A2458" s="169">
        <v>45632</v>
      </c>
      <c r="B2458" s="116">
        <v>1069.4000000000001</v>
      </c>
      <c r="C2458" s="116">
        <v>1050.95</v>
      </c>
      <c r="D2458" s="116">
        <v>1041.8499999999999</v>
      </c>
      <c r="E2458" s="116">
        <v>1069.4000000000001</v>
      </c>
      <c r="F2458" s="116">
        <v>1050.95</v>
      </c>
      <c r="G2458">
        <v>28136</v>
      </c>
      <c r="H2458" s="116"/>
      <c r="I2458" s="116"/>
      <c r="L2458" s="169">
        <v>45624</v>
      </c>
      <c r="M2458" s="116">
        <v>821.85</v>
      </c>
      <c r="N2458" s="116">
        <v>835</v>
      </c>
      <c r="O2458" s="116">
        <v>818.05</v>
      </c>
      <c r="P2458" s="116">
        <v>829.9</v>
      </c>
      <c r="Q2458" s="116">
        <v>821.85</v>
      </c>
      <c r="R2458">
        <v>529131</v>
      </c>
    </row>
    <row r="2459" spans="1:18" x14ac:dyDescent="0.25">
      <c r="A2459" s="169">
        <v>45635</v>
      </c>
      <c r="B2459" s="116">
        <v>1100.8</v>
      </c>
      <c r="C2459" s="116">
        <v>1097.95</v>
      </c>
      <c r="D2459" s="116">
        <v>1052.95</v>
      </c>
      <c r="E2459" s="116">
        <v>1059.8499999999999</v>
      </c>
      <c r="F2459" s="116">
        <v>1097.95</v>
      </c>
      <c r="G2459">
        <v>81268</v>
      </c>
      <c r="H2459" s="116"/>
      <c r="I2459" s="116"/>
      <c r="L2459" s="169">
        <v>45625</v>
      </c>
      <c r="M2459" s="116">
        <v>823.95</v>
      </c>
      <c r="N2459" s="116">
        <v>829.1</v>
      </c>
      <c r="O2459" s="116">
        <v>817.6</v>
      </c>
      <c r="P2459" s="116">
        <v>828</v>
      </c>
      <c r="Q2459" s="116">
        <v>823.95</v>
      </c>
      <c r="R2459">
        <v>296879</v>
      </c>
    </row>
    <row r="2460" spans="1:18" x14ac:dyDescent="0.25">
      <c r="A2460" s="169">
        <v>45636</v>
      </c>
      <c r="B2460" s="116">
        <v>1130.75</v>
      </c>
      <c r="C2460" s="116">
        <v>1127.3</v>
      </c>
      <c r="D2460" s="116">
        <v>1097.25</v>
      </c>
      <c r="E2460" s="116">
        <v>1105.1500000000001</v>
      </c>
      <c r="F2460" s="116">
        <v>1127.3</v>
      </c>
      <c r="G2460">
        <v>36540</v>
      </c>
      <c r="H2460" s="116"/>
      <c r="I2460" s="116"/>
      <c r="L2460" s="169">
        <v>45628</v>
      </c>
      <c r="M2460" s="116">
        <v>814.55</v>
      </c>
      <c r="N2460" s="116">
        <v>834.2</v>
      </c>
      <c r="O2460" s="116">
        <v>813.5</v>
      </c>
      <c r="P2460" s="116">
        <v>828</v>
      </c>
      <c r="Q2460" s="116">
        <v>814.55</v>
      </c>
      <c r="R2460">
        <v>3653242</v>
      </c>
    </row>
    <row r="2461" spans="1:18" x14ac:dyDescent="0.25">
      <c r="A2461" s="169">
        <v>45637</v>
      </c>
      <c r="B2461" s="116">
        <v>1135.8499999999999</v>
      </c>
      <c r="C2461" s="116">
        <v>1116.25</v>
      </c>
      <c r="D2461" s="116">
        <v>1101.75</v>
      </c>
      <c r="E2461" s="116">
        <v>1134.45</v>
      </c>
      <c r="F2461" s="116">
        <v>1116.25</v>
      </c>
      <c r="G2461">
        <v>48034</v>
      </c>
      <c r="H2461" s="116"/>
      <c r="I2461" s="116"/>
      <c r="L2461" s="169">
        <v>45629</v>
      </c>
      <c r="M2461" s="116">
        <v>834.6</v>
      </c>
      <c r="N2461" s="116">
        <v>837</v>
      </c>
      <c r="O2461" s="116">
        <v>816.65</v>
      </c>
      <c r="P2461" s="116">
        <v>820</v>
      </c>
      <c r="Q2461" s="116">
        <v>834.6</v>
      </c>
      <c r="R2461">
        <v>652530</v>
      </c>
    </row>
    <row r="2462" spans="1:18" x14ac:dyDescent="0.25">
      <c r="A2462" s="169">
        <v>45638</v>
      </c>
      <c r="B2462" s="116">
        <v>1124.3</v>
      </c>
      <c r="C2462" s="116">
        <v>1098.0999999999999</v>
      </c>
      <c r="D2462" s="116">
        <v>1085.55</v>
      </c>
      <c r="E2462" s="116">
        <v>1116.3</v>
      </c>
      <c r="F2462" s="116">
        <v>1098.0999999999999</v>
      </c>
      <c r="G2462">
        <v>16324</v>
      </c>
      <c r="H2462" s="116"/>
      <c r="I2462" s="116"/>
      <c r="L2462" s="169">
        <v>45630</v>
      </c>
      <c r="M2462" s="116">
        <v>844.15</v>
      </c>
      <c r="N2462" s="116">
        <v>847.7</v>
      </c>
      <c r="O2462" s="116">
        <v>828.3</v>
      </c>
      <c r="P2462" s="116">
        <v>834</v>
      </c>
      <c r="Q2462" s="116">
        <v>844.15</v>
      </c>
      <c r="R2462">
        <v>1229540</v>
      </c>
    </row>
    <row r="2463" spans="1:18" x14ac:dyDescent="0.25">
      <c r="A2463" s="169">
        <v>45639</v>
      </c>
      <c r="B2463" s="116">
        <v>1121.75</v>
      </c>
      <c r="C2463" s="116">
        <v>1114.3</v>
      </c>
      <c r="D2463" s="116">
        <v>1093.6500000000001</v>
      </c>
      <c r="E2463" s="116">
        <v>1107.95</v>
      </c>
      <c r="F2463" s="116">
        <v>1114.3</v>
      </c>
      <c r="G2463">
        <v>24829</v>
      </c>
      <c r="H2463" s="116"/>
      <c r="I2463" s="116"/>
      <c r="L2463" s="169">
        <v>45631</v>
      </c>
      <c r="M2463" s="116">
        <v>835.55</v>
      </c>
      <c r="N2463" s="116">
        <v>849.85</v>
      </c>
      <c r="O2463" s="116">
        <v>832.4</v>
      </c>
      <c r="P2463" s="116">
        <v>840</v>
      </c>
      <c r="Q2463" s="116">
        <v>835.55</v>
      </c>
      <c r="R2463">
        <v>423591</v>
      </c>
    </row>
    <row r="2464" spans="1:18" x14ac:dyDescent="0.25">
      <c r="A2464" s="169">
        <v>45642</v>
      </c>
      <c r="B2464" s="116">
        <v>1157.45</v>
      </c>
      <c r="C2464" s="116">
        <v>1149.6500000000001</v>
      </c>
      <c r="D2464" s="116">
        <v>1114</v>
      </c>
      <c r="E2464" s="116">
        <v>1121.8</v>
      </c>
      <c r="F2464" s="116">
        <v>1149.6500000000001</v>
      </c>
      <c r="G2464">
        <v>42602</v>
      </c>
      <c r="H2464" s="116"/>
      <c r="I2464" s="116"/>
      <c r="L2464" s="169">
        <v>45632</v>
      </c>
      <c r="M2464" s="116">
        <v>802.95</v>
      </c>
      <c r="N2464" s="116">
        <v>836</v>
      </c>
      <c r="O2464" s="116">
        <v>801</v>
      </c>
      <c r="P2464" s="116">
        <v>836</v>
      </c>
      <c r="Q2464" s="116">
        <v>802.95</v>
      </c>
      <c r="R2464">
        <v>1565730</v>
      </c>
    </row>
    <row r="2465" spans="1:18" x14ac:dyDescent="0.25">
      <c r="A2465" s="169">
        <v>45643</v>
      </c>
      <c r="B2465" s="116">
        <v>1159</v>
      </c>
      <c r="C2465" s="116">
        <v>1152.95</v>
      </c>
      <c r="D2465" s="116">
        <v>1141</v>
      </c>
      <c r="E2465" s="116">
        <v>1154.7</v>
      </c>
      <c r="F2465" s="116">
        <v>1152.95</v>
      </c>
      <c r="G2465">
        <v>33836</v>
      </c>
      <c r="H2465" s="116"/>
      <c r="I2465" s="116"/>
      <c r="L2465" s="169">
        <v>45635</v>
      </c>
      <c r="M2465" s="116">
        <v>804.5</v>
      </c>
      <c r="N2465" s="116">
        <v>807.65</v>
      </c>
      <c r="O2465" s="116">
        <v>795</v>
      </c>
      <c r="P2465" s="116">
        <v>803</v>
      </c>
      <c r="Q2465" s="116">
        <v>804.5</v>
      </c>
      <c r="R2465">
        <v>849391</v>
      </c>
    </row>
    <row r="2466" spans="1:18" x14ac:dyDescent="0.25">
      <c r="A2466" s="169">
        <v>45644</v>
      </c>
      <c r="B2466" s="116">
        <v>1188</v>
      </c>
      <c r="C2466" s="116">
        <v>1179.25</v>
      </c>
      <c r="D2466" s="116">
        <v>1147.4000000000001</v>
      </c>
      <c r="E2466" s="116">
        <v>1152.95</v>
      </c>
      <c r="F2466" s="116">
        <v>1179.25</v>
      </c>
      <c r="G2466">
        <v>58216</v>
      </c>
      <c r="H2466" s="116"/>
      <c r="I2466" s="116"/>
      <c r="L2466" s="169">
        <v>45636</v>
      </c>
      <c r="M2466" s="116">
        <v>818.85</v>
      </c>
      <c r="N2466" s="116">
        <v>826</v>
      </c>
      <c r="O2466" s="116">
        <v>807.25</v>
      </c>
      <c r="P2466" s="116">
        <v>807.3</v>
      </c>
      <c r="Q2466" s="116">
        <v>818.85</v>
      </c>
      <c r="R2466">
        <v>1076619</v>
      </c>
    </row>
    <row r="2467" spans="1:18" x14ac:dyDescent="0.25">
      <c r="A2467" s="169">
        <v>45645</v>
      </c>
      <c r="B2467" s="116">
        <v>1183.1500000000001</v>
      </c>
      <c r="C2467" s="116">
        <v>1141.1500000000001</v>
      </c>
      <c r="D2467" s="116">
        <v>1133.3499999999999</v>
      </c>
      <c r="E2467" s="116">
        <v>1156.1500000000001</v>
      </c>
      <c r="F2467" s="116">
        <v>1141.1500000000001</v>
      </c>
      <c r="G2467">
        <v>87891</v>
      </c>
      <c r="H2467" s="116"/>
      <c r="I2467" s="116"/>
      <c r="L2467" s="169">
        <v>45637</v>
      </c>
      <c r="M2467" s="116">
        <v>819.95</v>
      </c>
      <c r="N2467" s="116">
        <v>827.7</v>
      </c>
      <c r="O2467" s="116">
        <v>818</v>
      </c>
      <c r="P2467" s="116">
        <v>824</v>
      </c>
      <c r="Q2467" s="116">
        <v>819.95</v>
      </c>
      <c r="R2467">
        <v>366800</v>
      </c>
    </row>
    <row r="2468" spans="1:18" x14ac:dyDescent="0.25">
      <c r="A2468" s="169">
        <v>45646</v>
      </c>
      <c r="B2468" s="116">
        <v>1183.0999999999999</v>
      </c>
      <c r="C2468" s="116">
        <v>1134.4000000000001</v>
      </c>
      <c r="D2468" s="116">
        <v>1122.75</v>
      </c>
      <c r="E2468" s="116">
        <v>1149</v>
      </c>
      <c r="F2468" s="116">
        <v>1134.4000000000001</v>
      </c>
      <c r="G2468">
        <v>40079</v>
      </c>
      <c r="H2468" s="116"/>
      <c r="I2468" s="116"/>
      <c r="L2468" s="169">
        <v>45638</v>
      </c>
      <c r="M2468" s="116">
        <v>810.85</v>
      </c>
      <c r="N2468" s="116">
        <v>822.8</v>
      </c>
      <c r="O2468" s="116">
        <v>809.5</v>
      </c>
      <c r="P2468" s="116">
        <v>820.05</v>
      </c>
      <c r="Q2468" s="116">
        <v>810.85</v>
      </c>
      <c r="R2468">
        <v>167677</v>
      </c>
    </row>
    <row r="2469" spans="1:18" x14ac:dyDescent="0.25">
      <c r="A2469" s="169">
        <v>45649</v>
      </c>
      <c r="B2469" s="116">
        <v>1169</v>
      </c>
      <c r="C2469" s="116">
        <v>1162.4000000000001</v>
      </c>
      <c r="D2469" s="116">
        <v>1132.0999999999999</v>
      </c>
      <c r="E2469" s="116">
        <v>1139.6500000000001</v>
      </c>
      <c r="F2469" s="116">
        <v>1162.4000000000001</v>
      </c>
      <c r="G2469">
        <v>43697</v>
      </c>
      <c r="H2469" s="116"/>
      <c r="I2469" s="116"/>
      <c r="L2469" s="169">
        <v>45639</v>
      </c>
      <c r="M2469" s="116">
        <v>803.1</v>
      </c>
      <c r="N2469" s="116">
        <v>811.75</v>
      </c>
      <c r="O2469" s="116">
        <v>789.1</v>
      </c>
      <c r="P2469" s="116">
        <v>811</v>
      </c>
      <c r="Q2469" s="116">
        <v>803.1</v>
      </c>
      <c r="R2469">
        <v>451723</v>
      </c>
    </row>
    <row r="2470" spans="1:18" x14ac:dyDescent="0.25">
      <c r="A2470" s="169">
        <v>45650</v>
      </c>
      <c r="B2470" s="116">
        <v>1193.45</v>
      </c>
      <c r="C2470" s="116">
        <v>1189.3499999999999</v>
      </c>
      <c r="D2470" s="116">
        <v>1157.55</v>
      </c>
      <c r="E2470" s="116">
        <v>1158.05</v>
      </c>
      <c r="F2470" s="116">
        <v>1189.3499999999999</v>
      </c>
      <c r="G2470">
        <v>40860</v>
      </c>
      <c r="H2470" s="116"/>
      <c r="I2470" s="116"/>
      <c r="L2470" s="169">
        <v>45642</v>
      </c>
      <c r="M2470" s="116">
        <v>801.95</v>
      </c>
      <c r="N2470" s="116">
        <v>809.5</v>
      </c>
      <c r="O2470" s="116">
        <v>800</v>
      </c>
      <c r="P2470" s="116">
        <v>801</v>
      </c>
      <c r="Q2470" s="116">
        <v>801.95</v>
      </c>
      <c r="R2470">
        <v>198073</v>
      </c>
    </row>
    <row r="2471" spans="1:18" x14ac:dyDescent="0.25">
      <c r="A2471" s="169">
        <v>45652</v>
      </c>
      <c r="B2471" s="116">
        <v>1194.05</v>
      </c>
      <c r="C2471" s="116">
        <v>1165.3</v>
      </c>
      <c r="D2471" s="116">
        <v>1157.1500000000001</v>
      </c>
      <c r="E2471" s="116">
        <v>1190.05</v>
      </c>
      <c r="F2471" s="116">
        <v>1165.3</v>
      </c>
      <c r="G2471">
        <v>32654</v>
      </c>
      <c r="H2471" s="116"/>
      <c r="I2471" s="116"/>
      <c r="L2471" s="169">
        <v>45643</v>
      </c>
      <c r="M2471" s="116">
        <v>781.45</v>
      </c>
      <c r="N2471" s="116">
        <v>804.55</v>
      </c>
      <c r="O2471" s="116">
        <v>775.1</v>
      </c>
      <c r="P2471" s="116">
        <v>802.3</v>
      </c>
      <c r="Q2471" s="116">
        <v>781.45</v>
      </c>
      <c r="R2471">
        <v>653676</v>
      </c>
    </row>
    <row r="2472" spans="1:18" x14ac:dyDescent="0.25">
      <c r="A2472" s="169">
        <v>45653</v>
      </c>
      <c r="B2472" s="116">
        <v>1185</v>
      </c>
      <c r="C2472" s="116">
        <v>1182.25</v>
      </c>
      <c r="D2472" s="116">
        <v>1163.5999999999999</v>
      </c>
      <c r="E2472" s="116">
        <v>1166.5</v>
      </c>
      <c r="F2472" s="116">
        <v>1182.25</v>
      </c>
      <c r="G2472">
        <v>29064</v>
      </c>
      <c r="H2472" s="116"/>
      <c r="I2472" s="116"/>
      <c r="L2472" s="169">
        <v>45644</v>
      </c>
      <c r="M2472" s="116">
        <v>772.95</v>
      </c>
      <c r="N2472" s="116">
        <v>781.5</v>
      </c>
      <c r="O2472" s="116">
        <v>764.3</v>
      </c>
      <c r="P2472" s="116">
        <v>778</v>
      </c>
      <c r="Q2472" s="116">
        <v>772.95</v>
      </c>
      <c r="R2472">
        <v>665418</v>
      </c>
    </row>
    <row r="2473" spans="1:18" x14ac:dyDescent="0.25">
      <c r="A2473" s="169">
        <v>45656</v>
      </c>
      <c r="B2473" s="116">
        <v>1225.95</v>
      </c>
      <c r="C2473" s="116">
        <v>1215.0999999999999</v>
      </c>
      <c r="D2473" s="116">
        <v>1172.25</v>
      </c>
      <c r="E2473" s="116">
        <v>1185.05</v>
      </c>
      <c r="F2473" s="116">
        <v>1215.0999999999999</v>
      </c>
      <c r="G2473">
        <v>75435</v>
      </c>
      <c r="H2473" s="116"/>
      <c r="I2473" s="116"/>
      <c r="L2473" s="169">
        <v>45645</v>
      </c>
      <c r="M2473" s="116">
        <v>770.55</v>
      </c>
      <c r="N2473" s="116">
        <v>772.55</v>
      </c>
      <c r="O2473" s="116">
        <v>758.1</v>
      </c>
      <c r="P2473" s="116">
        <v>760</v>
      </c>
      <c r="Q2473" s="116">
        <v>770.55</v>
      </c>
      <c r="R2473">
        <v>435621</v>
      </c>
    </row>
    <row r="2474" spans="1:18" x14ac:dyDescent="0.25">
      <c r="A2474" s="169">
        <v>45657</v>
      </c>
      <c r="B2474" s="116">
        <v>1233</v>
      </c>
      <c r="C2474" s="116">
        <v>1231.3</v>
      </c>
      <c r="D2474" s="116">
        <v>1194.45</v>
      </c>
      <c r="E2474" s="116">
        <v>1218.7</v>
      </c>
      <c r="F2474" s="116">
        <v>1231.3</v>
      </c>
      <c r="G2474">
        <v>32141</v>
      </c>
      <c r="H2474" s="116"/>
      <c r="I2474" s="116"/>
      <c r="L2474" s="169">
        <v>45646</v>
      </c>
      <c r="M2474" s="116">
        <v>747.7</v>
      </c>
      <c r="N2474" s="116">
        <v>772.85</v>
      </c>
      <c r="O2474" s="116">
        <v>745.5</v>
      </c>
      <c r="P2474" s="116">
        <v>771.9</v>
      </c>
      <c r="Q2474" s="116">
        <v>747.7</v>
      </c>
      <c r="R2474">
        <v>517033</v>
      </c>
    </row>
    <row r="2475" spans="1:18" x14ac:dyDescent="0.25">
      <c r="A2475" s="169">
        <v>45658</v>
      </c>
      <c r="B2475" s="116">
        <v>1270.6500000000001</v>
      </c>
      <c r="C2475" s="116">
        <v>1264.1500000000001</v>
      </c>
      <c r="D2475" s="116">
        <v>1232.75</v>
      </c>
      <c r="E2475" s="116">
        <v>1234</v>
      </c>
      <c r="F2475" s="116">
        <v>1264.1500000000001</v>
      </c>
      <c r="G2475">
        <v>32307</v>
      </c>
      <c r="H2475" s="116"/>
      <c r="I2475" s="116"/>
      <c r="L2475" s="169">
        <v>45649</v>
      </c>
      <c r="M2475" s="116">
        <v>726.55</v>
      </c>
      <c r="N2475" s="116">
        <v>756</v>
      </c>
      <c r="O2475" s="116">
        <v>723.55</v>
      </c>
      <c r="P2475" s="116">
        <v>747.55</v>
      </c>
      <c r="Q2475" s="116">
        <v>726.55</v>
      </c>
      <c r="R2475">
        <v>940565</v>
      </c>
    </row>
    <row r="2476" spans="1:18" x14ac:dyDescent="0.25">
      <c r="A2476" s="169">
        <v>45659</v>
      </c>
      <c r="B2476" s="116">
        <v>1350.15</v>
      </c>
      <c r="C2476" s="116">
        <v>1340.95</v>
      </c>
      <c r="D2476" s="116">
        <v>1265</v>
      </c>
      <c r="E2476" s="116">
        <v>1277.95</v>
      </c>
      <c r="F2476" s="116">
        <v>1340.95</v>
      </c>
      <c r="G2476">
        <v>194460</v>
      </c>
      <c r="H2476" s="116"/>
      <c r="I2476" s="116"/>
      <c r="L2476" s="169">
        <v>45650</v>
      </c>
      <c r="M2476" s="116">
        <v>726.2</v>
      </c>
      <c r="N2476" s="116">
        <v>732.8</v>
      </c>
      <c r="O2476" s="116">
        <v>717.85</v>
      </c>
      <c r="P2476" s="116">
        <v>728.95</v>
      </c>
      <c r="Q2476" s="116">
        <v>726.2</v>
      </c>
      <c r="R2476">
        <v>792904</v>
      </c>
    </row>
    <row r="2477" spans="1:18" x14ac:dyDescent="0.25">
      <c r="A2477" s="169">
        <v>45660</v>
      </c>
      <c r="B2477" s="116">
        <v>1461</v>
      </c>
      <c r="C2477" s="116">
        <v>1439.15</v>
      </c>
      <c r="D2477" s="116">
        <v>1325.5</v>
      </c>
      <c r="E2477" s="116">
        <v>1355.05</v>
      </c>
      <c r="F2477" s="116">
        <v>1439.15</v>
      </c>
      <c r="G2477">
        <v>276653</v>
      </c>
      <c r="H2477" s="116"/>
      <c r="I2477" s="116"/>
      <c r="L2477" s="169">
        <v>45652</v>
      </c>
      <c r="M2477" s="116">
        <v>723.95</v>
      </c>
      <c r="N2477" s="116">
        <v>729.7</v>
      </c>
      <c r="O2477" s="116">
        <v>716.7</v>
      </c>
      <c r="P2477" s="116">
        <v>726.2</v>
      </c>
      <c r="Q2477" s="116">
        <v>723.95</v>
      </c>
      <c r="R2477">
        <v>523582</v>
      </c>
    </row>
    <row r="2478" spans="1:18" x14ac:dyDescent="0.25">
      <c r="A2478" s="169">
        <v>45663</v>
      </c>
      <c r="B2478" s="116">
        <v>1449.1</v>
      </c>
      <c r="C2478" s="116">
        <v>1385</v>
      </c>
      <c r="D2478" s="116">
        <v>1325.95</v>
      </c>
      <c r="E2478" s="116">
        <v>1440</v>
      </c>
      <c r="F2478" s="116">
        <v>1385</v>
      </c>
      <c r="G2478">
        <v>153813</v>
      </c>
      <c r="H2478" s="116"/>
      <c r="I2478" s="116"/>
      <c r="L2478" s="169">
        <v>45653</v>
      </c>
      <c r="M2478" s="116">
        <v>750.55</v>
      </c>
      <c r="N2478" s="116">
        <v>754.25</v>
      </c>
      <c r="O2478" s="116">
        <v>725.95</v>
      </c>
      <c r="P2478" s="116">
        <v>730</v>
      </c>
      <c r="Q2478" s="116">
        <v>750.55</v>
      </c>
      <c r="R2478">
        <v>1034470</v>
      </c>
    </row>
    <row r="2479" spans="1:18" x14ac:dyDescent="0.25">
      <c r="A2479" s="169">
        <v>45664</v>
      </c>
      <c r="B2479" s="116">
        <v>1431</v>
      </c>
      <c r="C2479" s="116">
        <v>1420.85</v>
      </c>
      <c r="D2479" s="116">
        <v>1391</v>
      </c>
      <c r="E2479" s="116">
        <v>1411.65</v>
      </c>
      <c r="F2479" s="116">
        <v>1420.85</v>
      </c>
      <c r="G2479">
        <v>100393</v>
      </c>
      <c r="H2479" s="116"/>
      <c r="I2479" s="116"/>
      <c r="L2479" s="169">
        <v>45656</v>
      </c>
      <c r="M2479" s="116">
        <v>754.3</v>
      </c>
      <c r="N2479" s="116">
        <v>763.9</v>
      </c>
      <c r="O2479" s="116">
        <v>746.55</v>
      </c>
      <c r="P2479" s="116">
        <v>751.25</v>
      </c>
      <c r="Q2479" s="116">
        <v>754.3</v>
      </c>
      <c r="R2479">
        <v>645351</v>
      </c>
    </row>
    <row r="2480" spans="1:18" x14ac:dyDescent="0.25">
      <c r="A2480" s="169">
        <v>45665</v>
      </c>
      <c r="B2480" s="116">
        <v>1430.6</v>
      </c>
      <c r="C2480" s="116">
        <v>1427.45</v>
      </c>
      <c r="D2480" s="116">
        <v>1403.5</v>
      </c>
      <c r="E2480" s="116">
        <v>1428.1</v>
      </c>
      <c r="F2480" s="116">
        <v>1427.45</v>
      </c>
      <c r="G2480">
        <v>50512</v>
      </c>
      <c r="H2480" s="116"/>
      <c r="I2480" s="116"/>
      <c r="L2480" s="169">
        <v>45657</v>
      </c>
      <c r="M2480" s="116">
        <v>759.3</v>
      </c>
      <c r="N2480" s="116">
        <v>761.95</v>
      </c>
      <c r="O2480" s="116">
        <v>746</v>
      </c>
      <c r="P2480" s="116">
        <v>746</v>
      </c>
      <c r="Q2480" s="116">
        <v>759.3</v>
      </c>
      <c r="R2480">
        <v>482066</v>
      </c>
    </row>
    <row r="2481" spans="1:18" x14ac:dyDescent="0.25">
      <c r="A2481" s="169">
        <v>45666</v>
      </c>
      <c r="B2481" s="116">
        <v>1449</v>
      </c>
      <c r="C2481" s="116">
        <v>1436.95</v>
      </c>
      <c r="D2481" s="116">
        <v>1411.45</v>
      </c>
      <c r="E2481" s="116">
        <v>1426</v>
      </c>
      <c r="F2481" s="116">
        <v>1436.95</v>
      </c>
      <c r="G2481">
        <v>92566</v>
      </c>
      <c r="H2481" s="116"/>
      <c r="I2481" s="116"/>
      <c r="L2481" s="169">
        <v>45658</v>
      </c>
      <c r="M2481" s="116">
        <v>730.35</v>
      </c>
      <c r="N2481" s="116">
        <v>758</v>
      </c>
      <c r="O2481" s="116">
        <v>727.1</v>
      </c>
      <c r="P2481" s="116">
        <v>752.05</v>
      </c>
      <c r="Q2481" s="116">
        <v>730.35</v>
      </c>
      <c r="R2481">
        <v>1241318</v>
      </c>
    </row>
    <row r="2482" spans="1:18" x14ac:dyDescent="0.25">
      <c r="A2482" s="169">
        <v>45667</v>
      </c>
      <c r="B2482" s="116">
        <v>1477.5</v>
      </c>
      <c r="C2482" s="116">
        <v>1451.2</v>
      </c>
      <c r="D2482" s="116">
        <v>1417.15</v>
      </c>
      <c r="E2482" s="116">
        <v>1431.25</v>
      </c>
      <c r="F2482" s="116">
        <v>1451.2</v>
      </c>
      <c r="G2482">
        <v>122220</v>
      </c>
      <c r="H2482" s="116"/>
      <c r="I2482" s="116"/>
      <c r="L2482" s="169">
        <v>45659</v>
      </c>
      <c r="M2482" s="116">
        <v>729.45</v>
      </c>
      <c r="N2482" s="116">
        <v>736</v>
      </c>
      <c r="O2482" s="116">
        <v>716.9</v>
      </c>
      <c r="P2482" s="116">
        <v>728.55</v>
      </c>
      <c r="Q2482" s="116">
        <v>729.45</v>
      </c>
      <c r="R2482">
        <v>1595191</v>
      </c>
    </row>
    <row r="2483" spans="1:18" x14ac:dyDescent="0.25">
      <c r="A2483" s="169">
        <v>45670</v>
      </c>
      <c r="B2483" s="116">
        <v>1444.95</v>
      </c>
      <c r="C2483" s="116">
        <v>1370</v>
      </c>
      <c r="D2483" s="116">
        <v>1355.3</v>
      </c>
      <c r="E2483" s="116">
        <v>1422.2</v>
      </c>
      <c r="F2483" s="116">
        <v>1370</v>
      </c>
      <c r="G2483">
        <v>123698</v>
      </c>
      <c r="H2483" s="116"/>
      <c r="I2483" s="116"/>
      <c r="L2483" s="169">
        <v>45660</v>
      </c>
      <c r="M2483" s="116">
        <v>721.15</v>
      </c>
      <c r="N2483" s="116">
        <v>733.9</v>
      </c>
      <c r="O2483" s="116">
        <v>718</v>
      </c>
      <c r="P2483" s="116">
        <v>731</v>
      </c>
      <c r="Q2483" s="116">
        <v>721.15</v>
      </c>
      <c r="R2483">
        <v>1327182</v>
      </c>
    </row>
    <row r="2484" spans="1:18" x14ac:dyDescent="0.25">
      <c r="A2484" s="169">
        <v>45671</v>
      </c>
      <c r="B2484" s="116">
        <v>1424</v>
      </c>
      <c r="C2484" s="116">
        <v>1419.2</v>
      </c>
      <c r="D2484" s="116">
        <v>1371.85</v>
      </c>
      <c r="E2484" s="116">
        <v>1379.25</v>
      </c>
      <c r="F2484" s="116">
        <v>1419.2</v>
      </c>
      <c r="G2484">
        <v>43721</v>
      </c>
      <c r="H2484" s="116"/>
      <c r="I2484" s="116"/>
      <c r="L2484" s="169">
        <v>45663</v>
      </c>
      <c r="M2484" s="116">
        <v>697.75</v>
      </c>
      <c r="N2484" s="116">
        <v>728.65</v>
      </c>
      <c r="O2484" s="116">
        <v>695.25</v>
      </c>
      <c r="P2484" s="116">
        <v>726</v>
      </c>
      <c r="Q2484" s="116">
        <v>697.75</v>
      </c>
      <c r="R2484">
        <v>776227</v>
      </c>
    </row>
    <row r="2485" spans="1:18" x14ac:dyDescent="0.25">
      <c r="A2485" s="169">
        <v>45672</v>
      </c>
      <c r="B2485" s="116">
        <v>1449.6</v>
      </c>
      <c r="C2485" s="116">
        <v>1432</v>
      </c>
      <c r="D2485" s="116">
        <v>1418</v>
      </c>
      <c r="E2485" s="116">
        <v>1419.25</v>
      </c>
      <c r="F2485" s="116">
        <v>1432</v>
      </c>
      <c r="G2485">
        <v>50047</v>
      </c>
      <c r="H2485" s="116"/>
      <c r="I2485" s="116"/>
      <c r="L2485" s="169">
        <v>45664</v>
      </c>
      <c r="M2485" s="116">
        <v>714.8</v>
      </c>
      <c r="N2485" s="116">
        <v>721.6</v>
      </c>
      <c r="O2485" s="116">
        <v>698.25</v>
      </c>
      <c r="P2485" s="116">
        <v>698.25</v>
      </c>
      <c r="Q2485" s="116">
        <v>714.8</v>
      </c>
      <c r="R2485">
        <v>550218</v>
      </c>
    </row>
    <row r="2486" spans="1:18" x14ac:dyDescent="0.25">
      <c r="A2486" s="169">
        <v>45673</v>
      </c>
      <c r="B2486" s="116">
        <v>1463</v>
      </c>
      <c r="C2486" s="116">
        <v>1434.95</v>
      </c>
      <c r="D2486" s="116">
        <v>1423.2</v>
      </c>
      <c r="E2486" s="116">
        <v>1454.65</v>
      </c>
      <c r="F2486" s="116">
        <v>1434.95</v>
      </c>
      <c r="G2486">
        <v>38088</v>
      </c>
      <c r="H2486" s="116"/>
      <c r="I2486" s="116"/>
      <c r="L2486" s="169">
        <v>45665</v>
      </c>
      <c r="M2486" s="116">
        <v>705.4</v>
      </c>
      <c r="N2486" s="116">
        <v>716.45</v>
      </c>
      <c r="O2486" s="116">
        <v>692</v>
      </c>
      <c r="P2486" s="116">
        <v>716</v>
      </c>
      <c r="Q2486" s="116">
        <v>705.4</v>
      </c>
      <c r="R2486">
        <v>648590</v>
      </c>
    </row>
    <row r="2487" spans="1:18" x14ac:dyDescent="0.25">
      <c r="A2487" s="169">
        <v>45674</v>
      </c>
      <c r="B2487" s="116">
        <v>1442.7</v>
      </c>
      <c r="C2487" s="116">
        <v>1423.55</v>
      </c>
      <c r="D2487" s="116">
        <v>1410</v>
      </c>
      <c r="E2487" s="116">
        <v>1434.95</v>
      </c>
      <c r="F2487" s="116">
        <v>1423.55</v>
      </c>
      <c r="G2487">
        <v>39491</v>
      </c>
      <c r="H2487" s="116"/>
      <c r="I2487" s="116"/>
      <c r="L2487" s="169">
        <v>45666</v>
      </c>
      <c r="M2487" s="116">
        <v>693.1</v>
      </c>
      <c r="N2487" s="116">
        <v>708.35</v>
      </c>
      <c r="O2487" s="116">
        <v>692.05</v>
      </c>
      <c r="P2487" s="116">
        <v>705.4</v>
      </c>
      <c r="Q2487" s="116">
        <v>693.1</v>
      </c>
      <c r="R2487">
        <v>243903</v>
      </c>
    </row>
    <row r="2488" spans="1:18" x14ac:dyDescent="0.25">
      <c r="A2488" s="169">
        <v>45677</v>
      </c>
      <c r="B2488" s="116">
        <v>1429.8</v>
      </c>
      <c r="C2488" s="116">
        <v>1397.5</v>
      </c>
      <c r="D2488" s="116">
        <v>1389.05</v>
      </c>
      <c r="E2488" s="116">
        <v>1423.55</v>
      </c>
      <c r="F2488" s="116">
        <v>1397.5</v>
      </c>
      <c r="G2488">
        <v>26920</v>
      </c>
      <c r="H2488" s="116"/>
      <c r="I2488" s="116"/>
      <c r="L2488" s="169">
        <v>45667</v>
      </c>
      <c r="M2488" s="116">
        <v>679.35</v>
      </c>
      <c r="N2488" s="116">
        <v>697</v>
      </c>
      <c r="O2488" s="116">
        <v>676.5</v>
      </c>
      <c r="P2488" s="116">
        <v>697</v>
      </c>
      <c r="Q2488" s="116">
        <v>679.35</v>
      </c>
      <c r="R2488">
        <v>457544</v>
      </c>
    </row>
    <row r="2489" spans="1:18" x14ac:dyDescent="0.25">
      <c r="A2489" s="169">
        <v>45678</v>
      </c>
      <c r="B2489" s="116">
        <v>1425</v>
      </c>
      <c r="C2489" s="116">
        <v>1414.45</v>
      </c>
      <c r="D2489" s="116">
        <v>1390.5</v>
      </c>
      <c r="E2489" s="116">
        <v>1408.8</v>
      </c>
      <c r="F2489" s="116">
        <v>1414.45</v>
      </c>
      <c r="G2489">
        <v>42788</v>
      </c>
      <c r="H2489" s="116"/>
      <c r="I2489" s="116"/>
      <c r="L2489" s="169">
        <v>45670</v>
      </c>
      <c r="M2489" s="116">
        <v>651.75</v>
      </c>
      <c r="N2489" s="116">
        <v>677.95</v>
      </c>
      <c r="O2489" s="116">
        <v>650.20000000000005</v>
      </c>
      <c r="P2489" s="116">
        <v>677.95</v>
      </c>
      <c r="Q2489" s="116">
        <v>651.75</v>
      </c>
      <c r="R2489">
        <v>646336</v>
      </c>
    </row>
    <row r="2490" spans="1:18" x14ac:dyDescent="0.25">
      <c r="A2490" s="169">
        <v>45679</v>
      </c>
      <c r="B2490" s="116">
        <v>1414.45</v>
      </c>
      <c r="C2490" s="116">
        <v>1377</v>
      </c>
      <c r="D2490" s="116">
        <v>1313.5</v>
      </c>
      <c r="E2490" s="116">
        <v>1414.45</v>
      </c>
      <c r="F2490" s="116">
        <v>1377</v>
      </c>
      <c r="G2490">
        <v>132429</v>
      </c>
      <c r="H2490" s="116"/>
      <c r="I2490" s="116"/>
      <c r="L2490" s="169">
        <v>45671</v>
      </c>
      <c r="M2490" s="116">
        <v>670.8</v>
      </c>
      <c r="N2490" s="116">
        <v>689.1</v>
      </c>
      <c r="O2490" s="116">
        <v>654.45000000000005</v>
      </c>
      <c r="P2490" s="116">
        <v>655</v>
      </c>
      <c r="Q2490" s="116">
        <v>670.8</v>
      </c>
      <c r="R2490">
        <v>1028887</v>
      </c>
    </row>
    <row r="2491" spans="1:18" x14ac:dyDescent="0.25">
      <c r="A2491" s="169">
        <v>45680</v>
      </c>
      <c r="B2491" s="116">
        <v>1410.95</v>
      </c>
      <c r="C2491" s="116">
        <v>1392</v>
      </c>
      <c r="D2491" s="116">
        <v>1360.1</v>
      </c>
      <c r="E2491" s="116">
        <v>1384.85</v>
      </c>
      <c r="F2491" s="116">
        <v>1392</v>
      </c>
      <c r="G2491">
        <v>44714</v>
      </c>
      <c r="H2491" s="116"/>
      <c r="I2491" s="116"/>
      <c r="L2491" s="169">
        <v>45672</v>
      </c>
      <c r="M2491" s="116">
        <v>673.15</v>
      </c>
      <c r="N2491" s="116">
        <v>679.65</v>
      </c>
      <c r="O2491" s="116">
        <v>666.6</v>
      </c>
      <c r="P2491" s="116">
        <v>676</v>
      </c>
      <c r="Q2491" s="116">
        <v>673.15</v>
      </c>
      <c r="R2491">
        <v>599629</v>
      </c>
    </row>
    <row r="2492" spans="1:18" x14ac:dyDescent="0.25">
      <c r="A2492" s="169">
        <v>45681</v>
      </c>
      <c r="B2492" s="116">
        <v>1423.75</v>
      </c>
      <c r="C2492" s="116">
        <v>1376.05</v>
      </c>
      <c r="D2492" s="116">
        <v>1369.4</v>
      </c>
      <c r="E2492" s="116">
        <v>1380.5</v>
      </c>
      <c r="F2492" s="116">
        <v>1376.05</v>
      </c>
      <c r="G2492">
        <v>35813</v>
      </c>
      <c r="H2492" s="116"/>
      <c r="I2492" s="116"/>
      <c r="L2492" s="169">
        <v>45673</v>
      </c>
      <c r="M2492" s="116">
        <v>687.6</v>
      </c>
      <c r="N2492" s="116">
        <v>693.45</v>
      </c>
      <c r="O2492" s="116">
        <v>676</v>
      </c>
      <c r="P2492" s="116">
        <v>676</v>
      </c>
      <c r="Q2492" s="116">
        <v>687.6</v>
      </c>
      <c r="R2492">
        <v>738353</v>
      </c>
    </row>
    <row r="2493" spans="1:18" x14ac:dyDescent="0.25">
      <c r="A2493" s="169">
        <v>45684</v>
      </c>
      <c r="B2493" s="116">
        <v>1369</v>
      </c>
      <c r="C2493" s="116">
        <v>1294.0999999999999</v>
      </c>
      <c r="D2493" s="116">
        <v>1276.0999999999999</v>
      </c>
      <c r="E2493" s="116">
        <v>1360.8</v>
      </c>
      <c r="F2493" s="116">
        <v>1294.0999999999999</v>
      </c>
      <c r="G2493">
        <v>90982</v>
      </c>
      <c r="H2493" s="116"/>
      <c r="I2493" s="116"/>
      <c r="L2493" s="169">
        <v>45674</v>
      </c>
      <c r="M2493" s="116">
        <v>691.5</v>
      </c>
      <c r="N2493" s="116">
        <v>695.1</v>
      </c>
      <c r="O2493" s="116">
        <v>670.8</v>
      </c>
      <c r="P2493" s="116">
        <v>687.6</v>
      </c>
      <c r="Q2493" s="116">
        <v>691.5</v>
      </c>
      <c r="R2493">
        <v>1041143</v>
      </c>
    </row>
    <row r="2494" spans="1:18" x14ac:dyDescent="0.25">
      <c r="A2494" s="169">
        <v>45685</v>
      </c>
      <c r="B2494" s="116">
        <v>1305.75</v>
      </c>
      <c r="C2494" s="116">
        <v>1232.2</v>
      </c>
      <c r="D2494" s="116">
        <v>1144.5</v>
      </c>
      <c r="E2494" s="116">
        <v>1284.55</v>
      </c>
      <c r="F2494" s="116">
        <v>1232.2</v>
      </c>
      <c r="G2494">
        <v>217576</v>
      </c>
      <c r="H2494" s="116"/>
      <c r="I2494" s="116"/>
      <c r="L2494" s="169">
        <v>45677</v>
      </c>
      <c r="M2494" s="116">
        <v>708</v>
      </c>
      <c r="N2494" s="116">
        <v>722</v>
      </c>
      <c r="O2494" s="116">
        <v>697</v>
      </c>
      <c r="P2494" s="116">
        <v>700</v>
      </c>
      <c r="Q2494" s="116">
        <v>708</v>
      </c>
      <c r="R2494">
        <v>1534764</v>
      </c>
    </row>
    <row r="2495" spans="1:18" x14ac:dyDescent="0.25">
      <c r="A2495" s="169">
        <v>45686</v>
      </c>
      <c r="B2495" s="116">
        <v>1280.1500000000001</v>
      </c>
      <c r="C2495" s="116">
        <v>1256.3</v>
      </c>
      <c r="D2495" s="116">
        <v>1206.75</v>
      </c>
      <c r="E2495" s="116">
        <v>1218.3499999999999</v>
      </c>
      <c r="F2495" s="116">
        <v>1256.3</v>
      </c>
      <c r="G2495">
        <v>111328</v>
      </c>
      <c r="H2495" s="116"/>
      <c r="I2495" s="116"/>
      <c r="L2495" s="169">
        <v>45678</v>
      </c>
      <c r="M2495" s="116">
        <v>691.8</v>
      </c>
      <c r="N2495" s="116">
        <v>711.85</v>
      </c>
      <c r="O2495" s="116">
        <v>688.25</v>
      </c>
      <c r="P2495" s="116">
        <v>710.15</v>
      </c>
      <c r="Q2495" s="116">
        <v>691.8</v>
      </c>
      <c r="R2495">
        <v>825903</v>
      </c>
    </row>
    <row r="2496" spans="1:18" x14ac:dyDescent="0.25">
      <c r="A2496" s="169">
        <v>45687</v>
      </c>
      <c r="B2496" s="116">
        <v>1271.45</v>
      </c>
      <c r="C2496" s="116">
        <v>1248.2</v>
      </c>
      <c r="D2496" s="116">
        <v>1234.75</v>
      </c>
      <c r="E2496" s="116">
        <v>1260.5</v>
      </c>
      <c r="F2496" s="116">
        <v>1248.2</v>
      </c>
      <c r="G2496">
        <v>35154</v>
      </c>
      <c r="H2496" s="116"/>
      <c r="I2496" s="116"/>
      <c r="L2496" s="169">
        <v>45679</v>
      </c>
      <c r="M2496" s="116">
        <v>686</v>
      </c>
      <c r="N2496" s="116">
        <v>692</v>
      </c>
      <c r="O2496" s="116">
        <v>676.35</v>
      </c>
      <c r="P2496" s="116">
        <v>690.5</v>
      </c>
      <c r="Q2496" s="116">
        <v>686</v>
      </c>
      <c r="R2496">
        <v>572090</v>
      </c>
    </row>
    <row r="2497" spans="1:18" x14ac:dyDescent="0.25">
      <c r="A2497" s="169">
        <v>45688</v>
      </c>
      <c r="B2497" s="116">
        <v>1262.05</v>
      </c>
      <c r="C2497" s="116">
        <v>1239.8</v>
      </c>
      <c r="D2497" s="116">
        <v>1225.5</v>
      </c>
      <c r="E2497" s="116">
        <v>1248.2</v>
      </c>
      <c r="F2497" s="116">
        <v>1239.8</v>
      </c>
      <c r="G2497">
        <v>50472</v>
      </c>
      <c r="H2497" s="116"/>
      <c r="I2497" s="116"/>
      <c r="L2497" s="169">
        <v>45680</v>
      </c>
      <c r="M2497" s="116">
        <v>690.95</v>
      </c>
      <c r="N2497" s="116">
        <v>694.75</v>
      </c>
      <c r="O2497" s="116">
        <v>681.1</v>
      </c>
      <c r="P2497" s="116">
        <v>681.9</v>
      </c>
      <c r="Q2497" s="116">
        <v>690.95</v>
      </c>
      <c r="R2497">
        <v>367970</v>
      </c>
    </row>
    <row r="2498" spans="1:18" x14ac:dyDescent="0.25">
      <c r="A2498" s="169">
        <v>45689</v>
      </c>
      <c r="B2498" s="116">
        <v>1258</v>
      </c>
      <c r="C2498" s="116">
        <v>1227.55</v>
      </c>
      <c r="D2498" s="116">
        <v>1209.3</v>
      </c>
      <c r="E2498" s="116">
        <v>1239.75</v>
      </c>
      <c r="F2498" s="116">
        <v>1227.55</v>
      </c>
      <c r="G2498">
        <v>33202</v>
      </c>
      <c r="H2498" s="116"/>
      <c r="I2498" s="116"/>
      <c r="L2498" s="169">
        <v>45681</v>
      </c>
      <c r="M2498" s="116">
        <v>682.7</v>
      </c>
      <c r="N2498" s="116">
        <v>693.75</v>
      </c>
      <c r="O2498" s="116">
        <v>680</v>
      </c>
      <c r="P2498" s="116">
        <v>689.9</v>
      </c>
      <c r="Q2498" s="116">
        <v>682.7</v>
      </c>
      <c r="R2498">
        <v>254312</v>
      </c>
    </row>
    <row r="2499" spans="1:18" x14ac:dyDescent="0.25">
      <c r="A2499" s="169">
        <v>45691</v>
      </c>
      <c r="B2499" s="116">
        <v>1211.5999999999999</v>
      </c>
      <c r="C2499" s="116">
        <v>1161.3499999999999</v>
      </c>
      <c r="D2499" s="116">
        <v>1149.6500000000001</v>
      </c>
      <c r="E2499" s="116">
        <v>1204.95</v>
      </c>
      <c r="F2499" s="116">
        <v>1161.3499999999999</v>
      </c>
      <c r="G2499">
        <v>39805</v>
      </c>
      <c r="H2499" s="116"/>
      <c r="I2499" s="116"/>
      <c r="L2499" s="169">
        <v>45684</v>
      </c>
      <c r="M2499" s="116">
        <v>674.05</v>
      </c>
      <c r="N2499" s="116">
        <v>681</v>
      </c>
      <c r="O2499" s="116">
        <v>668.1</v>
      </c>
      <c r="P2499" s="116">
        <v>680.1</v>
      </c>
      <c r="Q2499" s="116">
        <v>674.05</v>
      </c>
      <c r="R2499">
        <v>645450</v>
      </c>
    </row>
    <row r="2500" spans="1:18" x14ac:dyDescent="0.25">
      <c r="A2500" s="169">
        <v>45692</v>
      </c>
      <c r="B2500" s="116">
        <v>1218</v>
      </c>
      <c r="C2500" s="116">
        <v>1196.0999999999999</v>
      </c>
      <c r="D2500" s="116">
        <v>1155.2</v>
      </c>
      <c r="E2500" s="116">
        <v>1155.2</v>
      </c>
      <c r="F2500" s="116">
        <v>1196.0999999999999</v>
      </c>
      <c r="G2500">
        <v>43666</v>
      </c>
      <c r="H2500" s="116"/>
      <c r="I2500" s="116"/>
      <c r="L2500" s="169">
        <v>45685</v>
      </c>
      <c r="M2500" s="116">
        <v>662.95</v>
      </c>
      <c r="N2500" s="116">
        <v>684</v>
      </c>
      <c r="O2500" s="116">
        <v>658.55</v>
      </c>
      <c r="P2500" s="116">
        <v>679.9</v>
      </c>
      <c r="Q2500" s="116">
        <v>662.95</v>
      </c>
      <c r="R2500">
        <v>1315871</v>
      </c>
    </row>
    <row r="2501" spans="1:18" x14ac:dyDescent="0.25">
      <c r="A2501" s="169">
        <v>45693</v>
      </c>
      <c r="B2501" s="116">
        <v>1214.8</v>
      </c>
      <c r="C2501" s="116">
        <v>1186.3</v>
      </c>
      <c r="D2501" s="116">
        <v>1165.55</v>
      </c>
      <c r="E2501" s="116">
        <v>1196.05</v>
      </c>
      <c r="F2501" s="116">
        <v>1186.3</v>
      </c>
      <c r="G2501">
        <v>56602</v>
      </c>
      <c r="H2501" s="116"/>
      <c r="I2501" s="116"/>
      <c r="L2501" s="169">
        <v>45686</v>
      </c>
      <c r="M2501" s="116">
        <v>667.45</v>
      </c>
      <c r="N2501" s="116">
        <v>678</v>
      </c>
      <c r="O2501" s="116">
        <v>658.8</v>
      </c>
      <c r="P2501" s="116">
        <v>665</v>
      </c>
      <c r="Q2501" s="116">
        <v>667.45</v>
      </c>
      <c r="R2501">
        <v>868154</v>
      </c>
    </row>
    <row r="2502" spans="1:18" x14ac:dyDescent="0.25">
      <c r="A2502" s="169">
        <v>45694</v>
      </c>
      <c r="B2502" s="116">
        <v>1217.5</v>
      </c>
      <c r="C2502" s="116">
        <v>1203.9000000000001</v>
      </c>
      <c r="D2502" s="116">
        <v>1171.1500000000001</v>
      </c>
      <c r="E2502" s="116">
        <v>1171.1500000000001</v>
      </c>
      <c r="F2502" s="116">
        <v>1203.9000000000001</v>
      </c>
      <c r="G2502">
        <v>51836</v>
      </c>
      <c r="H2502" s="116"/>
      <c r="I2502" s="116"/>
      <c r="L2502" s="169">
        <v>45687</v>
      </c>
      <c r="M2502" s="116">
        <v>653.70000000000005</v>
      </c>
      <c r="N2502" s="116">
        <v>674.8</v>
      </c>
      <c r="O2502" s="116">
        <v>651.29999999999995</v>
      </c>
      <c r="P2502" s="116">
        <v>674.8</v>
      </c>
      <c r="Q2502" s="116">
        <v>653.70000000000005</v>
      </c>
      <c r="R2502">
        <v>701511</v>
      </c>
    </row>
    <row r="2503" spans="1:18" x14ac:dyDescent="0.25">
      <c r="A2503" s="169">
        <v>45695</v>
      </c>
      <c r="B2503" s="116">
        <v>1236.25</v>
      </c>
      <c r="C2503" s="116">
        <v>1223.8</v>
      </c>
      <c r="D2503" s="116">
        <v>1179.8</v>
      </c>
      <c r="E2503" s="116">
        <v>1199.95</v>
      </c>
      <c r="F2503" s="116">
        <v>1223.8</v>
      </c>
      <c r="G2503">
        <v>47343</v>
      </c>
      <c r="H2503" s="116"/>
      <c r="I2503" s="116"/>
      <c r="L2503" s="169">
        <v>45688</v>
      </c>
      <c r="M2503" s="116">
        <v>667.7</v>
      </c>
      <c r="N2503" s="116">
        <v>671.5</v>
      </c>
      <c r="O2503" s="116">
        <v>648.85</v>
      </c>
      <c r="P2503" s="116">
        <v>653.85</v>
      </c>
      <c r="Q2503" s="116">
        <v>667.7</v>
      </c>
      <c r="R2503">
        <v>548361</v>
      </c>
    </row>
    <row r="2504" spans="1:18" x14ac:dyDescent="0.25">
      <c r="A2504" s="169">
        <v>45698</v>
      </c>
      <c r="B2504" s="116">
        <v>1220</v>
      </c>
      <c r="C2504" s="116">
        <v>1175.4000000000001</v>
      </c>
      <c r="D2504" s="116">
        <v>1163.05</v>
      </c>
      <c r="E2504" s="116">
        <v>1215.3499999999999</v>
      </c>
      <c r="F2504" s="116">
        <v>1175.4000000000001</v>
      </c>
      <c r="G2504">
        <v>38702</v>
      </c>
      <c r="H2504" s="116"/>
      <c r="I2504" s="116"/>
      <c r="L2504" s="169">
        <v>45689</v>
      </c>
      <c r="M2504" s="116">
        <v>660.7</v>
      </c>
      <c r="N2504" s="116">
        <v>695</v>
      </c>
      <c r="O2504" s="116">
        <v>658.45</v>
      </c>
      <c r="P2504" s="116">
        <v>675</v>
      </c>
      <c r="Q2504" s="116">
        <v>660.7</v>
      </c>
      <c r="R2504">
        <v>709385</v>
      </c>
    </row>
    <row r="2505" spans="1:18" x14ac:dyDescent="0.25">
      <c r="A2505" s="169">
        <v>45699</v>
      </c>
      <c r="B2505" s="116">
        <v>1167.0999999999999</v>
      </c>
      <c r="C2505" s="116">
        <v>1135.55</v>
      </c>
      <c r="D2505" s="116">
        <v>1106.4000000000001</v>
      </c>
      <c r="E2505" s="116">
        <v>1160.05</v>
      </c>
      <c r="F2505" s="116">
        <v>1135.55</v>
      </c>
      <c r="G2505">
        <v>79230</v>
      </c>
      <c r="H2505" s="116"/>
      <c r="I2505" s="116"/>
      <c r="L2505" s="169">
        <v>45691</v>
      </c>
      <c r="M2505" s="116">
        <v>648.29999999999995</v>
      </c>
      <c r="N2505" s="116">
        <v>657.45</v>
      </c>
      <c r="O2505" s="116">
        <v>638.04999999999995</v>
      </c>
      <c r="P2505" s="116">
        <v>655</v>
      </c>
      <c r="Q2505" s="116">
        <v>648.29999999999995</v>
      </c>
      <c r="R2505">
        <v>715089</v>
      </c>
    </row>
    <row r="2506" spans="1:18" x14ac:dyDescent="0.25">
      <c r="A2506" s="169">
        <v>45700</v>
      </c>
      <c r="B2506" s="116">
        <v>1194.25</v>
      </c>
      <c r="C2506" s="116">
        <v>1180.8499999999999</v>
      </c>
      <c r="D2506" s="116">
        <v>1101</v>
      </c>
      <c r="E2506" s="116">
        <v>1101</v>
      </c>
      <c r="F2506" s="116">
        <v>1180.8499999999999</v>
      </c>
      <c r="G2506">
        <v>45532</v>
      </c>
      <c r="H2506" s="116"/>
      <c r="I2506" s="116"/>
      <c r="L2506" s="169">
        <v>45692</v>
      </c>
      <c r="M2506" s="116">
        <v>663.6</v>
      </c>
      <c r="N2506" s="116">
        <v>665</v>
      </c>
      <c r="O2506" s="116">
        <v>649.29999999999995</v>
      </c>
      <c r="P2506" s="116">
        <v>650</v>
      </c>
      <c r="Q2506" s="116">
        <v>663.6</v>
      </c>
      <c r="R2506">
        <v>769295</v>
      </c>
    </row>
    <row r="2507" spans="1:18" x14ac:dyDescent="0.25">
      <c r="A2507" s="169">
        <v>45701</v>
      </c>
      <c r="B2507" s="116">
        <v>1216.6500000000001</v>
      </c>
      <c r="C2507" s="116">
        <v>1192.0999999999999</v>
      </c>
      <c r="D2507" s="116">
        <v>1176.1500000000001</v>
      </c>
      <c r="E2507" s="116">
        <v>1180.5</v>
      </c>
      <c r="F2507" s="116">
        <v>1192.0999999999999</v>
      </c>
      <c r="G2507">
        <v>22195</v>
      </c>
      <c r="H2507" s="116"/>
      <c r="I2507" s="116"/>
      <c r="L2507" s="169">
        <v>45693</v>
      </c>
      <c r="M2507" s="116">
        <v>673.45</v>
      </c>
      <c r="N2507" s="116">
        <v>682</v>
      </c>
      <c r="O2507" s="116">
        <v>665.05</v>
      </c>
      <c r="P2507" s="116">
        <v>669</v>
      </c>
      <c r="Q2507" s="116">
        <v>673.45</v>
      </c>
      <c r="R2507">
        <v>348081</v>
      </c>
    </row>
    <row r="2508" spans="1:18" x14ac:dyDescent="0.25">
      <c r="A2508" s="169">
        <v>45702</v>
      </c>
      <c r="B2508" s="116">
        <v>1214.95</v>
      </c>
      <c r="C2508" s="116">
        <v>1136.75</v>
      </c>
      <c r="D2508" s="116">
        <v>1118.1500000000001</v>
      </c>
      <c r="E2508" s="116">
        <v>1214.95</v>
      </c>
      <c r="F2508" s="116">
        <v>1136.75</v>
      </c>
      <c r="G2508">
        <v>42880</v>
      </c>
      <c r="H2508" s="116"/>
      <c r="I2508" s="116"/>
      <c r="L2508" s="169">
        <v>45694</v>
      </c>
      <c r="M2508" s="116">
        <v>667.05</v>
      </c>
      <c r="N2508" s="116">
        <v>677.2</v>
      </c>
      <c r="O2508" s="116">
        <v>662</v>
      </c>
      <c r="P2508" s="116">
        <v>673.45</v>
      </c>
      <c r="Q2508" s="116">
        <v>667.05</v>
      </c>
      <c r="R2508">
        <v>218332</v>
      </c>
    </row>
    <row r="2509" spans="1:18" x14ac:dyDescent="0.25">
      <c r="A2509" s="169">
        <v>45705</v>
      </c>
      <c r="B2509" s="116">
        <v>1150</v>
      </c>
      <c r="C2509" s="116">
        <v>1130.45</v>
      </c>
      <c r="D2509" s="116">
        <v>1093.3</v>
      </c>
      <c r="E2509" s="116">
        <v>1135</v>
      </c>
      <c r="F2509" s="116">
        <v>1130.45</v>
      </c>
      <c r="G2509">
        <v>56257</v>
      </c>
      <c r="H2509" s="116"/>
      <c r="I2509" s="116"/>
      <c r="L2509" s="169">
        <v>45695</v>
      </c>
      <c r="M2509" s="116">
        <v>669.3</v>
      </c>
      <c r="N2509" s="116">
        <v>679.45</v>
      </c>
      <c r="O2509" s="116">
        <v>655</v>
      </c>
      <c r="P2509" s="116">
        <v>661</v>
      </c>
      <c r="Q2509" s="116">
        <v>669.3</v>
      </c>
      <c r="R2509">
        <v>428131</v>
      </c>
    </row>
    <row r="2510" spans="1:18" x14ac:dyDescent="0.25">
      <c r="A2510" s="169">
        <v>45706</v>
      </c>
      <c r="B2510" s="116">
        <v>1143.5999999999999</v>
      </c>
      <c r="C2510" s="116">
        <v>1134.5</v>
      </c>
      <c r="D2510" s="116">
        <v>1095.3</v>
      </c>
      <c r="E2510" s="116">
        <v>1131.05</v>
      </c>
      <c r="F2510" s="116">
        <v>1134.5</v>
      </c>
      <c r="G2510">
        <v>57252</v>
      </c>
      <c r="H2510" s="116"/>
      <c r="I2510" s="116"/>
      <c r="L2510" s="169">
        <v>45698</v>
      </c>
      <c r="M2510" s="116">
        <v>649.29999999999995</v>
      </c>
      <c r="N2510" s="116">
        <v>671.95</v>
      </c>
      <c r="O2510" s="116">
        <v>645.25</v>
      </c>
      <c r="P2510" s="116">
        <v>665.1</v>
      </c>
      <c r="Q2510" s="116">
        <v>649.29999999999995</v>
      </c>
      <c r="R2510">
        <v>319444</v>
      </c>
    </row>
    <row r="2511" spans="1:18" x14ac:dyDescent="0.25">
      <c r="A2511" s="169">
        <v>45707</v>
      </c>
      <c r="B2511" s="116">
        <v>1178.6500000000001</v>
      </c>
      <c r="C2511" s="116">
        <v>1171.45</v>
      </c>
      <c r="D2511" s="116">
        <v>1115.1500000000001</v>
      </c>
      <c r="E2511" s="116">
        <v>1120.2</v>
      </c>
      <c r="F2511" s="116">
        <v>1171.45</v>
      </c>
      <c r="G2511">
        <v>44180</v>
      </c>
      <c r="H2511" s="116"/>
      <c r="I2511" s="116"/>
      <c r="L2511" s="169">
        <v>45699</v>
      </c>
      <c r="M2511" s="116">
        <v>620.65</v>
      </c>
      <c r="N2511" s="116">
        <v>648</v>
      </c>
      <c r="O2511" s="116">
        <v>618.5</v>
      </c>
      <c r="P2511" s="116">
        <v>647.54999999999995</v>
      </c>
      <c r="Q2511" s="116">
        <v>620.65</v>
      </c>
      <c r="R2511">
        <v>520336</v>
      </c>
    </row>
    <row r="2512" spans="1:18" x14ac:dyDescent="0.25">
      <c r="A2512" s="169">
        <v>45708</v>
      </c>
      <c r="B2512" s="116">
        <v>1218.7</v>
      </c>
      <c r="C2512" s="116">
        <v>1195.5</v>
      </c>
      <c r="D2512" s="116">
        <v>1166.5</v>
      </c>
      <c r="E2512" s="116">
        <v>1190.8499999999999</v>
      </c>
      <c r="F2512" s="116">
        <v>1195.5</v>
      </c>
      <c r="G2512">
        <v>33258</v>
      </c>
      <c r="H2512" s="116"/>
      <c r="I2512" s="116"/>
      <c r="L2512" s="169">
        <v>45700</v>
      </c>
      <c r="M2512" s="116">
        <v>616.45000000000005</v>
      </c>
      <c r="N2512" s="116">
        <v>620.65</v>
      </c>
      <c r="O2512" s="116">
        <v>596</v>
      </c>
      <c r="P2512" s="116">
        <v>615.20000000000005</v>
      </c>
      <c r="Q2512" s="116">
        <v>616.45000000000005</v>
      </c>
      <c r="R2512">
        <v>580938</v>
      </c>
    </row>
    <row r="2513" spans="1:18" x14ac:dyDescent="0.25">
      <c r="A2513" s="169">
        <v>45709</v>
      </c>
      <c r="B2513" s="116">
        <v>1202.4000000000001</v>
      </c>
      <c r="C2513" s="116">
        <v>1193.9000000000001</v>
      </c>
      <c r="D2513" s="116">
        <v>1171.05</v>
      </c>
      <c r="E2513" s="116">
        <v>1191.55</v>
      </c>
      <c r="F2513" s="116">
        <v>1193.9000000000001</v>
      </c>
      <c r="G2513">
        <v>46953</v>
      </c>
      <c r="H2513" s="116"/>
      <c r="I2513" s="116"/>
      <c r="L2513" s="169">
        <v>45701</v>
      </c>
      <c r="M2513" s="116">
        <v>611.4</v>
      </c>
      <c r="N2513" s="116">
        <v>621.20000000000005</v>
      </c>
      <c r="O2513" s="116">
        <v>605.85</v>
      </c>
      <c r="P2513" s="116">
        <v>612.20000000000005</v>
      </c>
      <c r="Q2513" s="116">
        <v>611.4</v>
      </c>
      <c r="R2513">
        <v>363701</v>
      </c>
    </row>
    <row r="2514" spans="1:18" x14ac:dyDescent="0.25">
      <c r="A2514" s="169">
        <v>45712</v>
      </c>
      <c r="B2514" s="116">
        <v>1182</v>
      </c>
      <c r="C2514" s="116">
        <v>1146.3</v>
      </c>
      <c r="D2514" s="116">
        <v>1143.8499999999999</v>
      </c>
      <c r="E2514" s="116">
        <v>1175.5999999999999</v>
      </c>
      <c r="F2514" s="116">
        <v>1146.3</v>
      </c>
      <c r="G2514">
        <v>51266</v>
      </c>
      <c r="H2514" s="116"/>
      <c r="I2514" s="116"/>
      <c r="L2514" s="169">
        <v>45702</v>
      </c>
      <c r="M2514" s="116">
        <v>607.29999999999995</v>
      </c>
      <c r="N2514" s="116">
        <v>614.15</v>
      </c>
      <c r="O2514" s="116">
        <v>599.15</v>
      </c>
      <c r="P2514" s="116">
        <v>610</v>
      </c>
      <c r="Q2514" s="116">
        <v>607.29999999999995</v>
      </c>
      <c r="R2514">
        <v>415632</v>
      </c>
    </row>
    <row r="2515" spans="1:18" x14ac:dyDescent="0.25">
      <c r="A2515" s="169">
        <v>45713</v>
      </c>
      <c r="B2515" s="116">
        <v>1157.1500000000001</v>
      </c>
      <c r="C2515" s="116">
        <v>1128.0999999999999</v>
      </c>
      <c r="D2515" s="116">
        <v>1117</v>
      </c>
      <c r="E2515" s="116">
        <v>1146.3</v>
      </c>
      <c r="F2515" s="116">
        <v>1128.0999999999999</v>
      </c>
      <c r="G2515">
        <v>26702</v>
      </c>
      <c r="H2515" s="116"/>
      <c r="I2515" s="116"/>
      <c r="L2515" s="169">
        <v>45705</v>
      </c>
      <c r="M2515" s="116">
        <v>608.85</v>
      </c>
      <c r="N2515" s="116">
        <v>610.95000000000005</v>
      </c>
      <c r="O2515" s="116">
        <v>591.79999999999995</v>
      </c>
      <c r="P2515" s="116">
        <v>599</v>
      </c>
      <c r="Q2515" s="116">
        <v>608.85</v>
      </c>
      <c r="R2515">
        <v>755324</v>
      </c>
    </row>
    <row r="2516" spans="1:18" x14ac:dyDescent="0.25">
      <c r="A2516" s="169">
        <v>45715</v>
      </c>
      <c r="B2516" s="116">
        <v>1128.8499999999999</v>
      </c>
      <c r="C2516" s="116">
        <v>1058.1500000000001</v>
      </c>
      <c r="D2516" s="116">
        <v>1047.05</v>
      </c>
      <c r="E2516" s="116">
        <v>1128.0999999999999</v>
      </c>
      <c r="F2516" s="116">
        <v>1058.1500000000001</v>
      </c>
      <c r="G2516">
        <v>51716</v>
      </c>
      <c r="H2516" s="116"/>
      <c r="I2516" s="116"/>
      <c r="L2516" s="169">
        <v>45706</v>
      </c>
      <c r="M2516" s="116">
        <v>598.6</v>
      </c>
      <c r="N2516" s="116">
        <v>608</v>
      </c>
      <c r="O2516" s="116">
        <v>595.65</v>
      </c>
      <c r="P2516" s="116">
        <v>602.5</v>
      </c>
      <c r="Q2516" s="116">
        <v>598.6</v>
      </c>
      <c r="R2516">
        <v>165183</v>
      </c>
    </row>
    <row r="2517" spans="1:18" x14ac:dyDescent="0.25">
      <c r="A2517" s="169">
        <v>45716</v>
      </c>
      <c r="B2517" s="116">
        <v>1076.3499999999999</v>
      </c>
      <c r="C2517" s="116">
        <v>1021.3</v>
      </c>
      <c r="D2517" s="116">
        <v>1000.05</v>
      </c>
      <c r="E2517" s="116">
        <v>1032.05</v>
      </c>
      <c r="F2517" s="116">
        <v>1021.3</v>
      </c>
      <c r="G2517">
        <v>96232</v>
      </c>
      <c r="H2517" s="116"/>
      <c r="I2517" s="116"/>
      <c r="L2517" s="169">
        <v>45707</v>
      </c>
      <c r="M2517" s="116">
        <v>600.79999999999995</v>
      </c>
      <c r="N2517" s="116">
        <v>607.9</v>
      </c>
      <c r="O2517" s="116">
        <v>590.85</v>
      </c>
      <c r="P2517" s="116">
        <v>592.20000000000005</v>
      </c>
      <c r="Q2517" s="116">
        <v>600.79999999999995</v>
      </c>
      <c r="R2517">
        <v>190817</v>
      </c>
    </row>
    <row r="2518" spans="1:18" x14ac:dyDescent="0.25">
      <c r="A2518" s="169">
        <v>45719</v>
      </c>
      <c r="B2518" s="116">
        <v>1038.05</v>
      </c>
      <c r="C2518" s="116">
        <v>982.3</v>
      </c>
      <c r="D2518" s="116">
        <v>943.25</v>
      </c>
      <c r="E2518" s="116">
        <v>1025.05</v>
      </c>
      <c r="F2518" s="116">
        <v>982.3</v>
      </c>
      <c r="G2518">
        <v>49571</v>
      </c>
      <c r="H2518" s="116"/>
      <c r="I2518" s="116"/>
      <c r="L2518" s="169">
        <v>45708</v>
      </c>
      <c r="M2518" s="116">
        <v>605.04999999999995</v>
      </c>
      <c r="N2518" s="116">
        <v>612.35</v>
      </c>
      <c r="O2518" s="116">
        <v>595.20000000000005</v>
      </c>
      <c r="P2518" s="116">
        <v>599.04999999999995</v>
      </c>
      <c r="Q2518" s="116">
        <v>605.04999999999995</v>
      </c>
      <c r="R2518">
        <v>309864</v>
      </c>
    </row>
    <row r="2519" spans="1:18" x14ac:dyDescent="0.25">
      <c r="A2519" s="169">
        <v>45720</v>
      </c>
      <c r="B2519" s="116">
        <v>1008</v>
      </c>
      <c r="C2519" s="116">
        <v>971.95</v>
      </c>
      <c r="D2519" s="116">
        <v>957.6</v>
      </c>
      <c r="E2519" s="116">
        <v>971</v>
      </c>
      <c r="F2519" s="116">
        <v>971.95</v>
      </c>
      <c r="G2519">
        <v>37016</v>
      </c>
      <c r="H2519" s="116"/>
      <c r="I2519" s="116"/>
      <c r="L2519" s="169">
        <v>45709</v>
      </c>
      <c r="M2519" s="116">
        <v>598.54999999999995</v>
      </c>
      <c r="N2519" s="116">
        <v>621.25</v>
      </c>
      <c r="O2519" s="116">
        <v>594.35</v>
      </c>
      <c r="P2519" s="116">
        <v>607.9</v>
      </c>
      <c r="Q2519" s="116">
        <v>598.54999999999995</v>
      </c>
      <c r="R2519">
        <v>743811</v>
      </c>
    </row>
    <row r="2520" spans="1:18" x14ac:dyDescent="0.25">
      <c r="A2520" s="169">
        <v>45721</v>
      </c>
      <c r="B2520" s="116">
        <v>1039</v>
      </c>
      <c r="C2520" s="116">
        <v>1028.3499999999999</v>
      </c>
      <c r="D2520" s="116">
        <v>960</v>
      </c>
      <c r="E2520" s="116">
        <v>972.15</v>
      </c>
      <c r="F2520" s="116">
        <v>1028.3499999999999</v>
      </c>
      <c r="G2520">
        <v>67093</v>
      </c>
      <c r="H2520" s="116"/>
      <c r="I2520" s="116"/>
      <c r="L2520" s="169">
        <v>45712</v>
      </c>
      <c r="M2520" s="116">
        <v>605.20000000000005</v>
      </c>
      <c r="N2520" s="116">
        <v>607.65</v>
      </c>
      <c r="O2520" s="116">
        <v>588.4</v>
      </c>
      <c r="P2520" s="116">
        <v>594</v>
      </c>
      <c r="Q2520" s="116">
        <v>605.20000000000005</v>
      </c>
      <c r="R2520">
        <v>593713</v>
      </c>
    </row>
    <row r="2521" spans="1:18" x14ac:dyDescent="0.25">
      <c r="A2521" s="169">
        <v>45722</v>
      </c>
      <c r="B2521" s="116">
        <v>1119.6500000000001</v>
      </c>
      <c r="C2521" s="116">
        <v>1103.45</v>
      </c>
      <c r="D2521" s="116">
        <v>1025</v>
      </c>
      <c r="E2521" s="116">
        <v>1049.95</v>
      </c>
      <c r="F2521" s="116">
        <v>1103.45</v>
      </c>
      <c r="G2521">
        <v>72979</v>
      </c>
      <c r="H2521" s="116"/>
      <c r="I2521" s="116"/>
      <c r="L2521" s="169">
        <v>45713</v>
      </c>
      <c r="M2521" s="116">
        <v>577.85</v>
      </c>
      <c r="N2521" s="116">
        <v>608.95000000000005</v>
      </c>
      <c r="O2521" s="116">
        <v>558.5</v>
      </c>
      <c r="P2521" s="116">
        <v>605.95000000000005</v>
      </c>
      <c r="Q2521" s="116">
        <v>577.85</v>
      </c>
      <c r="R2521">
        <v>2623068</v>
      </c>
    </row>
    <row r="2522" spans="1:18" x14ac:dyDescent="0.25">
      <c r="A2522" s="169">
        <v>45723</v>
      </c>
      <c r="B2522" s="116">
        <v>1157</v>
      </c>
      <c r="C2522" s="116">
        <v>1150.5999999999999</v>
      </c>
      <c r="D2522" s="116">
        <v>1110</v>
      </c>
      <c r="E2522" s="116">
        <v>1115</v>
      </c>
      <c r="F2522" s="116">
        <v>1150.5999999999999</v>
      </c>
      <c r="G2522">
        <v>43762</v>
      </c>
      <c r="H2522" s="116"/>
      <c r="I2522" s="116"/>
      <c r="L2522" s="169">
        <v>45715</v>
      </c>
      <c r="M2522" s="116">
        <v>574.79999999999995</v>
      </c>
      <c r="N2522" s="116">
        <v>592</v>
      </c>
      <c r="O2522" s="116">
        <v>568.54999999999995</v>
      </c>
      <c r="P2522" s="116">
        <v>577</v>
      </c>
      <c r="Q2522" s="116">
        <v>574.79999999999995</v>
      </c>
      <c r="R2522">
        <v>2214435</v>
      </c>
    </row>
    <row r="2523" spans="1:18" x14ac:dyDescent="0.25">
      <c r="A2523" s="169">
        <v>45726</v>
      </c>
      <c r="B2523" s="116">
        <v>1177.45</v>
      </c>
      <c r="C2523" s="116">
        <v>1151.05</v>
      </c>
      <c r="D2523" s="116">
        <v>1145.4000000000001</v>
      </c>
      <c r="E2523" s="116">
        <v>1150.7</v>
      </c>
      <c r="F2523" s="116">
        <v>1151.05</v>
      </c>
      <c r="G2523">
        <v>22740</v>
      </c>
      <c r="H2523" s="116"/>
      <c r="I2523" s="116"/>
      <c r="L2523" s="169">
        <v>45716</v>
      </c>
      <c r="M2523" s="116">
        <v>577.65</v>
      </c>
      <c r="N2523" s="116">
        <v>585.1</v>
      </c>
      <c r="O2523" s="116">
        <v>565</v>
      </c>
      <c r="P2523" s="116">
        <v>565.54999999999995</v>
      </c>
      <c r="Q2523" s="116">
        <v>577.65</v>
      </c>
      <c r="R2523">
        <v>492841</v>
      </c>
    </row>
    <row r="2524" spans="1:18" x14ac:dyDescent="0.25">
      <c r="A2524" s="169">
        <v>45727</v>
      </c>
      <c r="B2524" s="116">
        <v>1151.3499999999999</v>
      </c>
      <c r="C2524" s="116">
        <v>1143.25</v>
      </c>
      <c r="D2524" s="116">
        <v>1113.8499999999999</v>
      </c>
      <c r="E2524" s="116">
        <v>1148.5999999999999</v>
      </c>
      <c r="F2524" s="116">
        <v>1143.25</v>
      </c>
      <c r="G2524">
        <v>46441</v>
      </c>
      <c r="H2524" s="116"/>
      <c r="I2524" s="116"/>
      <c r="L2524" s="169">
        <v>45719</v>
      </c>
      <c r="M2524" s="116">
        <v>578.70000000000005</v>
      </c>
      <c r="N2524" s="116">
        <v>582</v>
      </c>
      <c r="O2524" s="116">
        <v>563.85</v>
      </c>
      <c r="P2524" s="116">
        <v>580.04999999999995</v>
      </c>
      <c r="Q2524" s="116">
        <v>578.70000000000005</v>
      </c>
      <c r="R2524">
        <v>362970</v>
      </c>
    </row>
    <row r="2525" spans="1:18" x14ac:dyDescent="0.25">
      <c r="A2525" s="169">
        <v>45728</v>
      </c>
      <c r="B2525" s="116">
        <v>1159.75</v>
      </c>
      <c r="C2525" s="116">
        <v>1115.75</v>
      </c>
      <c r="D2525" s="116">
        <v>1108</v>
      </c>
      <c r="E2525" s="116">
        <v>1143.5999999999999</v>
      </c>
      <c r="F2525" s="116">
        <v>1115.75</v>
      </c>
      <c r="G2525">
        <v>36827</v>
      </c>
      <c r="H2525" s="116"/>
      <c r="I2525" s="116"/>
      <c r="L2525" s="169">
        <v>45720</v>
      </c>
      <c r="M2525" s="116">
        <v>592.6</v>
      </c>
      <c r="N2525" s="116">
        <v>595.79999999999995</v>
      </c>
      <c r="O2525" s="116">
        <v>573.29999999999995</v>
      </c>
      <c r="P2525" s="116">
        <v>576.6</v>
      </c>
      <c r="Q2525" s="116">
        <v>592.6</v>
      </c>
      <c r="R2525">
        <v>425196</v>
      </c>
    </row>
    <row r="2526" spans="1:18" x14ac:dyDescent="0.25">
      <c r="A2526" s="169">
        <v>45729</v>
      </c>
      <c r="B2526" s="116">
        <v>1141.05</v>
      </c>
      <c r="C2526" s="116">
        <v>1120.0999999999999</v>
      </c>
      <c r="D2526" s="116">
        <v>1110.95</v>
      </c>
      <c r="E2526" s="116">
        <v>1137.95</v>
      </c>
      <c r="F2526" s="116">
        <v>1120.0999999999999</v>
      </c>
      <c r="G2526">
        <v>33436</v>
      </c>
      <c r="H2526" s="116"/>
      <c r="I2526" s="116"/>
      <c r="L2526" s="169">
        <v>45721</v>
      </c>
      <c r="M2526" s="116">
        <v>603.04999999999995</v>
      </c>
      <c r="N2526" s="116">
        <v>609</v>
      </c>
      <c r="O2526" s="116">
        <v>568.95000000000005</v>
      </c>
      <c r="P2526" s="116">
        <v>588</v>
      </c>
      <c r="Q2526" s="116">
        <v>603.04999999999995</v>
      </c>
      <c r="R2526">
        <v>939034</v>
      </c>
    </row>
    <row r="2527" spans="1:18" x14ac:dyDescent="0.25">
      <c r="A2527" s="169">
        <v>45733</v>
      </c>
      <c r="B2527" s="116">
        <v>1135.5</v>
      </c>
      <c r="C2527" s="116">
        <v>1125.4000000000001</v>
      </c>
      <c r="D2527" s="116">
        <v>1114.3499999999999</v>
      </c>
      <c r="E2527" s="116">
        <v>1135.5</v>
      </c>
      <c r="F2527" s="116">
        <v>1125.4000000000001</v>
      </c>
      <c r="G2527">
        <v>16616</v>
      </c>
      <c r="H2527" s="116"/>
      <c r="I2527" s="116"/>
      <c r="L2527" s="169">
        <v>45722</v>
      </c>
      <c r="M2527" s="116">
        <v>606.20000000000005</v>
      </c>
      <c r="N2527" s="116">
        <v>619.65</v>
      </c>
      <c r="O2527" s="116">
        <v>601.25</v>
      </c>
      <c r="P2527" s="116">
        <v>614.79999999999995</v>
      </c>
      <c r="Q2527" s="116">
        <v>606.20000000000005</v>
      </c>
      <c r="R2527">
        <v>377503</v>
      </c>
    </row>
    <row r="2528" spans="1:18" x14ac:dyDescent="0.25">
      <c r="A2528" s="169">
        <v>45734</v>
      </c>
      <c r="B2528" s="116">
        <v>1201.8499999999999</v>
      </c>
      <c r="C2528" s="116">
        <v>1194.7</v>
      </c>
      <c r="D2528" s="116">
        <v>1123.8499999999999</v>
      </c>
      <c r="E2528" s="116">
        <v>1134.5</v>
      </c>
      <c r="F2528" s="116">
        <v>1194.7</v>
      </c>
      <c r="G2528">
        <v>43056</v>
      </c>
      <c r="H2528" s="116"/>
      <c r="I2528" s="116"/>
      <c r="L2528" s="169">
        <v>45723</v>
      </c>
      <c r="M2528" s="116">
        <v>629.6</v>
      </c>
      <c r="N2528" s="116">
        <v>632.04999999999995</v>
      </c>
      <c r="O2528" s="116">
        <v>607.95000000000005</v>
      </c>
      <c r="P2528" s="116">
        <v>607.95000000000005</v>
      </c>
      <c r="Q2528" s="116">
        <v>629.6</v>
      </c>
      <c r="R2528">
        <v>608823</v>
      </c>
    </row>
    <row r="2529" spans="1:18" x14ac:dyDescent="0.25">
      <c r="A2529" s="169">
        <v>45735</v>
      </c>
      <c r="B2529" s="116">
        <v>1257.95</v>
      </c>
      <c r="C2529" s="116">
        <v>1250.0999999999999</v>
      </c>
      <c r="D2529" s="116">
        <v>1200</v>
      </c>
      <c r="E2529" s="116">
        <v>1210</v>
      </c>
      <c r="F2529" s="116">
        <v>1250.0999999999999</v>
      </c>
      <c r="G2529">
        <v>38973</v>
      </c>
      <c r="H2529" s="116"/>
      <c r="I2529" s="116"/>
      <c r="L2529" s="169">
        <v>45726</v>
      </c>
      <c r="M2529" s="116">
        <v>622.65</v>
      </c>
      <c r="N2529" s="116">
        <v>644.9</v>
      </c>
      <c r="O2529" s="116">
        <v>620</v>
      </c>
      <c r="P2529" s="116">
        <v>634.54999999999995</v>
      </c>
      <c r="Q2529" s="116">
        <v>622.65</v>
      </c>
      <c r="R2529">
        <v>607679</v>
      </c>
    </row>
    <row r="2530" spans="1:18" x14ac:dyDescent="0.25">
      <c r="A2530" s="169">
        <v>45736</v>
      </c>
      <c r="B2530" s="116">
        <v>1297.9000000000001</v>
      </c>
      <c r="C2530" s="116">
        <v>1255.05</v>
      </c>
      <c r="D2530" s="116">
        <v>1247.5999999999999</v>
      </c>
      <c r="E2530" s="116">
        <v>1263.95</v>
      </c>
      <c r="F2530" s="116">
        <v>1255.05</v>
      </c>
      <c r="G2530">
        <v>79229</v>
      </c>
      <c r="H2530" s="116"/>
      <c r="I2530" s="116"/>
      <c r="L2530" s="169">
        <v>45727</v>
      </c>
      <c r="M2530" s="116">
        <v>612.79999999999995</v>
      </c>
      <c r="N2530" s="116">
        <v>625.15</v>
      </c>
      <c r="O2530" s="116">
        <v>606</v>
      </c>
      <c r="P2530" s="116">
        <v>621.5</v>
      </c>
      <c r="Q2530" s="116">
        <v>612.79999999999995</v>
      </c>
      <c r="R2530">
        <v>266841</v>
      </c>
    </row>
    <row r="2531" spans="1:18" x14ac:dyDescent="0.25">
      <c r="A2531" s="169">
        <v>45737</v>
      </c>
      <c r="B2531" s="116">
        <v>1318.95</v>
      </c>
      <c r="C2531" s="116">
        <v>1312.15</v>
      </c>
      <c r="D2531" s="116">
        <v>1259</v>
      </c>
      <c r="E2531" s="116">
        <v>1280.1500000000001</v>
      </c>
      <c r="F2531" s="116">
        <v>1312.15</v>
      </c>
      <c r="G2531">
        <v>32240</v>
      </c>
      <c r="H2531" s="116"/>
      <c r="I2531" s="116"/>
      <c r="L2531" s="169">
        <v>45728</v>
      </c>
      <c r="M2531" s="116">
        <v>602.4</v>
      </c>
      <c r="N2531" s="116">
        <v>622.29999999999995</v>
      </c>
      <c r="O2531" s="116">
        <v>595.5</v>
      </c>
      <c r="P2531" s="116">
        <v>612.79999999999995</v>
      </c>
      <c r="Q2531" s="116">
        <v>602.4</v>
      </c>
      <c r="R2531">
        <v>201070</v>
      </c>
    </row>
    <row r="2532" spans="1:18" x14ac:dyDescent="0.25">
      <c r="A2532" s="169">
        <v>45740</v>
      </c>
      <c r="B2532" s="116">
        <v>1352</v>
      </c>
      <c r="C2532" s="116">
        <v>1305.5999999999999</v>
      </c>
      <c r="D2532" s="116">
        <v>1300</v>
      </c>
      <c r="E2532" s="116">
        <v>1352</v>
      </c>
      <c r="F2532" s="116">
        <v>1305.5999999999999</v>
      </c>
      <c r="G2532">
        <v>43628</v>
      </c>
      <c r="H2532" s="116"/>
      <c r="I2532" s="116"/>
      <c r="L2532" s="169">
        <v>45729</v>
      </c>
      <c r="M2532" s="116">
        <v>601.75</v>
      </c>
      <c r="N2532" s="116">
        <v>610.54999999999995</v>
      </c>
      <c r="O2532" s="116">
        <v>598.04999999999995</v>
      </c>
      <c r="P2532" s="116">
        <v>604.79999999999995</v>
      </c>
      <c r="Q2532" s="116">
        <v>601.75</v>
      </c>
      <c r="R2532">
        <v>154831</v>
      </c>
    </row>
    <row r="2533" spans="1:18" x14ac:dyDescent="0.25">
      <c r="A2533" s="169">
        <v>45741</v>
      </c>
      <c r="B2533" s="116">
        <v>1323.6</v>
      </c>
      <c r="C2533" s="116">
        <v>1276.0999999999999</v>
      </c>
      <c r="D2533" s="116">
        <v>1265.5999999999999</v>
      </c>
      <c r="E2533" s="116">
        <v>1323.6</v>
      </c>
      <c r="F2533" s="116">
        <v>1276.0999999999999</v>
      </c>
      <c r="G2533">
        <v>44540</v>
      </c>
      <c r="H2533" s="116"/>
      <c r="I2533" s="116"/>
      <c r="L2533" s="169">
        <v>45733</v>
      </c>
      <c r="M2533" s="116">
        <v>625.5</v>
      </c>
      <c r="N2533" s="116">
        <v>630</v>
      </c>
      <c r="O2533" s="116">
        <v>600</v>
      </c>
      <c r="P2533" s="116">
        <v>603</v>
      </c>
      <c r="Q2533" s="116">
        <v>625.5</v>
      </c>
      <c r="R2533">
        <v>512839</v>
      </c>
    </row>
    <row r="2534" spans="1:18" x14ac:dyDescent="0.25">
      <c r="A2534" s="169">
        <v>45742</v>
      </c>
      <c r="B2534" s="116">
        <v>1301.1500000000001</v>
      </c>
      <c r="C2534" s="116">
        <v>1266.45</v>
      </c>
      <c r="D2534" s="116">
        <v>1260.8499999999999</v>
      </c>
      <c r="E2534" s="116">
        <v>1288</v>
      </c>
      <c r="F2534" s="116">
        <v>1266.45</v>
      </c>
      <c r="G2534">
        <v>21317</v>
      </c>
      <c r="H2534" s="116"/>
      <c r="I2534" s="116"/>
      <c r="L2534" s="169">
        <v>45734</v>
      </c>
      <c r="M2534" s="116">
        <v>643.54999999999995</v>
      </c>
      <c r="N2534" s="116">
        <v>647.95000000000005</v>
      </c>
      <c r="O2534" s="116">
        <v>622.54999999999995</v>
      </c>
      <c r="P2534" s="116">
        <v>629.95000000000005</v>
      </c>
      <c r="Q2534" s="116">
        <v>643.54999999999995</v>
      </c>
      <c r="R2534">
        <v>480521</v>
      </c>
    </row>
    <row r="2535" spans="1:18" x14ac:dyDescent="0.25">
      <c r="A2535" s="169">
        <v>45743</v>
      </c>
      <c r="B2535" s="116">
        <v>1296</v>
      </c>
      <c r="C2535" s="116">
        <v>1289.8499999999999</v>
      </c>
      <c r="D2535" s="116">
        <v>1253.45</v>
      </c>
      <c r="E2535" s="116">
        <v>1265.6500000000001</v>
      </c>
      <c r="F2535" s="116">
        <v>1289.8499999999999</v>
      </c>
      <c r="G2535">
        <v>22087</v>
      </c>
      <c r="H2535" s="116"/>
      <c r="I2535" s="116"/>
      <c r="L2535" s="169">
        <v>45735</v>
      </c>
      <c r="M2535" s="116">
        <v>660.05</v>
      </c>
      <c r="N2535" s="116">
        <v>661.75</v>
      </c>
      <c r="O2535" s="116">
        <v>641.79999999999995</v>
      </c>
      <c r="P2535" s="116">
        <v>645.1</v>
      </c>
      <c r="Q2535" s="116">
        <v>660.05</v>
      </c>
      <c r="R2535">
        <v>337633</v>
      </c>
    </row>
    <row r="2536" spans="1:18" x14ac:dyDescent="0.25">
      <c r="A2536" s="169">
        <v>45744</v>
      </c>
      <c r="B2536" s="116">
        <v>1325</v>
      </c>
      <c r="C2536" s="116">
        <v>1285.5</v>
      </c>
      <c r="D2536" s="116">
        <v>1279.5999999999999</v>
      </c>
      <c r="E2536" s="116">
        <v>1304.6500000000001</v>
      </c>
      <c r="F2536" s="116">
        <v>1285.5</v>
      </c>
      <c r="G2536">
        <v>38829</v>
      </c>
      <c r="H2536" s="116"/>
      <c r="I2536" s="116"/>
      <c r="L2536" s="169">
        <v>45736</v>
      </c>
      <c r="M2536" s="116">
        <v>676.5</v>
      </c>
      <c r="N2536" s="116">
        <v>679</v>
      </c>
      <c r="O2536" s="116">
        <v>659.5</v>
      </c>
      <c r="P2536" s="116">
        <v>661.2</v>
      </c>
      <c r="Q2536" s="116">
        <v>676.5</v>
      </c>
      <c r="R2536">
        <v>482798</v>
      </c>
    </row>
    <row r="2537" spans="1:18" x14ac:dyDescent="0.25">
      <c r="A2537" s="169">
        <v>45748</v>
      </c>
      <c r="B2537" s="116">
        <v>1296.1500000000001</v>
      </c>
      <c r="C2537" s="116">
        <v>1275.25</v>
      </c>
      <c r="D2537" s="116">
        <v>1237.1500000000001</v>
      </c>
      <c r="E2537" s="116">
        <v>1259.95</v>
      </c>
      <c r="F2537" s="116">
        <v>1275.25</v>
      </c>
      <c r="G2537">
        <v>27318</v>
      </c>
      <c r="H2537" s="116"/>
      <c r="I2537" s="116"/>
      <c r="L2537" s="169">
        <v>45737</v>
      </c>
      <c r="M2537" s="116">
        <v>675.65</v>
      </c>
      <c r="N2537" s="116">
        <v>681.9</v>
      </c>
      <c r="O2537" s="116">
        <v>667.25</v>
      </c>
      <c r="P2537" s="116">
        <v>676.95</v>
      </c>
      <c r="Q2537" s="116">
        <v>675.65</v>
      </c>
      <c r="R2537">
        <v>412119</v>
      </c>
    </row>
    <row r="2538" spans="1:18" x14ac:dyDescent="0.25">
      <c r="A2538" s="169">
        <v>45749</v>
      </c>
      <c r="B2538" s="116">
        <v>1352</v>
      </c>
      <c r="C2538" s="116">
        <v>1327.35</v>
      </c>
      <c r="D2538" s="116">
        <v>1276.2</v>
      </c>
      <c r="E2538" s="116">
        <v>1276.2</v>
      </c>
      <c r="F2538" s="116">
        <v>1327.35</v>
      </c>
      <c r="G2538">
        <v>48198</v>
      </c>
      <c r="H2538" s="116"/>
      <c r="I2538" s="116"/>
      <c r="L2538" s="169">
        <v>45740</v>
      </c>
      <c r="M2538" s="116">
        <v>685.3</v>
      </c>
      <c r="N2538" s="116">
        <v>696.75</v>
      </c>
      <c r="O2538" s="116">
        <v>675.65</v>
      </c>
      <c r="P2538" s="116">
        <v>675.65</v>
      </c>
      <c r="Q2538" s="116">
        <v>685.3</v>
      </c>
      <c r="R2538">
        <v>358866</v>
      </c>
    </row>
    <row r="2539" spans="1:18" x14ac:dyDescent="0.25">
      <c r="A2539" s="169">
        <v>45750</v>
      </c>
      <c r="B2539" s="116">
        <v>1349</v>
      </c>
      <c r="C2539" s="116">
        <v>1320.65</v>
      </c>
      <c r="D2539" s="116">
        <v>1300</v>
      </c>
      <c r="E2539" s="116">
        <v>1310.4000000000001</v>
      </c>
      <c r="F2539" s="116">
        <v>1320.65</v>
      </c>
      <c r="G2539">
        <v>39405</v>
      </c>
      <c r="H2539" s="116"/>
      <c r="I2539" s="116"/>
      <c r="L2539" s="169">
        <v>45741</v>
      </c>
      <c r="M2539" s="116">
        <v>680.1</v>
      </c>
      <c r="N2539" s="116">
        <v>695</v>
      </c>
      <c r="O2539" s="116">
        <v>670.7</v>
      </c>
      <c r="P2539" s="116">
        <v>695</v>
      </c>
      <c r="Q2539" s="116">
        <v>680.1</v>
      </c>
      <c r="R2539">
        <v>311666</v>
      </c>
    </row>
    <row r="2540" spans="1:18" x14ac:dyDescent="0.25">
      <c r="A2540" s="169">
        <v>45751</v>
      </c>
      <c r="B2540" s="116">
        <v>1317</v>
      </c>
      <c r="C2540" s="116">
        <v>1239.95</v>
      </c>
      <c r="D2540" s="116">
        <v>1220.0999999999999</v>
      </c>
      <c r="E2540" s="116">
        <v>1316.95</v>
      </c>
      <c r="F2540" s="116">
        <v>1239.95</v>
      </c>
      <c r="G2540">
        <v>72389</v>
      </c>
      <c r="H2540" s="116"/>
      <c r="I2540" s="116"/>
      <c r="L2540" s="169">
        <v>45742</v>
      </c>
      <c r="M2540" s="116">
        <v>670.65</v>
      </c>
      <c r="N2540" s="116">
        <v>694.7</v>
      </c>
      <c r="O2540" s="116">
        <v>666.55</v>
      </c>
      <c r="P2540" s="116">
        <v>694.7</v>
      </c>
      <c r="Q2540" s="116">
        <v>670.65</v>
      </c>
      <c r="R2540">
        <v>220885</v>
      </c>
    </row>
    <row r="2541" spans="1:18" x14ac:dyDescent="0.25">
      <c r="A2541" s="169">
        <v>45754</v>
      </c>
      <c r="B2541" s="116">
        <v>1150</v>
      </c>
      <c r="C2541" s="116">
        <v>1119.3</v>
      </c>
      <c r="D2541" s="116">
        <v>1005.05</v>
      </c>
      <c r="E2541" s="116">
        <v>1005.05</v>
      </c>
      <c r="F2541" s="116">
        <v>1119.3</v>
      </c>
      <c r="G2541">
        <v>110409</v>
      </c>
      <c r="H2541" s="116"/>
      <c r="I2541" s="116"/>
      <c r="L2541" s="169">
        <v>45743</v>
      </c>
      <c r="M2541" s="116">
        <v>666.9</v>
      </c>
      <c r="N2541" s="116">
        <v>674.9</v>
      </c>
      <c r="O2541" s="116">
        <v>661.85</v>
      </c>
      <c r="P2541" s="116">
        <v>670</v>
      </c>
      <c r="Q2541" s="116">
        <v>666.9</v>
      </c>
      <c r="R2541">
        <v>266519</v>
      </c>
    </row>
    <row r="2542" spans="1:18" x14ac:dyDescent="0.25">
      <c r="A2542" s="169">
        <v>45755</v>
      </c>
      <c r="B2542" s="116">
        <v>1198.1500000000001</v>
      </c>
      <c r="C2542" s="116">
        <v>1194.25</v>
      </c>
      <c r="D2542" s="116">
        <v>1143.7</v>
      </c>
      <c r="E2542" s="116">
        <v>1188.7</v>
      </c>
      <c r="F2542" s="116">
        <v>1194.25</v>
      </c>
      <c r="G2542">
        <v>67109</v>
      </c>
      <c r="H2542" s="116"/>
      <c r="I2542" s="116"/>
      <c r="L2542" s="169">
        <v>45744</v>
      </c>
      <c r="M2542" s="116">
        <v>669.45</v>
      </c>
      <c r="N2542" s="116">
        <v>678</v>
      </c>
      <c r="O2542" s="116">
        <v>664.7</v>
      </c>
      <c r="P2542" s="116">
        <v>667.55</v>
      </c>
      <c r="Q2542" s="116">
        <v>669.45</v>
      </c>
      <c r="R2542">
        <v>193798</v>
      </c>
    </row>
    <row r="2543" spans="1:18" x14ac:dyDescent="0.25">
      <c r="A2543" s="169">
        <v>45756</v>
      </c>
      <c r="B2543" s="116">
        <v>1182</v>
      </c>
      <c r="C2543" s="116">
        <v>1150.95</v>
      </c>
      <c r="D2543" s="116">
        <v>1123.8499999999999</v>
      </c>
      <c r="E2543" s="116">
        <v>1180</v>
      </c>
      <c r="F2543" s="116">
        <v>1150.95</v>
      </c>
      <c r="G2543">
        <v>32218</v>
      </c>
      <c r="H2543" s="116"/>
      <c r="I2543" s="116"/>
      <c r="L2543" s="169">
        <v>45748</v>
      </c>
      <c r="M2543" s="116">
        <v>663.35</v>
      </c>
      <c r="N2543" s="116">
        <v>674.1</v>
      </c>
      <c r="O2543" s="116">
        <v>660.2</v>
      </c>
      <c r="P2543" s="116">
        <v>666.8</v>
      </c>
      <c r="Q2543" s="116">
        <v>663.35</v>
      </c>
      <c r="R2543">
        <v>169914</v>
      </c>
    </row>
    <row r="2544" spans="1:18" x14ac:dyDescent="0.25">
      <c r="A2544" s="169">
        <v>45758</v>
      </c>
      <c r="B2544" s="116">
        <v>1239.25</v>
      </c>
      <c r="C2544" s="116">
        <v>1197.75</v>
      </c>
      <c r="D2544" s="116">
        <v>1179.55</v>
      </c>
      <c r="E2544" s="116">
        <v>1200</v>
      </c>
      <c r="F2544" s="116">
        <v>1197.75</v>
      </c>
      <c r="G2544">
        <v>28695</v>
      </c>
      <c r="H2544" s="116"/>
      <c r="I2544" s="116"/>
      <c r="L2544" s="169">
        <v>45749</v>
      </c>
      <c r="M2544" s="116">
        <v>670.9</v>
      </c>
      <c r="N2544" s="116">
        <v>676.4</v>
      </c>
      <c r="O2544" s="116">
        <v>653.79999999999995</v>
      </c>
      <c r="P2544" s="116">
        <v>663</v>
      </c>
      <c r="Q2544" s="116">
        <v>670.9</v>
      </c>
      <c r="R2544">
        <v>206213</v>
      </c>
    </row>
    <row r="2545" spans="1:18" x14ac:dyDescent="0.25">
      <c r="A2545" s="169">
        <v>45762</v>
      </c>
      <c r="B2545" s="116">
        <v>1249.4000000000001</v>
      </c>
      <c r="C2545" s="116">
        <v>1238.3499999999999</v>
      </c>
      <c r="D2545" s="116">
        <v>1220</v>
      </c>
      <c r="E2545" s="116">
        <v>1220</v>
      </c>
      <c r="F2545" s="116">
        <v>1238.3499999999999</v>
      </c>
      <c r="G2545">
        <v>52652</v>
      </c>
      <c r="H2545" s="116"/>
      <c r="I2545" s="116"/>
      <c r="L2545" s="169">
        <v>45750</v>
      </c>
      <c r="M2545" s="116">
        <v>679.9</v>
      </c>
      <c r="N2545" s="116">
        <v>688.15</v>
      </c>
      <c r="O2545" s="116">
        <v>661</v>
      </c>
      <c r="P2545" s="116">
        <v>661</v>
      </c>
      <c r="Q2545" s="116">
        <v>679.9</v>
      </c>
      <c r="R2545">
        <v>341888</v>
      </c>
    </row>
    <row r="2546" spans="1:18" x14ac:dyDescent="0.25">
      <c r="A2546" s="169">
        <v>45763</v>
      </c>
      <c r="B2546" s="116">
        <v>1294.95</v>
      </c>
      <c r="C2546" s="116">
        <v>1282.75</v>
      </c>
      <c r="D2546" s="116">
        <v>1230.0999999999999</v>
      </c>
      <c r="E2546" s="116">
        <v>1246.6500000000001</v>
      </c>
      <c r="F2546" s="116">
        <v>1282.75</v>
      </c>
      <c r="G2546">
        <v>17533</v>
      </c>
      <c r="H2546" s="116"/>
      <c r="I2546" s="116"/>
      <c r="L2546" s="169">
        <v>45751</v>
      </c>
      <c r="M2546" s="116">
        <v>664.1</v>
      </c>
      <c r="N2546" s="116">
        <v>683.1</v>
      </c>
      <c r="O2546" s="116">
        <v>663</v>
      </c>
      <c r="P2546" s="116">
        <v>678.5</v>
      </c>
      <c r="Q2546" s="116">
        <v>664.1</v>
      </c>
      <c r="R2546">
        <v>244072</v>
      </c>
    </row>
    <row r="2547" spans="1:18" x14ac:dyDescent="0.25">
      <c r="A2547" s="169">
        <v>45764</v>
      </c>
      <c r="B2547" s="116">
        <v>1295.7</v>
      </c>
      <c r="C2547" s="116">
        <v>1286.3499999999999</v>
      </c>
      <c r="D2547" s="116">
        <v>1264</v>
      </c>
      <c r="E2547" s="116">
        <v>1287.95</v>
      </c>
      <c r="F2547" s="116">
        <v>1286.3499999999999</v>
      </c>
      <c r="G2547">
        <v>18007</v>
      </c>
      <c r="H2547" s="116"/>
      <c r="I2547" s="116"/>
      <c r="L2547" s="169">
        <v>45754</v>
      </c>
      <c r="M2547" s="116">
        <v>647.35</v>
      </c>
      <c r="N2547" s="116">
        <v>655.75</v>
      </c>
      <c r="O2547" s="116">
        <v>615</v>
      </c>
      <c r="P2547" s="116">
        <v>615</v>
      </c>
      <c r="Q2547" s="116">
        <v>647.35</v>
      </c>
      <c r="R2547">
        <v>652588</v>
      </c>
    </row>
    <row r="2548" spans="1:18" x14ac:dyDescent="0.25">
      <c r="A2548" s="169">
        <v>45768</v>
      </c>
      <c r="B2548" s="116">
        <v>1315.25</v>
      </c>
      <c r="C2548" s="116">
        <v>1290.2</v>
      </c>
      <c r="D2548" s="116">
        <v>1283.7</v>
      </c>
      <c r="E2548" s="116">
        <v>1297.5</v>
      </c>
      <c r="F2548" s="116">
        <v>1290.2</v>
      </c>
      <c r="G2548">
        <v>34481</v>
      </c>
      <c r="H2548" s="116"/>
      <c r="I2548" s="116"/>
      <c r="L2548" s="169">
        <v>45755</v>
      </c>
      <c r="M2548" s="116">
        <v>660.1</v>
      </c>
      <c r="N2548" s="116">
        <v>677.05</v>
      </c>
      <c r="O2548" s="116">
        <v>654.79999999999995</v>
      </c>
      <c r="P2548" s="116">
        <v>654.79999999999995</v>
      </c>
      <c r="Q2548" s="116">
        <v>660.1</v>
      </c>
      <c r="R2548">
        <v>252153</v>
      </c>
    </row>
    <row r="2549" spans="1:18" x14ac:dyDescent="0.25">
      <c r="A2549" s="169">
        <v>45769</v>
      </c>
      <c r="B2549" s="116">
        <v>1345.85</v>
      </c>
      <c r="C2549" s="116">
        <v>1319.8</v>
      </c>
      <c r="D2549" s="116">
        <v>1296.05</v>
      </c>
      <c r="E2549" s="116">
        <v>1296.05</v>
      </c>
      <c r="F2549" s="116">
        <v>1319.8</v>
      </c>
      <c r="G2549">
        <v>54367</v>
      </c>
      <c r="H2549" s="116"/>
      <c r="I2549" s="116"/>
      <c r="L2549" s="169">
        <v>45756</v>
      </c>
      <c r="M2549" s="116">
        <v>656.85</v>
      </c>
      <c r="N2549" s="116">
        <v>663.5</v>
      </c>
      <c r="O2549" s="116">
        <v>650.20000000000005</v>
      </c>
      <c r="P2549" s="116">
        <v>659.4</v>
      </c>
      <c r="Q2549" s="116">
        <v>656.85</v>
      </c>
      <c r="R2549">
        <v>239240</v>
      </c>
    </row>
    <row r="2550" spans="1:18" x14ac:dyDescent="0.25">
      <c r="A2550" s="169">
        <v>45770</v>
      </c>
      <c r="B2550" s="116">
        <v>1337.05</v>
      </c>
      <c r="C2550" s="116">
        <v>1317.45</v>
      </c>
      <c r="D2550" s="116">
        <v>1290</v>
      </c>
      <c r="E2550" s="116">
        <v>1327.45</v>
      </c>
      <c r="F2550" s="116">
        <v>1317.45</v>
      </c>
      <c r="G2550">
        <v>46832</v>
      </c>
      <c r="H2550" s="116"/>
      <c r="I2550" s="116"/>
      <c r="L2550" s="169">
        <v>45758</v>
      </c>
      <c r="M2550" s="116">
        <v>652</v>
      </c>
      <c r="N2550" s="116">
        <v>667.4</v>
      </c>
      <c r="O2550" s="116">
        <v>646.65</v>
      </c>
      <c r="P2550" s="116">
        <v>664</v>
      </c>
      <c r="Q2550" s="116">
        <v>652</v>
      </c>
      <c r="R2550">
        <v>427585</v>
      </c>
    </row>
    <row r="2551" spans="1:18" x14ac:dyDescent="0.25">
      <c r="A2551" s="169">
        <v>45771</v>
      </c>
      <c r="B2551" s="116">
        <v>1336.25</v>
      </c>
      <c r="C2551" s="116">
        <v>1326.85</v>
      </c>
      <c r="D2551" s="116">
        <v>1301.25</v>
      </c>
      <c r="E2551" s="116">
        <v>1320</v>
      </c>
      <c r="F2551" s="116">
        <v>1326.85</v>
      </c>
      <c r="G2551">
        <v>17070</v>
      </c>
      <c r="H2551" s="116"/>
      <c r="I2551" s="116"/>
      <c r="L2551" s="169">
        <v>45762</v>
      </c>
      <c r="M2551" s="116">
        <v>666.5</v>
      </c>
      <c r="N2551" s="116">
        <v>669.7</v>
      </c>
      <c r="O2551" s="116">
        <v>651.20000000000005</v>
      </c>
      <c r="P2551" s="116">
        <v>665</v>
      </c>
      <c r="Q2551" s="116">
        <v>666.5</v>
      </c>
      <c r="R2551">
        <v>408789</v>
      </c>
    </row>
    <row r="2552" spans="1:18" x14ac:dyDescent="0.25">
      <c r="A2552" s="169">
        <v>45772</v>
      </c>
      <c r="B2552" s="116">
        <v>1334</v>
      </c>
      <c r="C2552" s="116">
        <v>1281.95</v>
      </c>
      <c r="D2552" s="116">
        <v>1260</v>
      </c>
      <c r="E2552" s="116">
        <v>1332.95</v>
      </c>
      <c r="F2552" s="116">
        <v>1281.95</v>
      </c>
      <c r="G2552">
        <v>52207</v>
      </c>
      <c r="H2552" s="116"/>
      <c r="I2552" s="116"/>
      <c r="L2552" s="169">
        <v>45763</v>
      </c>
      <c r="M2552" s="116">
        <v>697.4</v>
      </c>
      <c r="N2552" s="116">
        <v>705</v>
      </c>
      <c r="O2552" s="116">
        <v>665.45</v>
      </c>
      <c r="P2552" s="116">
        <v>667.6</v>
      </c>
      <c r="Q2552" s="116">
        <v>697.4</v>
      </c>
      <c r="R2552">
        <v>1005234</v>
      </c>
    </row>
    <row r="2553" spans="1:18" x14ac:dyDescent="0.25">
      <c r="A2553" s="169">
        <v>45775</v>
      </c>
      <c r="B2553" s="116">
        <v>1258</v>
      </c>
      <c r="C2553" s="116">
        <v>1240.95</v>
      </c>
      <c r="D2553" s="116">
        <v>1200.6500000000001</v>
      </c>
      <c r="E2553" s="116">
        <v>1242.2</v>
      </c>
      <c r="F2553" s="116">
        <v>1240.95</v>
      </c>
      <c r="G2553">
        <v>98069</v>
      </c>
      <c r="H2553" s="116"/>
      <c r="I2553" s="116"/>
      <c r="L2553" s="169">
        <v>45764</v>
      </c>
      <c r="M2553" s="116">
        <v>711.55</v>
      </c>
      <c r="N2553" s="116">
        <v>720</v>
      </c>
      <c r="O2553" s="116">
        <v>690.3</v>
      </c>
      <c r="P2553" s="116">
        <v>703.45</v>
      </c>
      <c r="Q2553" s="116">
        <v>711.55</v>
      </c>
      <c r="R2553">
        <v>774073</v>
      </c>
    </row>
    <row r="2554" spans="1:18" x14ac:dyDescent="0.25">
      <c r="A2554" s="169">
        <v>45776</v>
      </c>
      <c r="B2554" s="116">
        <v>1249.2</v>
      </c>
      <c r="C2554" s="116">
        <v>1203.1500000000001</v>
      </c>
      <c r="D2554" s="116">
        <v>1199.1500000000001</v>
      </c>
      <c r="E2554" s="116">
        <v>1239</v>
      </c>
      <c r="F2554" s="116">
        <v>1203.1500000000001</v>
      </c>
      <c r="G2554">
        <v>46567</v>
      </c>
      <c r="H2554" s="116"/>
      <c r="I2554" s="116"/>
      <c r="L2554" s="169">
        <v>45768</v>
      </c>
      <c r="M2554" s="116">
        <v>739.95</v>
      </c>
      <c r="N2554" s="116">
        <v>746.15</v>
      </c>
      <c r="O2554" s="116">
        <v>716.5</v>
      </c>
      <c r="P2554" s="116">
        <v>718</v>
      </c>
      <c r="Q2554" s="116">
        <v>739.95</v>
      </c>
      <c r="R2554">
        <v>528465</v>
      </c>
    </row>
    <row r="2555" spans="1:18" x14ac:dyDescent="0.25">
      <c r="A2555" s="169">
        <v>45777</v>
      </c>
      <c r="B2555" s="116">
        <v>1229.95</v>
      </c>
      <c r="C2555" s="116">
        <v>1202.1500000000001</v>
      </c>
      <c r="D2555" s="116">
        <v>1200</v>
      </c>
      <c r="E2555" s="116">
        <v>1201</v>
      </c>
      <c r="F2555" s="116">
        <v>1202.1500000000001</v>
      </c>
      <c r="G2555">
        <v>22350</v>
      </c>
      <c r="H2555" s="116"/>
      <c r="I2555" s="116"/>
      <c r="L2555" s="169">
        <v>45769</v>
      </c>
      <c r="M2555" s="116">
        <v>739.8</v>
      </c>
      <c r="N2555" s="116">
        <v>749</v>
      </c>
      <c r="O2555" s="116">
        <v>731</v>
      </c>
      <c r="P2555" s="116">
        <v>749</v>
      </c>
      <c r="Q2555" s="116">
        <v>739.8</v>
      </c>
      <c r="R2555">
        <v>262679</v>
      </c>
    </row>
    <row r="2556" spans="1:18" x14ac:dyDescent="0.25">
      <c r="A2556" s="169">
        <v>45779</v>
      </c>
      <c r="B2556" s="116">
        <v>1230</v>
      </c>
      <c r="C2556" s="116">
        <v>1193.55</v>
      </c>
      <c r="D2556" s="116">
        <v>1187</v>
      </c>
      <c r="E2556" s="116">
        <v>1200.1500000000001</v>
      </c>
      <c r="F2556" s="116">
        <v>1193.55</v>
      </c>
      <c r="G2556">
        <v>12048</v>
      </c>
      <c r="H2556" s="116"/>
      <c r="I2556" s="116"/>
      <c r="L2556" s="169">
        <v>45770</v>
      </c>
      <c r="M2556" s="116">
        <v>744.9</v>
      </c>
      <c r="N2556" s="116">
        <v>749</v>
      </c>
      <c r="O2556" s="116">
        <v>728</v>
      </c>
      <c r="P2556" s="116">
        <v>746</v>
      </c>
      <c r="Q2556" s="116">
        <v>744.9</v>
      </c>
      <c r="R2556">
        <v>490362</v>
      </c>
    </row>
    <row r="2557" spans="1:18" x14ac:dyDescent="0.25">
      <c r="A2557" s="169">
        <v>45782</v>
      </c>
      <c r="B2557" s="116">
        <v>1240</v>
      </c>
      <c r="C2557" s="116">
        <v>1229.1500000000001</v>
      </c>
      <c r="D2557" s="116">
        <v>1193.55</v>
      </c>
      <c r="E2557" s="116">
        <v>1193.55</v>
      </c>
      <c r="F2557" s="116">
        <v>1229.1500000000001</v>
      </c>
      <c r="G2557">
        <v>43354</v>
      </c>
      <c r="H2557" s="116"/>
      <c r="I2557" s="116"/>
      <c r="L2557" s="169">
        <v>45771</v>
      </c>
      <c r="M2557" s="116">
        <v>708.65</v>
      </c>
      <c r="N2557" s="116">
        <v>750</v>
      </c>
      <c r="O2557" s="116">
        <v>704.4</v>
      </c>
      <c r="P2557" s="116">
        <v>750</v>
      </c>
      <c r="Q2557" s="116">
        <v>708.65</v>
      </c>
      <c r="R2557">
        <v>1235577</v>
      </c>
    </row>
    <row r="2558" spans="1:18" x14ac:dyDescent="0.25">
      <c r="A2558" s="169">
        <v>45783</v>
      </c>
      <c r="B2558" s="116">
        <v>1234.8499999999999</v>
      </c>
      <c r="C2558" s="116">
        <v>1209.55</v>
      </c>
      <c r="D2558" s="116">
        <v>1198</v>
      </c>
      <c r="E2558" s="116">
        <v>1234.8499999999999</v>
      </c>
      <c r="F2558" s="116">
        <v>1209.55</v>
      </c>
      <c r="G2558">
        <v>15984</v>
      </c>
      <c r="H2558" s="116"/>
      <c r="I2558" s="116"/>
      <c r="L2558" s="169">
        <v>45772</v>
      </c>
      <c r="M2558" s="116">
        <v>723.15</v>
      </c>
      <c r="N2558" s="116">
        <v>729</v>
      </c>
      <c r="O2558" s="116">
        <v>700</v>
      </c>
      <c r="P2558" s="116">
        <v>711.95</v>
      </c>
      <c r="Q2558" s="116">
        <v>723.15</v>
      </c>
      <c r="R2558">
        <v>1109864</v>
      </c>
    </row>
    <row r="2559" spans="1:18" x14ac:dyDescent="0.25">
      <c r="A2559" s="169">
        <v>45784</v>
      </c>
      <c r="B2559" s="116">
        <v>1230</v>
      </c>
      <c r="C2559" s="116">
        <v>1225.1500000000001</v>
      </c>
      <c r="D2559" s="116">
        <v>1183.05</v>
      </c>
      <c r="E2559" s="116">
        <v>1183.05</v>
      </c>
      <c r="F2559" s="116">
        <v>1225.1500000000001</v>
      </c>
      <c r="G2559">
        <v>46815</v>
      </c>
      <c r="H2559" s="116"/>
      <c r="I2559" s="116"/>
      <c r="L2559" s="169">
        <v>45775</v>
      </c>
      <c r="M2559" s="116">
        <v>726.95</v>
      </c>
      <c r="N2559" s="116">
        <v>731.9</v>
      </c>
      <c r="O2559" s="116">
        <v>716.85</v>
      </c>
      <c r="P2559" s="116">
        <v>727</v>
      </c>
      <c r="Q2559" s="116">
        <v>726.95</v>
      </c>
      <c r="R2559">
        <v>292218</v>
      </c>
    </row>
    <row r="2560" spans="1:18" x14ac:dyDescent="0.25">
      <c r="A2560" s="169">
        <v>45785</v>
      </c>
      <c r="B2560" s="116">
        <v>1231</v>
      </c>
      <c r="C2560" s="116">
        <v>1196.6500000000001</v>
      </c>
      <c r="D2560" s="116">
        <v>1186.5999999999999</v>
      </c>
      <c r="E2560" s="116">
        <v>1230</v>
      </c>
      <c r="F2560" s="116">
        <v>1196.6500000000001</v>
      </c>
      <c r="G2560">
        <v>25721</v>
      </c>
      <c r="H2560" s="116"/>
      <c r="I2560" s="116"/>
      <c r="L2560" s="169">
        <v>45776</v>
      </c>
      <c r="M2560" s="116">
        <v>708.65</v>
      </c>
      <c r="N2560" s="116">
        <v>730.5</v>
      </c>
      <c r="O2560" s="116">
        <v>706.1</v>
      </c>
      <c r="P2560" s="116">
        <v>730</v>
      </c>
      <c r="Q2560" s="116">
        <v>708.65</v>
      </c>
      <c r="R2560">
        <v>598251</v>
      </c>
    </row>
    <row r="2561" spans="1:18" x14ac:dyDescent="0.25">
      <c r="A2561" s="169">
        <v>45786</v>
      </c>
      <c r="B2561" s="116">
        <v>1189.25</v>
      </c>
      <c r="C2561" s="116">
        <v>1173.8</v>
      </c>
      <c r="D2561" s="116">
        <v>1146.55</v>
      </c>
      <c r="E2561" s="116">
        <v>1169.8</v>
      </c>
      <c r="F2561" s="116">
        <v>1173.8</v>
      </c>
      <c r="G2561">
        <v>30328</v>
      </c>
      <c r="H2561" s="116"/>
      <c r="I2561" s="116"/>
      <c r="L2561" s="169">
        <v>45777</v>
      </c>
      <c r="M2561" s="116">
        <v>715.15</v>
      </c>
      <c r="N2561" s="116">
        <v>718.7</v>
      </c>
      <c r="O2561" s="116">
        <v>698.05</v>
      </c>
      <c r="P2561" s="116">
        <v>705.05</v>
      </c>
      <c r="Q2561" s="116">
        <v>715.15</v>
      </c>
      <c r="R2561">
        <v>664251</v>
      </c>
    </row>
    <row r="2562" spans="1:18" x14ac:dyDescent="0.25">
      <c r="A2562" s="169">
        <v>45789</v>
      </c>
      <c r="B2562" s="116">
        <v>1274.5999999999999</v>
      </c>
      <c r="C2562" s="116">
        <v>1265.2</v>
      </c>
      <c r="D2562" s="116">
        <v>1214.25</v>
      </c>
      <c r="E2562" s="116">
        <v>1214.25</v>
      </c>
      <c r="F2562" s="116">
        <v>1265.2</v>
      </c>
      <c r="G2562">
        <v>19231</v>
      </c>
      <c r="H2562" s="116"/>
      <c r="I2562" s="116"/>
      <c r="L2562" s="169">
        <v>45779</v>
      </c>
      <c r="M2562" s="116">
        <v>718.75</v>
      </c>
      <c r="N2562" s="116">
        <v>730</v>
      </c>
      <c r="O2562" s="116">
        <v>710.55</v>
      </c>
      <c r="P2562" s="116">
        <v>722</v>
      </c>
      <c r="Q2562" s="116">
        <v>718.75</v>
      </c>
      <c r="R2562">
        <v>305716</v>
      </c>
    </row>
    <row r="2563" spans="1:18" x14ac:dyDescent="0.25">
      <c r="A2563" s="169">
        <v>45790</v>
      </c>
      <c r="B2563" s="116">
        <v>1281.9000000000001</v>
      </c>
      <c r="C2563" s="116">
        <v>1266.3499999999999</v>
      </c>
      <c r="D2563" s="116">
        <v>1256.5999999999999</v>
      </c>
      <c r="E2563" s="116">
        <v>1271.4000000000001</v>
      </c>
      <c r="F2563" s="116">
        <v>1266.3499999999999</v>
      </c>
      <c r="G2563">
        <v>19585</v>
      </c>
      <c r="H2563" s="116"/>
      <c r="I2563" s="116"/>
      <c r="L2563" s="169">
        <v>45782</v>
      </c>
      <c r="M2563" s="116">
        <v>715.2</v>
      </c>
      <c r="N2563" s="116">
        <v>724.3</v>
      </c>
      <c r="O2563" s="116">
        <v>708.8</v>
      </c>
      <c r="P2563" s="116">
        <v>724.3</v>
      </c>
      <c r="Q2563" s="116">
        <v>715.2</v>
      </c>
      <c r="R2563">
        <v>539007</v>
      </c>
    </row>
    <row r="2564" spans="1:18" x14ac:dyDescent="0.25">
      <c r="A2564" s="169">
        <v>45791</v>
      </c>
      <c r="B2564" s="116">
        <v>1333.9</v>
      </c>
      <c r="C2564" s="116">
        <v>1330.85</v>
      </c>
      <c r="D2564" s="116">
        <v>1264</v>
      </c>
      <c r="E2564" s="116">
        <v>1269.95</v>
      </c>
      <c r="F2564" s="116">
        <v>1330.85</v>
      </c>
      <c r="G2564">
        <v>36929</v>
      </c>
      <c r="H2564" s="116"/>
      <c r="I2564" s="116"/>
      <c r="L2564" s="169">
        <v>45783</v>
      </c>
      <c r="M2564" s="116">
        <v>703.35</v>
      </c>
      <c r="N2564" s="116">
        <v>720.25</v>
      </c>
      <c r="O2564" s="116">
        <v>699.95</v>
      </c>
      <c r="P2564" s="116">
        <v>715.2</v>
      </c>
      <c r="Q2564" s="116">
        <v>703.35</v>
      </c>
      <c r="R2564">
        <v>246890</v>
      </c>
    </row>
    <row r="2565" spans="1:18" x14ac:dyDescent="0.25">
      <c r="A2565" s="169">
        <v>45792</v>
      </c>
      <c r="B2565" s="116">
        <v>1341.3</v>
      </c>
      <c r="C2565" s="116">
        <v>1313.55</v>
      </c>
      <c r="D2565" s="116">
        <v>1297.45</v>
      </c>
      <c r="E2565" s="116">
        <v>1341.3</v>
      </c>
      <c r="F2565" s="116">
        <v>1313.55</v>
      </c>
      <c r="G2565">
        <v>32408</v>
      </c>
      <c r="H2565" s="116"/>
      <c r="I2565" s="116"/>
      <c r="L2565" s="169">
        <v>45784</v>
      </c>
      <c r="M2565" s="116">
        <v>718.1</v>
      </c>
      <c r="N2565" s="116">
        <v>721.45</v>
      </c>
      <c r="O2565" s="116">
        <v>695</v>
      </c>
      <c r="P2565" s="116">
        <v>695</v>
      </c>
      <c r="Q2565" s="116">
        <v>718.1</v>
      </c>
      <c r="R2565">
        <v>208281</v>
      </c>
    </row>
    <row r="2566" spans="1:18" x14ac:dyDescent="0.25">
      <c r="A2566" s="169">
        <v>45793</v>
      </c>
      <c r="B2566" s="116">
        <v>1324.75</v>
      </c>
      <c r="C2566" s="116">
        <v>1305.0999999999999</v>
      </c>
      <c r="D2566" s="116">
        <v>1297.2</v>
      </c>
      <c r="E2566" s="116">
        <v>1314.4</v>
      </c>
      <c r="F2566" s="116">
        <v>1305.0999999999999</v>
      </c>
      <c r="G2566">
        <v>20319</v>
      </c>
      <c r="H2566" s="116"/>
      <c r="I2566" s="116"/>
      <c r="L2566" s="169">
        <v>45785</v>
      </c>
      <c r="M2566" s="116">
        <v>712.85</v>
      </c>
      <c r="N2566" s="116">
        <v>735</v>
      </c>
      <c r="O2566" s="116">
        <v>701.1</v>
      </c>
      <c r="P2566" s="116">
        <v>719</v>
      </c>
      <c r="Q2566" s="116">
        <v>712.85</v>
      </c>
      <c r="R2566">
        <v>606965</v>
      </c>
    </row>
    <row r="2567" spans="1:18" x14ac:dyDescent="0.25">
      <c r="A2567" s="169">
        <v>45796</v>
      </c>
      <c r="B2567" s="116">
        <v>1361</v>
      </c>
      <c r="C2567" s="116">
        <v>1332.4</v>
      </c>
      <c r="D2567" s="116">
        <v>1303.3499999999999</v>
      </c>
      <c r="E2567" s="116">
        <v>1305.6500000000001</v>
      </c>
      <c r="F2567" s="116">
        <v>1332.4</v>
      </c>
      <c r="G2567">
        <v>26400</v>
      </c>
      <c r="H2567" s="116"/>
      <c r="I2567" s="116"/>
      <c r="L2567" s="169">
        <v>45786</v>
      </c>
      <c r="M2567" s="116">
        <v>707.7</v>
      </c>
      <c r="N2567" s="116">
        <v>712</v>
      </c>
      <c r="O2567" s="116">
        <v>691.55</v>
      </c>
      <c r="P2567" s="116">
        <v>691.55</v>
      </c>
      <c r="Q2567" s="116">
        <v>707.7</v>
      </c>
      <c r="R2567">
        <v>247892</v>
      </c>
    </row>
    <row r="2568" spans="1:18" x14ac:dyDescent="0.25">
      <c r="A2568" s="169">
        <v>45797</v>
      </c>
      <c r="B2568" s="116">
        <v>1368.95</v>
      </c>
      <c r="C2568" s="116">
        <v>1325.8</v>
      </c>
      <c r="D2568" s="116">
        <v>1318.05</v>
      </c>
      <c r="E2568" s="116">
        <v>1331.15</v>
      </c>
      <c r="F2568" s="116">
        <v>1325.8</v>
      </c>
      <c r="G2568">
        <v>49681</v>
      </c>
      <c r="H2568" s="116"/>
      <c r="I2568" s="116"/>
      <c r="L2568" s="169">
        <v>45789</v>
      </c>
      <c r="M2568" s="116">
        <v>728.35</v>
      </c>
      <c r="N2568" s="116">
        <v>734</v>
      </c>
      <c r="O2568" s="116">
        <v>715.95</v>
      </c>
      <c r="P2568" s="116">
        <v>734</v>
      </c>
      <c r="Q2568" s="116">
        <v>728.35</v>
      </c>
      <c r="R2568">
        <v>307989</v>
      </c>
    </row>
    <row r="2569" spans="1:18" x14ac:dyDescent="0.25">
      <c r="A2569" s="169">
        <v>45798</v>
      </c>
      <c r="B2569" s="116">
        <v>1330</v>
      </c>
      <c r="C2569" s="116">
        <v>1320.25</v>
      </c>
      <c r="D2569" s="116">
        <v>1300.45</v>
      </c>
      <c r="E2569" s="116">
        <v>1325.8</v>
      </c>
      <c r="F2569" s="116">
        <v>1320.25</v>
      </c>
      <c r="G2569">
        <v>27753</v>
      </c>
      <c r="H2569" s="116"/>
      <c r="I2569" s="116"/>
      <c r="L2569" s="169">
        <v>45790</v>
      </c>
      <c r="M2569" s="116">
        <v>720.55</v>
      </c>
      <c r="N2569" s="116">
        <v>734.2</v>
      </c>
      <c r="O2569" s="116">
        <v>718</v>
      </c>
      <c r="P2569" s="116">
        <v>729.95</v>
      </c>
      <c r="Q2569" s="116">
        <v>720.55</v>
      </c>
      <c r="R2569">
        <v>204768</v>
      </c>
    </row>
    <row r="2570" spans="1:18" x14ac:dyDescent="0.25">
      <c r="A2570" s="169">
        <v>45799</v>
      </c>
      <c r="B2570" s="116">
        <v>1334.35</v>
      </c>
      <c r="C2570" s="116">
        <v>1329.7</v>
      </c>
      <c r="D2570" s="116">
        <v>1307.9000000000001</v>
      </c>
      <c r="E2570" s="116">
        <v>1317.95</v>
      </c>
      <c r="F2570" s="116">
        <v>1329.7</v>
      </c>
      <c r="G2570">
        <v>13630</v>
      </c>
      <c r="H2570" s="116"/>
      <c r="I2570" s="116"/>
      <c r="L2570" s="169">
        <v>45791</v>
      </c>
      <c r="M2570" s="116">
        <v>741.3</v>
      </c>
      <c r="N2570" s="116">
        <v>743.75</v>
      </c>
      <c r="O2570" s="116">
        <v>722.4</v>
      </c>
      <c r="P2570" s="116">
        <v>728</v>
      </c>
      <c r="Q2570" s="116">
        <v>741.3</v>
      </c>
      <c r="R2570">
        <v>454479</v>
      </c>
    </row>
    <row r="2571" spans="1:18" x14ac:dyDescent="0.25">
      <c r="A2571" s="169">
        <v>45800</v>
      </c>
      <c r="B2571" s="116">
        <v>1374</v>
      </c>
      <c r="C2571" s="116">
        <v>1335.35</v>
      </c>
      <c r="D2571" s="116">
        <v>1315.95</v>
      </c>
      <c r="E2571" s="116">
        <v>1345.95</v>
      </c>
      <c r="F2571" s="116">
        <v>1335.35</v>
      </c>
      <c r="G2571">
        <v>48454</v>
      </c>
      <c r="H2571" s="116"/>
      <c r="I2571" s="116"/>
      <c r="L2571" s="169">
        <v>45792</v>
      </c>
      <c r="M2571" s="116">
        <v>743.4</v>
      </c>
      <c r="N2571" s="116">
        <v>749.8</v>
      </c>
      <c r="O2571" s="116">
        <v>740</v>
      </c>
      <c r="P2571" s="116">
        <v>745</v>
      </c>
      <c r="Q2571" s="116">
        <v>743.4</v>
      </c>
      <c r="R2571">
        <v>299495</v>
      </c>
    </row>
    <row r="2572" spans="1:18" x14ac:dyDescent="0.25">
      <c r="A2572" s="169">
        <v>45803</v>
      </c>
      <c r="B2572" s="116">
        <v>1370.35</v>
      </c>
      <c r="C2572" s="116">
        <v>1348.85</v>
      </c>
      <c r="D2572" s="116">
        <v>1346.45</v>
      </c>
      <c r="E2572" s="116">
        <v>1362.3</v>
      </c>
      <c r="F2572" s="116">
        <v>1348.85</v>
      </c>
      <c r="G2572">
        <v>16399</v>
      </c>
      <c r="H2572" s="116"/>
      <c r="I2572" s="116"/>
      <c r="L2572" s="169">
        <v>45793</v>
      </c>
      <c r="M2572" s="116">
        <v>754.2</v>
      </c>
      <c r="N2572" s="116">
        <v>756</v>
      </c>
      <c r="O2572" s="116">
        <v>741.05</v>
      </c>
      <c r="P2572" s="116">
        <v>750</v>
      </c>
      <c r="Q2572" s="116">
        <v>754.2</v>
      </c>
      <c r="R2572">
        <v>271095</v>
      </c>
    </row>
    <row r="2573" spans="1:18" x14ac:dyDescent="0.25">
      <c r="A2573" s="169">
        <v>45804</v>
      </c>
      <c r="B2573" s="116">
        <v>1381.1</v>
      </c>
      <c r="C2573" s="116">
        <v>1358.8</v>
      </c>
      <c r="D2573" s="116">
        <v>1325.55</v>
      </c>
      <c r="E2573" s="116">
        <v>1345.05</v>
      </c>
      <c r="F2573" s="116">
        <v>1358.8</v>
      </c>
      <c r="G2573">
        <v>18708</v>
      </c>
      <c r="H2573" s="116"/>
      <c r="I2573" s="116"/>
      <c r="L2573" s="169">
        <v>45796</v>
      </c>
      <c r="M2573" s="116">
        <v>743.65</v>
      </c>
      <c r="N2573" s="116">
        <v>758.25</v>
      </c>
      <c r="O2573" s="116">
        <v>736</v>
      </c>
      <c r="P2573" s="116">
        <v>754.2</v>
      </c>
      <c r="Q2573" s="116">
        <v>743.65</v>
      </c>
      <c r="R2573">
        <v>247043</v>
      </c>
    </row>
    <row r="2574" spans="1:18" x14ac:dyDescent="0.25">
      <c r="A2574" s="169">
        <v>45805</v>
      </c>
      <c r="B2574" s="116">
        <v>1370</v>
      </c>
      <c r="C2574" s="116">
        <v>1355.2</v>
      </c>
      <c r="D2574" s="116">
        <v>1349.3</v>
      </c>
      <c r="E2574" s="116">
        <v>1369.95</v>
      </c>
      <c r="F2574" s="116">
        <v>1355.2</v>
      </c>
      <c r="G2574">
        <v>19175</v>
      </c>
      <c r="H2574" s="116"/>
      <c r="I2574" s="116"/>
      <c r="L2574" s="169">
        <v>45797</v>
      </c>
      <c r="M2574" s="116">
        <v>743.3</v>
      </c>
      <c r="N2574" s="116">
        <v>749.45</v>
      </c>
      <c r="O2574" s="116">
        <v>736.95</v>
      </c>
      <c r="P2574" s="116">
        <v>748.7</v>
      </c>
      <c r="Q2574" s="116">
        <v>743.3</v>
      </c>
      <c r="R2574">
        <v>140331</v>
      </c>
    </row>
    <row r="2575" spans="1:18" x14ac:dyDescent="0.25">
      <c r="A2575" s="169">
        <v>45806</v>
      </c>
      <c r="B2575" s="116">
        <v>1421</v>
      </c>
      <c r="C2575" s="116">
        <v>1412.55</v>
      </c>
      <c r="D2575" s="116">
        <v>1361.6</v>
      </c>
      <c r="E2575" s="116">
        <v>1362</v>
      </c>
      <c r="F2575" s="116">
        <v>1412.55</v>
      </c>
      <c r="G2575">
        <v>51750</v>
      </c>
      <c r="H2575" s="116"/>
      <c r="I2575" s="116"/>
      <c r="L2575" s="169">
        <v>45798</v>
      </c>
      <c r="M2575" s="116">
        <v>751.05</v>
      </c>
      <c r="N2575" s="116">
        <v>754.95</v>
      </c>
      <c r="O2575" s="116">
        <v>735</v>
      </c>
      <c r="P2575" s="116">
        <v>743.8</v>
      </c>
      <c r="Q2575" s="116">
        <v>751.05</v>
      </c>
      <c r="R2575">
        <v>151115</v>
      </c>
    </row>
    <row r="2576" spans="1:18" x14ac:dyDescent="0.25">
      <c r="A2576" s="169">
        <v>45807</v>
      </c>
      <c r="B2576" s="116">
        <v>1430.25</v>
      </c>
      <c r="C2576" s="116">
        <v>1392.25</v>
      </c>
      <c r="D2576" s="116">
        <v>1380</v>
      </c>
      <c r="E2576" s="116">
        <v>1422.45</v>
      </c>
      <c r="F2576" s="116">
        <v>1392.25</v>
      </c>
      <c r="G2576">
        <v>17060</v>
      </c>
      <c r="H2576" s="116"/>
      <c r="I2576" s="116"/>
      <c r="L2576" s="169">
        <v>45799</v>
      </c>
      <c r="M2576" s="116">
        <v>745</v>
      </c>
      <c r="N2576" s="116">
        <v>753.55</v>
      </c>
      <c r="O2576" s="116">
        <v>738.6</v>
      </c>
      <c r="P2576" s="116">
        <v>748</v>
      </c>
      <c r="Q2576" s="116">
        <v>745</v>
      </c>
      <c r="R2576">
        <v>90754</v>
      </c>
    </row>
    <row r="2577" spans="1:18" x14ac:dyDescent="0.25">
      <c r="A2577" s="169">
        <v>45810</v>
      </c>
      <c r="B2577" s="116">
        <v>1382.95</v>
      </c>
      <c r="C2577" s="116">
        <v>1353.7</v>
      </c>
      <c r="D2577" s="116">
        <v>1330</v>
      </c>
      <c r="E2577" s="116">
        <v>1380.5</v>
      </c>
      <c r="F2577" s="116">
        <v>1353.7</v>
      </c>
      <c r="G2577">
        <v>27897</v>
      </c>
      <c r="H2577" s="116"/>
      <c r="I2577" s="116"/>
      <c r="L2577" s="169">
        <v>45800</v>
      </c>
      <c r="M2577" s="116">
        <v>738.7</v>
      </c>
      <c r="N2577" s="116">
        <v>747.9</v>
      </c>
      <c r="O2577" s="116">
        <v>735</v>
      </c>
      <c r="P2577" s="116">
        <v>746.1</v>
      </c>
      <c r="Q2577" s="116">
        <v>738.7</v>
      </c>
      <c r="R2577">
        <v>296136</v>
      </c>
    </row>
    <row r="2578" spans="1:18" x14ac:dyDescent="0.25">
      <c r="A2578" s="169">
        <v>45811</v>
      </c>
      <c r="B2578" s="116">
        <v>1459.3</v>
      </c>
      <c r="C2578" s="116">
        <v>1445.9</v>
      </c>
      <c r="D2578" s="116">
        <v>1358.1</v>
      </c>
      <c r="E2578" s="116">
        <v>1379.85</v>
      </c>
      <c r="F2578" s="116">
        <v>1445.9</v>
      </c>
      <c r="G2578">
        <v>123321</v>
      </c>
      <c r="H2578" s="116"/>
      <c r="I2578" s="116"/>
      <c r="L2578" s="169">
        <v>45803</v>
      </c>
      <c r="M2578" s="116">
        <v>755.65</v>
      </c>
      <c r="N2578" s="116">
        <v>759</v>
      </c>
      <c r="O2578" s="116">
        <v>742.1</v>
      </c>
      <c r="P2578" s="116">
        <v>743.8</v>
      </c>
      <c r="Q2578" s="116">
        <v>755.65</v>
      </c>
      <c r="R2578">
        <v>212863</v>
      </c>
    </row>
    <row r="2579" spans="1:18" x14ac:dyDescent="0.25">
      <c r="A2579" s="169">
        <v>45812</v>
      </c>
      <c r="B2579" s="116">
        <v>1514.1</v>
      </c>
      <c r="C2579" s="116">
        <v>1498.9</v>
      </c>
      <c r="D2579" s="116">
        <v>1445.9</v>
      </c>
      <c r="E2579" s="116">
        <v>1445.9</v>
      </c>
      <c r="F2579" s="116">
        <v>1498.9</v>
      </c>
      <c r="G2579">
        <v>114850</v>
      </c>
      <c r="H2579" s="116"/>
      <c r="I2579" s="116"/>
      <c r="L2579" s="169">
        <v>45804</v>
      </c>
      <c r="M2579" s="116">
        <v>775.05</v>
      </c>
      <c r="N2579" s="116">
        <v>779.9</v>
      </c>
      <c r="O2579" s="116">
        <v>758</v>
      </c>
      <c r="P2579" s="116">
        <v>760</v>
      </c>
      <c r="Q2579" s="116">
        <v>775.05</v>
      </c>
      <c r="R2579">
        <v>482834</v>
      </c>
    </row>
    <row r="2580" spans="1:18" x14ac:dyDescent="0.25">
      <c r="A2580" s="169">
        <v>45813</v>
      </c>
      <c r="B2580" s="116">
        <v>1534.75</v>
      </c>
      <c r="C2580" s="116">
        <v>1527.7</v>
      </c>
      <c r="D2580" s="116">
        <v>1507.15</v>
      </c>
      <c r="E2580" s="116">
        <v>1511</v>
      </c>
      <c r="F2580" s="116">
        <v>1527.7</v>
      </c>
      <c r="G2580">
        <v>32052</v>
      </c>
      <c r="H2580" s="116"/>
      <c r="I2580" s="116"/>
      <c r="L2580" s="169">
        <v>45805</v>
      </c>
      <c r="M2580" s="116">
        <v>767.8</v>
      </c>
      <c r="N2580" s="116">
        <v>779.5</v>
      </c>
      <c r="O2580" s="116">
        <v>762.2</v>
      </c>
      <c r="P2580" s="116">
        <v>778</v>
      </c>
      <c r="Q2580" s="116">
        <v>767.8</v>
      </c>
      <c r="R2580">
        <v>124298</v>
      </c>
    </row>
    <row r="2581" spans="1:18" x14ac:dyDescent="0.25">
      <c r="A2581" s="169">
        <v>45814</v>
      </c>
      <c r="B2581" s="116">
        <v>1539</v>
      </c>
      <c r="C2581" s="116">
        <v>1458.2</v>
      </c>
      <c r="D2581" s="116">
        <v>1450</v>
      </c>
      <c r="E2581" s="116">
        <v>1520.7</v>
      </c>
      <c r="F2581" s="116">
        <v>1458.2</v>
      </c>
      <c r="G2581">
        <v>70192</v>
      </c>
      <c r="H2581" s="116"/>
      <c r="I2581" s="116"/>
      <c r="L2581" s="169">
        <v>45806</v>
      </c>
      <c r="M2581" s="116">
        <v>779.55</v>
      </c>
      <c r="N2581" s="116">
        <v>785.2</v>
      </c>
      <c r="O2581" s="116">
        <v>765.55</v>
      </c>
      <c r="P2581" s="116">
        <v>767.2</v>
      </c>
      <c r="Q2581" s="116">
        <v>779.55</v>
      </c>
      <c r="R2581">
        <v>218848</v>
      </c>
    </row>
    <row r="2582" spans="1:18" x14ac:dyDescent="0.25">
      <c r="A2582" s="169">
        <v>45817</v>
      </c>
      <c r="B2582" s="116">
        <v>1511</v>
      </c>
      <c r="C2582" s="116">
        <v>1492.3</v>
      </c>
      <c r="D2582" s="116">
        <v>1460.35</v>
      </c>
      <c r="E2582" s="116">
        <v>1475.05</v>
      </c>
      <c r="F2582" s="116">
        <v>1492.3</v>
      </c>
      <c r="G2582">
        <v>53272</v>
      </c>
      <c r="H2582" s="116"/>
      <c r="I2582" s="116"/>
      <c r="L2582" s="169">
        <v>45807</v>
      </c>
      <c r="M2582" s="116">
        <v>788.15</v>
      </c>
      <c r="N2582" s="116">
        <v>790.8</v>
      </c>
      <c r="O2582" s="116">
        <v>768</v>
      </c>
      <c r="P2582" s="116">
        <v>784</v>
      </c>
      <c r="Q2582" s="116">
        <v>788.15</v>
      </c>
      <c r="R2582">
        <v>235390</v>
      </c>
    </row>
    <row r="2583" spans="1:18" x14ac:dyDescent="0.25">
      <c r="A2583" s="169">
        <v>45818</v>
      </c>
      <c r="B2583" s="116">
        <v>1523</v>
      </c>
      <c r="C2583" s="116">
        <v>1507.45</v>
      </c>
      <c r="D2583" s="116">
        <v>1493.85</v>
      </c>
      <c r="E2583" s="116">
        <v>1504.9</v>
      </c>
      <c r="F2583" s="116">
        <v>1507.45</v>
      </c>
      <c r="G2583">
        <v>21665</v>
      </c>
      <c r="H2583" s="116"/>
      <c r="I2583" s="116"/>
      <c r="L2583" s="169">
        <v>45810</v>
      </c>
      <c r="M2583" s="116">
        <v>791.85</v>
      </c>
      <c r="N2583" s="116">
        <v>794</v>
      </c>
      <c r="O2583" s="116">
        <v>776.05</v>
      </c>
      <c r="P2583" s="116">
        <v>788.2</v>
      </c>
      <c r="Q2583" s="116">
        <v>791.85</v>
      </c>
      <c r="R2583">
        <v>280101</v>
      </c>
    </row>
    <row r="2584" spans="1:18" x14ac:dyDescent="0.25">
      <c r="A2584" s="169">
        <v>45819</v>
      </c>
      <c r="B2584" s="116">
        <v>1537.95</v>
      </c>
      <c r="C2584" s="116">
        <v>1506.85</v>
      </c>
      <c r="D2584" s="116">
        <v>1496.1</v>
      </c>
      <c r="E2584" s="116">
        <v>1507.85</v>
      </c>
      <c r="F2584" s="116">
        <v>1506.85</v>
      </c>
      <c r="G2584">
        <v>21407</v>
      </c>
      <c r="H2584" s="116"/>
      <c r="I2584" s="116"/>
      <c r="L2584" s="169">
        <v>45811</v>
      </c>
      <c r="M2584" s="116">
        <v>782.85</v>
      </c>
      <c r="N2584" s="116">
        <v>795.3</v>
      </c>
      <c r="O2584" s="116">
        <v>780.5</v>
      </c>
      <c r="P2584" s="116">
        <v>795</v>
      </c>
      <c r="Q2584" s="116">
        <v>782.85</v>
      </c>
      <c r="R2584">
        <v>149421</v>
      </c>
    </row>
    <row r="2585" spans="1:18" x14ac:dyDescent="0.25">
      <c r="A2585" s="169">
        <v>45820</v>
      </c>
      <c r="B2585" s="116">
        <v>1529</v>
      </c>
      <c r="C2585" s="116">
        <v>1496.15</v>
      </c>
      <c r="D2585" s="116">
        <v>1476.9</v>
      </c>
      <c r="E2585" s="116">
        <v>1497.05</v>
      </c>
      <c r="F2585" s="116">
        <v>1496.15</v>
      </c>
      <c r="G2585">
        <v>18064</v>
      </c>
      <c r="H2585" s="116"/>
      <c r="I2585" s="116"/>
      <c r="L2585" s="169">
        <v>45812</v>
      </c>
      <c r="M2585" s="116">
        <v>782.45</v>
      </c>
      <c r="N2585" s="116">
        <v>795.4</v>
      </c>
      <c r="O2585" s="116">
        <v>777</v>
      </c>
      <c r="P2585" s="116">
        <v>784</v>
      </c>
      <c r="Q2585" s="116">
        <v>782.45</v>
      </c>
      <c r="R2585">
        <v>142169</v>
      </c>
    </row>
    <row r="2586" spans="1:18" x14ac:dyDescent="0.25">
      <c r="A2586" s="169">
        <v>45821</v>
      </c>
      <c r="B2586" s="116">
        <v>1499</v>
      </c>
      <c r="C2586" s="116">
        <v>1486.45</v>
      </c>
      <c r="D2586" s="116">
        <v>1443.9</v>
      </c>
      <c r="E2586" s="116">
        <v>1450.9</v>
      </c>
      <c r="F2586" s="116">
        <v>1486.45</v>
      </c>
      <c r="G2586">
        <v>41196</v>
      </c>
      <c r="H2586" s="116"/>
      <c r="I2586" s="116"/>
      <c r="L2586" s="169">
        <v>45813</v>
      </c>
      <c r="M2586" s="116">
        <v>778.4</v>
      </c>
      <c r="N2586" s="116">
        <v>790.45</v>
      </c>
      <c r="O2586" s="116">
        <v>777</v>
      </c>
      <c r="P2586" s="116">
        <v>789.4</v>
      </c>
      <c r="Q2586" s="116">
        <v>778.4</v>
      </c>
      <c r="R2586">
        <v>104247</v>
      </c>
    </row>
    <row r="2587" spans="1:18" x14ac:dyDescent="0.25">
      <c r="A2587" s="169">
        <v>45824</v>
      </c>
      <c r="B2587" s="116">
        <v>1524.4</v>
      </c>
      <c r="C2587" s="116">
        <v>1517.15</v>
      </c>
      <c r="D2587" s="116">
        <v>1458</v>
      </c>
      <c r="E2587" s="116">
        <v>1486.9</v>
      </c>
      <c r="F2587" s="116">
        <v>1517.15</v>
      </c>
      <c r="G2587">
        <v>19148</v>
      </c>
      <c r="H2587" s="116"/>
      <c r="I2587" s="116"/>
      <c r="L2587" s="169">
        <v>45814</v>
      </c>
      <c r="M2587" s="116">
        <v>782.55</v>
      </c>
      <c r="N2587" s="116">
        <v>801.9</v>
      </c>
      <c r="O2587" s="116">
        <v>773</v>
      </c>
      <c r="P2587" s="116">
        <v>778.4</v>
      </c>
      <c r="Q2587" s="116">
        <v>782.55</v>
      </c>
      <c r="R2587">
        <v>509557</v>
      </c>
    </row>
    <row r="2588" spans="1:18" x14ac:dyDescent="0.25">
      <c r="A2588" s="169">
        <v>45825</v>
      </c>
      <c r="B2588" s="116">
        <v>1543.5</v>
      </c>
      <c r="C2588" s="116">
        <v>1525.8</v>
      </c>
      <c r="D2588" s="116">
        <v>1515.25</v>
      </c>
      <c r="E2588" s="116">
        <v>1518.25</v>
      </c>
      <c r="F2588" s="116">
        <v>1525.8</v>
      </c>
      <c r="G2588">
        <v>38719</v>
      </c>
      <c r="H2588" s="116"/>
      <c r="I2588" s="116"/>
      <c r="L2588" s="169">
        <v>45817</v>
      </c>
      <c r="M2588" s="116">
        <v>808.9</v>
      </c>
      <c r="N2588" s="116">
        <v>812.2</v>
      </c>
      <c r="O2588" s="116">
        <v>787</v>
      </c>
      <c r="P2588" s="116">
        <v>789.4</v>
      </c>
      <c r="Q2588" s="116">
        <v>808.9</v>
      </c>
      <c r="R2588">
        <v>584647</v>
      </c>
    </row>
    <row r="2589" spans="1:18" x14ac:dyDescent="0.25">
      <c r="A2589" s="169">
        <v>45826</v>
      </c>
      <c r="B2589" s="116">
        <v>1528.95</v>
      </c>
      <c r="C2589" s="116">
        <v>1502.1</v>
      </c>
      <c r="D2589" s="116">
        <v>1492.85</v>
      </c>
      <c r="E2589" s="116">
        <v>1525</v>
      </c>
      <c r="F2589" s="116">
        <v>1502.1</v>
      </c>
      <c r="G2589">
        <v>29894</v>
      </c>
      <c r="H2589" s="116"/>
      <c r="I2589" s="116"/>
      <c r="L2589" s="169">
        <v>45818</v>
      </c>
      <c r="M2589" s="116">
        <v>811.95</v>
      </c>
      <c r="N2589" s="116">
        <v>817.7</v>
      </c>
      <c r="O2589" s="116">
        <v>805.05</v>
      </c>
      <c r="P2589" s="116">
        <v>817.7</v>
      </c>
      <c r="Q2589" s="116">
        <v>811.95</v>
      </c>
      <c r="R2589">
        <v>321681</v>
      </c>
    </row>
    <row r="2590" spans="1:18" x14ac:dyDescent="0.25">
      <c r="A2590" s="169">
        <v>45827</v>
      </c>
      <c r="B2590" s="116">
        <v>1516</v>
      </c>
      <c r="C2590" s="116">
        <v>1464.75</v>
      </c>
      <c r="D2590" s="116">
        <v>1460</v>
      </c>
      <c r="E2590" s="116">
        <v>1516</v>
      </c>
      <c r="F2590" s="116">
        <v>1464.75</v>
      </c>
      <c r="G2590">
        <v>11500</v>
      </c>
      <c r="H2590" s="116"/>
      <c r="I2590" s="116"/>
      <c r="L2590" s="169">
        <v>45819</v>
      </c>
      <c r="M2590" s="116">
        <v>813.45</v>
      </c>
      <c r="N2590" s="116">
        <v>817.75</v>
      </c>
      <c r="O2590" s="116">
        <v>800.55</v>
      </c>
      <c r="P2590" s="116">
        <v>810.9</v>
      </c>
      <c r="Q2590" s="116">
        <v>813.45</v>
      </c>
      <c r="R2590">
        <v>317340</v>
      </c>
    </row>
    <row r="2591" spans="1:18" x14ac:dyDescent="0.25">
      <c r="A2591" s="169">
        <v>45828</v>
      </c>
      <c r="B2591" s="116">
        <v>1499.95</v>
      </c>
      <c r="C2591" s="116">
        <v>1469.55</v>
      </c>
      <c r="D2591" s="116">
        <v>1462.3</v>
      </c>
      <c r="E2591" s="116">
        <v>1497.9</v>
      </c>
      <c r="F2591" s="116">
        <v>1469.55</v>
      </c>
      <c r="G2591">
        <v>138907</v>
      </c>
      <c r="H2591" s="116"/>
      <c r="I2591" s="116"/>
      <c r="L2591" s="169">
        <v>45820</v>
      </c>
      <c r="M2591" s="116">
        <v>796.7</v>
      </c>
      <c r="N2591" s="116">
        <v>816.5</v>
      </c>
      <c r="O2591" s="116">
        <v>790.9</v>
      </c>
      <c r="P2591" s="116">
        <v>816.5</v>
      </c>
      <c r="Q2591" s="116">
        <v>796.7</v>
      </c>
      <c r="R2591">
        <v>329745</v>
      </c>
    </row>
    <row r="2592" spans="1:18" x14ac:dyDescent="0.25">
      <c r="A2592" s="169">
        <v>45831</v>
      </c>
      <c r="B2592" s="116">
        <v>1510</v>
      </c>
      <c r="C2592" s="116">
        <v>1503.5</v>
      </c>
      <c r="D2592" s="116">
        <v>1469</v>
      </c>
      <c r="E2592" s="116">
        <v>1470</v>
      </c>
      <c r="F2592" s="116">
        <v>1503.5</v>
      </c>
      <c r="G2592">
        <v>26731</v>
      </c>
      <c r="H2592" s="116"/>
      <c r="I2592" s="116"/>
      <c r="L2592" s="169">
        <v>45821</v>
      </c>
      <c r="M2592" s="116">
        <v>792.45</v>
      </c>
      <c r="N2592" s="116">
        <v>801.3</v>
      </c>
      <c r="O2592" s="116">
        <v>773.6</v>
      </c>
      <c r="P2592" s="116">
        <v>787.1</v>
      </c>
      <c r="Q2592" s="116">
        <v>792.45</v>
      </c>
      <c r="R2592">
        <v>160545</v>
      </c>
    </row>
    <row r="2593" spans="1:18" x14ac:dyDescent="0.25">
      <c r="A2593" s="169">
        <v>45832</v>
      </c>
      <c r="B2593" s="116">
        <v>1547</v>
      </c>
      <c r="C2593" s="116">
        <v>1526.9</v>
      </c>
      <c r="D2593" s="116">
        <v>1512.5</v>
      </c>
      <c r="E2593" s="116">
        <v>1512.5</v>
      </c>
      <c r="F2593" s="116">
        <v>1526.9</v>
      </c>
      <c r="G2593">
        <v>60449</v>
      </c>
      <c r="H2593" s="116"/>
      <c r="I2593" s="116"/>
      <c r="L2593" s="169">
        <v>45824</v>
      </c>
      <c r="M2593" s="116">
        <v>779.75</v>
      </c>
      <c r="N2593" s="116">
        <v>792</v>
      </c>
      <c r="O2593" s="116">
        <v>768</v>
      </c>
      <c r="P2593" s="116">
        <v>790.25</v>
      </c>
      <c r="Q2593" s="116">
        <v>779.75</v>
      </c>
      <c r="R2593">
        <v>279210</v>
      </c>
    </row>
    <row r="2594" spans="1:18" x14ac:dyDescent="0.25">
      <c r="A2594" s="169">
        <v>45833</v>
      </c>
      <c r="B2594" s="116">
        <v>1546.4</v>
      </c>
      <c r="C2594" s="116">
        <v>1522.85</v>
      </c>
      <c r="D2594" s="116">
        <v>1500</v>
      </c>
      <c r="E2594" s="116">
        <v>1546.4</v>
      </c>
      <c r="F2594" s="116">
        <v>1522.85</v>
      </c>
      <c r="G2594">
        <v>30027</v>
      </c>
      <c r="H2594" s="116"/>
      <c r="I2594" s="116"/>
      <c r="L2594" s="169">
        <v>45825</v>
      </c>
      <c r="M2594" s="116">
        <v>793.35</v>
      </c>
      <c r="N2594" s="116">
        <v>796.55</v>
      </c>
      <c r="O2594" s="116">
        <v>777.6</v>
      </c>
      <c r="P2594" s="116">
        <v>782</v>
      </c>
      <c r="Q2594" s="116">
        <v>793.35</v>
      </c>
      <c r="R2594">
        <v>345617</v>
      </c>
    </row>
    <row r="2595" spans="1:18" x14ac:dyDescent="0.25">
      <c r="A2595" s="169">
        <v>45834</v>
      </c>
      <c r="B2595" s="116">
        <v>1559.95</v>
      </c>
      <c r="C2595" s="116">
        <v>1547.45</v>
      </c>
      <c r="D2595" s="116">
        <v>1496.95</v>
      </c>
      <c r="E2595" s="116">
        <v>1536.05</v>
      </c>
      <c r="F2595" s="116">
        <v>1547.45</v>
      </c>
      <c r="G2595">
        <v>90823</v>
      </c>
      <c r="H2595" s="116"/>
      <c r="I2595" s="116"/>
      <c r="L2595" s="169">
        <v>45826</v>
      </c>
      <c r="M2595" s="116">
        <v>790.05</v>
      </c>
      <c r="N2595" s="116">
        <v>801.45</v>
      </c>
      <c r="O2595" s="116">
        <v>783</v>
      </c>
      <c r="P2595" s="116">
        <v>794.3</v>
      </c>
      <c r="Q2595" s="116">
        <v>790.05</v>
      </c>
      <c r="R2595">
        <v>296023</v>
      </c>
    </row>
    <row r="2596" spans="1:18" x14ac:dyDescent="0.25">
      <c r="A2596" s="169">
        <v>45835</v>
      </c>
      <c r="B2596" s="116">
        <v>1562</v>
      </c>
      <c r="C2596" s="116">
        <v>1547.95</v>
      </c>
      <c r="D2596" s="116">
        <v>1510.1</v>
      </c>
      <c r="E2596" s="116">
        <v>1555</v>
      </c>
      <c r="F2596" s="116">
        <v>1547.95</v>
      </c>
      <c r="G2596">
        <v>48380</v>
      </c>
      <c r="H2596" s="116"/>
      <c r="I2596" s="116"/>
      <c r="L2596" s="169">
        <v>45827</v>
      </c>
      <c r="M2596" s="116">
        <v>777.05</v>
      </c>
      <c r="N2596" s="116">
        <v>788.4</v>
      </c>
      <c r="O2596" s="116">
        <v>766.9</v>
      </c>
      <c r="P2596" s="116">
        <v>785</v>
      </c>
      <c r="Q2596" s="116">
        <v>777.05</v>
      </c>
      <c r="R2596">
        <v>191631</v>
      </c>
    </row>
    <row r="2597" spans="1:18" x14ac:dyDescent="0.25">
      <c r="A2597" s="169">
        <v>45838</v>
      </c>
      <c r="B2597" s="116">
        <v>1601.65</v>
      </c>
      <c r="C2597" s="116">
        <v>1590.65</v>
      </c>
      <c r="D2597" s="116">
        <v>1550.8</v>
      </c>
      <c r="E2597" s="116">
        <v>1564.4</v>
      </c>
      <c r="F2597" s="116">
        <v>1590.65</v>
      </c>
      <c r="G2597">
        <v>40559</v>
      </c>
      <c r="H2597" s="116"/>
      <c r="I2597" s="116"/>
      <c r="L2597" s="169">
        <v>45828</v>
      </c>
      <c r="M2597" s="116">
        <v>764.45</v>
      </c>
      <c r="N2597" s="116">
        <v>781.45</v>
      </c>
      <c r="O2597" s="116">
        <v>760</v>
      </c>
      <c r="P2597" s="116">
        <v>777.05</v>
      </c>
      <c r="Q2597" s="116">
        <v>764.45</v>
      </c>
      <c r="R2597">
        <v>525429</v>
      </c>
    </row>
    <row r="2598" spans="1:18" x14ac:dyDescent="0.25">
      <c r="A2598" s="169">
        <v>45839</v>
      </c>
      <c r="B2598" s="116">
        <v>1613.4</v>
      </c>
      <c r="C2598" s="116">
        <v>1577</v>
      </c>
      <c r="D2598" s="116">
        <v>1558</v>
      </c>
      <c r="E2598" s="116">
        <v>1609.75</v>
      </c>
      <c r="F2598" s="116">
        <v>1577</v>
      </c>
      <c r="G2598">
        <v>51362</v>
      </c>
      <c r="H2598" s="116"/>
      <c r="I2598" s="116"/>
      <c r="L2598" s="169">
        <v>45831</v>
      </c>
      <c r="M2598" s="116">
        <v>763.3</v>
      </c>
      <c r="N2598" s="116">
        <v>772.5</v>
      </c>
      <c r="O2598" s="116">
        <v>754.8</v>
      </c>
      <c r="P2598" s="116">
        <v>757.1</v>
      </c>
      <c r="Q2598" s="116">
        <v>763.3</v>
      </c>
      <c r="R2598">
        <v>91174</v>
      </c>
    </row>
    <row r="2599" spans="1:18" x14ac:dyDescent="0.25">
      <c r="A2599" s="169">
        <v>45840</v>
      </c>
      <c r="B2599" s="116">
        <v>1589.3</v>
      </c>
      <c r="C2599" s="116">
        <v>1524.4</v>
      </c>
      <c r="D2599" s="116">
        <v>1519.85</v>
      </c>
      <c r="E2599" s="116">
        <v>1584.6</v>
      </c>
      <c r="F2599" s="116">
        <v>1524.4</v>
      </c>
      <c r="G2599">
        <v>41415</v>
      </c>
      <c r="H2599" s="116"/>
      <c r="I2599" s="116"/>
      <c r="L2599" s="169">
        <v>45832</v>
      </c>
      <c r="M2599" s="116">
        <v>789.35</v>
      </c>
      <c r="N2599" s="116">
        <v>792</v>
      </c>
      <c r="O2599" s="116">
        <v>765</v>
      </c>
      <c r="P2599" s="116">
        <v>767</v>
      </c>
      <c r="Q2599" s="116">
        <v>789.35</v>
      </c>
      <c r="R2599">
        <v>368881</v>
      </c>
    </row>
    <row r="2600" spans="1:18" x14ac:dyDescent="0.25">
      <c r="A2600" s="169">
        <v>45841</v>
      </c>
      <c r="B2600" s="116">
        <v>1544.5</v>
      </c>
      <c r="C2600" s="116">
        <v>1531.9</v>
      </c>
      <c r="D2600" s="116">
        <v>1518.6</v>
      </c>
      <c r="E2600" s="116">
        <v>1538.9</v>
      </c>
      <c r="F2600" s="116">
        <v>1531.9</v>
      </c>
      <c r="G2600">
        <v>27718</v>
      </c>
      <c r="H2600" s="116"/>
      <c r="I2600" s="116"/>
      <c r="L2600" s="169">
        <v>45833</v>
      </c>
      <c r="M2600" s="116">
        <v>784.3</v>
      </c>
      <c r="N2600" s="116">
        <v>799</v>
      </c>
      <c r="O2600" s="116">
        <v>782.05</v>
      </c>
      <c r="P2600" s="116">
        <v>795.55</v>
      </c>
      <c r="Q2600" s="116">
        <v>784.3</v>
      </c>
      <c r="R2600">
        <v>173442</v>
      </c>
    </row>
    <row r="2601" spans="1:18" x14ac:dyDescent="0.25">
      <c r="A2601" s="169">
        <v>45842</v>
      </c>
      <c r="B2601" s="116">
        <v>1564</v>
      </c>
      <c r="C2601" s="116">
        <v>1549.25</v>
      </c>
      <c r="D2601" s="116">
        <v>1520.55</v>
      </c>
      <c r="E2601" s="116">
        <v>1520.55</v>
      </c>
      <c r="F2601" s="116">
        <v>1549.25</v>
      </c>
      <c r="G2601">
        <v>68892</v>
      </c>
      <c r="H2601" s="116"/>
      <c r="I2601" s="116"/>
      <c r="L2601" s="169">
        <v>45834</v>
      </c>
      <c r="M2601" s="116">
        <v>790.5</v>
      </c>
      <c r="N2601" s="116">
        <v>796</v>
      </c>
      <c r="O2601" s="116">
        <v>780</v>
      </c>
      <c r="P2601" s="116">
        <v>792</v>
      </c>
      <c r="Q2601" s="116">
        <v>790.5</v>
      </c>
      <c r="R2601">
        <v>214509</v>
      </c>
    </row>
    <row r="2602" spans="1:18" x14ac:dyDescent="0.25">
      <c r="A2602" s="169">
        <v>45845</v>
      </c>
      <c r="B2602" s="116">
        <v>1560.95</v>
      </c>
      <c r="C2602" s="116">
        <v>1529.15</v>
      </c>
      <c r="D2602" s="116">
        <v>1525.5</v>
      </c>
      <c r="E2602" s="116">
        <v>1550.85</v>
      </c>
      <c r="F2602" s="116">
        <v>1529.15</v>
      </c>
      <c r="G2602">
        <v>11310</v>
      </c>
      <c r="H2602" s="116"/>
      <c r="I2602" s="116"/>
      <c r="L2602" s="169">
        <v>45835</v>
      </c>
      <c r="M2602" s="116">
        <v>789.3</v>
      </c>
      <c r="N2602" s="116">
        <v>807.55</v>
      </c>
      <c r="O2602" s="116">
        <v>785</v>
      </c>
      <c r="P2602" s="116">
        <v>794</v>
      </c>
      <c r="Q2602" s="116">
        <v>789.3</v>
      </c>
      <c r="R2602">
        <v>432438</v>
      </c>
    </row>
    <row r="2603" spans="1:18" x14ac:dyDescent="0.25">
      <c r="A2603" s="169">
        <v>45846</v>
      </c>
      <c r="B2603" s="116">
        <v>1544.95</v>
      </c>
      <c r="C2603" s="116">
        <v>1485.65</v>
      </c>
      <c r="D2603" s="116">
        <v>1479.5</v>
      </c>
      <c r="E2603" s="116">
        <v>1544.95</v>
      </c>
      <c r="F2603" s="116">
        <v>1485.65</v>
      </c>
      <c r="G2603">
        <v>35535</v>
      </c>
      <c r="H2603" s="116"/>
      <c r="I2603" s="116"/>
      <c r="L2603" s="169">
        <v>45838</v>
      </c>
      <c r="M2603" s="116">
        <v>792.9</v>
      </c>
      <c r="N2603" s="116">
        <v>798.55</v>
      </c>
      <c r="O2603" s="116">
        <v>786</v>
      </c>
      <c r="P2603" s="116">
        <v>793.25</v>
      </c>
      <c r="Q2603" s="116">
        <v>792.9</v>
      </c>
      <c r="R2603">
        <v>180131</v>
      </c>
    </row>
    <row r="2604" spans="1:18" x14ac:dyDescent="0.25">
      <c r="A2604" s="169">
        <v>45847</v>
      </c>
      <c r="B2604" s="116">
        <v>1495.1</v>
      </c>
      <c r="C2604" s="116">
        <v>1482.5</v>
      </c>
      <c r="D2604" s="116">
        <v>1465.35</v>
      </c>
      <c r="E2604" s="116">
        <v>1485.65</v>
      </c>
      <c r="F2604" s="116">
        <v>1482.5</v>
      </c>
      <c r="G2604">
        <v>28097</v>
      </c>
      <c r="H2604" s="116"/>
      <c r="I2604" s="116"/>
      <c r="L2604" s="169">
        <v>45839</v>
      </c>
      <c r="M2604" s="116">
        <v>791.35</v>
      </c>
      <c r="N2604" s="116">
        <v>797.8</v>
      </c>
      <c r="O2604" s="116">
        <v>786.2</v>
      </c>
      <c r="P2604" s="116">
        <v>793.2</v>
      </c>
      <c r="Q2604" s="116">
        <v>791.35</v>
      </c>
      <c r="R2604">
        <v>154061</v>
      </c>
    </row>
    <row r="2605" spans="1:18" x14ac:dyDescent="0.25">
      <c r="A2605" s="169">
        <v>45848</v>
      </c>
      <c r="B2605" s="116">
        <v>1542.2</v>
      </c>
      <c r="C2605" s="116">
        <v>1523.5</v>
      </c>
      <c r="D2605" s="116">
        <v>1479.05</v>
      </c>
      <c r="E2605" s="116">
        <v>1498.45</v>
      </c>
      <c r="F2605" s="116">
        <v>1523.5</v>
      </c>
      <c r="G2605">
        <v>46010</v>
      </c>
      <c r="H2605" s="116"/>
      <c r="I2605" s="116"/>
      <c r="L2605" s="169">
        <v>45840</v>
      </c>
      <c r="M2605" s="116">
        <v>809.25</v>
      </c>
      <c r="N2605" s="116">
        <v>812</v>
      </c>
      <c r="O2605" s="116">
        <v>794.25</v>
      </c>
      <c r="P2605" s="116">
        <v>794.25</v>
      </c>
      <c r="Q2605" s="116">
        <v>809.25</v>
      </c>
      <c r="R2605">
        <v>439489</v>
      </c>
    </row>
    <row r="2606" spans="1:18" x14ac:dyDescent="0.25">
      <c r="A2606" s="169">
        <v>45849</v>
      </c>
      <c r="B2606" s="116">
        <v>1521.65</v>
      </c>
      <c r="C2606" s="116">
        <v>1489.05</v>
      </c>
      <c r="D2606" s="116">
        <v>1485</v>
      </c>
      <c r="E2606" s="116">
        <v>1520.3</v>
      </c>
      <c r="F2606" s="116">
        <v>1489.05</v>
      </c>
      <c r="G2606">
        <v>28090</v>
      </c>
      <c r="H2606" s="116"/>
      <c r="I2606" s="116"/>
      <c r="L2606" s="169">
        <v>45841</v>
      </c>
      <c r="M2606" s="116">
        <v>815.1</v>
      </c>
      <c r="N2606" s="116">
        <v>817.9</v>
      </c>
      <c r="O2606" s="116">
        <v>809.65</v>
      </c>
      <c r="P2606" s="116">
        <v>812.05</v>
      </c>
      <c r="Q2606" s="116">
        <v>815.1</v>
      </c>
      <c r="R2606">
        <v>333733</v>
      </c>
    </row>
    <row r="2607" spans="1:18" x14ac:dyDescent="0.25">
      <c r="A2607" s="169">
        <v>45852</v>
      </c>
      <c r="B2607" s="116">
        <v>1495.55</v>
      </c>
      <c r="C2607" s="116">
        <v>1480.25</v>
      </c>
      <c r="D2607" s="116">
        <v>1464.05</v>
      </c>
      <c r="E2607" s="116">
        <v>1486.15</v>
      </c>
      <c r="F2607" s="116">
        <v>1480.25</v>
      </c>
      <c r="G2607">
        <v>18638</v>
      </c>
      <c r="H2607" s="116"/>
      <c r="I2607" s="116"/>
      <c r="L2607" s="169">
        <v>45842</v>
      </c>
      <c r="M2607" s="116">
        <v>817.3</v>
      </c>
      <c r="N2607" s="116">
        <v>821</v>
      </c>
      <c r="O2607" s="116">
        <v>810.2</v>
      </c>
      <c r="P2607" s="116">
        <v>817</v>
      </c>
      <c r="Q2607" s="116">
        <v>817.3</v>
      </c>
      <c r="R2607">
        <v>335965</v>
      </c>
    </row>
    <row r="2608" spans="1:18" x14ac:dyDescent="0.25">
      <c r="A2608" s="169">
        <v>45853</v>
      </c>
      <c r="B2608" s="116">
        <v>1500</v>
      </c>
      <c r="C2608" s="116">
        <v>1479.8</v>
      </c>
      <c r="D2608" s="116">
        <v>1472.1</v>
      </c>
      <c r="E2608" s="116">
        <v>1479.85</v>
      </c>
      <c r="F2608" s="116">
        <v>1479.8</v>
      </c>
      <c r="G2608">
        <v>12960</v>
      </c>
      <c r="H2608" s="116"/>
      <c r="I2608" s="116"/>
      <c r="L2608" s="169">
        <v>45845</v>
      </c>
      <c r="M2608" s="116">
        <v>820.3</v>
      </c>
      <c r="N2608" s="116">
        <v>822</v>
      </c>
      <c r="O2608" s="116">
        <v>812</v>
      </c>
      <c r="P2608" s="116">
        <v>815</v>
      </c>
      <c r="Q2608" s="116">
        <v>820.3</v>
      </c>
      <c r="R2608">
        <v>193965</v>
      </c>
    </row>
    <row r="2609" spans="1:18" x14ac:dyDescent="0.25">
      <c r="A2609" s="169">
        <v>45854</v>
      </c>
      <c r="B2609" s="116">
        <v>1498.2</v>
      </c>
      <c r="C2609" s="116">
        <v>1487.3</v>
      </c>
      <c r="D2609" s="116">
        <v>1475.25</v>
      </c>
      <c r="E2609" s="116">
        <v>1478.5</v>
      </c>
      <c r="F2609" s="116">
        <v>1487.3</v>
      </c>
      <c r="G2609">
        <v>19402</v>
      </c>
      <c r="H2609" s="116"/>
      <c r="I2609" s="116"/>
      <c r="L2609" s="169">
        <v>45846</v>
      </c>
      <c r="M2609" s="116">
        <v>815</v>
      </c>
      <c r="N2609" s="116">
        <v>822</v>
      </c>
      <c r="O2609" s="116">
        <v>811.3</v>
      </c>
      <c r="P2609" s="116">
        <v>820</v>
      </c>
      <c r="Q2609" s="116">
        <v>815</v>
      </c>
      <c r="R2609">
        <v>261036</v>
      </c>
    </row>
    <row r="2610" spans="1:18" x14ac:dyDescent="0.25">
      <c r="A2610" s="169">
        <v>45855</v>
      </c>
      <c r="B2610" s="116">
        <v>1493.2</v>
      </c>
      <c r="C2610" s="116">
        <v>1472.1</v>
      </c>
      <c r="D2610" s="116">
        <v>1462.1</v>
      </c>
      <c r="E2610" s="116">
        <v>1487.35</v>
      </c>
      <c r="F2610" s="116">
        <v>1472.1</v>
      </c>
      <c r="G2610">
        <v>13640</v>
      </c>
      <c r="H2610" s="116"/>
      <c r="I2610" s="116"/>
      <c r="L2610" s="169">
        <v>45847</v>
      </c>
      <c r="M2610" s="116">
        <v>823</v>
      </c>
      <c r="N2610" s="116">
        <v>825</v>
      </c>
      <c r="O2610" s="116">
        <v>813.45</v>
      </c>
      <c r="P2610" s="116">
        <v>815.75</v>
      </c>
      <c r="Q2610" s="116">
        <v>823</v>
      </c>
      <c r="R2610">
        <v>596214</v>
      </c>
    </row>
    <row r="2611" spans="1:18" x14ac:dyDescent="0.25">
      <c r="A2611" s="169">
        <v>45856</v>
      </c>
      <c r="B2611" s="116">
        <v>1484.55</v>
      </c>
      <c r="C2611" s="116">
        <v>1471.65</v>
      </c>
      <c r="D2611" s="116">
        <v>1461.8</v>
      </c>
      <c r="E2611" s="116">
        <v>1484.55</v>
      </c>
      <c r="F2611" s="116">
        <v>1471.65</v>
      </c>
      <c r="G2611">
        <v>12601</v>
      </c>
      <c r="H2611" s="116"/>
      <c r="I2611" s="116"/>
      <c r="L2611" s="169">
        <v>45848</v>
      </c>
      <c r="M2611" s="116">
        <v>800.6</v>
      </c>
      <c r="N2611" s="116">
        <v>826.65</v>
      </c>
      <c r="O2611" s="116">
        <v>797.1</v>
      </c>
      <c r="P2611" s="116">
        <v>826</v>
      </c>
      <c r="Q2611" s="116">
        <v>800.6</v>
      </c>
      <c r="R2611">
        <v>315600</v>
      </c>
    </row>
    <row r="2612" spans="1:18" x14ac:dyDescent="0.25">
      <c r="A2612" s="169">
        <v>45859</v>
      </c>
      <c r="B2612" s="116">
        <v>1535</v>
      </c>
      <c r="C2612" s="116">
        <v>1529.35</v>
      </c>
      <c r="D2612" s="116">
        <v>1470.25</v>
      </c>
      <c r="E2612" s="116">
        <v>1470.25</v>
      </c>
      <c r="F2612" s="116">
        <v>1529.35</v>
      </c>
      <c r="G2612">
        <v>21351</v>
      </c>
      <c r="H2612" s="116"/>
      <c r="I2612" s="116"/>
      <c r="L2612" s="169">
        <v>45849</v>
      </c>
      <c r="M2612" s="116">
        <v>794.3</v>
      </c>
      <c r="N2612" s="116">
        <v>804.35</v>
      </c>
      <c r="O2612" s="116">
        <v>789.25</v>
      </c>
      <c r="P2612" s="116">
        <v>791.1</v>
      </c>
      <c r="Q2612" s="116">
        <v>794.3</v>
      </c>
      <c r="R2612">
        <v>107314</v>
      </c>
    </row>
    <row r="2613" spans="1:18" x14ac:dyDescent="0.25">
      <c r="A2613" s="169">
        <v>45860</v>
      </c>
      <c r="B2613" s="116">
        <v>1554.85</v>
      </c>
      <c r="C2613" s="116">
        <v>1529.55</v>
      </c>
      <c r="D2613" s="116">
        <v>1522.75</v>
      </c>
      <c r="E2613" s="116">
        <v>1532.05</v>
      </c>
      <c r="F2613" s="116">
        <v>1529.55</v>
      </c>
      <c r="G2613">
        <v>21431</v>
      </c>
      <c r="H2613" s="116"/>
      <c r="I2613" s="116"/>
      <c r="L2613" s="169">
        <v>45852</v>
      </c>
      <c r="M2613" s="116">
        <v>797.15</v>
      </c>
      <c r="N2613" s="116">
        <v>801.85</v>
      </c>
      <c r="O2613" s="116">
        <v>789.25</v>
      </c>
      <c r="P2613" s="116">
        <v>789.25</v>
      </c>
      <c r="Q2613" s="116">
        <v>797.15</v>
      </c>
      <c r="R2613">
        <v>94599</v>
      </c>
    </row>
    <row r="2614" spans="1:18" x14ac:dyDescent="0.25">
      <c r="A2614" s="169">
        <v>45861</v>
      </c>
      <c r="B2614" s="116">
        <v>1541.55</v>
      </c>
      <c r="C2614" s="116">
        <v>1526.6</v>
      </c>
      <c r="D2614" s="116">
        <v>1520.9</v>
      </c>
      <c r="E2614" s="116">
        <v>1539.35</v>
      </c>
      <c r="F2614" s="116">
        <v>1526.6</v>
      </c>
      <c r="G2614">
        <v>16897</v>
      </c>
      <c r="H2614" s="116"/>
      <c r="I2614" s="116"/>
      <c r="L2614" s="169">
        <v>45853</v>
      </c>
      <c r="M2614" s="116">
        <v>796.95</v>
      </c>
      <c r="N2614" s="116">
        <v>806.3</v>
      </c>
      <c r="O2614" s="116">
        <v>796</v>
      </c>
      <c r="P2614" s="116">
        <v>797.15</v>
      </c>
      <c r="Q2614" s="116">
        <v>796.95</v>
      </c>
      <c r="R2614">
        <v>59825</v>
      </c>
    </row>
    <row r="2615" spans="1:18" x14ac:dyDescent="0.25">
      <c r="A2615" s="169">
        <v>45862</v>
      </c>
      <c r="B2615" s="116">
        <v>1545.9</v>
      </c>
      <c r="C2615" s="116">
        <v>1533.45</v>
      </c>
      <c r="D2615" s="116">
        <v>1503</v>
      </c>
      <c r="E2615" s="116">
        <v>1534.05</v>
      </c>
      <c r="F2615" s="116">
        <v>1533.45</v>
      </c>
      <c r="G2615">
        <v>20121</v>
      </c>
      <c r="H2615" s="116"/>
      <c r="I2615" s="116"/>
      <c r="L2615" s="169">
        <v>45854</v>
      </c>
      <c r="M2615" s="116">
        <v>811.6</v>
      </c>
      <c r="N2615" s="116">
        <v>814.2</v>
      </c>
      <c r="O2615" s="116">
        <v>792.4</v>
      </c>
      <c r="P2615" s="116">
        <v>799.95</v>
      </c>
      <c r="Q2615" s="116">
        <v>811.6</v>
      </c>
      <c r="R2615">
        <v>166647</v>
      </c>
    </row>
    <row r="2616" spans="1:18" x14ac:dyDescent="0.25">
      <c r="A2616" s="169">
        <v>45863</v>
      </c>
      <c r="B2616" s="116">
        <v>1540.8</v>
      </c>
      <c r="C2616" s="116">
        <v>1504.1</v>
      </c>
      <c r="D2616" s="116">
        <v>1501.05</v>
      </c>
      <c r="E2616" s="116">
        <v>1534.95</v>
      </c>
      <c r="F2616" s="116">
        <v>1504.1</v>
      </c>
      <c r="G2616">
        <v>26060</v>
      </c>
      <c r="H2616" s="116"/>
      <c r="I2616" s="116"/>
      <c r="L2616" s="169">
        <v>45855</v>
      </c>
      <c r="M2616" s="116">
        <v>818.7</v>
      </c>
      <c r="N2616" s="116">
        <v>823.9</v>
      </c>
      <c r="O2616" s="116">
        <v>807.25</v>
      </c>
      <c r="P2616" s="116">
        <v>815</v>
      </c>
      <c r="Q2616" s="116">
        <v>818.7</v>
      </c>
      <c r="R2616">
        <v>177827</v>
      </c>
    </row>
    <row r="2617" spans="1:18" x14ac:dyDescent="0.25">
      <c r="A2617" s="169">
        <v>45866</v>
      </c>
      <c r="B2617" s="116">
        <v>1517.25</v>
      </c>
      <c r="C2617" s="116">
        <v>1471.65</v>
      </c>
      <c r="D2617" s="116">
        <v>1466.75</v>
      </c>
      <c r="E2617" s="116">
        <v>1517.25</v>
      </c>
      <c r="F2617" s="116">
        <v>1471.65</v>
      </c>
      <c r="G2617">
        <v>17098</v>
      </c>
      <c r="H2617" s="116"/>
      <c r="I2617" s="116"/>
      <c r="L2617" s="169">
        <v>45856</v>
      </c>
      <c r="M2617" s="116">
        <v>817</v>
      </c>
      <c r="N2617" s="116">
        <v>821</v>
      </c>
      <c r="O2617" s="116">
        <v>806</v>
      </c>
      <c r="P2617" s="116">
        <v>818.7</v>
      </c>
      <c r="Q2617" s="116">
        <v>817</v>
      </c>
      <c r="R2617">
        <v>130960</v>
      </c>
    </row>
    <row r="2618" spans="1:18" x14ac:dyDescent="0.25">
      <c r="A2618" s="169">
        <v>45867</v>
      </c>
      <c r="B2618" s="116">
        <v>1497.25</v>
      </c>
      <c r="C2618" s="116">
        <v>1486.7</v>
      </c>
      <c r="D2618" s="116">
        <v>1457.05</v>
      </c>
      <c r="E2618" s="116">
        <v>1462.65</v>
      </c>
      <c r="F2618" s="116">
        <v>1486.7</v>
      </c>
      <c r="G2618">
        <v>12342</v>
      </c>
      <c r="H2618" s="116"/>
      <c r="I2618" s="116"/>
      <c r="L2618" s="169">
        <v>45859</v>
      </c>
      <c r="M2618" s="116">
        <v>813</v>
      </c>
      <c r="N2618" s="116">
        <v>814.75</v>
      </c>
      <c r="O2618" s="116">
        <v>800.6</v>
      </c>
      <c r="P2618" s="116">
        <v>810</v>
      </c>
      <c r="Q2618" s="116">
        <v>813</v>
      </c>
      <c r="R2618">
        <v>144530</v>
      </c>
    </row>
    <row r="2619" spans="1:18" x14ac:dyDescent="0.25">
      <c r="A2619" s="169">
        <v>45868</v>
      </c>
      <c r="B2619" s="116">
        <v>1525</v>
      </c>
      <c r="C2619" s="116">
        <v>1517.85</v>
      </c>
      <c r="D2619" s="116">
        <v>1487.3</v>
      </c>
      <c r="E2619" s="116">
        <v>1490</v>
      </c>
      <c r="F2619" s="116">
        <v>1517.85</v>
      </c>
      <c r="G2619">
        <v>22884</v>
      </c>
      <c r="H2619" s="116"/>
      <c r="I2619" s="116"/>
      <c r="L2619" s="169">
        <v>45860</v>
      </c>
      <c r="M2619" s="116">
        <v>798.6</v>
      </c>
      <c r="N2619" s="116">
        <v>822</v>
      </c>
      <c r="O2619" s="116">
        <v>794</v>
      </c>
      <c r="P2619" s="116">
        <v>815</v>
      </c>
      <c r="Q2619" s="116">
        <v>798.6</v>
      </c>
      <c r="R2619">
        <v>283702</v>
      </c>
    </row>
    <row r="2620" spans="1:18" x14ac:dyDescent="0.25">
      <c r="A2620" s="169">
        <v>45869</v>
      </c>
      <c r="B2620" s="116">
        <v>1529.8</v>
      </c>
      <c r="C2620" s="116">
        <v>1501.75</v>
      </c>
      <c r="D2620" s="116">
        <v>1475.5</v>
      </c>
      <c r="E2620" s="116">
        <v>1498.5</v>
      </c>
      <c r="F2620" s="116">
        <v>1501.75</v>
      </c>
      <c r="G2620">
        <v>23854</v>
      </c>
      <c r="H2620" s="116"/>
      <c r="I2620" s="116"/>
      <c r="L2620" s="169">
        <v>45861</v>
      </c>
      <c r="M2620" s="116">
        <v>787.4</v>
      </c>
      <c r="N2620" s="116">
        <v>799.9</v>
      </c>
      <c r="O2620" s="116">
        <v>786.1</v>
      </c>
      <c r="P2620" s="116">
        <v>799.9</v>
      </c>
      <c r="Q2620" s="116">
        <v>787.4</v>
      </c>
      <c r="R2620">
        <v>146623</v>
      </c>
    </row>
    <row r="2621" spans="1:18" x14ac:dyDescent="0.25">
      <c r="A2621" s="169">
        <v>45870</v>
      </c>
      <c r="B2621" s="116">
        <v>1504.55</v>
      </c>
      <c r="C2621" s="116">
        <v>1445.65</v>
      </c>
      <c r="D2621" s="116">
        <v>1425.5</v>
      </c>
      <c r="E2621" s="116">
        <v>1504.55</v>
      </c>
      <c r="F2621" s="116">
        <v>1445.65</v>
      </c>
      <c r="G2621">
        <v>20158</v>
      </c>
      <c r="H2621" s="116"/>
      <c r="I2621" s="116"/>
      <c r="L2621" s="169">
        <v>45862</v>
      </c>
      <c r="M2621" s="116">
        <v>772.4</v>
      </c>
      <c r="N2621" s="116">
        <v>790.45</v>
      </c>
      <c r="O2621" s="116">
        <v>768</v>
      </c>
      <c r="P2621" s="116">
        <v>787.1</v>
      </c>
      <c r="Q2621" s="116">
        <v>772.4</v>
      </c>
      <c r="R2621">
        <v>238154</v>
      </c>
    </row>
    <row r="2622" spans="1:18" x14ac:dyDescent="0.25">
      <c r="A2622" s="169">
        <v>45873</v>
      </c>
      <c r="B2622" s="116">
        <v>1479.95</v>
      </c>
      <c r="C2622" s="116">
        <v>1473.8</v>
      </c>
      <c r="D2622" s="116">
        <v>1446.25</v>
      </c>
      <c r="E2622" s="116">
        <v>1446.25</v>
      </c>
      <c r="F2622" s="116">
        <v>1473.8</v>
      </c>
      <c r="G2622">
        <v>10736</v>
      </c>
      <c r="H2622" s="116"/>
      <c r="I2622" s="116"/>
      <c r="L2622" s="169">
        <v>45863</v>
      </c>
      <c r="M2622" s="116">
        <v>774.6</v>
      </c>
      <c r="N2622" s="116">
        <v>781.65</v>
      </c>
      <c r="O2622" s="116">
        <v>769.3</v>
      </c>
      <c r="P2622" s="116">
        <v>772.4</v>
      </c>
      <c r="Q2622" s="116">
        <v>774.6</v>
      </c>
      <c r="R2622">
        <v>265897</v>
      </c>
    </row>
    <row r="2623" spans="1:18" x14ac:dyDescent="0.25">
      <c r="A2623" s="169">
        <v>45874</v>
      </c>
      <c r="B2623" s="116">
        <v>1481</v>
      </c>
      <c r="C2623" s="116">
        <v>1452.9</v>
      </c>
      <c r="D2623" s="116">
        <v>1431.15</v>
      </c>
      <c r="E2623" s="116">
        <v>1479.4</v>
      </c>
      <c r="F2623" s="116">
        <v>1452.9</v>
      </c>
      <c r="G2623">
        <v>11553</v>
      </c>
      <c r="H2623" s="116"/>
      <c r="I2623" s="116"/>
      <c r="L2623" s="169">
        <v>45866</v>
      </c>
      <c r="M2623" s="116">
        <v>764.65</v>
      </c>
      <c r="N2623" s="116">
        <v>775.95</v>
      </c>
      <c r="O2623" s="116">
        <v>751.1</v>
      </c>
      <c r="P2623" s="116">
        <v>774.3</v>
      </c>
      <c r="Q2623" s="116">
        <v>764.65</v>
      </c>
      <c r="R2623">
        <v>164046</v>
      </c>
    </row>
    <row r="2624" spans="1:18" x14ac:dyDescent="0.25">
      <c r="A2624" s="169">
        <v>45875</v>
      </c>
      <c r="B2624" s="116">
        <v>1461.8</v>
      </c>
      <c r="C2624" s="116">
        <v>1454.55</v>
      </c>
      <c r="D2624" s="116">
        <v>1428.8</v>
      </c>
      <c r="E2624" s="116">
        <v>1453.7</v>
      </c>
      <c r="F2624" s="116">
        <v>1454.55</v>
      </c>
      <c r="G2624">
        <v>18093</v>
      </c>
      <c r="H2624" s="116"/>
      <c r="I2624" s="116"/>
      <c r="L2624" s="169">
        <v>45867</v>
      </c>
      <c r="M2624" s="116">
        <v>748.2</v>
      </c>
      <c r="N2624" s="116">
        <v>764.4</v>
      </c>
      <c r="O2624" s="116">
        <v>744.4</v>
      </c>
      <c r="P2624" s="116">
        <v>764</v>
      </c>
      <c r="Q2624" s="116">
        <v>748.2</v>
      </c>
      <c r="R2624">
        <v>277566</v>
      </c>
    </row>
    <row r="2625" spans="1:18" x14ac:dyDescent="0.25">
      <c r="A2625" s="169">
        <v>45876</v>
      </c>
      <c r="B2625" s="116">
        <v>1463.9</v>
      </c>
      <c r="C2625" s="116">
        <v>1428.5</v>
      </c>
      <c r="D2625" s="116">
        <v>1413.05</v>
      </c>
      <c r="E2625" s="116">
        <v>1463.9</v>
      </c>
      <c r="F2625" s="116">
        <v>1428.5</v>
      </c>
      <c r="G2625">
        <v>14688</v>
      </c>
      <c r="H2625" s="116"/>
      <c r="I2625" s="116"/>
      <c r="L2625" s="169">
        <v>45868</v>
      </c>
      <c r="M2625" s="116">
        <v>739.05</v>
      </c>
      <c r="N2625" s="116">
        <v>759.9</v>
      </c>
      <c r="O2625" s="116">
        <v>737.3</v>
      </c>
      <c r="P2625" s="116">
        <v>759.9</v>
      </c>
      <c r="Q2625" s="116">
        <v>739.05</v>
      </c>
      <c r="R2625">
        <v>382664</v>
      </c>
    </row>
    <row r="2626" spans="1:18" x14ac:dyDescent="0.25">
      <c r="A2626" s="169">
        <v>45877</v>
      </c>
      <c r="B2626" s="116">
        <v>1445.95</v>
      </c>
      <c r="C2626" s="116">
        <v>1402.7</v>
      </c>
      <c r="D2626" s="116">
        <v>1387.25</v>
      </c>
      <c r="E2626" s="116">
        <v>1445.95</v>
      </c>
      <c r="F2626" s="116">
        <v>1402.7</v>
      </c>
      <c r="G2626">
        <v>15597</v>
      </c>
      <c r="H2626" s="116"/>
      <c r="I2626" s="116"/>
      <c r="L2626" s="169">
        <v>45869</v>
      </c>
      <c r="M2626" s="116">
        <v>751.95</v>
      </c>
      <c r="N2626" s="116">
        <v>757.25</v>
      </c>
      <c r="O2626" s="116">
        <v>727.5</v>
      </c>
      <c r="P2626" s="116">
        <v>739</v>
      </c>
      <c r="Q2626" s="116">
        <v>751.95</v>
      </c>
      <c r="R2626">
        <v>716582</v>
      </c>
    </row>
    <row r="2627" spans="1:18" x14ac:dyDescent="0.25">
      <c r="A2627" s="169">
        <v>45880</v>
      </c>
      <c r="B2627" s="116">
        <v>1411.4</v>
      </c>
      <c r="C2627" s="116">
        <v>1389.9</v>
      </c>
      <c r="D2627" s="116">
        <v>1356.6</v>
      </c>
      <c r="E2627" s="116">
        <v>1400.3</v>
      </c>
      <c r="F2627" s="116">
        <v>1389.9</v>
      </c>
      <c r="G2627">
        <v>31259</v>
      </c>
      <c r="H2627" s="116"/>
      <c r="I2627" s="116"/>
      <c r="L2627" s="169">
        <v>45870</v>
      </c>
      <c r="M2627" s="116">
        <v>740.35</v>
      </c>
      <c r="N2627" s="116">
        <v>756.45</v>
      </c>
      <c r="O2627" s="116">
        <v>737.05</v>
      </c>
      <c r="P2627" s="116">
        <v>751.95</v>
      </c>
      <c r="Q2627" s="116">
        <v>740.35</v>
      </c>
      <c r="R2627">
        <v>191651</v>
      </c>
    </row>
    <row r="2628" spans="1:18" x14ac:dyDescent="0.25">
      <c r="A2628" s="169">
        <v>45881</v>
      </c>
      <c r="B2628" s="116">
        <v>1424.95</v>
      </c>
      <c r="C2628" s="116">
        <v>1379.85</v>
      </c>
      <c r="D2628" s="116">
        <v>1373.8</v>
      </c>
      <c r="E2628" s="116">
        <v>1407.65</v>
      </c>
      <c r="F2628" s="116">
        <v>1379.85</v>
      </c>
      <c r="G2628">
        <v>20237</v>
      </c>
      <c r="H2628" s="116"/>
      <c r="I2628" s="116"/>
      <c r="L2628" s="169">
        <v>45873</v>
      </c>
      <c r="M2628" s="116">
        <v>757.2</v>
      </c>
      <c r="N2628" s="116">
        <v>758</v>
      </c>
      <c r="O2628" s="116">
        <v>735.75</v>
      </c>
      <c r="P2628" s="116">
        <v>744</v>
      </c>
      <c r="Q2628" s="116">
        <v>757.2</v>
      </c>
      <c r="R2628">
        <v>82441</v>
      </c>
    </row>
    <row r="2629" spans="1:18" x14ac:dyDescent="0.25">
      <c r="A2629" s="169">
        <v>45882</v>
      </c>
      <c r="B2629" s="116">
        <v>1475.1</v>
      </c>
      <c r="C2629" s="116">
        <v>1407.4</v>
      </c>
      <c r="D2629" s="116">
        <v>1392.5</v>
      </c>
      <c r="E2629" s="116">
        <v>1401.4</v>
      </c>
      <c r="F2629" s="116">
        <v>1407.4</v>
      </c>
      <c r="G2629">
        <v>36107</v>
      </c>
      <c r="H2629" s="116"/>
      <c r="I2629" s="116"/>
      <c r="L2629" s="169">
        <v>45874</v>
      </c>
      <c r="M2629" s="116">
        <v>756.95</v>
      </c>
      <c r="N2629" s="116">
        <v>764.9</v>
      </c>
      <c r="O2629" s="116">
        <v>746.55</v>
      </c>
      <c r="P2629" s="116">
        <v>757.3</v>
      </c>
      <c r="Q2629" s="116">
        <v>756.95</v>
      </c>
      <c r="R2629">
        <v>115005</v>
      </c>
    </row>
    <row r="2630" spans="1:18" x14ac:dyDescent="0.25">
      <c r="A2630" s="169">
        <v>45883</v>
      </c>
      <c r="B2630" s="116">
        <v>1421.5</v>
      </c>
      <c r="C2630" s="116">
        <v>1398.3</v>
      </c>
      <c r="D2630" s="116">
        <v>1386.5</v>
      </c>
      <c r="E2630" s="116">
        <v>1421.5</v>
      </c>
      <c r="F2630" s="116">
        <v>1398.3</v>
      </c>
      <c r="G2630">
        <v>12956</v>
      </c>
      <c r="H2630" s="116"/>
      <c r="I2630" s="116"/>
      <c r="L2630" s="169">
        <v>45875</v>
      </c>
      <c r="M2630" s="116">
        <v>744.3</v>
      </c>
      <c r="N2630" s="116">
        <v>757.5</v>
      </c>
      <c r="O2630" s="116">
        <v>742.1</v>
      </c>
      <c r="P2630" s="116">
        <v>754.85</v>
      </c>
      <c r="Q2630" s="116">
        <v>744.3</v>
      </c>
      <c r="R2630">
        <v>58920</v>
      </c>
    </row>
    <row r="2631" spans="1:18" x14ac:dyDescent="0.25">
      <c r="A2631" s="169">
        <v>45887</v>
      </c>
      <c r="B2631" s="116">
        <v>1428.7</v>
      </c>
      <c r="C2631" s="116">
        <v>1379.2</v>
      </c>
      <c r="D2631" s="116">
        <v>1352.75</v>
      </c>
      <c r="E2631" s="116">
        <v>1428.7</v>
      </c>
      <c r="F2631" s="116">
        <v>1379.2</v>
      </c>
      <c r="G2631">
        <v>29683</v>
      </c>
      <c r="H2631" s="116"/>
      <c r="I2631" s="116"/>
      <c r="L2631" s="169">
        <v>45876</v>
      </c>
      <c r="M2631" s="116">
        <v>741.95</v>
      </c>
      <c r="N2631" s="116">
        <v>745.15</v>
      </c>
      <c r="O2631" s="116">
        <v>735.9</v>
      </c>
      <c r="P2631" s="116">
        <v>744.3</v>
      </c>
      <c r="Q2631" s="116">
        <v>741.95</v>
      </c>
      <c r="R2631">
        <v>147204</v>
      </c>
    </row>
    <row r="2632" spans="1:18" x14ac:dyDescent="0.25">
      <c r="A2632" s="169">
        <v>45888</v>
      </c>
      <c r="B2632" s="116">
        <v>1406</v>
      </c>
      <c r="C2632" s="116">
        <v>1395.7</v>
      </c>
      <c r="D2632" s="116">
        <v>1373.1</v>
      </c>
      <c r="E2632" s="116">
        <v>1379</v>
      </c>
      <c r="F2632" s="116">
        <v>1395.7</v>
      </c>
      <c r="G2632">
        <v>11218</v>
      </c>
      <c r="H2632" s="116"/>
      <c r="I2632" s="116"/>
      <c r="L2632" s="169">
        <v>45877</v>
      </c>
      <c r="M2632" s="116">
        <v>743.65</v>
      </c>
      <c r="N2632" s="116">
        <v>753.85</v>
      </c>
      <c r="O2632" s="116">
        <v>732.15</v>
      </c>
      <c r="P2632" s="116">
        <v>740.85</v>
      </c>
      <c r="Q2632" s="116">
        <v>743.65</v>
      </c>
      <c r="R2632">
        <v>79781</v>
      </c>
    </row>
    <row r="2633" spans="1:18" x14ac:dyDescent="0.25">
      <c r="A2633" s="169">
        <v>45889</v>
      </c>
      <c r="B2633" s="116">
        <v>1447.95</v>
      </c>
      <c r="C2633" s="116">
        <v>1416.1</v>
      </c>
      <c r="D2633" s="116">
        <v>1404.25</v>
      </c>
      <c r="E2633" s="116">
        <v>1421.9</v>
      </c>
      <c r="F2633" s="116">
        <v>1416.1</v>
      </c>
      <c r="G2633">
        <v>31485</v>
      </c>
      <c r="H2633" s="116"/>
      <c r="I2633" s="116"/>
      <c r="L2633" s="169">
        <v>45880</v>
      </c>
      <c r="M2633" s="116">
        <v>753.95</v>
      </c>
      <c r="N2633" s="116">
        <v>756.95</v>
      </c>
      <c r="O2633" s="116">
        <v>740.25</v>
      </c>
      <c r="P2633" s="116">
        <v>742.55</v>
      </c>
      <c r="Q2633" s="116">
        <v>753.95</v>
      </c>
      <c r="R2633">
        <v>515783</v>
      </c>
    </row>
    <row r="2634" spans="1:18" x14ac:dyDescent="0.25">
      <c r="A2634" s="169">
        <v>45890</v>
      </c>
      <c r="B2634" s="116">
        <v>1430.05</v>
      </c>
      <c r="C2634" s="116">
        <v>1393.1</v>
      </c>
      <c r="D2634" s="116">
        <v>1377.6</v>
      </c>
      <c r="E2634" s="116">
        <v>1430.05</v>
      </c>
      <c r="F2634" s="116">
        <v>1393.1</v>
      </c>
      <c r="G2634">
        <v>20212</v>
      </c>
      <c r="H2634" s="116"/>
      <c r="I2634" s="116"/>
      <c r="L2634" s="169">
        <v>45881</v>
      </c>
      <c r="M2634" s="116">
        <v>742.95</v>
      </c>
      <c r="N2634" s="116">
        <v>754.65</v>
      </c>
      <c r="O2634" s="116">
        <v>738.9</v>
      </c>
      <c r="P2634" s="116">
        <v>753.8</v>
      </c>
      <c r="Q2634" s="116">
        <v>742.95</v>
      </c>
      <c r="R2634">
        <v>125462</v>
      </c>
    </row>
    <row r="2635" spans="1:18" x14ac:dyDescent="0.25">
      <c r="A2635" s="169">
        <v>45891</v>
      </c>
      <c r="B2635" s="116">
        <v>1394.9</v>
      </c>
      <c r="C2635" s="116">
        <v>1354.95</v>
      </c>
      <c r="D2635" s="116">
        <v>1350</v>
      </c>
      <c r="E2635" s="116">
        <v>1389.4</v>
      </c>
      <c r="F2635" s="116">
        <v>1354.95</v>
      </c>
      <c r="G2635">
        <v>34544</v>
      </c>
      <c r="H2635" s="116"/>
      <c r="I2635" s="116"/>
      <c r="L2635" s="169">
        <v>45882</v>
      </c>
      <c r="M2635" s="116">
        <v>751.65</v>
      </c>
      <c r="N2635" s="116">
        <v>755.95</v>
      </c>
      <c r="O2635" s="116">
        <v>739.2</v>
      </c>
      <c r="P2635" s="116">
        <v>744.75</v>
      </c>
      <c r="Q2635" s="116">
        <v>751.65</v>
      </c>
      <c r="R2635">
        <v>94881</v>
      </c>
    </row>
    <row r="2636" spans="1:18" x14ac:dyDescent="0.25">
      <c r="A2636" s="169">
        <v>45894</v>
      </c>
      <c r="B2636" s="116">
        <v>1378.45</v>
      </c>
      <c r="C2636" s="116">
        <v>1341.4</v>
      </c>
      <c r="D2636" s="116">
        <v>1336.5</v>
      </c>
      <c r="E2636" s="116">
        <v>1353.05</v>
      </c>
      <c r="F2636" s="116">
        <v>1341.4</v>
      </c>
      <c r="G2636">
        <v>25286</v>
      </c>
      <c r="H2636" s="116"/>
      <c r="I2636" s="116"/>
      <c r="L2636" s="169">
        <v>45883</v>
      </c>
      <c r="M2636" s="116">
        <v>758.95</v>
      </c>
      <c r="N2636" s="116">
        <v>763.95</v>
      </c>
      <c r="O2636" s="116">
        <v>745.2</v>
      </c>
      <c r="P2636" s="116">
        <v>745.2</v>
      </c>
      <c r="Q2636" s="116">
        <v>758.95</v>
      </c>
      <c r="R2636">
        <v>363612</v>
      </c>
    </row>
    <row r="2637" spans="1:18" x14ac:dyDescent="0.25">
      <c r="A2637" s="169">
        <v>45895</v>
      </c>
      <c r="B2637" s="116">
        <v>1367.55</v>
      </c>
      <c r="C2637" s="116">
        <v>1309.55</v>
      </c>
      <c r="D2637" s="116">
        <v>1305</v>
      </c>
      <c r="E2637" s="116">
        <v>1367.55</v>
      </c>
      <c r="F2637" s="116">
        <v>1309.55</v>
      </c>
      <c r="G2637">
        <v>27847</v>
      </c>
      <c r="H2637" s="116"/>
      <c r="I2637" s="116"/>
      <c r="L2637" s="169">
        <v>45887</v>
      </c>
      <c r="M2637" s="116">
        <v>758.95</v>
      </c>
      <c r="N2637" s="116">
        <v>767</v>
      </c>
      <c r="O2637" s="116">
        <v>756.8</v>
      </c>
      <c r="P2637" s="116">
        <v>766</v>
      </c>
      <c r="Q2637" s="116">
        <v>758.95</v>
      </c>
      <c r="R2637">
        <v>143259</v>
      </c>
    </row>
    <row r="2638" spans="1:18" x14ac:dyDescent="0.25">
      <c r="A2638" s="169">
        <v>45897</v>
      </c>
      <c r="B2638" s="116">
        <v>1321.25</v>
      </c>
      <c r="C2638" s="116">
        <v>1308.25</v>
      </c>
      <c r="D2638" s="116">
        <v>1292</v>
      </c>
      <c r="E2638" s="116">
        <v>1302.05</v>
      </c>
      <c r="F2638" s="116">
        <v>1308.25</v>
      </c>
      <c r="G2638">
        <v>29324</v>
      </c>
      <c r="H2638" s="116"/>
      <c r="I2638" s="116"/>
      <c r="L2638" s="169">
        <v>45888</v>
      </c>
      <c r="M2638" s="116">
        <v>768.1</v>
      </c>
      <c r="N2638" s="116">
        <v>769</v>
      </c>
      <c r="O2638" s="116">
        <v>755.45</v>
      </c>
      <c r="P2638" s="116">
        <v>758.95</v>
      </c>
      <c r="Q2638" s="116">
        <v>768.1</v>
      </c>
      <c r="R2638">
        <v>102197</v>
      </c>
    </row>
    <row r="2639" spans="1:18" x14ac:dyDescent="0.25">
      <c r="A2639" s="169">
        <v>45898</v>
      </c>
      <c r="B2639" s="116">
        <v>1320.8</v>
      </c>
      <c r="C2639" s="116">
        <v>1289.45</v>
      </c>
      <c r="D2639" s="116">
        <v>1285</v>
      </c>
      <c r="E2639" s="116">
        <v>1320.8</v>
      </c>
      <c r="F2639" s="116">
        <v>1289.45</v>
      </c>
      <c r="G2639">
        <v>29720</v>
      </c>
      <c r="H2639" s="116"/>
      <c r="I2639" s="116"/>
      <c r="L2639" s="169">
        <v>45889</v>
      </c>
      <c r="M2639" s="116">
        <v>780.1</v>
      </c>
      <c r="N2639" s="116">
        <v>783.85</v>
      </c>
      <c r="O2639" s="116">
        <v>765.8</v>
      </c>
      <c r="P2639" s="116">
        <v>768.1</v>
      </c>
      <c r="Q2639" s="116">
        <v>780.1</v>
      </c>
      <c r="R2639">
        <v>988760</v>
      </c>
    </row>
    <row r="2640" spans="1:18" x14ac:dyDescent="0.25">
      <c r="A2640" s="169">
        <v>45901</v>
      </c>
      <c r="B2640" s="116">
        <v>1332.95</v>
      </c>
      <c r="C2640" s="116">
        <v>1328.6</v>
      </c>
      <c r="D2640" s="116">
        <v>1285</v>
      </c>
      <c r="E2640" s="116">
        <v>1289.8499999999999</v>
      </c>
      <c r="F2640" s="116">
        <v>1328.6</v>
      </c>
      <c r="G2640">
        <v>40403</v>
      </c>
      <c r="H2640" s="116"/>
      <c r="I2640" s="116"/>
      <c r="L2640" s="169">
        <v>45890</v>
      </c>
      <c r="M2640" s="116">
        <v>782.1</v>
      </c>
      <c r="N2640" s="116">
        <v>789.9</v>
      </c>
      <c r="O2640" s="116">
        <v>777.05</v>
      </c>
      <c r="P2640" s="116">
        <v>787.95</v>
      </c>
      <c r="Q2640" s="116">
        <v>782.1</v>
      </c>
      <c r="R2640">
        <v>110420</v>
      </c>
    </row>
    <row r="2641" spans="1:18" x14ac:dyDescent="0.25">
      <c r="A2641" s="169">
        <v>45902</v>
      </c>
      <c r="B2641" s="116">
        <v>1339.9</v>
      </c>
      <c r="C2641" s="116">
        <v>1318.55</v>
      </c>
      <c r="D2641" s="116">
        <v>1311</v>
      </c>
      <c r="E2641" s="116">
        <v>1339.9</v>
      </c>
      <c r="F2641" s="116">
        <v>1318.55</v>
      </c>
      <c r="G2641">
        <v>18817</v>
      </c>
      <c r="H2641" s="116"/>
      <c r="I2641" s="116"/>
      <c r="L2641" s="169">
        <v>45891</v>
      </c>
      <c r="M2641" s="116">
        <v>769.75</v>
      </c>
      <c r="N2641" s="116">
        <v>787.95</v>
      </c>
      <c r="O2641" s="116">
        <v>768.05</v>
      </c>
      <c r="P2641" s="116">
        <v>787.75</v>
      </c>
      <c r="Q2641" s="116">
        <v>769.75</v>
      </c>
      <c r="R2641">
        <v>85209</v>
      </c>
    </row>
    <row r="2642" spans="1:18" x14ac:dyDescent="0.25">
      <c r="A2642" s="169">
        <v>45903</v>
      </c>
      <c r="B2642" s="116">
        <v>1362.8</v>
      </c>
      <c r="C2642" s="116">
        <v>1337.05</v>
      </c>
      <c r="D2642" s="116">
        <v>1325.5</v>
      </c>
      <c r="E2642" s="116">
        <v>1326.4</v>
      </c>
      <c r="F2642" s="116">
        <v>1337.05</v>
      </c>
      <c r="G2642">
        <v>27488</v>
      </c>
      <c r="H2642" s="116"/>
      <c r="I2642" s="116"/>
      <c r="L2642" s="169">
        <v>45894</v>
      </c>
      <c r="M2642" s="116">
        <v>767.15</v>
      </c>
      <c r="N2642" s="116">
        <v>772.35</v>
      </c>
      <c r="O2642" s="116">
        <v>762</v>
      </c>
      <c r="P2642" s="116">
        <v>770.9</v>
      </c>
      <c r="Q2642" s="116">
        <v>767.15</v>
      </c>
      <c r="R2642">
        <v>167084</v>
      </c>
    </row>
    <row r="2643" spans="1:18" x14ac:dyDescent="0.25">
      <c r="A2643" s="169">
        <v>45904</v>
      </c>
      <c r="B2643" s="116">
        <v>1364.4</v>
      </c>
      <c r="C2643" s="116">
        <v>1299.25</v>
      </c>
      <c r="D2643" s="116">
        <v>1294</v>
      </c>
      <c r="E2643" s="116">
        <v>1340.6</v>
      </c>
      <c r="F2643" s="116">
        <v>1299.25</v>
      </c>
      <c r="G2643">
        <v>22410</v>
      </c>
      <c r="H2643" s="116"/>
      <c r="I2643" s="116"/>
      <c r="L2643" s="169">
        <v>45895</v>
      </c>
      <c r="M2643" s="116">
        <v>739.85</v>
      </c>
      <c r="N2643" s="116">
        <v>768.75</v>
      </c>
      <c r="O2643" s="116">
        <v>733</v>
      </c>
      <c r="P2643" s="116">
        <v>764.8</v>
      </c>
      <c r="Q2643" s="116">
        <v>739.85</v>
      </c>
      <c r="R2643">
        <v>294477</v>
      </c>
    </row>
    <row r="2644" spans="1:18" x14ac:dyDescent="0.25">
      <c r="A2644" s="169">
        <v>45905</v>
      </c>
      <c r="B2644" s="116">
        <v>1306.5</v>
      </c>
      <c r="C2644" s="116">
        <v>1293.7</v>
      </c>
      <c r="D2644" s="116">
        <v>1284.8499999999999</v>
      </c>
      <c r="E2644" s="116">
        <v>1302.8499999999999</v>
      </c>
      <c r="F2644" s="116">
        <v>1293.7</v>
      </c>
      <c r="G2644">
        <v>21590</v>
      </c>
      <c r="H2644" s="116"/>
      <c r="I2644" s="116"/>
      <c r="L2644" s="169">
        <v>45897</v>
      </c>
      <c r="M2644" s="116">
        <v>725.65</v>
      </c>
      <c r="N2644" s="116">
        <v>745.95</v>
      </c>
      <c r="O2644" s="116">
        <v>724.3</v>
      </c>
      <c r="P2644" s="116">
        <v>739.85</v>
      </c>
      <c r="Q2644" s="116">
        <v>725.65</v>
      </c>
      <c r="R2644">
        <v>116881</v>
      </c>
    </row>
    <row r="2645" spans="1:18" x14ac:dyDescent="0.25">
      <c r="A2645" s="169">
        <v>45908</v>
      </c>
      <c r="B2645" s="116">
        <v>1332.45</v>
      </c>
      <c r="C2645" s="116">
        <v>1303.3</v>
      </c>
      <c r="D2645" s="116">
        <v>1295</v>
      </c>
      <c r="E2645" s="116">
        <v>1297.7</v>
      </c>
      <c r="F2645" s="116">
        <v>1303.3</v>
      </c>
      <c r="G2645">
        <v>14640</v>
      </c>
      <c r="H2645" s="116"/>
      <c r="I2645" s="116"/>
      <c r="L2645" s="169">
        <v>45898</v>
      </c>
      <c r="M2645" s="116">
        <v>717.65</v>
      </c>
      <c r="N2645" s="116">
        <v>727.55</v>
      </c>
      <c r="O2645" s="116">
        <v>708.6</v>
      </c>
      <c r="P2645" s="116">
        <v>725</v>
      </c>
      <c r="Q2645" s="116">
        <v>717.65</v>
      </c>
      <c r="R2645">
        <v>180341</v>
      </c>
    </row>
    <row r="2646" spans="1:18" x14ac:dyDescent="0.25">
      <c r="A2646" s="169">
        <v>45909</v>
      </c>
      <c r="B2646" s="116">
        <v>1331.95</v>
      </c>
      <c r="C2646" s="116">
        <v>1315.6</v>
      </c>
      <c r="D2646" s="116">
        <v>1290</v>
      </c>
      <c r="E2646" s="116">
        <v>1296.1500000000001</v>
      </c>
      <c r="F2646" s="116">
        <v>1315.6</v>
      </c>
      <c r="G2646">
        <v>29269</v>
      </c>
      <c r="H2646" s="116"/>
      <c r="I2646" s="116"/>
      <c r="L2646" s="169">
        <v>45901</v>
      </c>
      <c r="M2646" s="116">
        <v>719.9</v>
      </c>
      <c r="N2646" s="116">
        <v>725</v>
      </c>
      <c r="O2646" s="116">
        <v>715</v>
      </c>
      <c r="P2646" s="116">
        <v>717.65</v>
      </c>
      <c r="Q2646" s="116">
        <v>719.9</v>
      </c>
      <c r="R2646">
        <v>136681</v>
      </c>
    </row>
    <row r="2647" spans="1:18" x14ac:dyDescent="0.25">
      <c r="A2647" s="169">
        <v>45910</v>
      </c>
      <c r="B2647" s="116">
        <v>1332</v>
      </c>
      <c r="C2647" s="116">
        <v>1314.65</v>
      </c>
      <c r="D2647" s="116">
        <v>1309</v>
      </c>
      <c r="E2647" s="116">
        <v>1329.45</v>
      </c>
      <c r="F2647" s="116">
        <v>1314.65</v>
      </c>
      <c r="G2647">
        <v>9950</v>
      </c>
      <c r="H2647" s="116"/>
      <c r="I2647" s="116"/>
      <c r="L2647" s="169">
        <v>45902</v>
      </c>
      <c r="M2647" s="116">
        <v>755.15</v>
      </c>
      <c r="N2647" s="116">
        <v>759.5</v>
      </c>
      <c r="O2647" s="116">
        <v>720.1</v>
      </c>
      <c r="P2647" s="116">
        <v>725.75</v>
      </c>
      <c r="Q2647" s="116">
        <v>755.15</v>
      </c>
      <c r="R2647">
        <v>220456</v>
      </c>
    </row>
    <row r="2648" spans="1:18" x14ac:dyDescent="0.25">
      <c r="A2648" s="169">
        <v>45911</v>
      </c>
      <c r="B2648" s="116">
        <v>1320.25</v>
      </c>
      <c r="C2648" s="116">
        <v>1303.2</v>
      </c>
      <c r="D2648" s="116">
        <v>1300.5999999999999</v>
      </c>
      <c r="E2648" s="116">
        <v>1314.65</v>
      </c>
      <c r="F2648" s="116">
        <v>1303.2</v>
      </c>
      <c r="G2648">
        <v>10762</v>
      </c>
      <c r="H2648" s="116"/>
      <c r="I2648" s="116"/>
      <c r="L2648" s="169">
        <v>45903</v>
      </c>
      <c r="M2648" s="116">
        <v>764.65</v>
      </c>
      <c r="N2648" s="116">
        <v>769</v>
      </c>
      <c r="O2648" s="116">
        <v>751.55</v>
      </c>
      <c r="P2648" s="116">
        <v>753.1</v>
      </c>
      <c r="Q2648" s="116">
        <v>764.65</v>
      </c>
      <c r="R2648">
        <v>87410</v>
      </c>
    </row>
    <row r="2649" spans="1:18" x14ac:dyDescent="0.25">
      <c r="A2649" s="169">
        <v>45912</v>
      </c>
      <c r="B2649" s="116">
        <v>1312.55</v>
      </c>
      <c r="C2649" s="116">
        <v>1297.5</v>
      </c>
      <c r="D2649" s="116">
        <v>1294.05</v>
      </c>
      <c r="E2649" s="116">
        <v>1312.55</v>
      </c>
      <c r="F2649" s="116">
        <v>1297.5</v>
      </c>
      <c r="G2649">
        <v>13507</v>
      </c>
      <c r="H2649" s="116"/>
      <c r="I2649" s="116"/>
      <c r="L2649" s="169">
        <v>45904</v>
      </c>
      <c r="M2649" s="116">
        <v>756.35</v>
      </c>
      <c r="N2649" s="116">
        <v>774.95</v>
      </c>
      <c r="O2649" s="116">
        <v>751.55</v>
      </c>
      <c r="P2649" s="116">
        <v>768.45</v>
      </c>
      <c r="Q2649" s="116">
        <v>756.35</v>
      </c>
      <c r="R2649">
        <v>140967</v>
      </c>
    </row>
    <row r="2650" spans="1:18" x14ac:dyDescent="0.25">
      <c r="A2650" s="169">
        <v>45915</v>
      </c>
      <c r="B2650" s="116">
        <v>1326.75</v>
      </c>
      <c r="C2650" s="116">
        <v>1321.9</v>
      </c>
      <c r="D2650" s="116">
        <v>1281.6500000000001</v>
      </c>
      <c r="E2650" s="116">
        <v>1300</v>
      </c>
      <c r="F2650" s="116">
        <v>1321.9</v>
      </c>
      <c r="G2650">
        <v>25662</v>
      </c>
      <c r="H2650" s="116"/>
      <c r="I2650" s="116"/>
      <c r="L2650" s="169">
        <v>45905</v>
      </c>
      <c r="M2650" s="116">
        <v>754.55</v>
      </c>
      <c r="N2650" s="116">
        <v>764.9</v>
      </c>
      <c r="O2650" s="116">
        <v>742.4</v>
      </c>
      <c r="P2650" s="116">
        <v>757.6</v>
      </c>
      <c r="Q2650" s="116">
        <v>754.55</v>
      </c>
      <c r="R2650">
        <v>122464</v>
      </c>
    </row>
    <row r="2651" spans="1:18" x14ac:dyDescent="0.25">
      <c r="A2651" s="169">
        <v>45916</v>
      </c>
      <c r="B2651" s="116">
        <v>1339.95</v>
      </c>
      <c r="C2651" s="116">
        <v>1315.05</v>
      </c>
      <c r="D2651" s="116">
        <v>1307</v>
      </c>
      <c r="E2651" s="116">
        <v>1339.95</v>
      </c>
      <c r="F2651" s="116">
        <v>1315.05</v>
      </c>
      <c r="G2651">
        <v>7876</v>
      </c>
      <c r="H2651" s="116"/>
      <c r="I2651" s="116"/>
      <c r="L2651" s="169">
        <v>45908</v>
      </c>
      <c r="M2651" s="116">
        <v>745.9</v>
      </c>
      <c r="N2651" s="116">
        <v>755.7</v>
      </c>
      <c r="O2651" s="116">
        <v>743.75</v>
      </c>
      <c r="P2651" s="116">
        <v>751.05</v>
      </c>
      <c r="Q2651" s="116">
        <v>745.9</v>
      </c>
      <c r="R2651">
        <v>51109</v>
      </c>
    </row>
    <row r="2652" spans="1:18" x14ac:dyDescent="0.25">
      <c r="A2652" s="169">
        <v>45917</v>
      </c>
      <c r="B2652" s="116">
        <v>1345</v>
      </c>
      <c r="C2652" s="116">
        <v>1339.9</v>
      </c>
      <c r="D2652" s="116">
        <v>1309</v>
      </c>
      <c r="E2652" s="116">
        <v>1315.4</v>
      </c>
      <c r="F2652" s="116">
        <v>1339.9</v>
      </c>
      <c r="G2652">
        <v>17423</v>
      </c>
      <c r="H2652" s="116"/>
      <c r="I2652" s="116"/>
      <c r="L2652" s="169">
        <v>45909</v>
      </c>
      <c r="M2652" s="116">
        <v>742.65</v>
      </c>
      <c r="N2652" s="116">
        <v>750.75</v>
      </c>
      <c r="O2652" s="116">
        <v>738.75</v>
      </c>
      <c r="P2652" s="116">
        <v>747.8</v>
      </c>
      <c r="Q2652" s="116">
        <v>742.65</v>
      </c>
      <c r="R2652">
        <v>43379</v>
      </c>
    </row>
    <row r="2653" spans="1:18" x14ac:dyDescent="0.25">
      <c r="A2653" s="169">
        <v>45918</v>
      </c>
      <c r="B2653" s="116">
        <v>1352</v>
      </c>
      <c r="C2653" s="116">
        <v>1335.05</v>
      </c>
      <c r="D2653" s="116">
        <v>1327</v>
      </c>
      <c r="E2653" s="116">
        <v>1350.15</v>
      </c>
      <c r="F2653" s="116">
        <v>1335.05</v>
      </c>
      <c r="G2653">
        <v>14208</v>
      </c>
      <c r="H2653" s="116"/>
      <c r="I2653" s="116"/>
      <c r="L2653" s="169">
        <v>45910</v>
      </c>
      <c r="M2653" s="116">
        <v>740.75</v>
      </c>
      <c r="N2653" s="116">
        <v>748.75</v>
      </c>
      <c r="O2653" s="116">
        <v>737.1</v>
      </c>
      <c r="P2653" s="116">
        <v>743</v>
      </c>
      <c r="Q2653" s="116">
        <v>740.75</v>
      </c>
      <c r="R2653">
        <v>55694</v>
      </c>
    </row>
    <row r="2654" spans="1:18" x14ac:dyDescent="0.25">
      <c r="A2654" s="169">
        <v>45919</v>
      </c>
      <c r="B2654" s="116">
        <v>1349.85</v>
      </c>
      <c r="C2654" s="116">
        <v>1332.7</v>
      </c>
      <c r="D2654" s="116">
        <v>1315.35</v>
      </c>
      <c r="E2654" s="116">
        <v>1349.85</v>
      </c>
      <c r="F2654" s="116">
        <v>1332.7</v>
      </c>
      <c r="G2654">
        <v>29361</v>
      </c>
      <c r="H2654" s="116"/>
      <c r="I2654" s="116"/>
      <c r="L2654" s="169">
        <v>45911</v>
      </c>
      <c r="M2654" s="116">
        <v>740.85</v>
      </c>
      <c r="N2654" s="116">
        <v>741.85</v>
      </c>
      <c r="O2654" s="116">
        <v>735.2</v>
      </c>
      <c r="P2654" s="116">
        <v>740.3</v>
      </c>
      <c r="Q2654" s="116">
        <v>740.85</v>
      </c>
      <c r="R2654">
        <v>142703</v>
      </c>
    </row>
    <row r="2655" spans="1:18" x14ac:dyDescent="0.25">
      <c r="A2655" s="169">
        <v>45922</v>
      </c>
      <c r="B2655" s="116">
        <v>1335</v>
      </c>
      <c r="C2655" s="116">
        <v>1313.3</v>
      </c>
      <c r="D2655" s="116">
        <v>1306.05</v>
      </c>
      <c r="E2655" s="116">
        <v>1333.25</v>
      </c>
      <c r="F2655" s="116">
        <v>1313.3</v>
      </c>
      <c r="G2655">
        <v>19815</v>
      </c>
      <c r="H2655" s="116"/>
      <c r="I2655" s="116"/>
      <c r="L2655" s="169">
        <v>45912</v>
      </c>
      <c r="M2655" s="116">
        <v>746.35</v>
      </c>
      <c r="N2655" s="116">
        <v>757.05</v>
      </c>
      <c r="O2655" s="116">
        <v>733</v>
      </c>
      <c r="P2655" s="116">
        <v>741</v>
      </c>
      <c r="Q2655" s="116">
        <v>746.35</v>
      </c>
      <c r="R2655">
        <v>132733</v>
      </c>
    </row>
    <row r="2656" spans="1:18" x14ac:dyDescent="0.25">
      <c r="A2656" s="169">
        <v>45923</v>
      </c>
      <c r="B2656" s="116">
        <v>1324.75</v>
      </c>
      <c r="C2656" s="116">
        <v>1317.6</v>
      </c>
      <c r="D2656" s="116">
        <v>1306.05</v>
      </c>
      <c r="E2656" s="116">
        <v>1310</v>
      </c>
      <c r="F2656" s="116">
        <v>1317.6</v>
      </c>
      <c r="G2656">
        <v>14023</v>
      </c>
      <c r="H2656" s="116"/>
      <c r="I2656" s="116"/>
      <c r="L2656" s="169">
        <v>45915</v>
      </c>
      <c r="M2656" s="116">
        <v>752.3</v>
      </c>
      <c r="N2656" s="116">
        <v>757.7</v>
      </c>
      <c r="O2656" s="116">
        <v>743.15</v>
      </c>
      <c r="P2656" s="116">
        <v>746.35</v>
      </c>
      <c r="Q2656" s="116">
        <v>752.3</v>
      </c>
      <c r="R2656">
        <v>100413</v>
      </c>
    </row>
    <row r="2657" spans="1:18" x14ac:dyDescent="0.25">
      <c r="A2657" s="169">
        <v>45924</v>
      </c>
      <c r="B2657" s="116">
        <v>1322</v>
      </c>
      <c r="C2657" s="116">
        <v>1302.8</v>
      </c>
      <c r="D2657" s="116">
        <v>1301.05</v>
      </c>
      <c r="E2657" s="116">
        <v>1308.55</v>
      </c>
      <c r="F2657" s="116">
        <v>1302.8</v>
      </c>
      <c r="G2657">
        <v>8443</v>
      </c>
      <c r="H2657" s="116"/>
      <c r="I2657" s="116"/>
      <c r="L2657" s="169">
        <v>45916</v>
      </c>
      <c r="M2657" s="116">
        <v>777.1</v>
      </c>
      <c r="N2657" s="116">
        <v>782.5</v>
      </c>
      <c r="O2657" s="116">
        <v>752.3</v>
      </c>
      <c r="P2657" s="116">
        <v>752.3</v>
      </c>
      <c r="Q2657" s="116">
        <v>777.1</v>
      </c>
      <c r="R2657">
        <v>406224</v>
      </c>
    </row>
    <row r="2658" spans="1:18" x14ac:dyDescent="0.25">
      <c r="A2658" s="169">
        <v>45925</v>
      </c>
      <c r="B2658" s="116">
        <v>1325</v>
      </c>
      <c r="C2658" s="116">
        <v>1276.2</v>
      </c>
      <c r="D2658" s="116">
        <v>1270.75</v>
      </c>
      <c r="E2658" s="116">
        <v>1311.95</v>
      </c>
      <c r="F2658" s="116">
        <v>1276.2</v>
      </c>
      <c r="G2658">
        <v>22237</v>
      </c>
      <c r="H2658" s="116"/>
      <c r="I2658" s="116"/>
      <c r="L2658" s="169">
        <v>45917</v>
      </c>
      <c r="M2658" s="116">
        <v>780.25</v>
      </c>
      <c r="N2658" s="116">
        <v>783</v>
      </c>
      <c r="O2658" s="116">
        <v>777</v>
      </c>
      <c r="P2658" s="116">
        <v>780</v>
      </c>
      <c r="Q2658" s="116">
        <v>780.25</v>
      </c>
      <c r="R2658">
        <v>105521</v>
      </c>
    </row>
    <row r="2659" spans="1:18" x14ac:dyDescent="0.25">
      <c r="A2659" s="169">
        <v>45926</v>
      </c>
      <c r="B2659" s="116">
        <v>1277.8</v>
      </c>
      <c r="C2659" s="116">
        <v>1246.3499999999999</v>
      </c>
      <c r="D2659" s="116">
        <v>1235</v>
      </c>
      <c r="E2659" s="116">
        <v>1277.8</v>
      </c>
      <c r="F2659" s="116">
        <v>1246.3499999999999</v>
      </c>
      <c r="G2659">
        <v>36754</v>
      </c>
      <c r="H2659" s="116"/>
      <c r="I2659" s="116"/>
      <c r="L2659" s="169">
        <v>45918</v>
      </c>
      <c r="M2659" s="116">
        <v>774.95</v>
      </c>
      <c r="N2659" s="116">
        <v>784.3</v>
      </c>
      <c r="O2659" s="116">
        <v>771.15</v>
      </c>
      <c r="P2659" s="116">
        <v>782</v>
      </c>
      <c r="Q2659" s="116">
        <v>774.95</v>
      </c>
      <c r="R2659">
        <v>53361</v>
      </c>
    </row>
    <row r="2660" spans="1:18" x14ac:dyDescent="0.25">
      <c r="A2660" s="169">
        <v>45929</v>
      </c>
      <c r="B2660" s="116">
        <v>1267.9000000000001</v>
      </c>
      <c r="C2660" s="116">
        <v>1256.3</v>
      </c>
      <c r="D2660" s="116">
        <v>1231</v>
      </c>
      <c r="E2660" s="116">
        <v>1231</v>
      </c>
      <c r="F2660" s="116">
        <v>1256.3</v>
      </c>
      <c r="G2660">
        <v>31133</v>
      </c>
      <c r="H2660" s="116"/>
      <c r="I2660" s="116"/>
      <c r="L2660" s="169">
        <v>45919</v>
      </c>
      <c r="M2660" s="116">
        <v>773.8</v>
      </c>
      <c r="N2660" s="116">
        <v>782.1</v>
      </c>
      <c r="O2660" s="116">
        <v>771</v>
      </c>
      <c r="P2660" s="116">
        <v>778</v>
      </c>
      <c r="Q2660" s="116">
        <v>773.8</v>
      </c>
      <c r="R2660">
        <v>158742</v>
      </c>
    </row>
    <row r="2661" spans="1:18" x14ac:dyDescent="0.25">
      <c r="A2661" s="169">
        <v>45930</v>
      </c>
      <c r="B2661" s="116">
        <v>1284.8499999999999</v>
      </c>
      <c r="C2661" s="116">
        <v>1226.5</v>
      </c>
      <c r="D2661" s="116">
        <v>1201.5</v>
      </c>
      <c r="E2661" s="116">
        <v>1259.1500000000001</v>
      </c>
      <c r="F2661" s="116">
        <v>1226.5</v>
      </c>
      <c r="G2661">
        <v>49763</v>
      </c>
      <c r="H2661" s="116"/>
      <c r="I2661" s="116"/>
      <c r="L2661" s="169">
        <v>45922</v>
      </c>
      <c r="M2661" s="116">
        <v>771.4</v>
      </c>
      <c r="N2661" s="116">
        <v>781.75</v>
      </c>
      <c r="O2661" s="116">
        <v>768.4</v>
      </c>
      <c r="P2661" s="116">
        <v>770</v>
      </c>
      <c r="Q2661" s="116">
        <v>771.4</v>
      </c>
      <c r="R2661">
        <v>84209</v>
      </c>
    </row>
    <row r="2662" spans="1:18" x14ac:dyDescent="0.25">
      <c r="A2662" s="169">
        <v>45931</v>
      </c>
      <c r="B2662" s="116">
        <v>1246.25</v>
      </c>
      <c r="C2662" s="116">
        <v>1235.5999999999999</v>
      </c>
      <c r="D2662" s="116">
        <v>1210</v>
      </c>
      <c r="E2662" s="116">
        <v>1221</v>
      </c>
      <c r="F2662" s="116">
        <v>1235.5999999999999</v>
      </c>
      <c r="G2662">
        <v>29553</v>
      </c>
      <c r="H2662" s="116"/>
      <c r="I2662" s="116"/>
      <c r="L2662" s="169">
        <v>45923</v>
      </c>
      <c r="M2662" s="116">
        <v>780.3</v>
      </c>
      <c r="N2662" s="116">
        <v>785</v>
      </c>
      <c r="O2662" s="116">
        <v>759.35</v>
      </c>
      <c r="P2662" s="116">
        <v>770</v>
      </c>
      <c r="Q2662" s="116">
        <v>780.3</v>
      </c>
      <c r="R2662">
        <v>166824</v>
      </c>
    </row>
    <row r="2663" spans="1:18" x14ac:dyDescent="0.25">
      <c r="A2663" s="169">
        <v>45933</v>
      </c>
      <c r="B2663" s="116">
        <v>1324</v>
      </c>
      <c r="C2663" s="116">
        <v>1311.5</v>
      </c>
      <c r="D2663" s="116">
        <v>1239</v>
      </c>
      <c r="E2663" s="116">
        <v>1240.05</v>
      </c>
      <c r="F2663" s="116">
        <v>1311.5</v>
      </c>
      <c r="G2663">
        <v>56217</v>
      </c>
      <c r="H2663" s="116"/>
      <c r="I2663" s="116"/>
      <c r="L2663" s="169">
        <v>45924</v>
      </c>
      <c r="M2663" s="116">
        <v>777.75</v>
      </c>
      <c r="N2663" s="116">
        <v>791.95</v>
      </c>
      <c r="O2663" s="116">
        <v>772</v>
      </c>
      <c r="P2663" s="116">
        <v>788</v>
      </c>
      <c r="Q2663" s="116">
        <v>777.75</v>
      </c>
      <c r="R2663">
        <v>265849</v>
      </c>
    </row>
    <row r="2664" spans="1:18" x14ac:dyDescent="0.25">
      <c r="A2664" s="169">
        <v>45936</v>
      </c>
      <c r="B2664" s="116">
        <v>1332.05</v>
      </c>
      <c r="C2664" s="116">
        <v>1310.8</v>
      </c>
      <c r="D2664" s="116">
        <v>1303.25</v>
      </c>
      <c r="E2664" s="116">
        <v>1312.05</v>
      </c>
      <c r="F2664" s="116">
        <v>1310.8</v>
      </c>
      <c r="G2664">
        <v>15706</v>
      </c>
      <c r="H2664" s="116"/>
      <c r="I2664" s="116"/>
      <c r="L2664" s="169">
        <v>45925</v>
      </c>
      <c r="M2664" s="116">
        <v>762.6</v>
      </c>
      <c r="N2664" s="116">
        <v>776.95</v>
      </c>
      <c r="O2664" s="116">
        <v>760.05</v>
      </c>
      <c r="P2664" s="116">
        <v>775.3</v>
      </c>
      <c r="Q2664" s="116">
        <v>762.6</v>
      </c>
      <c r="R2664">
        <v>78039</v>
      </c>
    </row>
    <row r="2665" spans="1:18" x14ac:dyDescent="0.25">
      <c r="A2665" s="169">
        <v>45937</v>
      </c>
      <c r="B2665" s="116">
        <v>1314.2</v>
      </c>
      <c r="C2665" s="116">
        <v>1311.55</v>
      </c>
      <c r="D2665" s="116">
        <v>1295.3</v>
      </c>
      <c r="E2665" s="116">
        <v>1311</v>
      </c>
      <c r="F2665" s="116">
        <v>1311.55</v>
      </c>
      <c r="G2665">
        <v>10771</v>
      </c>
      <c r="H2665" s="116"/>
      <c r="I2665" s="116"/>
      <c r="L2665" s="169">
        <v>45926</v>
      </c>
      <c r="M2665" s="116">
        <v>743.6</v>
      </c>
      <c r="N2665" s="116">
        <v>764.95</v>
      </c>
      <c r="O2665" s="116">
        <v>738.3</v>
      </c>
      <c r="P2665" s="116">
        <v>764.4</v>
      </c>
      <c r="Q2665" s="116">
        <v>743.6</v>
      </c>
      <c r="R2665">
        <v>199239</v>
      </c>
    </row>
    <row r="2666" spans="1:18" x14ac:dyDescent="0.25">
      <c r="A2666" s="169">
        <v>45938</v>
      </c>
      <c r="B2666" s="116">
        <v>1314.9</v>
      </c>
      <c r="C2666" s="116">
        <v>1295.75</v>
      </c>
      <c r="D2666" s="116">
        <v>1291</v>
      </c>
      <c r="E2666" s="116">
        <v>1314.9</v>
      </c>
      <c r="F2666" s="116">
        <v>1295.75</v>
      </c>
      <c r="G2666">
        <v>13413</v>
      </c>
      <c r="H2666" s="116"/>
      <c r="I2666" s="116"/>
      <c r="L2666" s="169">
        <v>45929</v>
      </c>
      <c r="M2666" s="116">
        <v>750.85</v>
      </c>
      <c r="N2666" s="116">
        <v>756.9</v>
      </c>
      <c r="O2666" s="116">
        <v>740.3</v>
      </c>
      <c r="P2666" s="116">
        <v>744.5</v>
      </c>
      <c r="Q2666" s="116">
        <v>750.85</v>
      </c>
      <c r="R2666">
        <v>180734</v>
      </c>
    </row>
    <row r="2667" spans="1:18" x14ac:dyDescent="0.25">
      <c r="A2667" s="169">
        <v>45939</v>
      </c>
      <c r="B2667" s="116">
        <v>1356</v>
      </c>
      <c r="C2667" s="116">
        <v>1351.9</v>
      </c>
      <c r="D2667" s="116">
        <v>1290.8</v>
      </c>
      <c r="E2667" s="116">
        <v>1290.8</v>
      </c>
      <c r="F2667" s="116">
        <v>1351.9</v>
      </c>
      <c r="G2667">
        <v>35920</v>
      </c>
      <c r="H2667" s="116"/>
      <c r="I2667" s="116"/>
      <c r="L2667" s="169">
        <v>45930</v>
      </c>
      <c r="M2667" s="116">
        <v>763.2</v>
      </c>
      <c r="N2667" s="116">
        <v>766.6</v>
      </c>
      <c r="O2667" s="116">
        <v>748</v>
      </c>
      <c r="P2667" s="116">
        <v>750.85</v>
      </c>
      <c r="Q2667" s="116">
        <v>763.2</v>
      </c>
      <c r="R2667">
        <v>96396</v>
      </c>
    </row>
    <row r="2668" spans="1:18" x14ac:dyDescent="0.25">
      <c r="A2668" s="169">
        <v>45940</v>
      </c>
      <c r="B2668" s="116">
        <v>1360.8</v>
      </c>
      <c r="C2668" s="116">
        <v>1343.65</v>
      </c>
      <c r="D2668" s="116">
        <v>1336.35</v>
      </c>
      <c r="E2668" s="116">
        <v>1346.05</v>
      </c>
      <c r="F2668" s="116">
        <v>1343.65</v>
      </c>
      <c r="G2668">
        <v>11866</v>
      </c>
      <c r="H2668" s="116"/>
      <c r="I2668" s="116"/>
      <c r="L2668" s="169">
        <v>45931</v>
      </c>
      <c r="M2668" s="116">
        <v>782.95</v>
      </c>
      <c r="N2668" s="116">
        <v>788</v>
      </c>
      <c r="O2668" s="116">
        <v>754</v>
      </c>
      <c r="P2668" s="116">
        <v>763.65</v>
      </c>
      <c r="Q2668" s="116">
        <v>782.95</v>
      </c>
      <c r="R2668">
        <v>274998</v>
      </c>
    </row>
    <row r="2669" spans="1:18" x14ac:dyDescent="0.25">
      <c r="A2669" s="169">
        <v>45943</v>
      </c>
      <c r="B2669" s="116">
        <v>1345</v>
      </c>
      <c r="C2669" s="116">
        <v>1319</v>
      </c>
      <c r="D2669" s="116">
        <v>1315.25</v>
      </c>
      <c r="E2669" s="116">
        <v>1341</v>
      </c>
      <c r="F2669" s="116">
        <v>1319</v>
      </c>
      <c r="G2669">
        <v>11222</v>
      </c>
      <c r="H2669" s="116"/>
      <c r="I2669" s="116"/>
      <c r="L2669" s="169">
        <v>45933</v>
      </c>
      <c r="M2669" s="116">
        <v>789.65</v>
      </c>
      <c r="N2669" s="116">
        <v>796</v>
      </c>
      <c r="O2669" s="116">
        <v>781.3</v>
      </c>
      <c r="P2669" s="116">
        <v>784</v>
      </c>
      <c r="Q2669" s="116">
        <v>789.65</v>
      </c>
      <c r="R2669">
        <v>1064428</v>
      </c>
    </row>
    <row r="2670" spans="1:18" x14ac:dyDescent="0.25">
      <c r="A2670" s="169">
        <v>45944</v>
      </c>
      <c r="B2670" s="116">
        <v>1338.7</v>
      </c>
      <c r="C2670" s="116">
        <v>1329.95</v>
      </c>
      <c r="D2670" s="116">
        <v>1305.6500000000001</v>
      </c>
      <c r="E2670" s="116">
        <v>1316.2</v>
      </c>
      <c r="F2670" s="116">
        <v>1329.95</v>
      </c>
      <c r="G2670">
        <v>25507</v>
      </c>
      <c r="H2670" s="116"/>
      <c r="I2670" s="116"/>
      <c r="L2670" s="169">
        <v>45936</v>
      </c>
      <c r="M2670" s="116">
        <v>803.55</v>
      </c>
      <c r="N2670" s="116">
        <v>810.25</v>
      </c>
      <c r="O2670" s="116">
        <v>781</v>
      </c>
      <c r="P2670" s="116">
        <v>785</v>
      </c>
      <c r="Q2670" s="116">
        <v>803.55</v>
      </c>
      <c r="R2670">
        <v>491738</v>
      </c>
    </row>
    <row r="2671" spans="1:18" x14ac:dyDescent="0.25">
      <c r="A2671" s="169">
        <v>45945</v>
      </c>
      <c r="B2671" s="116">
        <v>1349</v>
      </c>
      <c r="C2671" s="116">
        <v>1343.8</v>
      </c>
      <c r="D2671" s="116">
        <v>1326.7</v>
      </c>
      <c r="E2671" s="116">
        <v>1329.9</v>
      </c>
      <c r="F2671" s="116">
        <v>1343.8</v>
      </c>
      <c r="G2671">
        <v>24584</v>
      </c>
      <c r="H2671" s="116"/>
      <c r="I2671" s="116"/>
      <c r="L2671" s="169">
        <v>45937</v>
      </c>
      <c r="M2671" s="116">
        <v>804.35</v>
      </c>
      <c r="N2671" s="116">
        <v>807</v>
      </c>
      <c r="O2671" s="116">
        <v>792.35</v>
      </c>
      <c r="P2671" s="116">
        <v>804.5</v>
      </c>
      <c r="Q2671" s="116">
        <v>804.35</v>
      </c>
      <c r="R2671">
        <v>174773</v>
      </c>
    </row>
    <row r="2672" spans="1:18" x14ac:dyDescent="0.25">
      <c r="A2672" s="169">
        <v>45946</v>
      </c>
      <c r="B2672" s="116">
        <v>1351.75</v>
      </c>
      <c r="C2672" s="116">
        <v>1322.65</v>
      </c>
      <c r="D2672" s="116">
        <v>1315.95</v>
      </c>
      <c r="E2672" s="116">
        <v>1334.25</v>
      </c>
      <c r="F2672" s="116">
        <v>1322.65</v>
      </c>
      <c r="G2672">
        <v>17259</v>
      </c>
      <c r="H2672" s="116"/>
      <c r="I2672" s="116"/>
      <c r="L2672" s="169">
        <v>45938</v>
      </c>
      <c r="M2672" s="116">
        <v>793.45</v>
      </c>
      <c r="N2672" s="116">
        <v>801.7</v>
      </c>
      <c r="O2672" s="116">
        <v>787.65</v>
      </c>
      <c r="P2672" s="116">
        <v>800.3</v>
      </c>
      <c r="Q2672" s="116">
        <v>793.45</v>
      </c>
      <c r="R2672">
        <v>167859</v>
      </c>
    </row>
    <row r="2673" spans="1:18" x14ac:dyDescent="0.25">
      <c r="A2673" s="169">
        <v>45947</v>
      </c>
      <c r="B2673" s="116">
        <v>1335.95</v>
      </c>
      <c r="C2673" s="116">
        <v>1322.9</v>
      </c>
      <c r="D2673" s="116">
        <v>1312.85</v>
      </c>
      <c r="E2673" s="116">
        <v>1321.75</v>
      </c>
      <c r="F2673" s="116">
        <v>1322.9</v>
      </c>
      <c r="G2673">
        <v>13965</v>
      </c>
      <c r="H2673" s="116"/>
      <c r="I2673" s="116"/>
      <c r="L2673" s="169">
        <v>45939</v>
      </c>
      <c r="M2673" s="116">
        <v>789.75</v>
      </c>
      <c r="N2673" s="116">
        <v>800</v>
      </c>
      <c r="O2673" s="116">
        <v>787.5</v>
      </c>
      <c r="P2673" s="116">
        <v>795.45</v>
      </c>
      <c r="Q2673" s="116">
        <v>789.75</v>
      </c>
      <c r="R2673">
        <v>81359</v>
      </c>
    </row>
    <row r="2674" spans="1:18" x14ac:dyDescent="0.25">
      <c r="A2674" s="169">
        <v>45950</v>
      </c>
      <c r="B2674" s="116">
        <v>1342.95</v>
      </c>
      <c r="C2674" s="116">
        <v>1319.65</v>
      </c>
      <c r="D2674" s="116">
        <v>1313.9</v>
      </c>
      <c r="E2674" s="116">
        <v>1342.95</v>
      </c>
      <c r="F2674" s="116">
        <v>1319.65</v>
      </c>
      <c r="G2674">
        <v>10019</v>
      </c>
      <c r="H2674" s="116"/>
      <c r="I2674" s="116"/>
      <c r="L2674" s="169">
        <v>45940</v>
      </c>
      <c r="M2674" s="116">
        <v>793.6</v>
      </c>
      <c r="N2674" s="116">
        <v>796.7</v>
      </c>
      <c r="O2674" s="116">
        <v>784.4</v>
      </c>
      <c r="P2674" s="116">
        <v>790.1</v>
      </c>
      <c r="Q2674" s="116">
        <v>793.6</v>
      </c>
      <c r="R2674">
        <v>185373</v>
      </c>
    </row>
    <row r="2675" spans="1:18" x14ac:dyDescent="0.25">
      <c r="A2675" s="169">
        <v>45951</v>
      </c>
      <c r="B2675" s="116">
        <v>1355</v>
      </c>
      <c r="C2675" s="116">
        <v>1351.2</v>
      </c>
      <c r="D2675" s="116">
        <v>1323.45</v>
      </c>
      <c r="E2675" s="116">
        <v>1338.95</v>
      </c>
      <c r="F2675" s="116">
        <v>1351.2</v>
      </c>
      <c r="G2675">
        <v>12217</v>
      </c>
      <c r="H2675" s="116"/>
      <c r="I2675" s="116"/>
      <c r="L2675" s="169">
        <v>45943</v>
      </c>
      <c r="M2675" s="116">
        <v>801.35</v>
      </c>
      <c r="N2675" s="116">
        <v>806</v>
      </c>
      <c r="O2675" s="116">
        <v>782.55</v>
      </c>
      <c r="P2675" s="116">
        <v>786.85</v>
      </c>
      <c r="Q2675" s="116">
        <v>801.35</v>
      </c>
      <c r="R2675">
        <v>247299</v>
      </c>
    </row>
    <row r="2676" spans="1:18" x14ac:dyDescent="0.25">
      <c r="A2676" s="169">
        <v>45953</v>
      </c>
      <c r="B2676" s="116">
        <v>1360</v>
      </c>
      <c r="C2676" s="116">
        <v>1324.4</v>
      </c>
      <c r="D2676" s="116">
        <v>1322</v>
      </c>
      <c r="E2676" s="116">
        <v>1350.95</v>
      </c>
      <c r="F2676" s="116">
        <v>1324.4</v>
      </c>
      <c r="G2676">
        <v>26015</v>
      </c>
      <c r="H2676" s="116"/>
      <c r="I2676" s="116"/>
      <c r="L2676" s="169">
        <v>45944</v>
      </c>
      <c r="M2676" s="116">
        <v>785</v>
      </c>
      <c r="N2676" s="116">
        <v>807.3</v>
      </c>
      <c r="O2676" s="116">
        <v>780.05</v>
      </c>
      <c r="P2676" s="116">
        <v>796</v>
      </c>
      <c r="Q2676" s="116">
        <v>785</v>
      </c>
      <c r="R2676">
        <v>197396</v>
      </c>
    </row>
    <row r="2677" spans="1:18" x14ac:dyDescent="0.25">
      <c r="A2677" s="169">
        <v>45954</v>
      </c>
      <c r="B2677" s="116">
        <v>1348</v>
      </c>
      <c r="C2677" s="116">
        <v>1335.1</v>
      </c>
      <c r="D2677" s="116">
        <v>1320.9</v>
      </c>
      <c r="E2677" s="116">
        <v>1328.8</v>
      </c>
      <c r="F2677" s="116">
        <v>1335.1</v>
      </c>
      <c r="G2677">
        <v>13972</v>
      </c>
      <c r="H2677" s="116"/>
      <c r="I2677" s="116"/>
      <c r="L2677" s="169">
        <v>45945</v>
      </c>
      <c r="M2677" s="116">
        <v>802.55</v>
      </c>
      <c r="N2677" s="116">
        <v>805</v>
      </c>
      <c r="O2677" s="116">
        <v>783.1</v>
      </c>
      <c r="P2677" s="116">
        <v>787</v>
      </c>
      <c r="Q2677" s="116">
        <v>802.55</v>
      </c>
      <c r="R2677">
        <v>150466</v>
      </c>
    </row>
    <row r="2678" spans="1:18" x14ac:dyDescent="0.25">
      <c r="A2678" s="169">
        <v>45957</v>
      </c>
      <c r="B2678" s="116">
        <v>1333.85</v>
      </c>
      <c r="C2678" s="116">
        <v>1327.8</v>
      </c>
      <c r="D2678" s="116">
        <v>1315.2</v>
      </c>
      <c r="E2678" s="116">
        <v>1330.05</v>
      </c>
      <c r="F2678" s="116">
        <v>1327.8</v>
      </c>
      <c r="G2678">
        <v>10044</v>
      </c>
      <c r="H2678" s="116"/>
      <c r="I2678" s="116"/>
      <c r="L2678" s="169">
        <v>45946</v>
      </c>
      <c r="M2678" s="116">
        <v>804.55</v>
      </c>
      <c r="N2678" s="116">
        <v>806.15</v>
      </c>
      <c r="O2678" s="116">
        <v>795.15</v>
      </c>
      <c r="P2678" s="116">
        <v>802.5</v>
      </c>
      <c r="Q2678" s="116">
        <v>804.55</v>
      </c>
      <c r="R2678">
        <v>170760</v>
      </c>
    </row>
    <row r="2679" spans="1:18" x14ac:dyDescent="0.25">
      <c r="A2679" s="169">
        <v>45958</v>
      </c>
      <c r="B2679" s="116">
        <v>1335.7</v>
      </c>
      <c r="C2679" s="116">
        <v>1318.5</v>
      </c>
      <c r="D2679" s="116">
        <v>1310</v>
      </c>
      <c r="E2679" s="116">
        <v>1335.7</v>
      </c>
      <c r="F2679" s="116">
        <v>1318.5</v>
      </c>
      <c r="G2679">
        <v>13658</v>
      </c>
      <c r="H2679" s="116"/>
      <c r="I2679" s="116"/>
      <c r="L2679" s="169">
        <v>45947</v>
      </c>
      <c r="M2679" s="116">
        <v>801.05</v>
      </c>
      <c r="N2679" s="116">
        <v>807.95</v>
      </c>
      <c r="O2679" s="116">
        <v>797.15</v>
      </c>
      <c r="P2679" s="116">
        <v>804.55</v>
      </c>
      <c r="Q2679" s="116">
        <v>801.05</v>
      </c>
      <c r="R2679">
        <v>88912</v>
      </c>
    </row>
    <row r="2680" spans="1:18" x14ac:dyDescent="0.25">
      <c r="A2680" s="169">
        <v>45959</v>
      </c>
      <c r="B2680" s="116">
        <v>1331.65</v>
      </c>
      <c r="C2680" s="116">
        <v>1311.3</v>
      </c>
      <c r="D2680" s="116">
        <v>1306.8</v>
      </c>
      <c r="E2680" s="116">
        <v>1329.95</v>
      </c>
      <c r="F2680" s="116">
        <v>1311.3</v>
      </c>
      <c r="G2680">
        <v>12254</v>
      </c>
      <c r="H2680" s="116"/>
      <c r="I2680" s="116"/>
      <c r="L2680" s="169">
        <v>45950</v>
      </c>
      <c r="M2680" s="116">
        <v>838.35</v>
      </c>
      <c r="N2680" s="116">
        <v>849</v>
      </c>
      <c r="O2680" s="116">
        <v>810</v>
      </c>
      <c r="P2680" s="116">
        <v>819.05</v>
      </c>
      <c r="Q2680" s="116">
        <v>838.35</v>
      </c>
      <c r="R2680">
        <v>1683183</v>
      </c>
    </row>
    <row r="2681" spans="1:18" x14ac:dyDescent="0.25">
      <c r="A2681" s="169">
        <v>45960</v>
      </c>
      <c r="B2681" s="116">
        <v>1324.45</v>
      </c>
      <c r="C2681" s="116">
        <v>1319.75</v>
      </c>
      <c r="D2681" s="116">
        <v>1302.5</v>
      </c>
      <c r="E2681" s="116">
        <v>1313.55</v>
      </c>
      <c r="F2681" s="116">
        <v>1319.75</v>
      </c>
      <c r="G2681">
        <v>13489</v>
      </c>
      <c r="H2681" s="116"/>
      <c r="I2681" s="116"/>
      <c r="L2681" s="169">
        <v>45951</v>
      </c>
      <c r="M2681" s="116">
        <v>844.4</v>
      </c>
      <c r="N2681" s="116">
        <v>859.85</v>
      </c>
      <c r="O2681" s="116">
        <v>831</v>
      </c>
      <c r="P2681" s="116">
        <v>845.05</v>
      </c>
      <c r="Q2681" s="116">
        <v>844.4</v>
      </c>
      <c r="R2681">
        <v>185015</v>
      </c>
    </row>
    <row r="2682" spans="1:18" x14ac:dyDescent="0.25">
      <c r="A2682" s="169">
        <v>45961</v>
      </c>
      <c r="B2682" s="116">
        <v>1324.1</v>
      </c>
      <c r="C2682" s="116">
        <v>1304.9000000000001</v>
      </c>
      <c r="D2682" s="116">
        <v>1302</v>
      </c>
      <c r="E2682" s="116">
        <v>1319</v>
      </c>
      <c r="F2682" s="116">
        <v>1304.9000000000001</v>
      </c>
      <c r="G2682">
        <v>9857</v>
      </c>
      <c r="H2682" s="116"/>
      <c r="I2682" s="116"/>
      <c r="L2682" s="169">
        <v>45953</v>
      </c>
      <c r="M2682" s="116">
        <v>853.35</v>
      </c>
      <c r="N2682" s="116">
        <v>865</v>
      </c>
      <c r="O2682" s="116">
        <v>845</v>
      </c>
      <c r="P2682" s="116">
        <v>850</v>
      </c>
      <c r="Q2682" s="116">
        <v>853.35</v>
      </c>
      <c r="R2682">
        <v>439104</v>
      </c>
    </row>
    <row r="2683" spans="1:18" x14ac:dyDescent="0.25">
      <c r="A2683" s="169">
        <v>45964</v>
      </c>
      <c r="B2683" s="116">
        <v>1329.5</v>
      </c>
      <c r="C2683" s="116">
        <v>1320.1</v>
      </c>
      <c r="D2683" s="116">
        <v>1300</v>
      </c>
      <c r="E2683" s="116">
        <v>1301</v>
      </c>
      <c r="F2683" s="116">
        <v>1320.1</v>
      </c>
      <c r="G2683">
        <v>19059</v>
      </c>
      <c r="H2683" s="116"/>
      <c r="I2683" s="116"/>
      <c r="L2683" s="169">
        <v>45954</v>
      </c>
      <c r="M2683" s="116">
        <v>848.25</v>
      </c>
      <c r="N2683" s="116">
        <v>860.7</v>
      </c>
      <c r="O2683" s="116">
        <v>838.15</v>
      </c>
      <c r="P2683" s="116">
        <v>860.65</v>
      </c>
      <c r="Q2683" s="116">
        <v>848.25</v>
      </c>
      <c r="R2683">
        <v>276523</v>
      </c>
    </row>
    <row r="2684" spans="1:18" x14ac:dyDescent="0.25">
      <c r="A2684" s="169">
        <v>45965</v>
      </c>
      <c r="B2684" s="116">
        <v>1324.85</v>
      </c>
      <c r="C2684" s="116">
        <v>1318.5</v>
      </c>
      <c r="D2684" s="116">
        <v>1303</v>
      </c>
      <c r="E2684" s="116">
        <v>1324.85</v>
      </c>
      <c r="F2684" s="116">
        <v>1318.5</v>
      </c>
      <c r="G2684">
        <v>9425</v>
      </c>
      <c r="H2684" s="116"/>
      <c r="I2684" s="116"/>
      <c r="L2684" s="169">
        <v>45957</v>
      </c>
      <c r="M2684" s="116">
        <v>855.7</v>
      </c>
      <c r="N2684" s="116">
        <v>857.95</v>
      </c>
      <c r="O2684" s="116">
        <v>843.85</v>
      </c>
      <c r="P2684" s="116">
        <v>853.7</v>
      </c>
      <c r="Q2684" s="116">
        <v>855.7</v>
      </c>
      <c r="R2684">
        <v>109914</v>
      </c>
    </row>
    <row r="2685" spans="1:18" x14ac:dyDescent="0.25">
      <c r="A2685" s="169">
        <v>45967</v>
      </c>
      <c r="B2685" s="116">
        <v>1316.9</v>
      </c>
      <c r="C2685" s="116">
        <v>1313.55</v>
      </c>
      <c r="D2685" s="116">
        <v>1294</v>
      </c>
      <c r="E2685" s="116">
        <v>1316</v>
      </c>
      <c r="F2685" s="116">
        <v>1313.55</v>
      </c>
      <c r="G2685">
        <v>19028</v>
      </c>
      <c r="H2685" s="116"/>
      <c r="I2685" s="116"/>
      <c r="L2685" s="169">
        <v>45958</v>
      </c>
      <c r="M2685" s="116">
        <v>865</v>
      </c>
      <c r="N2685" s="116">
        <v>867.95</v>
      </c>
      <c r="O2685" s="116">
        <v>857.5</v>
      </c>
      <c r="P2685" s="116">
        <v>859.4</v>
      </c>
      <c r="Q2685" s="116">
        <v>865</v>
      </c>
      <c r="R2685">
        <v>234913</v>
      </c>
    </row>
    <row r="2686" spans="1:18" x14ac:dyDescent="0.25">
      <c r="A2686" s="169">
        <v>45968</v>
      </c>
      <c r="B2686" s="116">
        <v>1323.95</v>
      </c>
      <c r="C2686" s="116">
        <v>1317.8</v>
      </c>
      <c r="D2686" s="116">
        <v>1287</v>
      </c>
      <c r="E2686" s="116">
        <v>1306</v>
      </c>
      <c r="F2686" s="116">
        <v>1317.8</v>
      </c>
      <c r="G2686">
        <v>8022</v>
      </c>
      <c r="H2686" s="116"/>
      <c r="I2686" s="116"/>
      <c r="L2686" s="169">
        <v>45959</v>
      </c>
      <c r="M2686" s="116">
        <v>862.85</v>
      </c>
      <c r="N2686" s="116">
        <v>869.7</v>
      </c>
      <c r="O2686" s="116">
        <v>852.2</v>
      </c>
      <c r="P2686" s="116">
        <v>869.7</v>
      </c>
      <c r="Q2686" s="116">
        <v>862.85</v>
      </c>
      <c r="R2686">
        <v>322194</v>
      </c>
    </row>
    <row r="2687" spans="1:18" x14ac:dyDescent="0.25">
      <c r="A2687" s="169">
        <v>45971</v>
      </c>
      <c r="B2687" s="116">
        <v>1325</v>
      </c>
      <c r="C2687" s="116">
        <v>1317.85</v>
      </c>
      <c r="D2687" s="116">
        <v>1313</v>
      </c>
      <c r="E2687" s="116">
        <v>1324.1</v>
      </c>
      <c r="F2687" s="116">
        <v>1317.85</v>
      </c>
      <c r="G2687">
        <v>8285</v>
      </c>
      <c r="H2687" s="116"/>
      <c r="I2687" s="116"/>
      <c r="L2687" s="169">
        <v>45960</v>
      </c>
      <c r="M2687" s="116">
        <v>874.65</v>
      </c>
      <c r="N2687" s="116">
        <v>879.4</v>
      </c>
      <c r="O2687" s="116">
        <v>858</v>
      </c>
      <c r="P2687" s="116">
        <v>866.4</v>
      </c>
      <c r="Q2687" s="116">
        <v>874.65</v>
      </c>
      <c r="R2687">
        <v>389000</v>
      </c>
    </row>
    <row r="2688" spans="1:18" x14ac:dyDescent="0.25">
      <c r="A2688" s="169">
        <v>45972</v>
      </c>
      <c r="B2688" s="116">
        <v>1326.1</v>
      </c>
      <c r="C2688" s="116">
        <v>1318.35</v>
      </c>
      <c r="D2688" s="116">
        <v>1307.9000000000001</v>
      </c>
      <c r="E2688" s="116">
        <v>1324.85</v>
      </c>
      <c r="F2688" s="116">
        <v>1318.35</v>
      </c>
      <c r="G2688">
        <v>8843</v>
      </c>
      <c r="H2688" s="116"/>
      <c r="I2688" s="116"/>
      <c r="L2688" s="169">
        <v>45961</v>
      </c>
      <c r="M2688" s="116">
        <v>867.9</v>
      </c>
      <c r="N2688" s="116">
        <v>883.7</v>
      </c>
      <c r="O2688" s="116">
        <v>861.5</v>
      </c>
      <c r="P2688" s="116">
        <v>874</v>
      </c>
      <c r="Q2688" s="116">
        <v>867.9</v>
      </c>
      <c r="R2688">
        <v>284189</v>
      </c>
    </row>
    <row r="2689" spans="1:18" x14ac:dyDescent="0.25">
      <c r="A2689" s="169">
        <v>45973</v>
      </c>
      <c r="B2689" s="116">
        <v>1329.3</v>
      </c>
      <c r="C2689" s="116">
        <v>1322.6</v>
      </c>
      <c r="D2689" s="116">
        <v>1301.5999999999999</v>
      </c>
      <c r="E2689" s="116">
        <v>1329.3</v>
      </c>
      <c r="F2689" s="116">
        <v>1322.6</v>
      </c>
      <c r="G2689">
        <v>360105</v>
      </c>
      <c r="H2689" s="116"/>
      <c r="I2689" s="116"/>
      <c r="L2689" s="169">
        <v>45964</v>
      </c>
      <c r="M2689" s="116">
        <v>864.6</v>
      </c>
      <c r="N2689" s="116">
        <v>886.5</v>
      </c>
      <c r="O2689" s="116">
        <v>858.9</v>
      </c>
      <c r="P2689" s="116">
        <v>866.5</v>
      </c>
      <c r="Q2689" s="116">
        <v>864.6</v>
      </c>
      <c r="R2689">
        <v>138110</v>
      </c>
    </row>
    <row r="2690" spans="1:18" x14ac:dyDescent="0.25">
      <c r="A2690" s="169">
        <v>45974</v>
      </c>
      <c r="B2690" s="116">
        <v>1349.95</v>
      </c>
      <c r="C2690" s="116">
        <v>1271.5999999999999</v>
      </c>
      <c r="D2690" s="116">
        <v>1255</v>
      </c>
      <c r="E2690" s="116">
        <v>1347.65</v>
      </c>
      <c r="F2690" s="116">
        <v>1271.5999999999999</v>
      </c>
      <c r="G2690">
        <v>75576</v>
      </c>
      <c r="H2690" s="116"/>
      <c r="I2690" s="116"/>
      <c r="L2690" s="169">
        <v>45965</v>
      </c>
      <c r="M2690" s="116">
        <v>861.6</v>
      </c>
      <c r="N2690" s="116">
        <v>875.4</v>
      </c>
      <c r="O2690" s="116">
        <v>859</v>
      </c>
      <c r="P2690" s="116">
        <v>862.15</v>
      </c>
      <c r="Q2690" s="116">
        <v>861.6</v>
      </c>
      <c r="R2690">
        <v>136342</v>
      </c>
    </row>
    <row r="2691" spans="1:18" x14ac:dyDescent="0.25">
      <c r="A2691" s="169">
        <v>45975</v>
      </c>
      <c r="B2691" s="116">
        <v>1301.9000000000001</v>
      </c>
      <c r="C2691" s="116">
        <v>1287.3</v>
      </c>
      <c r="D2691" s="116">
        <v>1261.5</v>
      </c>
      <c r="E2691" s="116">
        <v>1261.5</v>
      </c>
      <c r="F2691" s="116">
        <v>1287.3</v>
      </c>
      <c r="G2691">
        <v>18926</v>
      </c>
      <c r="H2691" s="116"/>
      <c r="I2691" s="116"/>
      <c r="L2691" s="169">
        <v>45967</v>
      </c>
      <c r="M2691" s="116">
        <v>877.6</v>
      </c>
      <c r="N2691" s="116">
        <v>881.8</v>
      </c>
      <c r="O2691" s="116">
        <v>853.85</v>
      </c>
      <c r="P2691" s="116">
        <v>861.6</v>
      </c>
      <c r="Q2691" s="116">
        <v>877.6</v>
      </c>
      <c r="R2691">
        <v>422957</v>
      </c>
    </row>
    <row r="2692" spans="1:18" x14ac:dyDescent="0.25">
      <c r="A2692" s="169">
        <v>45978</v>
      </c>
      <c r="B2692" s="116">
        <v>1294</v>
      </c>
      <c r="C2692" s="116">
        <v>1259.5999999999999</v>
      </c>
      <c r="D2692" s="116">
        <v>1253.55</v>
      </c>
      <c r="E2692" s="116">
        <v>1289.9000000000001</v>
      </c>
      <c r="F2692" s="116">
        <v>1259.5999999999999</v>
      </c>
      <c r="G2692">
        <v>43708</v>
      </c>
      <c r="H2692" s="116"/>
      <c r="I2692" s="116"/>
      <c r="L2692" s="169">
        <v>45968</v>
      </c>
      <c r="M2692" s="116">
        <v>880.75</v>
      </c>
      <c r="N2692" s="116">
        <v>890.9</v>
      </c>
      <c r="O2692" s="116">
        <v>859.65</v>
      </c>
      <c r="P2692" s="116">
        <v>877</v>
      </c>
      <c r="Q2692" s="116">
        <v>880.75</v>
      </c>
      <c r="R2692">
        <v>286361</v>
      </c>
    </row>
    <row r="2693" spans="1:18" x14ac:dyDescent="0.25">
      <c r="A2693" s="169">
        <v>45979</v>
      </c>
      <c r="B2693" s="116">
        <v>1272.7</v>
      </c>
      <c r="C2693" s="116">
        <v>1249.7</v>
      </c>
      <c r="D2693" s="116">
        <v>1245</v>
      </c>
      <c r="E2693" s="116">
        <v>1263.25</v>
      </c>
      <c r="F2693" s="116">
        <v>1249.7</v>
      </c>
      <c r="G2693">
        <v>30470</v>
      </c>
      <c r="H2693" s="116"/>
      <c r="I2693" s="116"/>
      <c r="L2693" s="169">
        <v>45971</v>
      </c>
      <c r="M2693" s="116">
        <v>881.8</v>
      </c>
      <c r="N2693" s="116">
        <v>884</v>
      </c>
      <c r="O2693" s="116">
        <v>868.2</v>
      </c>
      <c r="P2693" s="116">
        <v>878</v>
      </c>
      <c r="Q2693" s="116">
        <v>881.8</v>
      </c>
      <c r="R2693">
        <v>138927</v>
      </c>
    </row>
    <row r="2694" spans="1:18" x14ac:dyDescent="0.25">
      <c r="A2694" s="169">
        <v>45980</v>
      </c>
      <c r="B2694" s="116">
        <v>1278.7</v>
      </c>
      <c r="C2694" s="116">
        <v>1263.8</v>
      </c>
      <c r="D2694" s="116">
        <v>1242</v>
      </c>
      <c r="E2694" s="116">
        <v>1245.55</v>
      </c>
      <c r="F2694" s="116">
        <v>1263.8</v>
      </c>
      <c r="G2694">
        <v>26390</v>
      </c>
      <c r="H2694" s="116"/>
      <c r="I2694" s="116"/>
      <c r="L2694" s="169">
        <v>45972</v>
      </c>
      <c r="M2694" s="116">
        <v>895.55</v>
      </c>
      <c r="N2694" s="116">
        <v>900</v>
      </c>
      <c r="O2694" s="116">
        <v>879.55</v>
      </c>
      <c r="P2694" s="116">
        <v>880</v>
      </c>
      <c r="Q2694" s="116">
        <v>895.55</v>
      </c>
      <c r="R2694">
        <v>388693</v>
      </c>
    </row>
    <row r="2695" spans="1:18" x14ac:dyDescent="0.25">
      <c r="A2695" s="169">
        <v>45981</v>
      </c>
      <c r="B2695" s="116">
        <v>1272.25</v>
      </c>
      <c r="C2695" s="116">
        <v>1263.2</v>
      </c>
      <c r="D2695" s="116">
        <v>1247.9000000000001</v>
      </c>
      <c r="E2695" s="116">
        <v>1272.25</v>
      </c>
      <c r="F2695" s="116">
        <v>1263.2</v>
      </c>
      <c r="G2695">
        <v>12280</v>
      </c>
      <c r="H2695" s="116"/>
      <c r="I2695" s="116"/>
      <c r="L2695" s="169">
        <v>45973</v>
      </c>
      <c r="M2695" s="116">
        <v>884.2</v>
      </c>
      <c r="N2695" s="116">
        <v>908.9</v>
      </c>
      <c r="O2695" s="116">
        <v>880</v>
      </c>
      <c r="P2695" s="116">
        <v>898.5</v>
      </c>
      <c r="Q2695" s="116">
        <v>884.2</v>
      </c>
      <c r="R2695">
        <v>264455</v>
      </c>
    </row>
    <row r="2696" spans="1:18" x14ac:dyDescent="0.25">
      <c r="A2696" s="169">
        <v>45982</v>
      </c>
      <c r="B2696" s="116">
        <v>1256.0999999999999</v>
      </c>
      <c r="C2696" s="116">
        <v>1221.8499999999999</v>
      </c>
      <c r="D2696" s="116">
        <v>1220</v>
      </c>
      <c r="E2696" s="116">
        <v>1255.7</v>
      </c>
      <c r="F2696" s="116">
        <v>1221.8499999999999</v>
      </c>
      <c r="G2696">
        <v>15098</v>
      </c>
      <c r="H2696" s="116"/>
      <c r="I2696" s="116"/>
      <c r="L2696" s="169">
        <v>45974</v>
      </c>
      <c r="M2696" s="116">
        <v>865.1</v>
      </c>
      <c r="N2696" s="116">
        <v>884.7</v>
      </c>
      <c r="O2696" s="116">
        <v>862.3</v>
      </c>
      <c r="P2696" s="116">
        <v>883.95</v>
      </c>
      <c r="Q2696" s="116">
        <v>865.1</v>
      </c>
      <c r="R2696">
        <v>381345</v>
      </c>
    </row>
    <row r="2697" spans="1:18" x14ac:dyDescent="0.25">
      <c r="A2697" s="169">
        <v>45985</v>
      </c>
      <c r="B2697" s="116">
        <v>1231.45</v>
      </c>
      <c r="C2697" s="116">
        <v>1191.05</v>
      </c>
      <c r="D2697" s="116">
        <v>1185.1500000000001</v>
      </c>
      <c r="E2697" s="116">
        <v>1222.5999999999999</v>
      </c>
      <c r="F2697" s="116">
        <v>1191.05</v>
      </c>
      <c r="G2697">
        <v>14551</v>
      </c>
      <c r="H2697" s="116"/>
      <c r="I2697" s="116"/>
      <c r="L2697" s="169">
        <v>45975</v>
      </c>
      <c r="M2697" s="116">
        <v>884.65</v>
      </c>
      <c r="N2697" s="116">
        <v>894.8</v>
      </c>
      <c r="O2697" s="116">
        <v>860.05</v>
      </c>
      <c r="P2697" s="116">
        <v>860.05</v>
      </c>
      <c r="Q2697" s="116">
        <v>884.65</v>
      </c>
      <c r="R2697">
        <v>278844</v>
      </c>
    </row>
    <row r="2698" spans="1:18" x14ac:dyDescent="0.25">
      <c r="A2698" s="169">
        <v>45986</v>
      </c>
      <c r="B2698" s="116">
        <v>1204.45</v>
      </c>
      <c r="C2698" s="116">
        <v>1189.25</v>
      </c>
      <c r="D2698" s="116">
        <v>1170.7</v>
      </c>
      <c r="E2698" s="116">
        <v>1204.45</v>
      </c>
      <c r="F2698" s="116">
        <v>1189.25</v>
      </c>
      <c r="G2698">
        <v>14374</v>
      </c>
      <c r="H2698" s="116"/>
      <c r="I2698" s="116"/>
      <c r="L2698" s="169">
        <v>45978</v>
      </c>
      <c r="M2698" s="116">
        <v>892.85</v>
      </c>
      <c r="N2698" s="116">
        <v>914</v>
      </c>
      <c r="O2698" s="116">
        <v>877.8</v>
      </c>
      <c r="P2698" s="116">
        <v>885</v>
      </c>
      <c r="Q2698" s="116">
        <v>892.85</v>
      </c>
      <c r="R2698">
        <v>662644</v>
      </c>
    </row>
    <row r="2699" spans="1:18" x14ac:dyDescent="0.25">
      <c r="A2699" s="169">
        <v>45987</v>
      </c>
      <c r="B2699" s="116">
        <v>1250.05</v>
      </c>
      <c r="C2699" s="116">
        <v>1241.4000000000001</v>
      </c>
      <c r="D2699" s="116">
        <v>1185</v>
      </c>
      <c r="E2699" s="116">
        <v>1185.5</v>
      </c>
      <c r="F2699" s="116">
        <v>1241.4000000000001</v>
      </c>
      <c r="G2699">
        <v>35502</v>
      </c>
      <c r="H2699" s="116"/>
      <c r="I2699" s="116"/>
      <c r="L2699" s="169">
        <v>45979</v>
      </c>
      <c r="M2699" s="116">
        <v>906.8</v>
      </c>
      <c r="N2699" s="116">
        <v>925</v>
      </c>
      <c r="O2699" s="116">
        <v>896.65</v>
      </c>
      <c r="P2699" s="116">
        <v>896.7</v>
      </c>
      <c r="Q2699" s="116">
        <v>906.8</v>
      </c>
      <c r="R2699">
        <v>843426</v>
      </c>
    </row>
    <row r="2700" spans="1:18" x14ac:dyDescent="0.25">
      <c r="A2700" s="169">
        <v>45988</v>
      </c>
      <c r="B2700" s="116">
        <v>1277.75</v>
      </c>
      <c r="C2700" s="116">
        <v>1229.05</v>
      </c>
      <c r="D2700" s="116">
        <v>1221</v>
      </c>
      <c r="E2700" s="116">
        <v>1257.1500000000001</v>
      </c>
      <c r="F2700" s="116">
        <v>1229.05</v>
      </c>
      <c r="G2700">
        <v>24653</v>
      </c>
      <c r="H2700" s="116"/>
      <c r="I2700" s="116"/>
      <c r="L2700" s="169">
        <v>45980</v>
      </c>
      <c r="M2700" s="116">
        <v>890.3</v>
      </c>
      <c r="N2700" s="116">
        <v>909.3</v>
      </c>
      <c r="O2700" s="116">
        <v>881</v>
      </c>
      <c r="P2700" s="116">
        <v>903.8</v>
      </c>
      <c r="Q2700" s="116">
        <v>890.3</v>
      </c>
      <c r="R2700">
        <v>359195</v>
      </c>
    </row>
    <row r="2701" spans="1:18" x14ac:dyDescent="0.25">
      <c r="A2701" s="169">
        <v>45989</v>
      </c>
      <c r="B2701" s="116">
        <v>1229.8</v>
      </c>
      <c r="C2701" s="116">
        <v>1220.8499999999999</v>
      </c>
      <c r="D2701" s="116">
        <v>1202.5</v>
      </c>
      <c r="E2701" s="116">
        <v>1229.3499999999999</v>
      </c>
      <c r="F2701" s="116">
        <v>1220.8499999999999</v>
      </c>
      <c r="G2701">
        <v>23334</v>
      </c>
      <c r="H2701" s="116"/>
      <c r="I2701" s="116"/>
      <c r="L2701" s="169">
        <v>45981</v>
      </c>
      <c r="M2701" s="116">
        <v>881.6</v>
      </c>
      <c r="N2701" s="116">
        <v>898.3</v>
      </c>
      <c r="O2701" s="116">
        <v>879</v>
      </c>
      <c r="P2701" s="116">
        <v>894</v>
      </c>
      <c r="Q2701" s="116">
        <v>881.6</v>
      </c>
      <c r="R2701">
        <v>364169</v>
      </c>
    </row>
    <row r="2702" spans="1:18" x14ac:dyDescent="0.25">
      <c r="A2702" s="169">
        <v>45992</v>
      </c>
      <c r="B2702" s="116">
        <v>1246.5</v>
      </c>
      <c r="C2702" s="116">
        <v>1222.4000000000001</v>
      </c>
      <c r="D2702" s="116">
        <v>1214.3</v>
      </c>
      <c r="E2702" s="116">
        <v>1238.75</v>
      </c>
      <c r="F2702" s="116">
        <v>1222.4000000000001</v>
      </c>
      <c r="G2702">
        <v>30235</v>
      </c>
      <c r="H2702" s="116"/>
      <c r="I2702" s="116"/>
      <c r="L2702" s="169">
        <v>45982</v>
      </c>
      <c r="M2702" s="116">
        <v>884.95</v>
      </c>
      <c r="N2702" s="116">
        <v>891</v>
      </c>
      <c r="O2702" s="116">
        <v>880.9</v>
      </c>
      <c r="P2702" s="116">
        <v>881</v>
      </c>
      <c r="Q2702" s="116">
        <v>884.95</v>
      </c>
      <c r="R2702">
        <v>370229</v>
      </c>
    </row>
    <row r="2703" spans="1:18" x14ac:dyDescent="0.25">
      <c r="A2703" s="169">
        <v>45993</v>
      </c>
      <c r="B2703" s="116">
        <v>1222.25</v>
      </c>
      <c r="C2703" s="116">
        <v>1210.5999999999999</v>
      </c>
      <c r="D2703" s="116">
        <v>1203</v>
      </c>
      <c r="E2703" s="116">
        <v>1222.25</v>
      </c>
      <c r="F2703" s="116">
        <v>1210.5999999999999</v>
      </c>
      <c r="G2703">
        <v>14926</v>
      </c>
      <c r="H2703" s="116"/>
      <c r="I2703" s="116"/>
      <c r="L2703" s="169">
        <v>45985</v>
      </c>
      <c r="M2703" s="116">
        <v>890.2</v>
      </c>
      <c r="N2703" s="116">
        <v>894</v>
      </c>
      <c r="O2703" s="116">
        <v>882.3</v>
      </c>
      <c r="P2703" s="116">
        <v>890</v>
      </c>
      <c r="Q2703" s="116">
        <v>890.2</v>
      </c>
      <c r="R2703">
        <v>288040</v>
      </c>
    </row>
    <row r="2704" spans="1:18" x14ac:dyDescent="0.25">
      <c r="A2704" s="169">
        <v>45994</v>
      </c>
      <c r="B2704" s="116">
        <v>1219.05</v>
      </c>
      <c r="C2704" s="116">
        <v>1203.9000000000001</v>
      </c>
      <c r="D2704" s="116">
        <v>1199.95</v>
      </c>
      <c r="E2704" s="116">
        <v>1212.5</v>
      </c>
      <c r="F2704" s="116">
        <v>1203.9000000000001</v>
      </c>
      <c r="G2704">
        <v>13504</v>
      </c>
      <c r="H2704" s="116"/>
      <c r="I2704" s="116"/>
      <c r="L2704" s="169">
        <v>45986</v>
      </c>
      <c r="M2704" s="116">
        <v>883.3</v>
      </c>
      <c r="N2704" s="116">
        <v>890.2</v>
      </c>
      <c r="O2704" s="116">
        <v>879.15</v>
      </c>
      <c r="P2704" s="116">
        <v>890.2</v>
      </c>
      <c r="Q2704" s="116">
        <v>883.3</v>
      </c>
      <c r="R2704">
        <v>80375</v>
      </c>
    </row>
    <row r="2705" spans="1:18" x14ac:dyDescent="0.25">
      <c r="A2705" s="169">
        <v>45995</v>
      </c>
      <c r="B2705" s="116">
        <v>1207.75</v>
      </c>
      <c r="C2705" s="116">
        <v>1195.8499999999999</v>
      </c>
      <c r="D2705" s="116">
        <v>1190.5999999999999</v>
      </c>
      <c r="E2705" s="116">
        <v>1203.9000000000001</v>
      </c>
      <c r="F2705" s="116">
        <v>1195.8499999999999</v>
      </c>
      <c r="G2705">
        <v>7863</v>
      </c>
      <c r="H2705" s="116"/>
      <c r="I2705" s="116"/>
      <c r="L2705" s="169">
        <v>45987</v>
      </c>
      <c r="M2705" s="116">
        <v>889.85</v>
      </c>
      <c r="N2705" s="116">
        <v>905.9</v>
      </c>
      <c r="O2705" s="116">
        <v>884.1</v>
      </c>
      <c r="P2705" s="116">
        <v>886</v>
      </c>
      <c r="Q2705" s="116">
        <v>889.85</v>
      </c>
      <c r="R2705">
        <v>201907</v>
      </c>
    </row>
    <row r="2706" spans="1:18" x14ac:dyDescent="0.25">
      <c r="A2706" s="169">
        <v>45996</v>
      </c>
      <c r="B2706" s="116">
        <v>1223.5999999999999</v>
      </c>
      <c r="C2706" s="116">
        <v>1219.95</v>
      </c>
      <c r="D2706" s="116">
        <v>1186.9000000000001</v>
      </c>
      <c r="E2706" s="116">
        <v>1194</v>
      </c>
      <c r="F2706" s="116">
        <v>1219.95</v>
      </c>
      <c r="G2706">
        <v>18869</v>
      </c>
      <c r="H2706" s="116"/>
      <c r="I2706" s="116"/>
      <c r="L2706" s="169">
        <v>45988</v>
      </c>
      <c r="M2706" s="116">
        <v>885.45</v>
      </c>
      <c r="N2706" s="116">
        <v>904</v>
      </c>
      <c r="O2706" s="116">
        <v>882.15</v>
      </c>
      <c r="P2706" s="116">
        <v>889.75</v>
      </c>
      <c r="Q2706" s="116">
        <v>885.45</v>
      </c>
      <c r="R2706">
        <v>151103</v>
      </c>
    </row>
    <row r="2707" spans="1:18" x14ac:dyDescent="0.25">
      <c r="A2707" s="169">
        <v>45999</v>
      </c>
      <c r="B2707" s="116">
        <v>1240.55</v>
      </c>
      <c r="C2707" s="116">
        <v>1217.9000000000001</v>
      </c>
      <c r="D2707" s="116">
        <v>1196.05</v>
      </c>
      <c r="E2707" s="116">
        <v>1196.05</v>
      </c>
      <c r="F2707" s="116">
        <v>1217.9000000000001</v>
      </c>
      <c r="G2707">
        <v>12297</v>
      </c>
      <c r="H2707" s="116"/>
      <c r="I2707" s="116"/>
      <c r="L2707" s="169">
        <v>45989</v>
      </c>
      <c r="M2707" s="116">
        <v>884.55</v>
      </c>
      <c r="N2707" s="116">
        <v>888.5</v>
      </c>
      <c r="O2707" s="116">
        <v>880.25</v>
      </c>
      <c r="P2707" s="116">
        <v>888.5</v>
      </c>
      <c r="Q2707" s="116">
        <v>884.55</v>
      </c>
      <c r="R2707">
        <v>71489</v>
      </c>
    </row>
    <row r="2708" spans="1:18" x14ac:dyDescent="0.25">
      <c r="A2708" s="169">
        <v>46000</v>
      </c>
      <c r="B2708" s="116">
        <v>1251</v>
      </c>
      <c r="C2708" s="116">
        <v>1239.55</v>
      </c>
      <c r="D2708" s="116">
        <v>1186.5999999999999</v>
      </c>
      <c r="E2708" s="116">
        <v>1202.75</v>
      </c>
      <c r="F2708" s="116">
        <v>1239.55</v>
      </c>
      <c r="G2708">
        <v>15018</v>
      </c>
      <c r="H2708" s="116"/>
      <c r="I2708" s="116"/>
      <c r="L2708" s="169">
        <v>45992</v>
      </c>
      <c r="M2708" s="116">
        <v>909.3</v>
      </c>
      <c r="N2708" s="116">
        <v>912.75</v>
      </c>
      <c r="O2708" s="116">
        <v>881.35</v>
      </c>
      <c r="P2708" s="116">
        <v>890.95</v>
      </c>
      <c r="Q2708" s="116">
        <v>909.3</v>
      </c>
      <c r="R2708">
        <v>239823</v>
      </c>
    </row>
    <row r="2709" spans="1:18" x14ac:dyDescent="0.25">
      <c r="A2709" s="169">
        <v>46001</v>
      </c>
      <c r="B2709">
        <v>1288.8</v>
      </c>
      <c r="C2709">
        <v>1281.5999999999999</v>
      </c>
      <c r="D2709">
        <v>1236</v>
      </c>
      <c r="E2709">
        <v>1239.2</v>
      </c>
      <c r="F2709">
        <v>1281.5999999999999</v>
      </c>
      <c r="G2709">
        <v>19510</v>
      </c>
      <c r="H2709" s="116"/>
      <c r="I2709" s="116"/>
      <c r="L2709" s="169">
        <v>45993</v>
      </c>
      <c r="M2709" s="116">
        <v>903.7</v>
      </c>
      <c r="N2709" s="116">
        <v>918.35</v>
      </c>
      <c r="O2709" s="116">
        <v>894.05</v>
      </c>
      <c r="P2709" s="116">
        <v>909.95</v>
      </c>
      <c r="Q2709" s="116">
        <v>903.7</v>
      </c>
      <c r="R2709">
        <v>225016</v>
      </c>
    </row>
    <row r="2710" spans="1:18" x14ac:dyDescent="0.25">
      <c r="A2710" s="169">
        <v>46002</v>
      </c>
      <c r="B2710">
        <v>1298.45</v>
      </c>
      <c r="C2710">
        <v>1280.0999999999999</v>
      </c>
      <c r="D2710">
        <v>1254.95</v>
      </c>
      <c r="E2710">
        <v>1298.45</v>
      </c>
      <c r="F2710">
        <v>1280.0999999999999</v>
      </c>
      <c r="G2710">
        <v>34211</v>
      </c>
      <c r="H2710" s="116"/>
      <c r="I2710" s="116"/>
      <c r="L2710" s="169">
        <v>45994</v>
      </c>
      <c r="M2710" s="116">
        <v>890.3</v>
      </c>
      <c r="N2710" s="116">
        <v>932</v>
      </c>
      <c r="O2710" s="116">
        <v>882</v>
      </c>
      <c r="P2710" s="116">
        <v>905</v>
      </c>
      <c r="Q2710" s="116">
        <v>890.3</v>
      </c>
      <c r="R2710">
        <v>604342</v>
      </c>
    </row>
    <row r="2711" spans="1:18" x14ac:dyDescent="0.25">
      <c r="A2711" s="169">
        <v>46003</v>
      </c>
      <c r="B2711">
        <v>1297.2</v>
      </c>
      <c r="C2711">
        <v>1288.6500000000001</v>
      </c>
      <c r="D2711">
        <v>1270.55</v>
      </c>
      <c r="E2711">
        <v>1287.3499999999999</v>
      </c>
      <c r="F2711">
        <v>1288.6500000000001</v>
      </c>
      <c r="G2711">
        <v>15861</v>
      </c>
      <c r="H2711" s="116"/>
      <c r="I2711" s="116"/>
      <c r="L2711" s="169">
        <v>45995</v>
      </c>
      <c r="M2711" s="116">
        <v>892.75</v>
      </c>
      <c r="N2711" s="116">
        <v>897.35</v>
      </c>
      <c r="O2711" s="116">
        <v>883.1</v>
      </c>
      <c r="P2711" s="116">
        <v>883.1</v>
      </c>
      <c r="Q2711" s="116">
        <v>892.75</v>
      </c>
      <c r="R2711">
        <v>141113</v>
      </c>
    </row>
    <row r="2712" spans="1:18" x14ac:dyDescent="0.25">
      <c r="A2712" s="169">
        <v>46006</v>
      </c>
      <c r="B2712">
        <v>1294.45</v>
      </c>
      <c r="C2712">
        <v>1287.2</v>
      </c>
      <c r="D2712">
        <v>1270.5999999999999</v>
      </c>
      <c r="E2712">
        <v>1276.3499999999999</v>
      </c>
      <c r="F2712">
        <v>1287.2</v>
      </c>
      <c r="G2712">
        <v>224179</v>
      </c>
      <c r="H2712" s="116"/>
      <c r="I2712" s="116"/>
      <c r="L2712" s="169">
        <v>45996</v>
      </c>
      <c r="M2712" s="116">
        <v>900.8</v>
      </c>
      <c r="N2712" s="116">
        <v>908</v>
      </c>
      <c r="O2712" s="116">
        <v>888.55</v>
      </c>
      <c r="P2712" s="116">
        <v>890.05</v>
      </c>
      <c r="Q2712" s="116">
        <v>900.8</v>
      </c>
      <c r="R2712">
        <v>195016</v>
      </c>
    </row>
    <row r="2713" spans="1:18" x14ac:dyDescent="0.25">
      <c r="A2713" s="169">
        <v>46007</v>
      </c>
      <c r="B2713">
        <v>1328.15</v>
      </c>
      <c r="C2713">
        <v>1311.3</v>
      </c>
      <c r="D2713">
        <v>1280.5</v>
      </c>
      <c r="E2713">
        <v>1286.95</v>
      </c>
      <c r="F2713">
        <v>1311.3</v>
      </c>
      <c r="G2713">
        <v>24019</v>
      </c>
      <c r="H2713" s="116"/>
      <c r="I2713" s="116"/>
      <c r="L2713" s="169">
        <v>45999</v>
      </c>
      <c r="M2713" s="116">
        <v>913</v>
      </c>
      <c r="N2713" s="116">
        <v>932</v>
      </c>
      <c r="O2713" s="116">
        <v>901.7</v>
      </c>
      <c r="P2713" s="116">
        <v>901.7</v>
      </c>
      <c r="Q2713" s="116">
        <v>913</v>
      </c>
      <c r="R2713">
        <v>866927</v>
      </c>
    </row>
    <row r="2714" spans="1:18" x14ac:dyDescent="0.25">
      <c r="A2714" s="169">
        <v>46008</v>
      </c>
      <c r="B2714">
        <v>1318.1</v>
      </c>
      <c r="C2714">
        <v>1305.55</v>
      </c>
      <c r="D2714">
        <v>1280.6500000000001</v>
      </c>
      <c r="E2714">
        <v>1315</v>
      </c>
      <c r="F2714">
        <v>1305.55</v>
      </c>
      <c r="G2714">
        <v>20291</v>
      </c>
      <c r="H2714" s="116"/>
      <c r="I2714" s="116"/>
      <c r="L2714" s="169">
        <v>46000</v>
      </c>
      <c r="M2714" s="116">
        <v>906.85</v>
      </c>
      <c r="N2714" s="116">
        <v>915.95</v>
      </c>
      <c r="O2714" s="116">
        <v>891.35</v>
      </c>
      <c r="P2714" s="116">
        <v>915.05</v>
      </c>
      <c r="Q2714" s="116">
        <v>906.85</v>
      </c>
      <c r="R2714">
        <v>270182</v>
      </c>
    </row>
    <row r="2715" spans="1:18" x14ac:dyDescent="0.25">
      <c r="A2715" s="169">
        <v>46009</v>
      </c>
      <c r="B2715">
        <v>1329.9</v>
      </c>
      <c r="C2715">
        <v>1309.5</v>
      </c>
      <c r="D2715">
        <v>1293.95</v>
      </c>
      <c r="E2715">
        <v>1306.7</v>
      </c>
      <c r="F2715">
        <v>1309.5</v>
      </c>
      <c r="G2715">
        <v>40032</v>
      </c>
      <c r="H2715" s="116"/>
      <c r="I2715" s="116"/>
      <c r="L2715" s="169">
        <v>46001</v>
      </c>
      <c r="M2715" s="116">
        <v>902.2</v>
      </c>
      <c r="N2715" s="116">
        <v>922</v>
      </c>
      <c r="O2715" s="116">
        <v>898</v>
      </c>
      <c r="P2715" s="116">
        <v>907.95</v>
      </c>
      <c r="Q2715" s="116">
        <v>902.2</v>
      </c>
      <c r="R2715">
        <v>139477</v>
      </c>
    </row>
    <row r="2716" spans="1:18" x14ac:dyDescent="0.25">
      <c r="A2716" s="169">
        <v>46010</v>
      </c>
      <c r="B2716">
        <v>1328.2</v>
      </c>
      <c r="C2716">
        <v>1301.5999999999999</v>
      </c>
      <c r="D2716">
        <v>1292.05</v>
      </c>
      <c r="E2716">
        <v>1317.65</v>
      </c>
      <c r="F2716">
        <v>1301.5999999999999</v>
      </c>
      <c r="G2716">
        <v>16517</v>
      </c>
      <c r="H2716" s="116"/>
      <c r="I2716" s="116"/>
      <c r="L2716" s="169">
        <v>46002</v>
      </c>
      <c r="M2716" s="116">
        <v>905.1</v>
      </c>
      <c r="N2716" s="116">
        <v>915.95</v>
      </c>
      <c r="O2716" s="116">
        <v>893.9</v>
      </c>
      <c r="P2716" s="116">
        <v>904.45</v>
      </c>
      <c r="Q2716" s="116">
        <v>905.1</v>
      </c>
      <c r="R2716">
        <v>167174</v>
      </c>
    </row>
    <row r="2717" spans="1:18" x14ac:dyDescent="0.25">
      <c r="A2717" s="169">
        <v>46013</v>
      </c>
      <c r="B2717">
        <v>1364.2</v>
      </c>
      <c r="C2717">
        <v>1355.65</v>
      </c>
      <c r="D2717">
        <v>1301</v>
      </c>
      <c r="E2717">
        <v>1304.95</v>
      </c>
      <c r="F2717">
        <v>1355.65</v>
      </c>
      <c r="G2717">
        <v>60851</v>
      </c>
      <c r="H2717" s="116"/>
      <c r="I2717" s="116"/>
      <c r="L2717" s="169">
        <v>46003</v>
      </c>
      <c r="M2717" s="116">
        <v>915.4</v>
      </c>
      <c r="N2717" s="116">
        <v>918.35</v>
      </c>
      <c r="O2717" s="116">
        <v>909.7</v>
      </c>
      <c r="P2717" s="116">
        <v>909.7</v>
      </c>
      <c r="Q2717" s="116">
        <v>915.4</v>
      </c>
      <c r="R2717">
        <v>158979</v>
      </c>
    </row>
    <row r="2718" spans="1:18" x14ac:dyDescent="0.25">
      <c r="A2718" s="169">
        <v>46014</v>
      </c>
      <c r="B2718">
        <v>1392</v>
      </c>
      <c r="C2718">
        <v>1388.05</v>
      </c>
      <c r="D2718">
        <v>1346.75</v>
      </c>
      <c r="E2718">
        <v>1355.7</v>
      </c>
      <c r="F2718">
        <v>1388.05</v>
      </c>
      <c r="G2718">
        <v>105897</v>
      </c>
      <c r="H2718" s="116"/>
      <c r="I2718" s="116"/>
      <c r="L2718" s="169">
        <v>46006</v>
      </c>
      <c r="M2718" s="116">
        <v>919.3</v>
      </c>
      <c r="N2718" s="116">
        <v>928.2</v>
      </c>
      <c r="O2718" s="116">
        <v>913.3</v>
      </c>
      <c r="P2718" s="116">
        <v>919</v>
      </c>
      <c r="Q2718" s="116">
        <v>919.3</v>
      </c>
      <c r="R2718">
        <v>164025</v>
      </c>
    </row>
    <row r="2719" spans="1:18" x14ac:dyDescent="0.25">
      <c r="A2719" s="169">
        <v>46015</v>
      </c>
      <c r="B2719">
        <v>1394.9</v>
      </c>
      <c r="C2719">
        <v>1374.8</v>
      </c>
      <c r="D2719">
        <v>1370.2</v>
      </c>
      <c r="E2719">
        <v>1389.25</v>
      </c>
      <c r="F2719">
        <v>1374.8</v>
      </c>
      <c r="G2719">
        <v>13235</v>
      </c>
      <c r="H2719" s="116"/>
      <c r="I2719" s="116"/>
      <c r="L2719" s="169">
        <v>46007</v>
      </c>
      <c r="M2719" s="116">
        <v>916.55</v>
      </c>
      <c r="N2719" s="116">
        <v>922.95</v>
      </c>
      <c r="O2719" s="116">
        <v>912.25</v>
      </c>
      <c r="P2719" s="116">
        <v>920.5</v>
      </c>
      <c r="Q2719" s="116">
        <v>916.55</v>
      </c>
      <c r="R2719">
        <v>132578</v>
      </c>
    </row>
    <row r="2720" spans="1:18" x14ac:dyDescent="0.25">
      <c r="A2720" s="169">
        <v>46017</v>
      </c>
      <c r="B2720">
        <v>1383.75</v>
      </c>
      <c r="C2720">
        <v>1366.75</v>
      </c>
      <c r="D2720">
        <v>1360</v>
      </c>
      <c r="E2720">
        <v>1365.95</v>
      </c>
      <c r="F2720">
        <v>1366.75</v>
      </c>
      <c r="G2720">
        <v>12360</v>
      </c>
      <c r="H2720" s="116"/>
      <c r="I2720" s="116"/>
      <c r="L2720" s="169">
        <v>46008</v>
      </c>
      <c r="M2720" s="116">
        <v>924.1</v>
      </c>
      <c r="N2720" s="116">
        <v>928</v>
      </c>
      <c r="O2720" s="116">
        <v>915</v>
      </c>
      <c r="P2720" s="116">
        <v>920</v>
      </c>
      <c r="Q2720" s="116">
        <v>924.1</v>
      </c>
      <c r="R2720">
        <v>116861</v>
      </c>
    </row>
    <row r="2721" spans="1:18" x14ac:dyDescent="0.25">
      <c r="A2721" s="169">
        <v>46020</v>
      </c>
      <c r="B2721">
        <v>1395.45</v>
      </c>
      <c r="C2721">
        <v>1388</v>
      </c>
      <c r="D2721">
        <v>1366.7</v>
      </c>
      <c r="E2721">
        <v>1367.4</v>
      </c>
      <c r="F2721">
        <v>1388</v>
      </c>
      <c r="G2721">
        <v>22805</v>
      </c>
      <c r="H2721" s="116"/>
      <c r="I2721" s="116"/>
      <c r="L2721" s="169">
        <v>46009</v>
      </c>
      <c r="M2721" s="116">
        <v>923.45</v>
      </c>
      <c r="N2721" s="116">
        <v>933</v>
      </c>
      <c r="O2721" s="116">
        <v>919.1</v>
      </c>
      <c r="P2721" s="116">
        <v>928.8</v>
      </c>
      <c r="Q2721" s="116">
        <v>923.45</v>
      </c>
      <c r="R2721">
        <v>149861</v>
      </c>
    </row>
    <row r="2722" spans="1:18" x14ac:dyDescent="0.25">
      <c r="A2722" s="169">
        <v>46021</v>
      </c>
      <c r="B2722">
        <v>1388</v>
      </c>
      <c r="C2722">
        <v>1292</v>
      </c>
      <c r="D2722">
        <v>1277.1500000000001</v>
      </c>
      <c r="E2722">
        <v>1387.95</v>
      </c>
      <c r="F2722">
        <v>1292</v>
      </c>
      <c r="G2722">
        <v>84043</v>
      </c>
      <c r="H2722" s="116"/>
      <c r="I2722" s="116"/>
      <c r="L2722" s="169">
        <v>46010</v>
      </c>
      <c r="M2722" s="116">
        <v>936.6</v>
      </c>
      <c r="N2722" s="116">
        <v>938.9</v>
      </c>
      <c r="O2722" s="116">
        <v>905</v>
      </c>
      <c r="P2722" s="116">
        <v>905</v>
      </c>
      <c r="Q2722" s="116">
        <v>936.6</v>
      </c>
      <c r="R2722">
        <v>296202</v>
      </c>
    </row>
    <row r="2723" spans="1:18" x14ac:dyDescent="0.25">
      <c r="A2723" s="169">
        <v>46022</v>
      </c>
      <c r="B2723">
        <v>1337.5</v>
      </c>
      <c r="C2723">
        <v>1322</v>
      </c>
      <c r="D2723">
        <v>1297.95</v>
      </c>
      <c r="E2723">
        <v>1297.95</v>
      </c>
      <c r="F2723">
        <v>1322</v>
      </c>
      <c r="G2723">
        <v>29217</v>
      </c>
      <c r="H2723" s="116"/>
      <c r="I2723" s="116"/>
    </row>
    <row r="2724" spans="1:18" x14ac:dyDescent="0.25">
      <c r="A2724" s="169">
        <v>46023</v>
      </c>
      <c r="B2724">
        <v>1370</v>
      </c>
      <c r="C2724">
        <v>1354.2</v>
      </c>
      <c r="D2724">
        <v>1315.3</v>
      </c>
      <c r="E2724">
        <v>1325.95</v>
      </c>
      <c r="F2724">
        <v>1354.2</v>
      </c>
      <c r="G2724">
        <v>31523</v>
      </c>
      <c r="H2724" s="116"/>
      <c r="I2724" s="116"/>
    </row>
    <row r="2725" spans="1:18" x14ac:dyDescent="0.25">
      <c r="A2725" s="169">
        <v>46024</v>
      </c>
      <c r="B2725">
        <v>1374.8</v>
      </c>
      <c r="C2725">
        <v>1350.05</v>
      </c>
      <c r="D2725">
        <v>1345</v>
      </c>
      <c r="E2725">
        <v>1358.5</v>
      </c>
      <c r="F2725">
        <v>1350.05</v>
      </c>
      <c r="G2725">
        <v>27932</v>
      </c>
      <c r="H2725" s="116"/>
      <c r="I2725" s="116"/>
    </row>
    <row r="2726" spans="1:18" x14ac:dyDescent="0.25">
      <c r="A2726" s="169">
        <v>46027</v>
      </c>
      <c r="B2726">
        <v>1350.1</v>
      </c>
      <c r="C2726">
        <v>1335.7</v>
      </c>
      <c r="D2726">
        <v>1332</v>
      </c>
      <c r="E2726">
        <v>1350.05</v>
      </c>
      <c r="F2726">
        <v>1335.7</v>
      </c>
      <c r="G2726">
        <v>19464</v>
      </c>
      <c r="H2726" s="116"/>
      <c r="I2726" s="116"/>
    </row>
    <row r="2727" spans="1:18" x14ac:dyDescent="0.25">
      <c r="A2727" s="169">
        <v>46028</v>
      </c>
      <c r="B2727">
        <v>1339.75</v>
      </c>
      <c r="C2727">
        <v>1318.35</v>
      </c>
      <c r="D2727">
        <v>1313.65</v>
      </c>
      <c r="E2727">
        <v>1333</v>
      </c>
      <c r="F2727">
        <v>1318.35</v>
      </c>
      <c r="G2727">
        <v>14127</v>
      </c>
      <c r="H2727" s="116"/>
      <c r="I2727" s="116"/>
    </row>
    <row r="2728" spans="1:18" x14ac:dyDescent="0.25">
      <c r="A2728" s="169">
        <v>46029</v>
      </c>
      <c r="B2728">
        <v>1348.35</v>
      </c>
      <c r="C2728">
        <v>1336.5</v>
      </c>
      <c r="D2728">
        <v>1310.25</v>
      </c>
      <c r="E2728">
        <v>1310.25</v>
      </c>
      <c r="F2728">
        <v>1336.5</v>
      </c>
      <c r="G2728">
        <v>12751</v>
      </c>
      <c r="H2728" s="116"/>
      <c r="I2728" s="116"/>
    </row>
    <row r="2729" spans="1:18" x14ac:dyDescent="0.25">
      <c r="A2729" s="169">
        <v>46030</v>
      </c>
      <c r="B2729">
        <v>1338</v>
      </c>
      <c r="C2729">
        <v>1287.55</v>
      </c>
      <c r="D2729">
        <v>1273.0999999999999</v>
      </c>
      <c r="E2729">
        <v>1336.6</v>
      </c>
      <c r="F2729">
        <v>1287.55</v>
      </c>
      <c r="G2729">
        <v>22799</v>
      </c>
      <c r="H2729" s="116"/>
      <c r="I2729" s="116"/>
    </row>
    <row r="2730" spans="1:18" x14ac:dyDescent="0.25">
      <c r="A2730" s="169">
        <v>46031</v>
      </c>
      <c r="B2730">
        <v>1295</v>
      </c>
      <c r="C2730">
        <v>1267.25</v>
      </c>
      <c r="D2730">
        <v>1260.25</v>
      </c>
      <c r="E2730">
        <v>1282.45</v>
      </c>
      <c r="F2730">
        <v>1267.25</v>
      </c>
      <c r="G2730">
        <v>32352</v>
      </c>
      <c r="H2730" s="116"/>
      <c r="I2730" s="116"/>
    </row>
    <row r="2731" spans="1:18" x14ac:dyDescent="0.25">
      <c r="A2731" s="169">
        <v>46034</v>
      </c>
      <c r="B2731">
        <v>1268.8</v>
      </c>
      <c r="C2731">
        <v>1254.55</v>
      </c>
      <c r="D2731">
        <v>1225</v>
      </c>
      <c r="E2731">
        <v>1265</v>
      </c>
      <c r="F2731">
        <v>1254.55</v>
      </c>
      <c r="G2731">
        <v>26127</v>
      </c>
      <c r="H2731" s="116"/>
      <c r="I2731" s="116"/>
    </row>
    <row r="2732" spans="1:18" x14ac:dyDescent="0.25">
      <c r="A2732" s="169">
        <v>46035</v>
      </c>
      <c r="B2732">
        <v>1283.8499999999999</v>
      </c>
      <c r="C2732">
        <v>1235.4000000000001</v>
      </c>
      <c r="D2732">
        <v>1232.5999999999999</v>
      </c>
      <c r="E2732">
        <v>1283.8499999999999</v>
      </c>
      <c r="F2732">
        <v>1235.4000000000001</v>
      </c>
      <c r="G2732">
        <v>17495</v>
      </c>
      <c r="H2732" s="116"/>
      <c r="I2732" s="116"/>
    </row>
    <row r="2733" spans="1:18" x14ac:dyDescent="0.25">
      <c r="A2733" s="169">
        <v>46036</v>
      </c>
      <c r="B2733">
        <v>1248</v>
      </c>
      <c r="C2733">
        <v>1240.3499999999999</v>
      </c>
      <c r="D2733">
        <v>1226.3499999999999</v>
      </c>
      <c r="E2733">
        <v>1234.9000000000001</v>
      </c>
      <c r="F2733">
        <v>1240.3499999999999</v>
      </c>
      <c r="G2733">
        <v>14150</v>
      </c>
      <c r="H2733" s="116"/>
      <c r="I2733" s="116"/>
    </row>
    <row r="2734" spans="1:18" x14ac:dyDescent="0.25">
      <c r="A2734" s="169">
        <v>46038</v>
      </c>
      <c r="B2734">
        <v>1245</v>
      </c>
      <c r="C2734">
        <v>1229.2</v>
      </c>
      <c r="D2734">
        <v>1223.5999999999999</v>
      </c>
      <c r="E2734">
        <v>1240.4000000000001</v>
      </c>
      <c r="F2734">
        <v>1229.2</v>
      </c>
      <c r="G2734">
        <v>14750</v>
      </c>
      <c r="H2734" s="116"/>
      <c r="I2734" s="116"/>
    </row>
    <row r="2735" spans="1:18" x14ac:dyDescent="0.25">
      <c r="A2735" s="169">
        <v>46041</v>
      </c>
      <c r="B2735">
        <v>1225.25</v>
      </c>
      <c r="C2735">
        <v>1205.45</v>
      </c>
      <c r="D2735">
        <v>1201</v>
      </c>
      <c r="E2735">
        <v>1216.6500000000001</v>
      </c>
      <c r="F2735">
        <v>1205.45</v>
      </c>
      <c r="G2735">
        <v>13974</v>
      </c>
      <c r="H2735" s="116"/>
      <c r="I2735" s="116"/>
    </row>
    <row r="2736" spans="1:18" x14ac:dyDescent="0.25">
      <c r="A2736" s="169">
        <v>46042</v>
      </c>
      <c r="B2736">
        <v>1206</v>
      </c>
      <c r="C2736">
        <v>1162.5</v>
      </c>
      <c r="D2736">
        <v>1151.25</v>
      </c>
      <c r="E2736">
        <v>1205.45</v>
      </c>
      <c r="F2736">
        <v>1162.5</v>
      </c>
      <c r="G2736">
        <v>20396</v>
      </c>
      <c r="H2736" s="116"/>
      <c r="I2736" s="116"/>
    </row>
    <row r="2737" spans="1:9" x14ac:dyDescent="0.25">
      <c r="A2737" s="169">
        <v>46043</v>
      </c>
      <c r="B2737">
        <v>1173.4000000000001</v>
      </c>
      <c r="C2737">
        <v>1143.05</v>
      </c>
      <c r="D2737">
        <v>1124.9000000000001</v>
      </c>
      <c r="E2737">
        <v>1162.5999999999999</v>
      </c>
      <c r="F2737">
        <v>1143.05</v>
      </c>
      <c r="G2737">
        <v>38764</v>
      </c>
      <c r="H2737" s="116"/>
      <c r="I2737" s="116"/>
    </row>
    <row r="2738" spans="1:9" x14ac:dyDescent="0.25">
      <c r="A2738" s="169">
        <v>46044</v>
      </c>
      <c r="B2738">
        <v>1177.0999999999999</v>
      </c>
      <c r="C2738">
        <v>1152.5</v>
      </c>
      <c r="D2738">
        <v>1146.7</v>
      </c>
      <c r="E2738">
        <v>1148.0999999999999</v>
      </c>
      <c r="F2738">
        <v>1152.5</v>
      </c>
      <c r="G2738">
        <v>20422</v>
      </c>
      <c r="H2738" s="116"/>
      <c r="I2738" s="116"/>
    </row>
    <row r="2739" spans="1:9" x14ac:dyDescent="0.25">
      <c r="A2739" s="169">
        <v>46045</v>
      </c>
      <c r="B2739">
        <v>1157.5999999999999</v>
      </c>
      <c r="C2739">
        <v>1115.55</v>
      </c>
      <c r="D2739">
        <v>1111.45</v>
      </c>
      <c r="E2739">
        <v>1155</v>
      </c>
      <c r="F2739">
        <v>1115.55</v>
      </c>
      <c r="G2739">
        <v>43010</v>
      </c>
      <c r="H2739" s="116"/>
      <c r="I2739" s="116"/>
    </row>
    <row r="2740" spans="1:9" x14ac:dyDescent="0.25">
      <c r="A2740" s="169">
        <v>46049</v>
      </c>
      <c r="B2740">
        <v>1131.1500000000001</v>
      </c>
      <c r="C2740">
        <v>1100.55</v>
      </c>
      <c r="D2740">
        <v>1097.9000000000001</v>
      </c>
      <c r="E2740">
        <v>1126.9000000000001</v>
      </c>
      <c r="F2740">
        <v>1100.55</v>
      </c>
      <c r="G2740">
        <v>50364</v>
      </c>
      <c r="H2740" s="116"/>
      <c r="I2740" s="116"/>
    </row>
    <row r="2741" spans="1:9" x14ac:dyDescent="0.25">
      <c r="A2741" s="169">
        <v>46050</v>
      </c>
      <c r="B2741">
        <v>1147.95</v>
      </c>
      <c r="C2741">
        <v>1142.7</v>
      </c>
      <c r="D2741">
        <v>1097.5999999999999</v>
      </c>
      <c r="E2741">
        <v>1100.55</v>
      </c>
      <c r="F2741">
        <v>1142.7</v>
      </c>
      <c r="G2741">
        <v>24881</v>
      </c>
      <c r="H2741" s="116"/>
      <c r="I2741" s="116"/>
    </row>
    <row r="2742" spans="1:9" x14ac:dyDescent="0.25">
      <c r="A2742" s="169">
        <v>46051</v>
      </c>
      <c r="B2742">
        <v>1161.2</v>
      </c>
      <c r="C2742">
        <v>1135.05</v>
      </c>
      <c r="D2742">
        <v>1126.7</v>
      </c>
      <c r="E2742">
        <v>1136.9000000000001</v>
      </c>
      <c r="F2742">
        <v>1135.05</v>
      </c>
      <c r="G2742">
        <v>34224</v>
      </c>
      <c r="H2742" s="116"/>
      <c r="I2742" s="116"/>
    </row>
    <row r="2743" spans="1:9" x14ac:dyDescent="0.25">
      <c r="A2743" s="169">
        <v>46052</v>
      </c>
      <c r="B2743">
        <v>1135</v>
      </c>
      <c r="C2743">
        <v>1102.6500000000001</v>
      </c>
      <c r="D2743">
        <v>1084</v>
      </c>
      <c r="E2743">
        <v>1135</v>
      </c>
      <c r="F2743">
        <v>1102.6500000000001</v>
      </c>
      <c r="G2743">
        <v>40306</v>
      </c>
      <c r="H2743" s="116"/>
      <c r="I2743" s="116"/>
    </row>
    <row r="2744" spans="1:9" x14ac:dyDescent="0.25">
      <c r="A2744" s="169">
        <v>46054</v>
      </c>
      <c r="B2744">
        <v>1113.55</v>
      </c>
      <c r="C2744">
        <v>1073.5</v>
      </c>
      <c r="D2744">
        <v>1054.05</v>
      </c>
      <c r="E2744">
        <v>1113.55</v>
      </c>
      <c r="F2744">
        <v>1073.5</v>
      </c>
      <c r="G2744">
        <v>26664</v>
      </c>
      <c r="H2744" s="116"/>
      <c r="I2744" s="116"/>
    </row>
    <row r="2745" spans="1:9" x14ac:dyDescent="0.25">
      <c r="A2745" s="169">
        <v>46055</v>
      </c>
      <c r="B2745">
        <v>1106.45</v>
      </c>
      <c r="C2745">
        <v>1098.95</v>
      </c>
      <c r="D2745">
        <v>1044</v>
      </c>
      <c r="E2745">
        <v>1063.45</v>
      </c>
      <c r="F2745">
        <v>1098.95</v>
      </c>
      <c r="G2745">
        <v>227579</v>
      </c>
      <c r="H2745" s="116"/>
      <c r="I2745" s="116"/>
    </row>
    <row r="2746" spans="1:9" x14ac:dyDescent="0.25">
      <c r="A2746" s="169">
        <v>46056</v>
      </c>
      <c r="B2746">
        <v>1180</v>
      </c>
      <c r="C2746">
        <v>1167.75</v>
      </c>
      <c r="D2746">
        <v>1125</v>
      </c>
      <c r="E2746">
        <v>1159.25</v>
      </c>
      <c r="F2746">
        <v>1167.75</v>
      </c>
      <c r="G2746">
        <v>27814</v>
      </c>
      <c r="H2746" s="116"/>
      <c r="I2746" s="116"/>
    </row>
    <row r="2747" spans="1:9" x14ac:dyDescent="0.25">
      <c r="A2747" s="169">
        <v>46057</v>
      </c>
      <c r="B2747">
        <v>1328.7</v>
      </c>
      <c r="C2747">
        <v>1284</v>
      </c>
      <c r="D2747">
        <v>1250</v>
      </c>
      <c r="E2747">
        <v>1273.3499999999999</v>
      </c>
      <c r="F2747">
        <v>1284</v>
      </c>
      <c r="G2747">
        <v>269432</v>
      </c>
      <c r="H2747" s="116"/>
      <c r="I2747" s="116"/>
    </row>
    <row r="2748" spans="1:9" x14ac:dyDescent="0.25">
      <c r="A2748" s="169">
        <v>46058</v>
      </c>
      <c r="B2748">
        <v>1303.3</v>
      </c>
      <c r="C2748">
        <v>1265.5</v>
      </c>
      <c r="D2748">
        <v>1256.3</v>
      </c>
      <c r="E2748">
        <v>1303.3</v>
      </c>
      <c r="F2748">
        <v>1265.5</v>
      </c>
      <c r="G2748">
        <v>29326</v>
      </c>
      <c r="H2748" s="116"/>
      <c r="I2748" s="116"/>
    </row>
    <row r="2749" spans="1:9" x14ac:dyDescent="0.25">
      <c r="A2749" s="169">
        <v>46059</v>
      </c>
      <c r="B2749">
        <v>1265.05</v>
      </c>
      <c r="C2749">
        <v>1262.45</v>
      </c>
      <c r="D2749">
        <v>1224.45</v>
      </c>
      <c r="E2749">
        <v>1253.0999999999999</v>
      </c>
      <c r="F2749">
        <v>1262.45</v>
      </c>
      <c r="G2749">
        <v>9610</v>
      </c>
      <c r="H2749" s="116"/>
      <c r="I2749" s="116"/>
    </row>
    <row r="2750" spans="1:9" x14ac:dyDescent="0.25">
      <c r="A2750" s="169">
        <v>46062</v>
      </c>
      <c r="B2750">
        <v>1281.55</v>
      </c>
      <c r="C2750">
        <v>1258.4000000000001</v>
      </c>
      <c r="D2750">
        <v>1253</v>
      </c>
      <c r="E2750">
        <v>1271.5</v>
      </c>
      <c r="F2750">
        <v>1258.4000000000001</v>
      </c>
      <c r="G2750">
        <v>19390</v>
      </c>
      <c r="H2750" s="116"/>
      <c r="I2750" s="116"/>
    </row>
    <row r="2751" spans="1:9" x14ac:dyDescent="0.25">
      <c r="A2751" s="169">
        <v>46063</v>
      </c>
      <c r="B2751">
        <v>1269.7</v>
      </c>
      <c r="C2751">
        <v>1250.8</v>
      </c>
      <c r="D2751">
        <v>1245.75</v>
      </c>
      <c r="E2751">
        <v>1259.5</v>
      </c>
      <c r="F2751">
        <v>1250.8</v>
      </c>
      <c r="G2751">
        <v>18246</v>
      </c>
      <c r="H2751" s="116"/>
      <c r="I2751" s="116"/>
    </row>
    <row r="2752" spans="1:9" x14ac:dyDescent="0.25">
      <c r="A2752" s="169">
        <v>46064</v>
      </c>
      <c r="B2752">
        <v>1274.5999999999999</v>
      </c>
      <c r="C2752">
        <v>1222.0999999999999</v>
      </c>
      <c r="D2752">
        <v>1216.5999999999999</v>
      </c>
      <c r="E2752">
        <v>1274.5999999999999</v>
      </c>
      <c r="F2752">
        <v>1222.0999999999999</v>
      </c>
      <c r="G2752">
        <v>1219481</v>
      </c>
      <c r="H2752" s="116"/>
      <c r="I2752" s="116"/>
    </row>
    <row r="2753" spans="1:9" x14ac:dyDescent="0.25">
      <c r="A2753" s="169">
        <v>46065</v>
      </c>
      <c r="B2753">
        <v>1249</v>
      </c>
      <c r="C2753">
        <v>1226.5</v>
      </c>
      <c r="D2753">
        <v>1209</v>
      </c>
      <c r="E2753">
        <v>1223.8</v>
      </c>
      <c r="F2753">
        <v>1226.5</v>
      </c>
      <c r="G2753">
        <v>20423</v>
      </c>
      <c r="H2753" s="116"/>
      <c r="I2753" s="116"/>
    </row>
    <row r="2754" spans="1:9" x14ac:dyDescent="0.25">
      <c r="A2754" s="169">
        <v>46066</v>
      </c>
      <c r="B2754">
        <v>1224.75</v>
      </c>
      <c r="C2754">
        <v>1190.5999999999999</v>
      </c>
      <c r="D2754">
        <v>1182</v>
      </c>
      <c r="E2754">
        <v>1224.75</v>
      </c>
      <c r="F2754">
        <v>1190.5999999999999</v>
      </c>
      <c r="G2754">
        <v>22131</v>
      </c>
      <c r="H2754" s="116"/>
      <c r="I2754" s="116"/>
    </row>
    <row r="2755" spans="1:9" x14ac:dyDescent="0.25">
      <c r="A2755" s="169">
        <v>46069</v>
      </c>
      <c r="B2755">
        <v>1190</v>
      </c>
      <c r="C2755">
        <v>1187.3499999999999</v>
      </c>
      <c r="D2755">
        <v>1172.55</v>
      </c>
      <c r="E2755">
        <v>1187.9000000000001</v>
      </c>
      <c r="F2755">
        <v>1187.3499999999999</v>
      </c>
      <c r="G2755">
        <v>22359</v>
      </c>
      <c r="H2755" s="116"/>
      <c r="I2755" s="116"/>
    </row>
    <row r="2756" spans="1:9" x14ac:dyDescent="0.25">
      <c r="A2756" s="169">
        <v>46070</v>
      </c>
      <c r="B2756">
        <v>1205</v>
      </c>
      <c r="C2756">
        <v>1176.3</v>
      </c>
      <c r="D2756">
        <v>1168.3</v>
      </c>
      <c r="E2756">
        <v>1174.5</v>
      </c>
      <c r="F2756">
        <v>1176.3</v>
      </c>
      <c r="G2756">
        <v>10900</v>
      </c>
      <c r="H2756" s="116"/>
      <c r="I2756" s="116"/>
    </row>
    <row r="2757" spans="1:9" x14ac:dyDescent="0.25">
      <c r="A2757" s="169">
        <v>46071</v>
      </c>
      <c r="B2757">
        <v>1226.75</v>
      </c>
      <c r="C2757">
        <v>1211.8499999999999</v>
      </c>
      <c r="D2757">
        <v>1172.75</v>
      </c>
      <c r="E2757">
        <v>1204.3499999999999</v>
      </c>
      <c r="F2757">
        <v>1211.8499999999999</v>
      </c>
      <c r="G2757">
        <v>17405</v>
      </c>
      <c r="H2757" s="116"/>
      <c r="I2757" s="116"/>
    </row>
    <row r="2758" spans="1:9" x14ac:dyDescent="0.25">
      <c r="A2758" s="169">
        <v>46072</v>
      </c>
      <c r="B2758">
        <v>1212.7</v>
      </c>
      <c r="C2758">
        <v>1126.3499999999999</v>
      </c>
      <c r="D2758">
        <v>1122.95</v>
      </c>
      <c r="E2758">
        <v>1212.45</v>
      </c>
      <c r="F2758">
        <v>1126.3499999999999</v>
      </c>
      <c r="G2758">
        <v>690018</v>
      </c>
      <c r="H2758" s="116"/>
      <c r="I2758" s="116"/>
    </row>
    <row r="2759" spans="1:9" x14ac:dyDescent="0.25">
      <c r="A2759" s="169">
        <v>46073</v>
      </c>
      <c r="B2759">
        <v>1150.4000000000001</v>
      </c>
      <c r="C2759">
        <v>1145.3</v>
      </c>
      <c r="D2759">
        <v>1123.8499999999999</v>
      </c>
      <c r="E2759">
        <v>1125.95</v>
      </c>
      <c r="F2759">
        <v>1145.3</v>
      </c>
      <c r="G2759">
        <v>25520</v>
      </c>
      <c r="H2759" s="116"/>
      <c r="I2759" s="116"/>
    </row>
    <row r="2760" spans="1:9" x14ac:dyDescent="0.25">
      <c r="A2760" s="169">
        <v>46076</v>
      </c>
      <c r="B2760">
        <v>1159</v>
      </c>
      <c r="C2760">
        <v>1139.25</v>
      </c>
      <c r="D2760">
        <v>1131.7</v>
      </c>
      <c r="E2760">
        <v>1157.8</v>
      </c>
      <c r="F2760">
        <v>1139.25</v>
      </c>
      <c r="G2760">
        <v>21727</v>
      </c>
      <c r="H2760" s="116"/>
      <c r="I2760" s="116"/>
    </row>
    <row r="2761" spans="1:9" x14ac:dyDescent="0.25">
      <c r="A2761" s="169">
        <v>46077</v>
      </c>
      <c r="B2761">
        <v>1167.0999999999999</v>
      </c>
      <c r="C2761">
        <v>1163.05</v>
      </c>
      <c r="D2761">
        <v>1125</v>
      </c>
      <c r="E2761">
        <v>1125.05</v>
      </c>
      <c r="F2761">
        <v>1163.05</v>
      </c>
      <c r="G2761">
        <v>19803</v>
      </c>
      <c r="H2761" s="116"/>
      <c r="I2761" s="116"/>
    </row>
    <row r="2762" spans="1:9" x14ac:dyDescent="0.25">
      <c r="A2762" s="169">
        <v>46078</v>
      </c>
      <c r="B2762">
        <v>1258</v>
      </c>
      <c r="C2762">
        <v>1250.5</v>
      </c>
      <c r="D2762">
        <v>1180</v>
      </c>
      <c r="E2762">
        <v>1181</v>
      </c>
      <c r="F2762">
        <v>1250.5</v>
      </c>
      <c r="G2762">
        <v>47069</v>
      </c>
      <c r="H2762" s="116"/>
      <c r="I2762" s="116"/>
    </row>
    <row r="2763" spans="1:9" x14ac:dyDescent="0.25">
      <c r="A2763" s="169">
        <v>46079</v>
      </c>
      <c r="B2763">
        <v>1303.5</v>
      </c>
      <c r="C2763">
        <v>1263.6500000000001</v>
      </c>
      <c r="D2763">
        <v>1246.7</v>
      </c>
      <c r="E2763">
        <v>1250.5999999999999</v>
      </c>
      <c r="F2763">
        <v>1263.6500000000001</v>
      </c>
      <c r="G2763">
        <v>35592</v>
      </c>
      <c r="H2763" s="116"/>
      <c r="I2763" s="116"/>
    </row>
    <row r="2764" spans="1:9" x14ac:dyDescent="0.25">
      <c r="A2764" s="169">
        <v>46080</v>
      </c>
      <c r="B2764">
        <v>1267.45</v>
      </c>
      <c r="C2764">
        <v>1232.6500000000001</v>
      </c>
      <c r="D2764">
        <v>1229.05</v>
      </c>
      <c r="E2764">
        <v>1263.7</v>
      </c>
      <c r="F2764">
        <v>1232.6500000000001</v>
      </c>
      <c r="G2764">
        <v>114042</v>
      </c>
      <c r="H2764" s="116"/>
      <c r="I2764" s="116"/>
    </row>
    <row r="2765" spans="1:9" x14ac:dyDescent="0.25">
      <c r="A2765" s="169">
        <v>46083</v>
      </c>
      <c r="B2765">
        <v>1248.55</v>
      </c>
      <c r="C2765">
        <v>1213.2</v>
      </c>
      <c r="D2765">
        <v>1159.3499999999999</v>
      </c>
      <c r="E2765">
        <v>1159.3499999999999</v>
      </c>
      <c r="F2765">
        <v>1213.2</v>
      </c>
      <c r="G2765">
        <v>33293</v>
      </c>
      <c r="H2765" s="116"/>
      <c r="I2765" s="116"/>
    </row>
    <row r="2766" spans="1:9" x14ac:dyDescent="0.25">
      <c r="A2766" s="169">
        <v>46085</v>
      </c>
      <c r="B2766">
        <v>1195.05</v>
      </c>
      <c r="C2766">
        <v>1165.75</v>
      </c>
      <c r="D2766">
        <v>1146.9000000000001</v>
      </c>
      <c r="E2766">
        <v>1180.1500000000001</v>
      </c>
      <c r="F2766">
        <v>1165.75</v>
      </c>
      <c r="G2766">
        <v>59740</v>
      </c>
      <c r="H2766" s="116"/>
      <c r="I2766" s="116"/>
    </row>
    <row r="2767" spans="1:9" x14ac:dyDescent="0.25">
      <c r="A2767" s="169">
        <v>46086</v>
      </c>
      <c r="B2767">
        <v>1250</v>
      </c>
      <c r="C2767">
        <v>1205.0999999999999</v>
      </c>
      <c r="D2767">
        <v>1149.75</v>
      </c>
      <c r="E2767">
        <v>1179.95</v>
      </c>
      <c r="F2767">
        <v>1205.0999999999999</v>
      </c>
      <c r="G2767">
        <v>1894662</v>
      </c>
      <c r="H2767" s="116"/>
      <c r="I2767" s="116"/>
    </row>
    <row r="2768" spans="1:9" x14ac:dyDescent="0.25">
      <c r="A2768" s="169">
        <v>46087</v>
      </c>
      <c r="B2768">
        <v>1217.1500000000001</v>
      </c>
      <c r="C2768">
        <v>1183.2</v>
      </c>
      <c r="D2768">
        <v>1179.0999999999999</v>
      </c>
      <c r="E2768">
        <v>1204.75</v>
      </c>
      <c r="F2768">
        <v>1183.2</v>
      </c>
      <c r="G2768">
        <v>27058</v>
      </c>
      <c r="H2768" s="116"/>
      <c r="I2768" s="116"/>
    </row>
    <row r="2769" spans="1:9" x14ac:dyDescent="0.25">
      <c r="A2769" s="169">
        <v>46090</v>
      </c>
      <c r="B2769">
        <v>1169</v>
      </c>
      <c r="C2769">
        <v>1162.7</v>
      </c>
      <c r="D2769">
        <v>1130</v>
      </c>
      <c r="E2769">
        <v>1165</v>
      </c>
      <c r="F2769">
        <v>1162.7</v>
      </c>
      <c r="G2769">
        <v>24867</v>
      </c>
      <c r="H2769" s="116"/>
      <c r="I2769" s="116"/>
    </row>
    <row r="2770" spans="1:9" x14ac:dyDescent="0.25">
      <c r="A2770" s="169">
        <v>46091</v>
      </c>
      <c r="B2770">
        <v>1195</v>
      </c>
      <c r="C2770">
        <v>1171.1500000000001</v>
      </c>
      <c r="D2770">
        <v>1160.05</v>
      </c>
      <c r="E2770">
        <v>1172.0999999999999</v>
      </c>
      <c r="F2770">
        <v>1171.1500000000001</v>
      </c>
      <c r="G2770">
        <v>23287</v>
      </c>
      <c r="H2770" s="116"/>
      <c r="I2770" s="116"/>
    </row>
    <row r="2771" spans="1:9" x14ac:dyDescent="0.25">
      <c r="A2771" s="169">
        <v>46092</v>
      </c>
      <c r="B2771">
        <v>1223.8499999999999</v>
      </c>
      <c r="C2771">
        <v>1186.1500000000001</v>
      </c>
      <c r="D2771">
        <v>1177.8</v>
      </c>
      <c r="E2771">
        <v>1177.8</v>
      </c>
      <c r="F2771">
        <v>1186.1500000000001</v>
      </c>
      <c r="G2771">
        <v>23974</v>
      </c>
      <c r="H2771" s="116"/>
      <c r="I2771" s="116"/>
    </row>
    <row r="2772" spans="1:9" x14ac:dyDescent="0.25">
      <c r="A2772" s="169">
        <v>46093</v>
      </c>
      <c r="B2772">
        <v>1213.4000000000001</v>
      </c>
      <c r="C2772">
        <v>1205.5999999999999</v>
      </c>
      <c r="D2772">
        <v>1156.2</v>
      </c>
      <c r="E2772">
        <v>1177</v>
      </c>
      <c r="F2772">
        <v>1205.5999999999999</v>
      </c>
      <c r="G2772">
        <v>25821</v>
      </c>
      <c r="H2772" s="116"/>
      <c r="I2772" s="116"/>
    </row>
    <row r="2773" spans="1:9" x14ac:dyDescent="0.25">
      <c r="A2773" s="169">
        <v>46094</v>
      </c>
      <c r="B2773">
        <v>1202.55</v>
      </c>
      <c r="C2773">
        <v>1141.9000000000001</v>
      </c>
      <c r="D2773">
        <v>1136.25</v>
      </c>
      <c r="E2773">
        <v>1195</v>
      </c>
      <c r="F2773">
        <v>1141.9000000000001</v>
      </c>
      <c r="G2773">
        <v>40764</v>
      </c>
      <c r="H2773" s="116"/>
      <c r="I2773" s="116"/>
    </row>
    <row r="2774" spans="1:9" x14ac:dyDescent="0.25">
      <c r="A2774" s="169">
        <v>46097</v>
      </c>
      <c r="B2774">
        <v>1184.3499999999999</v>
      </c>
      <c r="C2774">
        <v>1147.0999999999999</v>
      </c>
      <c r="D2774">
        <v>1120</v>
      </c>
      <c r="E2774">
        <v>1184.3499999999999</v>
      </c>
      <c r="F2774">
        <v>1147.0999999999999</v>
      </c>
      <c r="G2774">
        <v>73414</v>
      </c>
      <c r="H2774" s="116"/>
      <c r="I2774" s="116"/>
    </row>
    <row r="2775" spans="1:9" x14ac:dyDescent="0.25">
      <c r="A2775" s="169">
        <v>46098</v>
      </c>
      <c r="B2775">
        <v>1241.75</v>
      </c>
      <c r="C2775">
        <v>1236.4000000000001</v>
      </c>
      <c r="D2775">
        <v>1149.0999999999999</v>
      </c>
      <c r="E2775">
        <v>1149.0999999999999</v>
      </c>
      <c r="F2775">
        <v>1236.4000000000001</v>
      </c>
      <c r="G2775">
        <v>73603</v>
      </c>
      <c r="H2775" s="116"/>
      <c r="I2775" s="116"/>
    </row>
    <row r="2776" spans="1:9" x14ac:dyDescent="0.25">
      <c r="A2776" s="169">
        <v>46099</v>
      </c>
      <c r="B2776">
        <v>1261</v>
      </c>
      <c r="C2776">
        <v>1245.5999999999999</v>
      </c>
      <c r="D2776">
        <v>1224.3499999999999</v>
      </c>
      <c r="E2776">
        <v>1230.45</v>
      </c>
      <c r="F2776">
        <v>1245.5999999999999</v>
      </c>
      <c r="G2776">
        <v>44609</v>
      </c>
      <c r="H2776" s="116"/>
      <c r="I2776" s="116"/>
    </row>
    <row r="2777" spans="1:9" x14ac:dyDescent="0.25">
      <c r="A2777" s="169">
        <v>46100</v>
      </c>
      <c r="B2777">
        <v>1231.1500000000001</v>
      </c>
      <c r="C2777">
        <v>1184.7</v>
      </c>
      <c r="D2777">
        <v>1178</v>
      </c>
      <c r="E2777">
        <v>1231.1500000000001</v>
      </c>
      <c r="F2777">
        <v>1184.7</v>
      </c>
      <c r="G2777">
        <v>33847</v>
      </c>
      <c r="H2777" s="116"/>
      <c r="I2777" s="116"/>
    </row>
    <row r="2778" spans="1:9" x14ac:dyDescent="0.25">
      <c r="A2778" s="169">
        <v>46101</v>
      </c>
      <c r="B2778">
        <v>1274.2</v>
      </c>
      <c r="C2778">
        <v>1246.8</v>
      </c>
      <c r="D2778">
        <v>1205</v>
      </c>
      <c r="E2778">
        <v>1205</v>
      </c>
      <c r="F2778">
        <v>1246.8</v>
      </c>
      <c r="G2778">
        <v>55170</v>
      </c>
      <c r="H2778" s="116"/>
      <c r="I2778" s="116"/>
    </row>
    <row r="2779" spans="1:9" x14ac:dyDescent="0.25">
      <c r="A2779" s="169">
        <v>46104</v>
      </c>
      <c r="B2779">
        <v>1227</v>
      </c>
      <c r="C2779">
        <v>1210.3</v>
      </c>
      <c r="D2779">
        <v>1186.8499999999999</v>
      </c>
      <c r="E2779">
        <v>1222.9000000000001</v>
      </c>
      <c r="F2779">
        <v>1210.3</v>
      </c>
      <c r="G2779">
        <v>50463</v>
      </c>
      <c r="H2779" s="116"/>
      <c r="I2779" s="116"/>
    </row>
    <row r="2780" spans="1:9" x14ac:dyDescent="0.25">
      <c r="A2780" s="169">
        <v>46105</v>
      </c>
      <c r="B2780">
        <v>1267</v>
      </c>
      <c r="C2780">
        <v>1259</v>
      </c>
      <c r="D2780">
        <v>1218.8</v>
      </c>
      <c r="E2780">
        <v>1248.45</v>
      </c>
      <c r="F2780">
        <v>1259</v>
      </c>
      <c r="G2780">
        <v>59236</v>
      </c>
      <c r="H2780" s="116"/>
      <c r="I2780" s="116"/>
    </row>
    <row r="2781" spans="1:9" x14ac:dyDescent="0.25">
      <c r="A2781" s="169">
        <v>46106</v>
      </c>
      <c r="B2781">
        <v>1340.6</v>
      </c>
      <c r="C2781">
        <v>1306.95</v>
      </c>
      <c r="D2781">
        <v>1259.05</v>
      </c>
      <c r="E2781">
        <v>1259.05</v>
      </c>
      <c r="F2781">
        <v>1306.95</v>
      </c>
      <c r="G2781">
        <v>88529</v>
      </c>
      <c r="H2781" s="116"/>
      <c r="I2781" s="116"/>
    </row>
    <row r="2782" spans="1:9" x14ac:dyDescent="0.25">
      <c r="A2782" s="169">
        <v>46108</v>
      </c>
      <c r="B2782">
        <v>1309.95</v>
      </c>
      <c r="C2782">
        <v>1278.8</v>
      </c>
      <c r="D2782">
        <v>1271.45</v>
      </c>
      <c r="E2782">
        <v>1298.8</v>
      </c>
      <c r="F2782">
        <v>1278.8</v>
      </c>
      <c r="G2782">
        <v>50067</v>
      </c>
      <c r="H2782" s="116"/>
      <c r="I2782" s="116"/>
    </row>
    <row r="2783" spans="1:9" x14ac:dyDescent="0.25">
      <c r="A2783" s="169">
        <v>46111</v>
      </c>
      <c r="B2783">
        <v>1296.3</v>
      </c>
      <c r="C2783">
        <v>1270.7</v>
      </c>
      <c r="D2783">
        <v>1237.55</v>
      </c>
      <c r="E2783">
        <v>1253.45</v>
      </c>
      <c r="F2783">
        <v>1270.7</v>
      </c>
      <c r="G2783">
        <v>73149</v>
      </c>
      <c r="H2783" s="116"/>
      <c r="I2783" s="116"/>
    </row>
    <row r="2784" spans="1:9" x14ac:dyDescent="0.25">
      <c r="A2784" s="169">
        <v>46113</v>
      </c>
      <c r="B2784">
        <v>1353.95</v>
      </c>
      <c r="C2784">
        <v>1348.15</v>
      </c>
      <c r="D2784">
        <v>1301.7</v>
      </c>
      <c r="E2784">
        <v>1323.95</v>
      </c>
      <c r="F2784">
        <v>1348.15</v>
      </c>
      <c r="G2784">
        <v>46972</v>
      </c>
      <c r="H2784" s="116"/>
      <c r="I2784" s="116"/>
    </row>
    <row r="2785" spans="1:9" x14ac:dyDescent="0.25">
      <c r="A2785" s="169">
        <v>46114</v>
      </c>
      <c r="B2785">
        <v>1398.7</v>
      </c>
      <c r="C2785">
        <v>1390.05</v>
      </c>
      <c r="D2785">
        <v>1289.1500000000001</v>
      </c>
      <c r="E2785">
        <v>1328</v>
      </c>
      <c r="F2785">
        <v>1390.05</v>
      </c>
      <c r="G2785">
        <v>50935</v>
      </c>
      <c r="H2785" s="116"/>
      <c r="I2785" s="116"/>
    </row>
    <row r="2786" spans="1:9" x14ac:dyDescent="0.25">
      <c r="A2786" s="169">
        <v>46118</v>
      </c>
      <c r="B2786">
        <v>1441.4</v>
      </c>
      <c r="C2786">
        <v>1436.6</v>
      </c>
      <c r="D2786">
        <v>1360.9</v>
      </c>
      <c r="E2786">
        <v>1441.4</v>
      </c>
      <c r="F2786">
        <v>1436.6</v>
      </c>
      <c r="G2786">
        <v>84016</v>
      </c>
      <c r="H2786" s="116"/>
      <c r="I2786" s="116"/>
    </row>
    <row r="2787" spans="1:9" x14ac:dyDescent="0.25">
      <c r="A2787" s="169">
        <v>46119</v>
      </c>
      <c r="B2787">
        <v>1458.65</v>
      </c>
      <c r="C2787">
        <v>1442</v>
      </c>
      <c r="D2787">
        <v>1422.9</v>
      </c>
      <c r="E2787">
        <v>1441</v>
      </c>
      <c r="F2787">
        <v>1442</v>
      </c>
      <c r="G2787">
        <v>45755</v>
      </c>
      <c r="H2787" s="116"/>
      <c r="I2787" s="116"/>
    </row>
    <row r="2788" spans="1:9" x14ac:dyDescent="0.25">
      <c r="A2788" s="169">
        <v>46120</v>
      </c>
      <c r="B2788">
        <v>1499.2</v>
      </c>
      <c r="C2788">
        <v>1485</v>
      </c>
      <c r="D2788">
        <v>1450</v>
      </c>
      <c r="E2788">
        <v>1460.2</v>
      </c>
      <c r="F2788">
        <v>1485</v>
      </c>
      <c r="G2788">
        <v>84820</v>
      </c>
      <c r="H2788" s="116"/>
      <c r="I2788" s="116"/>
    </row>
    <row r="2789" spans="1:9" x14ac:dyDescent="0.25">
      <c r="A2789" s="169">
        <v>46121</v>
      </c>
      <c r="B2789">
        <v>1500</v>
      </c>
      <c r="C2789">
        <v>1487.3</v>
      </c>
      <c r="D2789">
        <v>1455.65</v>
      </c>
      <c r="E2789">
        <v>1455.65</v>
      </c>
      <c r="F2789">
        <v>1487.3</v>
      </c>
      <c r="G2789">
        <v>49677</v>
      </c>
      <c r="H2789" s="116"/>
      <c r="I2789" s="116"/>
    </row>
    <row r="2790" spans="1:9" x14ac:dyDescent="0.25">
      <c r="A2790" s="169">
        <v>46122</v>
      </c>
      <c r="B2790">
        <v>1510</v>
      </c>
      <c r="C2790">
        <v>1506.25</v>
      </c>
      <c r="D2790">
        <v>1485.1</v>
      </c>
      <c r="E2790">
        <v>1499.7</v>
      </c>
      <c r="F2790">
        <v>1506.25</v>
      </c>
      <c r="G2790">
        <v>43588</v>
      </c>
      <c r="H2790" s="116"/>
      <c r="I2790" s="116"/>
    </row>
    <row r="2791" spans="1:9" x14ac:dyDescent="0.25">
      <c r="A2791" s="169">
        <v>46125</v>
      </c>
      <c r="B2791">
        <v>1516.9</v>
      </c>
      <c r="C2791">
        <v>1502.35</v>
      </c>
      <c r="D2791">
        <v>1454.2</v>
      </c>
      <c r="E2791">
        <v>1483.9</v>
      </c>
      <c r="F2791">
        <v>1502.35</v>
      </c>
      <c r="G2791">
        <v>55934</v>
      </c>
      <c r="H2791" s="116"/>
      <c r="I2791" s="116"/>
    </row>
    <row r="2792" spans="1:9" x14ac:dyDescent="0.25">
      <c r="A2792" s="169">
        <v>46127</v>
      </c>
      <c r="B2792">
        <v>1542.55</v>
      </c>
      <c r="C2792">
        <v>1511.9</v>
      </c>
      <c r="D2792">
        <v>1502.9</v>
      </c>
      <c r="E2792">
        <v>1527.9</v>
      </c>
      <c r="F2792">
        <v>1511.9</v>
      </c>
      <c r="G2792">
        <v>43462</v>
      </c>
      <c r="H2792" s="116"/>
      <c r="I2792" s="116"/>
    </row>
    <row r="2793" spans="1:9" x14ac:dyDescent="0.25">
      <c r="A2793" s="169">
        <v>46128</v>
      </c>
      <c r="B2793">
        <v>1563</v>
      </c>
      <c r="C2793">
        <v>1556.95</v>
      </c>
      <c r="D2793">
        <v>1510.05</v>
      </c>
      <c r="E2793">
        <v>1520.2</v>
      </c>
      <c r="F2793">
        <v>1556.95</v>
      </c>
      <c r="G2793">
        <v>52154</v>
      </c>
      <c r="H2793" s="116"/>
      <c r="I2793" s="116"/>
    </row>
    <row r="2794" spans="1:9" x14ac:dyDescent="0.25">
      <c r="A2794" s="169">
        <v>46129</v>
      </c>
      <c r="B2794">
        <v>1635</v>
      </c>
      <c r="C2794">
        <v>1622.7</v>
      </c>
      <c r="D2794">
        <v>1558.95</v>
      </c>
      <c r="E2794">
        <v>1572.3</v>
      </c>
      <c r="F2794">
        <v>1622.7</v>
      </c>
      <c r="G2794">
        <v>109479</v>
      </c>
      <c r="H2794" s="116"/>
      <c r="I2794" s="116"/>
    </row>
    <row r="2795" spans="1:9" x14ac:dyDescent="0.25">
      <c r="A2795" s="169">
        <v>46132</v>
      </c>
      <c r="B2795">
        <v>1653</v>
      </c>
      <c r="C2795">
        <v>1627.9</v>
      </c>
      <c r="D2795">
        <v>1619.5</v>
      </c>
      <c r="E2795">
        <v>1637.95</v>
      </c>
      <c r="F2795">
        <v>1627.9</v>
      </c>
      <c r="G2795">
        <v>46976</v>
      </c>
      <c r="H2795" s="116"/>
      <c r="I2795" s="116"/>
    </row>
    <row r="2796" spans="1:9" x14ac:dyDescent="0.25">
      <c r="A2796" s="169">
        <v>46133</v>
      </c>
      <c r="B2796">
        <v>1658.25</v>
      </c>
      <c r="C2796">
        <v>1650</v>
      </c>
      <c r="D2796">
        <v>1628.6</v>
      </c>
      <c r="E2796">
        <v>1645</v>
      </c>
      <c r="F2796">
        <v>1650</v>
      </c>
      <c r="G2796">
        <v>101313</v>
      </c>
      <c r="H2796" s="116"/>
      <c r="I2796" s="116"/>
    </row>
    <row r="2797" spans="1:9" x14ac:dyDescent="0.25">
      <c r="A2797" s="169">
        <v>46134</v>
      </c>
      <c r="B2797">
        <v>1684</v>
      </c>
      <c r="C2797">
        <v>1678.65</v>
      </c>
      <c r="D2797">
        <v>1648.7</v>
      </c>
      <c r="E2797">
        <v>1650.15</v>
      </c>
      <c r="F2797">
        <v>1678.65</v>
      </c>
      <c r="G2797">
        <v>57531</v>
      </c>
      <c r="H2797" s="116"/>
      <c r="I2797" s="116"/>
    </row>
    <row r="2798" spans="1:9" x14ac:dyDescent="0.25">
      <c r="A2798" s="169">
        <v>46135</v>
      </c>
      <c r="B2798">
        <v>1701</v>
      </c>
      <c r="C2798">
        <v>1698.3</v>
      </c>
      <c r="D2798">
        <v>1664.6</v>
      </c>
      <c r="E2798">
        <v>1684.05</v>
      </c>
      <c r="F2798">
        <v>1698.3</v>
      </c>
      <c r="G2798">
        <v>20984</v>
      </c>
      <c r="H2798" s="116"/>
      <c r="I2798" s="116"/>
    </row>
    <row r="2799" spans="1:9" x14ac:dyDescent="0.25">
      <c r="A2799" s="169">
        <v>46136</v>
      </c>
      <c r="B2799">
        <v>1700</v>
      </c>
      <c r="C2799">
        <v>1693.85</v>
      </c>
      <c r="D2799">
        <v>1661.75</v>
      </c>
      <c r="E2799">
        <v>1698.3</v>
      </c>
      <c r="F2799">
        <v>1693.85</v>
      </c>
      <c r="G2799">
        <v>39707</v>
      </c>
      <c r="H2799" s="116"/>
      <c r="I2799" s="116"/>
    </row>
    <row r="2800" spans="1:9" x14ac:dyDescent="0.25">
      <c r="A2800" s="169">
        <v>46139</v>
      </c>
      <c r="B2800">
        <v>1748.05</v>
      </c>
      <c r="C2800">
        <v>1730</v>
      </c>
      <c r="D2800">
        <v>1690</v>
      </c>
      <c r="E2800">
        <v>1700.05</v>
      </c>
      <c r="F2800">
        <v>1730</v>
      </c>
      <c r="G2800">
        <v>49547</v>
      </c>
      <c r="H2800" s="116"/>
      <c r="I2800" s="116"/>
    </row>
    <row r="2801" spans="1:9" x14ac:dyDescent="0.25">
      <c r="A2801" s="169">
        <v>46140</v>
      </c>
      <c r="B2801">
        <v>1761.75</v>
      </c>
      <c r="C2801">
        <v>1750.95</v>
      </c>
      <c r="D2801">
        <v>1707.2</v>
      </c>
      <c r="E2801">
        <v>1735</v>
      </c>
      <c r="F2801">
        <v>1750.95</v>
      </c>
      <c r="G2801">
        <v>21850</v>
      </c>
      <c r="H2801" s="116"/>
      <c r="I2801" s="116"/>
    </row>
    <row r="2802" spans="1:9" x14ac:dyDescent="0.25">
      <c r="A2802" s="169">
        <v>46141</v>
      </c>
      <c r="B2802">
        <v>1780.95</v>
      </c>
      <c r="C2802">
        <v>1772.45</v>
      </c>
      <c r="D2802">
        <v>1735.25</v>
      </c>
      <c r="E2802">
        <v>1767.05</v>
      </c>
      <c r="F2802">
        <v>1772.45</v>
      </c>
      <c r="G2802">
        <v>34081</v>
      </c>
      <c r="H2802" s="116"/>
      <c r="I2802" s="116"/>
    </row>
    <row r="2803" spans="1:9" x14ac:dyDescent="0.25">
      <c r="A2803" s="169">
        <v>46142</v>
      </c>
      <c r="B2803">
        <v>1785.45</v>
      </c>
      <c r="C2803">
        <v>1764.55</v>
      </c>
      <c r="D2803">
        <v>1736.2</v>
      </c>
      <c r="E2803">
        <v>1780.95</v>
      </c>
      <c r="F2803">
        <v>1764.55</v>
      </c>
      <c r="G2803">
        <v>45767</v>
      </c>
      <c r="H2803" s="116"/>
      <c r="I2803" s="116"/>
    </row>
    <row r="2804" spans="1:9" x14ac:dyDescent="0.25">
      <c r="A2804" s="169">
        <v>46146</v>
      </c>
      <c r="B2804">
        <v>1814.7</v>
      </c>
      <c r="C2804">
        <v>1797.75</v>
      </c>
      <c r="D2804">
        <v>1769.05</v>
      </c>
      <c r="E2804">
        <v>1780</v>
      </c>
      <c r="F2804">
        <v>1797.75</v>
      </c>
      <c r="G2804">
        <v>28634</v>
      </c>
      <c r="H2804" s="116"/>
      <c r="I2804" s="116"/>
    </row>
    <row r="2805" spans="1:9" x14ac:dyDescent="0.25">
      <c r="A2805" s="169">
        <v>46147</v>
      </c>
      <c r="B2805">
        <v>1835</v>
      </c>
      <c r="C2805">
        <v>1782.8</v>
      </c>
      <c r="D2805">
        <v>1758.55</v>
      </c>
      <c r="E2805">
        <v>1809.75</v>
      </c>
      <c r="F2805">
        <v>1782.8</v>
      </c>
      <c r="G2805">
        <v>64589</v>
      </c>
      <c r="H2805" s="116"/>
      <c r="I2805" s="116"/>
    </row>
    <row r="2806" spans="1:9" x14ac:dyDescent="0.25">
      <c r="A2806" s="169">
        <v>46148</v>
      </c>
      <c r="B2806">
        <v>1862.9</v>
      </c>
      <c r="C2806">
        <v>1764.45</v>
      </c>
      <c r="D2806">
        <v>1734.8</v>
      </c>
      <c r="E2806">
        <v>1862.9</v>
      </c>
      <c r="F2806">
        <v>1764.45</v>
      </c>
      <c r="G2806">
        <v>125397</v>
      </c>
      <c r="H2806" s="116"/>
      <c r="I2806" s="116"/>
    </row>
    <row r="2807" spans="1:9" x14ac:dyDescent="0.25">
      <c r="A2807" s="169">
        <v>46149</v>
      </c>
      <c r="B2807">
        <v>1773.1</v>
      </c>
      <c r="C2807">
        <v>1724.95</v>
      </c>
      <c r="D2807">
        <v>1721</v>
      </c>
      <c r="E2807">
        <v>1766.65</v>
      </c>
      <c r="F2807">
        <v>1724.95</v>
      </c>
      <c r="G2807">
        <v>62512</v>
      </c>
      <c r="H2807" s="116"/>
      <c r="I2807" s="116"/>
    </row>
    <row r="2808" spans="1:9" x14ac:dyDescent="0.25">
      <c r="A2808" s="169">
        <v>46150</v>
      </c>
      <c r="B2808">
        <v>1754.8</v>
      </c>
      <c r="C2808">
        <v>1735.25</v>
      </c>
      <c r="D2808">
        <v>1702</v>
      </c>
      <c r="E2808">
        <v>1738.55</v>
      </c>
      <c r="F2808">
        <v>1735.25</v>
      </c>
      <c r="G2808">
        <v>33559</v>
      </c>
      <c r="H2808" s="116"/>
      <c r="I2808" s="116"/>
    </row>
    <row r="2809" spans="1:9" x14ac:dyDescent="0.25">
      <c r="A2809" s="169">
        <v>46153</v>
      </c>
      <c r="B2809">
        <v>1773.35</v>
      </c>
      <c r="C2809">
        <v>1745.05</v>
      </c>
      <c r="D2809">
        <v>1714.25</v>
      </c>
      <c r="E2809">
        <v>1745.2</v>
      </c>
      <c r="F2809">
        <v>1745.05</v>
      </c>
      <c r="G2809">
        <v>60354</v>
      </c>
      <c r="H2809" s="116"/>
      <c r="I2809" s="116"/>
    </row>
    <row r="2810" spans="1:9" x14ac:dyDescent="0.25">
      <c r="A2810" s="169">
        <v>46154</v>
      </c>
      <c r="B2810">
        <v>1775</v>
      </c>
      <c r="C2810">
        <v>1709.8</v>
      </c>
      <c r="D2810">
        <v>1696</v>
      </c>
      <c r="E2810">
        <v>1745.1</v>
      </c>
      <c r="F2810">
        <v>1709.8</v>
      </c>
      <c r="G2810">
        <v>73413</v>
      </c>
      <c r="H2810" s="116"/>
      <c r="I2810" s="116"/>
    </row>
    <row r="2811" spans="1:9" x14ac:dyDescent="0.25">
      <c r="A2811" s="169">
        <v>46155</v>
      </c>
      <c r="B2811">
        <v>1772.8</v>
      </c>
      <c r="C2811">
        <v>1748.55</v>
      </c>
      <c r="D2811">
        <v>1701.05</v>
      </c>
      <c r="E2811">
        <v>1701.85</v>
      </c>
      <c r="F2811">
        <v>1748.55</v>
      </c>
      <c r="G2811">
        <v>72228</v>
      </c>
      <c r="H2811" s="116"/>
      <c r="I2811" s="116"/>
    </row>
    <row r="2812" spans="1:9" x14ac:dyDescent="0.25">
      <c r="A2812" s="169">
        <v>46156</v>
      </c>
      <c r="B2812">
        <v>1789</v>
      </c>
      <c r="C2812">
        <v>1759.25</v>
      </c>
      <c r="D2812">
        <v>1748.1</v>
      </c>
      <c r="E2812">
        <v>1768.55</v>
      </c>
      <c r="F2812">
        <v>1759.25</v>
      </c>
      <c r="G2812">
        <v>24715</v>
      </c>
      <c r="H2812" s="116"/>
      <c r="I2812" s="116"/>
    </row>
    <row r="2813" spans="1:9" x14ac:dyDescent="0.25">
      <c r="A2813" s="169">
        <v>46157</v>
      </c>
      <c r="B2813">
        <v>1777.75</v>
      </c>
      <c r="C2813">
        <v>1734.3</v>
      </c>
      <c r="D2813">
        <v>1725.7</v>
      </c>
      <c r="E2813">
        <v>1777.75</v>
      </c>
      <c r="F2813">
        <v>1734.3</v>
      </c>
      <c r="G2813">
        <v>39630</v>
      </c>
      <c r="H2813" s="116"/>
      <c r="I2813" s="116"/>
    </row>
    <row r="2814" spans="1:9" x14ac:dyDescent="0.25">
      <c r="A2814" s="169">
        <v>46160</v>
      </c>
      <c r="B2814">
        <v>1711.75</v>
      </c>
      <c r="C2814">
        <v>1695.25</v>
      </c>
      <c r="D2814">
        <v>1654.95</v>
      </c>
      <c r="E2814">
        <v>1711.75</v>
      </c>
      <c r="F2814">
        <v>1695.25</v>
      </c>
      <c r="G2814">
        <v>86981</v>
      </c>
      <c r="H2814" s="116"/>
      <c r="I2814" s="116"/>
    </row>
    <row r="2815" spans="1:9" x14ac:dyDescent="0.25">
      <c r="A2815" s="169">
        <v>46161</v>
      </c>
      <c r="B2815">
        <v>1706.65</v>
      </c>
      <c r="C2815">
        <v>1663.6</v>
      </c>
      <c r="D2815">
        <v>1660.95</v>
      </c>
      <c r="E2815">
        <v>1697.95</v>
      </c>
      <c r="F2815">
        <v>1663.6</v>
      </c>
      <c r="G2815">
        <v>18337</v>
      </c>
      <c r="H2815" s="116"/>
      <c r="I2815" s="116"/>
    </row>
    <row r="2816" spans="1:9" x14ac:dyDescent="0.25">
      <c r="A2816" s="169">
        <v>46162</v>
      </c>
      <c r="B2816">
        <v>1677.1</v>
      </c>
      <c r="C2816">
        <v>1653.35</v>
      </c>
      <c r="D2816">
        <v>1637</v>
      </c>
      <c r="E2816">
        <v>1671.75</v>
      </c>
      <c r="F2816">
        <v>1653.35</v>
      </c>
      <c r="G2816">
        <v>12370</v>
      </c>
      <c r="H2816" s="116"/>
      <c r="I2816" s="116"/>
    </row>
    <row r="2817" spans="1:9" x14ac:dyDescent="0.25">
      <c r="A2817" s="169">
        <v>46163</v>
      </c>
      <c r="B2817">
        <v>1720.8</v>
      </c>
      <c r="C2817">
        <v>1712.8</v>
      </c>
      <c r="D2817">
        <v>1650</v>
      </c>
      <c r="E2817">
        <v>1650</v>
      </c>
      <c r="F2817">
        <v>1712.8</v>
      </c>
      <c r="G2817">
        <v>18696</v>
      </c>
      <c r="H2817" s="116"/>
      <c r="I2817" s="116"/>
    </row>
    <row r="2818" spans="1:9" x14ac:dyDescent="0.25">
      <c r="A2818" s="169">
        <v>46164</v>
      </c>
      <c r="B2818">
        <v>1743.6</v>
      </c>
      <c r="C2818">
        <v>1734</v>
      </c>
      <c r="D2818">
        <v>1708.8</v>
      </c>
      <c r="E2818">
        <v>1715.15</v>
      </c>
      <c r="F2818">
        <v>1734</v>
      </c>
      <c r="G2818">
        <v>20835</v>
      </c>
      <c r="H2818" s="116"/>
      <c r="I2818" s="116"/>
    </row>
    <row r="2819" spans="1:9" x14ac:dyDescent="0.25">
      <c r="A2819" s="169">
        <v>46167</v>
      </c>
      <c r="B2819">
        <v>1808.7</v>
      </c>
      <c r="C2819">
        <v>1800.25</v>
      </c>
      <c r="D2819">
        <v>1745.35</v>
      </c>
      <c r="E2819">
        <v>1745.35</v>
      </c>
      <c r="F2819">
        <v>1800.25</v>
      </c>
      <c r="G2819">
        <v>47816</v>
      </c>
      <c r="H2819" s="116"/>
      <c r="I2819" s="116"/>
    </row>
    <row r="2820" spans="1:9" x14ac:dyDescent="0.25">
      <c r="A2820" s="169">
        <v>46168</v>
      </c>
      <c r="B2820">
        <v>1867</v>
      </c>
      <c r="C2820">
        <v>1854.25</v>
      </c>
      <c r="D2820">
        <v>1805.55</v>
      </c>
      <c r="E2820">
        <v>1805.55</v>
      </c>
      <c r="F2820">
        <v>1854.25</v>
      </c>
      <c r="G2820">
        <v>48059</v>
      </c>
      <c r="H2820" s="116"/>
      <c r="I2820" s="116"/>
    </row>
    <row r="2821" spans="1:9" x14ac:dyDescent="0.25">
      <c r="A2821" s="169">
        <v>46169</v>
      </c>
      <c r="B2821">
        <v>1889</v>
      </c>
      <c r="C2821">
        <v>1858.3</v>
      </c>
      <c r="D2821">
        <v>1850.25</v>
      </c>
      <c r="E2821">
        <v>1860.9</v>
      </c>
      <c r="F2821">
        <v>1858.3</v>
      </c>
      <c r="G2821">
        <v>40201</v>
      </c>
      <c r="H2821" s="116"/>
      <c r="I2821" s="116"/>
    </row>
    <row r="2822" spans="1:9" x14ac:dyDescent="0.25">
      <c r="A2822" s="169">
        <v>46171</v>
      </c>
      <c r="B2822">
        <v>1877.1</v>
      </c>
      <c r="C2822">
        <v>1803.35</v>
      </c>
      <c r="D2822">
        <v>1798.8</v>
      </c>
      <c r="E2822">
        <v>1877.1</v>
      </c>
      <c r="F2822">
        <v>1803.35</v>
      </c>
      <c r="G2822">
        <v>30748</v>
      </c>
      <c r="H2822" s="116"/>
      <c r="I2822" s="116"/>
    </row>
    <row r="2823" spans="1:9" x14ac:dyDescent="0.25">
      <c r="A2823" s="169">
        <v>46174</v>
      </c>
      <c r="B2823">
        <v>1839.9</v>
      </c>
      <c r="C2823">
        <v>1815.6</v>
      </c>
      <c r="D2823">
        <v>1796.4</v>
      </c>
      <c r="E2823">
        <v>1800.4</v>
      </c>
      <c r="F2823">
        <v>1815.6</v>
      </c>
      <c r="G2823">
        <v>951439</v>
      </c>
      <c r="H2823" s="116"/>
      <c r="I2823" s="116"/>
    </row>
    <row r="2824" spans="1:9" x14ac:dyDescent="0.25">
      <c r="A2824" s="169">
        <v>46175</v>
      </c>
      <c r="B2824">
        <v>1845.5</v>
      </c>
      <c r="C2824">
        <v>1822.15</v>
      </c>
      <c r="D2824">
        <v>1804.95</v>
      </c>
      <c r="E2824">
        <v>1822.7</v>
      </c>
      <c r="F2824">
        <v>1822.15</v>
      </c>
      <c r="G2824">
        <v>27866</v>
      </c>
      <c r="H2824" s="116"/>
      <c r="I2824" s="116"/>
    </row>
    <row r="2825" spans="1:9" x14ac:dyDescent="0.25">
      <c r="A2825" s="169">
        <v>46176</v>
      </c>
      <c r="B2825">
        <v>1820.6</v>
      </c>
      <c r="C2825">
        <v>1792.35</v>
      </c>
      <c r="D2825">
        <v>1778.4</v>
      </c>
      <c r="E2825">
        <v>1820.6</v>
      </c>
      <c r="F2825">
        <v>1792.35</v>
      </c>
      <c r="G2825">
        <v>59121</v>
      </c>
      <c r="H2825" s="116"/>
      <c r="I2825" s="116"/>
    </row>
    <row r="2826" spans="1:9" x14ac:dyDescent="0.25">
      <c r="A2826" s="169">
        <v>46177</v>
      </c>
      <c r="B2826">
        <v>1802.95</v>
      </c>
      <c r="C2826">
        <v>1779.55</v>
      </c>
      <c r="D2826">
        <v>1766</v>
      </c>
      <c r="E2826">
        <v>1790</v>
      </c>
      <c r="F2826">
        <v>1779.55</v>
      </c>
      <c r="G2826">
        <v>22093</v>
      </c>
      <c r="H2826" s="116"/>
      <c r="I2826" s="116"/>
    </row>
    <row r="2827" spans="1:9" x14ac:dyDescent="0.25">
      <c r="A2827" s="169">
        <v>46178</v>
      </c>
      <c r="B2827">
        <v>1830.65</v>
      </c>
      <c r="C2827">
        <v>1778.95</v>
      </c>
      <c r="D2827">
        <v>1772.4</v>
      </c>
      <c r="E2827">
        <v>1780.5</v>
      </c>
      <c r="F2827">
        <v>1778.95</v>
      </c>
      <c r="G2827">
        <v>41331</v>
      </c>
      <c r="H2827" s="116"/>
      <c r="I2827" s="116"/>
    </row>
    <row r="2828" spans="1:9" x14ac:dyDescent="0.25">
      <c r="A2828" s="169">
        <v>46181</v>
      </c>
      <c r="B2828">
        <v>1759.5</v>
      </c>
      <c r="C2828">
        <v>1712.4</v>
      </c>
      <c r="D2828">
        <v>1700</v>
      </c>
      <c r="E2828">
        <v>1742.9</v>
      </c>
      <c r="F2828">
        <v>1712.4</v>
      </c>
      <c r="G2828">
        <v>46761</v>
      </c>
      <c r="H2828" s="116"/>
      <c r="I2828" s="116"/>
    </row>
    <row r="2829" spans="1:9" x14ac:dyDescent="0.25">
      <c r="A2829" s="169">
        <v>46182</v>
      </c>
      <c r="B2829">
        <v>1730.3</v>
      </c>
      <c r="C2829">
        <v>1716.65</v>
      </c>
      <c r="D2829">
        <v>1705.4</v>
      </c>
      <c r="E2829">
        <v>1721.6</v>
      </c>
      <c r="F2829">
        <v>1716.65</v>
      </c>
      <c r="G2829">
        <v>29707</v>
      </c>
      <c r="H2829" s="116"/>
      <c r="I2829" s="116"/>
    </row>
    <row r="2830" spans="1:9" x14ac:dyDescent="0.25">
      <c r="A2830" s="169">
        <v>46183</v>
      </c>
      <c r="B2830">
        <v>1727.8</v>
      </c>
      <c r="C2830">
        <v>1704.9</v>
      </c>
      <c r="D2830">
        <v>1678.2</v>
      </c>
      <c r="E2830">
        <v>1722.05</v>
      </c>
      <c r="F2830">
        <v>1704.9</v>
      </c>
      <c r="G2830">
        <v>32448</v>
      </c>
      <c r="H2830" s="116"/>
      <c r="I2830" s="116"/>
    </row>
    <row r="2831" spans="1:9" x14ac:dyDescent="0.25">
      <c r="A2831" s="169">
        <v>46184</v>
      </c>
      <c r="B2831">
        <v>1709.25</v>
      </c>
      <c r="C2831">
        <v>1674.15</v>
      </c>
      <c r="D2831">
        <v>1670.05</v>
      </c>
      <c r="E2831">
        <v>1691.5</v>
      </c>
      <c r="F2831">
        <v>1674.15</v>
      </c>
      <c r="G2831">
        <v>23518</v>
      </c>
      <c r="H2831" s="116"/>
      <c r="I2831" s="116"/>
    </row>
    <row r="2832" spans="1:9" x14ac:dyDescent="0.25">
      <c r="A2832" s="169">
        <v>46185</v>
      </c>
      <c r="B2832">
        <v>1774</v>
      </c>
      <c r="C2832">
        <v>1760.2</v>
      </c>
      <c r="D2832">
        <v>1706.5</v>
      </c>
      <c r="E2832">
        <v>1724.95</v>
      </c>
      <c r="F2832">
        <v>1760.2</v>
      </c>
      <c r="G2832">
        <v>33072</v>
      </c>
      <c r="H2832" s="116"/>
      <c r="I2832" s="116"/>
    </row>
    <row r="2833" spans="1:9" x14ac:dyDescent="0.25">
      <c r="A2833" s="169">
        <v>46188</v>
      </c>
      <c r="B2833">
        <v>1798.9</v>
      </c>
      <c r="C2833">
        <v>1768.2</v>
      </c>
      <c r="D2833">
        <v>1761.05</v>
      </c>
      <c r="E2833">
        <v>1786</v>
      </c>
      <c r="F2833">
        <v>1768.2</v>
      </c>
      <c r="G2833">
        <v>19401</v>
      </c>
      <c r="H2833" s="116"/>
      <c r="I2833" s="116"/>
    </row>
    <row r="2834" spans="1:9" x14ac:dyDescent="0.25">
      <c r="A2834" s="169">
        <v>46189</v>
      </c>
      <c r="B2834">
        <v>1777.65</v>
      </c>
      <c r="C2834">
        <v>1766.55</v>
      </c>
      <c r="D2834">
        <v>1731.15</v>
      </c>
      <c r="E2834">
        <v>1762.3</v>
      </c>
      <c r="F2834">
        <v>1766.55</v>
      </c>
      <c r="G2834">
        <v>35360</v>
      </c>
      <c r="H2834" s="116"/>
      <c r="I2834" s="116"/>
    </row>
    <row r="2835" spans="1:9" x14ac:dyDescent="0.25">
      <c r="A2835" s="169">
        <v>46190</v>
      </c>
      <c r="B2835">
        <v>1795</v>
      </c>
      <c r="C2835">
        <v>1753.1</v>
      </c>
      <c r="D2835">
        <v>1743.8</v>
      </c>
      <c r="E2835">
        <v>1757.9</v>
      </c>
      <c r="F2835">
        <v>1753.1</v>
      </c>
      <c r="G2835">
        <v>25826</v>
      </c>
      <c r="H2835" s="116"/>
      <c r="I2835" s="116"/>
    </row>
    <row r="2836" spans="1:9" x14ac:dyDescent="0.25">
      <c r="H2836" s="116"/>
      <c r="I2836" s="116"/>
    </row>
    <row r="2837" spans="1:9" x14ac:dyDescent="0.25">
      <c r="H2837" s="116"/>
      <c r="I2837" s="116"/>
    </row>
    <row r="2838" spans="1:9" x14ac:dyDescent="0.25">
      <c r="H2838" s="116"/>
      <c r="I2838" s="116"/>
    </row>
    <row r="2839" spans="1:9" x14ac:dyDescent="0.25">
      <c r="H2839" s="116"/>
      <c r="I2839" s="116"/>
    </row>
    <row r="2840" spans="1:9" x14ac:dyDescent="0.25">
      <c r="H2840" s="116"/>
      <c r="I2840" s="116"/>
    </row>
    <row r="2841" spans="1:9" x14ac:dyDescent="0.25">
      <c r="H2841" s="116"/>
      <c r="I2841" s="116"/>
    </row>
    <row r="2842" spans="1:9" x14ac:dyDescent="0.25">
      <c r="H2842" s="116"/>
      <c r="I2842" s="116"/>
    </row>
    <row r="2843" spans="1:9" x14ac:dyDescent="0.25">
      <c r="H2843" s="116"/>
      <c r="I2843" s="116"/>
    </row>
    <row r="2844" spans="1:9" x14ac:dyDescent="0.25">
      <c r="H2844" s="116"/>
      <c r="I2844" s="116"/>
    </row>
    <row r="2845" spans="1:9" x14ac:dyDescent="0.25">
      <c r="H2845" s="116"/>
      <c r="I2845" s="116"/>
    </row>
    <row r="2846" spans="1:9" x14ac:dyDescent="0.25">
      <c r="H2846" s="116"/>
      <c r="I2846" s="116"/>
    </row>
    <row r="2847" spans="1:9" x14ac:dyDescent="0.25">
      <c r="H2847" s="116"/>
      <c r="I2847" s="116"/>
    </row>
    <row r="2848" spans="1:9" x14ac:dyDescent="0.25">
      <c r="H2848" s="116"/>
      <c r="I2848" s="116"/>
    </row>
    <row r="2849" spans="8:9" x14ac:dyDescent="0.25">
      <c r="H2849" s="116"/>
      <c r="I2849" s="116"/>
    </row>
    <row r="2850" spans="8:9" x14ac:dyDescent="0.25">
      <c r="H2850" s="116"/>
      <c r="I2850" s="116"/>
    </row>
    <row r="2851" spans="8:9" x14ac:dyDescent="0.25">
      <c r="H2851" s="116"/>
      <c r="I2851" s="116"/>
    </row>
    <row r="2852" spans="8:9" x14ac:dyDescent="0.25">
      <c r="H2852" s="116"/>
      <c r="I2852" s="116"/>
    </row>
    <row r="2853" spans="8:9" x14ac:dyDescent="0.25">
      <c r="H2853" s="116"/>
      <c r="I2853" s="116"/>
    </row>
    <row r="2854" spans="8:9" x14ac:dyDescent="0.25">
      <c r="H2854" s="116"/>
      <c r="I2854" s="116"/>
    </row>
    <row r="2855" spans="8:9" x14ac:dyDescent="0.25">
      <c r="H2855" s="116"/>
      <c r="I2855" s="116"/>
    </row>
    <row r="2856" spans="8:9" x14ac:dyDescent="0.25">
      <c r="H2856" s="116"/>
      <c r="I2856" s="116"/>
    </row>
    <row r="2857" spans="8:9" x14ac:dyDescent="0.25">
      <c r="H2857" s="116"/>
      <c r="I2857" s="116"/>
    </row>
    <row r="2858" spans="8:9" x14ac:dyDescent="0.25">
      <c r="H2858" s="116"/>
      <c r="I2858" s="116"/>
    </row>
    <row r="2859" spans="8:9" x14ac:dyDescent="0.25">
      <c r="H2859" s="116"/>
      <c r="I2859" s="116"/>
    </row>
    <row r="2860" spans="8:9" x14ac:dyDescent="0.25">
      <c r="H2860" s="116"/>
      <c r="I2860" s="116"/>
    </row>
    <row r="2861" spans="8:9" x14ac:dyDescent="0.25">
      <c r="H2861" s="116"/>
      <c r="I2861" s="116"/>
    </row>
    <row r="2862" spans="8:9" x14ac:dyDescent="0.25">
      <c r="H2862" s="116"/>
      <c r="I2862" s="116"/>
    </row>
    <row r="2863" spans="8:9" x14ac:dyDescent="0.25">
      <c r="H2863" s="116"/>
      <c r="I2863" s="116"/>
    </row>
    <row r="2864" spans="8:9" x14ac:dyDescent="0.25">
      <c r="H2864" s="116"/>
      <c r="I2864" s="116"/>
    </row>
    <row r="2865" spans="8:9" x14ac:dyDescent="0.25">
      <c r="H2865" s="116"/>
      <c r="I2865" s="116"/>
    </row>
    <row r="2866" spans="8:9" x14ac:dyDescent="0.25">
      <c r="H2866" s="116"/>
      <c r="I2866" s="116"/>
    </row>
    <row r="2867" spans="8:9" x14ac:dyDescent="0.25">
      <c r="H2867" s="116"/>
      <c r="I2867" s="116"/>
    </row>
    <row r="2868" spans="8:9" x14ac:dyDescent="0.25">
      <c r="H2868" s="116"/>
      <c r="I2868" s="116"/>
    </row>
    <row r="2869" spans="8:9" x14ac:dyDescent="0.25">
      <c r="H2869" s="116"/>
      <c r="I2869" s="116"/>
    </row>
    <row r="2870" spans="8:9" x14ac:dyDescent="0.25">
      <c r="H2870" s="116"/>
      <c r="I2870" s="116"/>
    </row>
    <row r="2871" spans="8:9" x14ac:dyDescent="0.25">
      <c r="H2871" s="116"/>
      <c r="I2871" s="116"/>
    </row>
    <row r="2872" spans="8:9" x14ac:dyDescent="0.25">
      <c r="H2872" s="116"/>
      <c r="I2872" s="116"/>
    </row>
    <row r="2873" spans="8:9" x14ac:dyDescent="0.25">
      <c r="H2873" s="116"/>
      <c r="I2873" s="116"/>
    </row>
    <row r="2874" spans="8:9" x14ac:dyDescent="0.25">
      <c r="H2874" s="116"/>
      <c r="I2874" s="116"/>
    </row>
    <row r="2875" spans="8:9" x14ac:dyDescent="0.25">
      <c r="H2875" s="116"/>
      <c r="I2875" s="116"/>
    </row>
    <row r="2876" spans="8:9" x14ac:dyDescent="0.25">
      <c r="H2876" s="116"/>
      <c r="I2876" s="116"/>
    </row>
    <row r="2877" spans="8:9" x14ac:dyDescent="0.25">
      <c r="H2877" s="116"/>
      <c r="I2877" s="116"/>
    </row>
    <row r="2878" spans="8:9" x14ac:dyDescent="0.25">
      <c r="H2878" s="116"/>
      <c r="I2878" s="116"/>
    </row>
    <row r="2879" spans="8:9" x14ac:dyDescent="0.25">
      <c r="H2879" s="116"/>
      <c r="I2879" s="116"/>
    </row>
    <row r="2880" spans="8:9" x14ac:dyDescent="0.25">
      <c r="H2880" s="116"/>
      <c r="I2880" s="116"/>
    </row>
    <row r="2881" spans="8:9" x14ac:dyDescent="0.25">
      <c r="H2881" s="116"/>
      <c r="I2881" s="116"/>
    </row>
    <row r="2882" spans="8:9" x14ac:dyDescent="0.25">
      <c r="H2882" s="116"/>
      <c r="I2882" s="116"/>
    </row>
    <row r="2883" spans="8:9" x14ac:dyDescent="0.25">
      <c r="H2883" s="116"/>
      <c r="I2883" s="116"/>
    </row>
    <row r="2884" spans="8:9" x14ac:dyDescent="0.25">
      <c r="H2884" s="116"/>
      <c r="I2884" s="116"/>
    </row>
    <row r="2885" spans="8:9" x14ac:dyDescent="0.25">
      <c r="H2885" s="116"/>
      <c r="I2885" s="116"/>
    </row>
    <row r="2886" spans="8:9" x14ac:dyDescent="0.25">
      <c r="H2886" s="116"/>
      <c r="I2886" s="116"/>
    </row>
    <row r="2887" spans="8:9" x14ac:dyDescent="0.25">
      <c r="H2887" s="116"/>
      <c r="I2887" s="116"/>
    </row>
    <row r="2888" spans="8:9" x14ac:dyDescent="0.25">
      <c r="H2888" s="116"/>
      <c r="I2888" s="116"/>
    </row>
    <row r="2889" spans="8:9" x14ac:dyDescent="0.25">
      <c r="H2889" s="116"/>
      <c r="I2889" s="116"/>
    </row>
    <row r="2890" spans="8:9" x14ac:dyDescent="0.25">
      <c r="H2890" s="116"/>
      <c r="I2890" s="116"/>
    </row>
    <row r="2891" spans="8:9" x14ac:dyDescent="0.25">
      <c r="H2891" s="116"/>
      <c r="I2891" s="116"/>
    </row>
    <row r="2892" spans="8:9" x14ac:dyDescent="0.25">
      <c r="H2892" s="116"/>
      <c r="I2892" s="116"/>
    </row>
    <row r="2893" spans="8:9" x14ac:dyDescent="0.25">
      <c r="H2893" s="116"/>
      <c r="I2893" s="116"/>
    </row>
    <row r="2894" spans="8:9" x14ac:dyDescent="0.25">
      <c r="H2894" s="116"/>
      <c r="I2894" s="116"/>
    </row>
    <row r="2895" spans="8:9" x14ac:dyDescent="0.25">
      <c r="H2895" s="116"/>
      <c r="I2895" s="116"/>
    </row>
    <row r="2896" spans="8:9" x14ac:dyDescent="0.25">
      <c r="H2896" s="116"/>
      <c r="I2896" s="116"/>
    </row>
    <row r="2897" spans="8:9" x14ac:dyDescent="0.25">
      <c r="H2897" s="116"/>
      <c r="I2897" s="116"/>
    </row>
    <row r="2898" spans="8:9" x14ac:dyDescent="0.25">
      <c r="H2898" s="116"/>
      <c r="I2898" s="116"/>
    </row>
    <row r="2899" spans="8:9" x14ac:dyDescent="0.25">
      <c r="H2899" s="116"/>
      <c r="I2899" s="116"/>
    </row>
    <row r="2900" spans="8:9" x14ac:dyDescent="0.25">
      <c r="H2900" s="116"/>
      <c r="I2900" s="116"/>
    </row>
    <row r="2901" spans="8:9" x14ac:dyDescent="0.25">
      <c r="H2901" s="116"/>
      <c r="I2901" s="116"/>
    </row>
    <row r="2902" spans="8:9" x14ac:dyDescent="0.25">
      <c r="H2902" s="116"/>
      <c r="I2902" s="116"/>
    </row>
    <row r="2903" spans="8:9" x14ac:dyDescent="0.25">
      <c r="H2903" s="116"/>
      <c r="I2903" s="116"/>
    </row>
    <row r="2904" spans="8:9" x14ac:dyDescent="0.25">
      <c r="H2904" s="116"/>
      <c r="I2904" s="116"/>
    </row>
    <row r="2905" spans="8:9" x14ac:dyDescent="0.25">
      <c r="H2905" s="116"/>
      <c r="I2905" s="116"/>
    </row>
    <row r="2906" spans="8:9" x14ac:dyDescent="0.25">
      <c r="H2906" s="116"/>
      <c r="I2906" s="116"/>
    </row>
    <row r="2907" spans="8:9" x14ac:dyDescent="0.25">
      <c r="H2907" s="116"/>
      <c r="I2907" s="116"/>
    </row>
    <row r="2908" spans="8:9" x14ac:dyDescent="0.25">
      <c r="H2908" s="116"/>
      <c r="I2908" s="116"/>
    </row>
    <row r="2909" spans="8:9" x14ac:dyDescent="0.25">
      <c r="H2909" s="116"/>
      <c r="I2909" s="116"/>
    </row>
    <row r="2910" spans="8:9" x14ac:dyDescent="0.25">
      <c r="H2910" s="116"/>
      <c r="I2910" s="116"/>
    </row>
    <row r="2911" spans="8:9" x14ac:dyDescent="0.25">
      <c r="H2911" s="116"/>
      <c r="I2911" s="116"/>
    </row>
    <row r="2912" spans="8:9" x14ac:dyDescent="0.25">
      <c r="H2912" s="116"/>
      <c r="I2912" s="116"/>
    </row>
    <row r="2913" spans="8:9" x14ac:dyDescent="0.25">
      <c r="H2913" s="116"/>
      <c r="I2913" s="116"/>
    </row>
    <row r="2914" spans="8:9" x14ac:dyDescent="0.25">
      <c r="H2914" s="116"/>
      <c r="I2914" s="116"/>
    </row>
    <row r="2915" spans="8:9" x14ac:dyDescent="0.25">
      <c r="H2915" s="116"/>
      <c r="I2915" s="116"/>
    </row>
    <row r="2916" spans="8:9" x14ac:dyDescent="0.25">
      <c r="H2916" s="116"/>
      <c r="I2916" s="116"/>
    </row>
    <row r="2917" spans="8:9" x14ac:dyDescent="0.25">
      <c r="H2917" s="116"/>
      <c r="I2917" s="116"/>
    </row>
    <row r="2918" spans="8:9" x14ac:dyDescent="0.25">
      <c r="H2918" s="116"/>
      <c r="I2918" s="116"/>
    </row>
    <row r="2919" spans="8:9" x14ac:dyDescent="0.25">
      <c r="H2919" s="116"/>
      <c r="I2919" s="116"/>
    </row>
    <row r="2920" spans="8:9" x14ac:dyDescent="0.25">
      <c r="H2920" s="116"/>
      <c r="I2920" s="116"/>
    </row>
    <row r="2921" spans="8:9" x14ac:dyDescent="0.25">
      <c r="H2921" s="116"/>
      <c r="I2921" s="116"/>
    </row>
    <row r="2922" spans="8:9" x14ac:dyDescent="0.25">
      <c r="H2922" s="116"/>
      <c r="I2922" s="116"/>
    </row>
    <row r="2923" spans="8:9" x14ac:dyDescent="0.25">
      <c r="H2923" s="116"/>
      <c r="I2923" s="116"/>
    </row>
    <row r="2924" spans="8:9" x14ac:dyDescent="0.25">
      <c r="H2924" s="116"/>
      <c r="I2924" s="116"/>
    </row>
    <row r="2925" spans="8:9" x14ac:dyDescent="0.25">
      <c r="H2925" s="116"/>
      <c r="I2925" s="116"/>
    </row>
    <row r="2926" spans="8:9" x14ac:dyDescent="0.25">
      <c r="H2926" s="116"/>
      <c r="I2926" s="116"/>
    </row>
    <row r="2927" spans="8:9" x14ac:dyDescent="0.25">
      <c r="H2927" s="116"/>
      <c r="I2927" s="116"/>
    </row>
    <row r="2928" spans="8:9" x14ac:dyDescent="0.25">
      <c r="H2928" s="116"/>
      <c r="I2928" s="116"/>
    </row>
    <row r="2929" spans="8:9" x14ac:dyDescent="0.25">
      <c r="H2929" s="116"/>
      <c r="I2929" s="116"/>
    </row>
    <row r="2930" spans="8:9" x14ac:dyDescent="0.25">
      <c r="H2930" s="116"/>
      <c r="I2930" s="116"/>
    </row>
    <row r="2931" spans="8:9" x14ac:dyDescent="0.25">
      <c r="H2931" s="116"/>
      <c r="I2931" s="116"/>
    </row>
    <row r="2932" spans="8:9" x14ac:dyDescent="0.25">
      <c r="H2932" s="116"/>
      <c r="I2932" s="116"/>
    </row>
    <row r="2933" spans="8:9" x14ac:dyDescent="0.25">
      <c r="H2933" s="116"/>
      <c r="I2933" s="116"/>
    </row>
    <row r="2934" spans="8:9" x14ac:dyDescent="0.25">
      <c r="H2934" s="116"/>
      <c r="I2934" s="116"/>
    </row>
    <row r="2935" spans="8:9" x14ac:dyDescent="0.25">
      <c r="H2935" s="116"/>
      <c r="I2935" s="116"/>
    </row>
    <row r="2936" spans="8:9" x14ac:dyDescent="0.25">
      <c r="H2936" s="116"/>
      <c r="I2936" s="116"/>
    </row>
    <row r="2937" spans="8:9" x14ac:dyDescent="0.25">
      <c r="H2937" s="116"/>
      <c r="I2937" s="116"/>
    </row>
    <row r="2938" spans="8:9" x14ac:dyDescent="0.25">
      <c r="H2938" s="116"/>
      <c r="I2938" s="116"/>
    </row>
    <row r="2939" spans="8:9" x14ac:dyDescent="0.25">
      <c r="H2939" s="116"/>
      <c r="I2939" s="116"/>
    </row>
    <row r="2940" spans="8:9" x14ac:dyDescent="0.25">
      <c r="H2940" s="116"/>
      <c r="I2940" s="116"/>
    </row>
    <row r="2941" spans="8:9" x14ac:dyDescent="0.25">
      <c r="H2941" s="116"/>
      <c r="I2941" s="116"/>
    </row>
    <row r="2942" spans="8:9" x14ac:dyDescent="0.25">
      <c r="H2942" s="116"/>
      <c r="I2942" s="116"/>
    </row>
    <row r="2943" spans="8:9" x14ac:dyDescent="0.25">
      <c r="H2943" s="116"/>
      <c r="I2943" s="116"/>
    </row>
    <row r="2944" spans="8:9" x14ac:dyDescent="0.25">
      <c r="H2944" s="116"/>
      <c r="I2944" s="116"/>
    </row>
    <row r="2945" spans="8:9" x14ac:dyDescent="0.25">
      <c r="H2945" s="116"/>
      <c r="I2945" s="116"/>
    </row>
    <row r="2946" spans="8:9" x14ac:dyDescent="0.25">
      <c r="H2946" s="116"/>
      <c r="I2946" s="116"/>
    </row>
    <row r="2947" spans="8:9" x14ac:dyDescent="0.25">
      <c r="H2947" s="116"/>
      <c r="I2947" s="116"/>
    </row>
    <row r="2948" spans="8:9" x14ac:dyDescent="0.25">
      <c r="H2948" s="116"/>
      <c r="I2948" s="116"/>
    </row>
    <row r="2949" spans="8:9" x14ac:dyDescent="0.25">
      <c r="H2949" s="116"/>
      <c r="I2949" s="116"/>
    </row>
    <row r="2950" spans="8:9" x14ac:dyDescent="0.25">
      <c r="H2950" s="116"/>
      <c r="I2950" s="116"/>
    </row>
    <row r="2951" spans="8:9" x14ac:dyDescent="0.25">
      <c r="H2951" s="116"/>
      <c r="I2951" s="116"/>
    </row>
    <row r="2952" spans="8:9" x14ac:dyDescent="0.25">
      <c r="H2952" s="116"/>
      <c r="I2952" s="116"/>
    </row>
    <row r="2953" spans="8:9" x14ac:dyDescent="0.25">
      <c r="H2953" s="116"/>
      <c r="I2953" s="116"/>
    </row>
    <row r="2954" spans="8:9" x14ac:dyDescent="0.25">
      <c r="H2954" s="116"/>
      <c r="I2954" s="116"/>
    </row>
    <row r="2955" spans="8:9" x14ac:dyDescent="0.25">
      <c r="H2955" s="116"/>
      <c r="I2955" s="116"/>
    </row>
    <row r="2956" spans="8:9" x14ac:dyDescent="0.25">
      <c r="H2956" s="116"/>
      <c r="I2956" s="116"/>
    </row>
    <row r="2957" spans="8:9" x14ac:dyDescent="0.25">
      <c r="H2957" s="116"/>
      <c r="I2957" s="116"/>
    </row>
    <row r="2958" spans="8:9" x14ac:dyDescent="0.25">
      <c r="H2958" s="116"/>
      <c r="I2958" s="116"/>
    </row>
    <row r="2959" spans="8:9" x14ac:dyDescent="0.25">
      <c r="H2959" s="116"/>
      <c r="I2959" s="116"/>
    </row>
    <row r="2960" spans="8:9" x14ac:dyDescent="0.25">
      <c r="H2960" s="116"/>
      <c r="I2960" s="116"/>
    </row>
    <row r="2961" spans="8:9" x14ac:dyDescent="0.25">
      <c r="H2961" s="116"/>
      <c r="I2961" s="116"/>
    </row>
    <row r="2962" spans="8:9" x14ac:dyDescent="0.25">
      <c r="H2962" s="116"/>
      <c r="I2962" s="116"/>
    </row>
    <row r="2963" spans="8:9" x14ac:dyDescent="0.25">
      <c r="H2963" s="116"/>
      <c r="I2963" s="116"/>
    </row>
    <row r="2964" spans="8:9" x14ac:dyDescent="0.25">
      <c r="H2964" s="116"/>
      <c r="I2964" s="116"/>
    </row>
    <row r="2965" spans="8:9" x14ac:dyDescent="0.25">
      <c r="H2965" s="116"/>
      <c r="I2965" s="116"/>
    </row>
    <row r="2966" spans="8:9" x14ac:dyDescent="0.25">
      <c r="H2966" s="116"/>
      <c r="I2966" s="116"/>
    </row>
    <row r="2967" spans="8:9" x14ac:dyDescent="0.25">
      <c r="H2967" s="116"/>
      <c r="I2967" s="116"/>
    </row>
    <row r="2968" spans="8:9" x14ac:dyDescent="0.25">
      <c r="H2968" s="116"/>
      <c r="I2968" s="116"/>
    </row>
    <row r="2969" spans="8:9" x14ac:dyDescent="0.25">
      <c r="H2969" s="116"/>
      <c r="I2969" s="116"/>
    </row>
    <row r="2970" spans="8:9" x14ac:dyDescent="0.25">
      <c r="H2970" s="116"/>
      <c r="I2970" s="116"/>
    </row>
    <row r="2971" spans="8:9" x14ac:dyDescent="0.25">
      <c r="H2971" s="116"/>
      <c r="I2971" s="116"/>
    </row>
    <row r="2972" spans="8:9" x14ac:dyDescent="0.25">
      <c r="H2972" s="116"/>
      <c r="I2972" s="116"/>
    </row>
    <row r="2973" spans="8:9" x14ac:dyDescent="0.25">
      <c r="H2973" s="116"/>
      <c r="I2973" s="116"/>
    </row>
    <row r="2974" spans="8:9" x14ac:dyDescent="0.25">
      <c r="H2974" s="116"/>
      <c r="I2974" s="116"/>
    </row>
    <row r="2975" spans="8:9" x14ac:dyDescent="0.25">
      <c r="H2975" s="116"/>
      <c r="I2975" s="116"/>
    </row>
    <row r="2976" spans="8:9" x14ac:dyDescent="0.25">
      <c r="H2976" s="116"/>
      <c r="I2976" s="116"/>
    </row>
    <row r="2977" spans="8:9" x14ac:dyDescent="0.25">
      <c r="H2977" s="116"/>
      <c r="I2977" s="116"/>
    </row>
    <row r="2978" spans="8:9" x14ac:dyDescent="0.25">
      <c r="H2978" s="116"/>
      <c r="I2978" s="116"/>
    </row>
    <row r="2979" spans="8:9" x14ac:dyDescent="0.25">
      <c r="H2979" s="116"/>
      <c r="I2979" s="116"/>
    </row>
    <row r="2980" spans="8:9" x14ac:dyDescent="0.25">
      <c r="H2980" s="116"/>
      <c r="I2980" s="116"/>
    </row>
    <row r="2981" spans="8:9" x14ac:dyDescent="0.25">
      <c r="H2981" s="116"/>
      <c r="I2981" s="116"/>
    </row>
    <row r="2982" spans="8:9" x14ac:dyDescent="0.25">
      <c r="H2982" s="116"/>
      <c r="I2982" s="116"/>
    </row>
    <row r="2983" spans="8:9" x14ac:dyDescent="0.25">
      <c r="H2983" s="116"/>
      <c r="I2983" s="116"/>
    </row>
    <row r="2984" spans="8:9" x14ac:dyDescent="0.25">
      <c r="H2984" s="116"/>
      <c r="I2984" s="116"/>
    </row>
    <row r="2985" spans="8:9" x14ac:dyDescent="0.25">
      <c r="H2985" s="116"/>
      <c r="I2985" s="116"/>
    </row>
    <row r="2986" spans="8:9" x14ac:dyDescent="0.25">
      <c r="H2986" s="116"/>
      <c r="I2986" s="116"/>
    </row>
    <row r="2987" spans="8:9" x14ac:dyDescent="0.25">
      <c r="H2987" s="116"/>
      <c r="I2987" s="116"/>
    </row>
    <row r="2988" spans="8:9" x14ac:dyDescent="0.25">
      <c r="H2988" s="116"/>
      <c r="I2988" s="116"/>
    </row>
    <row r="2989" spans="8:9" x14ac:dyDescent="0.25">
      <c r="H2989" s="116"/>
      <c r="I2989" s="116"/>
    </row>
    <row r="2990" spans="8:9" x14ac:dyDescent="0.25">
      <c r="H2990" s="116"/>
      <c r="I2990" s="116"/>
    </row>
    <row r="2991" spans="8:9" x14ac:dyDescent="0.25">
      <c r="H2991" s="116"/>
      <c r="I2991" s="116"/>
    </row>
    <row r="2992" spans="8:9" x14ac:dyDescent="0.25">
      <c r="H2992" s="116"/>
      <c r="I2992" s="116"/>
    </row>
    <row r="2993" spans="8:9" x14ac:dyDescent="0.25">
      <c r="H2993" s="116"/>
      <c r="I2993" s="116"/>
    </row>
    <row r="2994" spans="8:9" x14ac:dyDescent="0.25">
      <c r="H2994" s="116"/>
      <c r="I2994" s="116"/>
    </row>
    <row r="2995" spans="8:9" x14ac:dyDescent="0.25">
      <c r="H2995" s="116"/>
      <c r="I2995" s="116"/>
    </row>
    <row r="2996" spans="8:9" x14ac:dyDescent="0.25">
      <c r="H2996" s="116"/>
      <c r="I2996" s="116"/>
    </row>
    <row r="2997" spans="8:9" x14ac:dyDescent="0.25">
      <c r="H2997" s="116"/>
      <c r="I2997" s="116"/>
    </row>
    <row r="2998" spans="8:9" x14ac:dyDescent="0.25">
      <c r="H2998" s="116"/>
      <c r="I2998" s="116"/>
    </row>
    <row r="2999" spans="8:9" x14ac:dyDescent="0.25">
      <c r="H2999" s="116"/>
      <c r="I2999" s="116"/>
    </row>
    <row r="3000" spans="8:9" x14ac:dyDescent="0.25">
      <c r="H3000" s="116"/>
      <c r="I3000" s="116"/>
    </row>
    <row r="3001" spans="8:9" x14ac:dyDescent="0.25">
      <c r="H3001" s="116"/>
      <c r="I3001" s="116"/>
    </row>
    <row r="3002" spans="8:9" x14ac:dyDescent="0.25">
      <c r="H3002" s="116"/>
      <c r="I3002" s="116"/>
    </row>
    <row r="3003" spans="8:9" x14ac:dyDescent="0.25">
      <c r="H3003" s="116"/>
      <c r="I3003" s="116"/>
    </row>
    <row r="3004" spans="8:9" x14ac:dyDescent="0.25">
      <c r="H3004" s="116"/>
      <c r="I3004" s="116"/>
    </row>
    <row r="3005" spans="8:9" x14ac:dyDescent="0.25">
      <c r="H3005" s="116"/>
      <c r="I3005" s="116"/>
    </row>
    <row r="3006" spans="8:9" x14ac:dyDescent="0.25">
      <c r="H3006" s="116"/>
      <c r="I3006" s="116"/>
    </row>
    <row r="3007" spans="8:9" x14ac:dyDescent="0.25">
      <c r="H3007" s="116"/>
      <c r="I3007" s="116"/>
    </row>
    <row r="3008" spans="8:9" x14ac:dyDescent="0.25">
      <c r="H3008" s="116"/>
      <c r="I3008" s="116"/>
    </row>
    <row r="3009" spans="8:9" x14ac:dyDescent="0.25">
      <c r="H3009" s="116"/>
      <c r="I3009" s="116"/>
    </row>
    <row r="3010" spans="8:9" x14ac:dyDescent="0.25">
      <c r="H3010" s="116"/>
      <c r="I3010" s="116"/>
    </row>
    <row r="3011" spans="8:9" x14ac:dyDescent="0.25">
      <c r="H3011" s="116"/>
      <c r="I3011" s="116"/>
    </row>
    <row r="3012" spans="8:9" x14ac:dyDescent="0.25">
      <c r="H3012" s="116"/>
      <c r="I3012" s="116"/>
    </row>
    <row r="3013" spans="8:9" x14ac:dyDescent="0.25">
      <c r="H3013" s="116"/>
      <c r="I3013" s="116"/>
    </row>
    <row r="3014" spans="8:9" x14ac:dyDescent="0.25">
      <c r="H3014" s="116"/>
      <c r="I3014" s="116"/>
    </row>
    <row r="3015" spans="8:9" x14ac:dyDescent="0.25">
      <c r="H3015" s="116"/>
      <c r="I3015" s="116"/>
    </row>
    <row r="3016" spans="8:9" x14ac:dyDescent="0.25">
      <c r="H3016" s="116"/>
      <c r="I3016" s="116"/>
    </row>
    <row r="3017" spans="8:9" x14ac:dyDescent="0.25">
      <c r="H3017" s="116"/>
      <c r="I3017" s="116"/>
    </row>
    <row r="3018" spans="8:9" x14ac:dyDescent="0.25">
      <c r="H3018" s="116"/>
      <c r="I3018" s="116"/>
    </row>
    <row r="3019" spans="8:9" x14ac:dyDescent="0.25">
      <c r="H3019" s="116"/>
      <c r="I3019" s="116"/>
    </row>
    <row r="3020" spans="8:9" x14ac:dyDescent="0.25">
      <c r="H3020" s="116"/>
      <c r="I3020" s="116"/>
    </row>
    <row r="3021" spans="8:9" x14ac:dyDescent="0.25">
      <c r="H3021" s="116"/>
      <c r="I3021" s="116"/>
    </row>
    <row r="3022" spans="8:9" x14ac:dyDescent="0.25">
      <c r="H3022" s="116"/>
      <c r="I3022" s="116"/>
    </row>
    <row r="3023" spans="8:9" x14ac:dyDescent="0.25">
      <c r="H3023" s="116"/>
      <c r="I3023" s="116"/>
    </row>
    <row r="3024" spans="8:9" x14ac:dyDescent="0.25">
      <c r="H3024" s="116"/>
      <c r="I3024" s="116"/>
    </row>
    <row r="3025" spans="8:9" x14ac:dyDescent="0.25">
      <c r="H3025" s="116"/>
      <c r="I3025" s="116"/>
    </row>
    <row r="3026" spans="8:9" x14ac:dyDescent="0.25">
      <c r="H3026" s="116"/>
      <c r="I3026" s="116"/>
    </row>
    <row r="3027" spans="8:9" x14ac:dyDescent="0.25">
      <c r="H3027" s="116"/>
      <c r="I3027" s="116"/>
    </row>
    <row r="3028" spans="8:9" x14ac:dyDescent="0.25">
      <c r="H3028" s="116"/>
      <c r="I3028" s="116"/>
    </row>
    <row r="3029" spans="8:9" x14ac:dyDescent="0.25">
      <c r="H3029" s="116"/>
      <c r="I3029" s="116"/>
    </row>
    <row r="3030" spans="8:9" x14ac:dyDescent="0.25">
      <c r="H3030" s="116"/>
      <c r="I3030" s="116"/>
    </row>
    <row r="3031" spans="8:9" x14ac:dyDescent="0.25">
      <c r="H3031" s="116"/>
      <c r="I3031" s="116"/>
    </row>
    <row r="3032" spans="8:9" x14ac:dyDescent="0.25">
      <c r="H3032" s="116"/>
      <c r="I3032" s="116"/>
    </row>
    <row r="3033" spans="8:9" x14ac:dyDescent="0.25">
      <c r="H3033" s="116"/>
      <c r="I3033" s="116"/>
    </row>
    <row r="3034" spans="8:9" x14ac:dyDescent="0.25">
      <c r="H3034" s="116"/>
      <c r="I3034" s="116"/>
    </row>
    <row r="3035" spans="8:9" x14ac:dyDescent="0.25">
      <c r="H3035" s="116"/>
      <c r="I3035" s="116"/>
    </row>
    <row r="3036" spans="8:9" x14ac:dyDescent="0.25">
      <c r="H3036" s="116"/>
      <c r="I3036" s="116"/>
    </row>
    <row r="3037" spans="8:9" x14ac:dyDescent="0.25">
      <c r="H3037" s="116"/>
      <c r="I3037" s="116"/>
    </row>
    <row r="3038" spans="8:9" x14ac:dyDescent="0.25">
      <c r="H3038" s="116"/>
      <c r="I3038" s="116"/>
    </row>
    <row r="3039" spans="8:9" x14ac:dyDescent="0.25">
      <c r="H3039" s="116"/>
      <c r="I3039" s="116"/>
    </row>
    <row r="3040" spans="8:9" x14ac:dyDescent="0.25">
      <c r="H3040" s="116"/>
      <c r="I3040" s="116"/>
    </row>
    <row r="3041" spans="8:9" x14ac:dyDescent="0.25">
      <c r="H3041" s="116"/>
      <c r="I3041" s="116"/>
    </row>
    <row r="3042" spans="8:9" x14ac:dyDescent="0.25">
      <c r="H3042" s="116"/>
      <c r="I3042" s="116"/>
    </row>
    <row r="3043" spans="8:9" x14ac:dyDescent="0.25">
      <c r="H3043" s="116"/>
      <c r="I3043" s="116"/>
    </row>
    <row r="3044" spans="8:9" x14ac:dyDescent="0.25">
      <c r="H3044" s="116"/>
      <c r="I3044" s="116"/>
    </row>
    <row r="3045" spans="8:9" x14ac:dyDescent="0.25">
      <c r="H3045" s="116"/>
      <c r="I3045" s="116"/>
    </row>
    <row r="3046" spans="8:9" x14ac:dyDescent="0.25">
      <c r="H3046" s="116"/>
      <c r="I3046" s="116"/>
    </row>
    <row r="3047" spans="8:9" x14ac:dyDescent="0.25">
      <c r="H3047" s="116"/>
      <c r="I3047" s="116"/>
    </row>
    <row r="3048" spans="8:9" x14ac:dyDescent="0.25">
      <c r="H3048" s="116"/>
      <c r="I3048" s="116"/>
    </row>
    <row r="3049" spans="8:9" x14ac:dyDescent="0.25">
      <c r="H3049" s="116"/>
      <c r="I3049" s="116"/>
    </row>
    <row r="3050" spans="8:9" x14ac:dyDescent="0.25">
      <c r="H3050" s="116"/>
      <c r="I3050" s="116"/>
    </row>
    <row r="3051" spans="8:9" x14ac:dyDescent="0.25">
      <c r="H3051" s="116"/>
      <c r="I3051" s="116"/>
    </row>
    <row r="3052" spans="8:9" x14ac:dyDescent="0.25">
      <c r="H3052" s="116"/>
      <c r="I3052" s="116"/>
    </row>
    <row r="3053" spans="8:9" x14ac:dyDescent="0.25">
      <c r="H3053" s="116"/>
      <c r="I3053" s="116"/>
    </row>
    <row r="3054" spans="8:9" x14ac:dyDescent="0.25">
      <c r="H3054" s="116"/>
      <c r="I3054" s="116"/>
    </row>
    <row r="3055" spans="8:9" x14ac:dyDescent="0.25">
      <c r="H3055" s="116"/>
      <c r="I3055" s="116"/>
    </row>
    <row r="3056" spans="8:9" x14ac:dyDescent="0.25">
      <c r="H3056" s="116"/>
      <c r="I3056" s="116"/>
    </row>
    <row r="3057" spans="8:9" x14ac:dyDescent="0.25">
      <c r="H3057" s="116"/>
      <c r="I3057" s="116"/>
    </row>
    <row r="3058" spans="8:9" x14ac:dyDescent="0.25">
      <c r="H3058" s="116"/>
      <c r="I3058" s="116"/>
    </row>
    <row r="3059" spans="8:9" x14ac:dyDescent="0.25">
      <c r="H3059" s="116"/>
      <c r="I3059" s="116"/>
    </row>
    <row r="3060" spans="8:9" x14ac:dyDescent="0.25">
      <c r="H3060" s="116"/>
      <c r="I3060" s="116"/>
    </row>
    <row r="3061" spans="8:9" x14ac:dyDescent="0.25">
      <c r="H3061" s="116"/>
      <c r="I3061" s="116"/>
    </row>
    <row r="3062" spans="8:9" x14ac:dyDescent="0.25">
      <c r="H3062" s="116"/>
      <c r="I3062" s="116"/>
    </row>
    <row r="3063" spans="8:9" x14ac:dyDescent="0.25">
      <c r="H3063" s="116"/>
      <c r="I3063" s="116"/>
    </row>
    <row r="3064" spans="8:9" x14ac:dyDescent="0.25">
      <c r="H3064" s="116"/>
      <c r="I3064" s="116"/>
    </row>
    <row r="3065" spans="8:9" x14ac:dyDescent="0.25">
      <c r="H3065" s="116"/>
      <c r="I3065" s="116"/>
    </row>
    <row r="3066" spans="8:9" x14ac:dyDescent="0.25">
      <c r="H3066" s="116"/>
      <c r="I3066" s="116"/>
    </row>
    <row r="3067" spans="8:9" x14ac:dyDescent="0.25">
      <c r="H3067" s="116"/>
      <c r="I3067" s="116"/>
    </row>
    <row r="3068" spans="8:9" x14ac:dyDescent="0.25">
      <c r="H3068" s="116"/>
      <c r="I3068" s="116"/>
    </row>
    <row r="3069" spans="8:9" x14ac:dyDescent="0.25">
      <c r="H3069" s="116"/>
      <c r="I3069" s="116"/>
    </row>
    <row r="3070" spans="8:9" x14ac:dyDescent="0.25">
      <c r="H3070" s="116"/>
      <c r="I3070" s="116"/>
    </row>
    <row r="3071" spans="8:9" x14ac:dyDescent="0.25">
      <c r="H3071" s="116"/>
      <c r="I3071" s="116"/>
    </row>
    <row r="3072" spans="8:9" x14ac:dyDescent="0.25">
      <c r="H3072" s="116"/>
      <c r="I3072" s="116"/>
    </row>
    <row r="3073" spans="8:9" x14ac:dyDescent="0.25">
      <c r="H3073" s="116"/>
      <c r="I3073" s="116"/>
    </row>
    <row r="3074" spans="8:9" x14ac:dyDescent="0.25">
      <c r="H3074" s="116"/>
      <c r="I3074" s="116"/>
    </row>
    <row r="3075" spans="8:9" x14ac:dyDescent="0.25">
      <c r="H3075" s="116"/>
      <c r="I3075" s="116"/>
    </row>
    <row r="3076" spans="8:9" x14ac:dyDescent="0.25">
      <c r="H3076" s="116"/>
      <c r="I3076" s="116"/>
    </row>
    <row r="3077" spans="8:9" x14ac:dyDescent="0.25">
      <c r="H3077" s="116"/>
      <c r="I3077" s="116"/>
    </row>
    <row r="3078" spans="8:9" x14ac:dyDescent="0.25">
      <c r="H3078" s="116"/>
      <c r="I3078" s="116"/>
    </row>
    <row r="3079" spans="8:9" x14ac:dyDescent="0.25">
      <c r="H3079" s="116"/>
      <c r="I3079" s="116"/>
    </row>
    <row r="3080" spans="8:9" x14ac:dyDescent="0.25">
      <c r="H3080" s="116"/>
      <c r="I3080" s="116"/>
    </row>
    <row r="3081" spans="8:9" x14ac:dyDescent="0.25">
      <c r="H3081" s="116"/>
      <c r="I3081" s="116"/>
    </row>
    <row r="3082" spans="8:9" x14ac:dyDescent="0.25">
      <c r="H3082" s="116"/>
      <c r="I3082" s="116"/>
    </row>
    <row r="3083" spans="8:9" x14ac:dyDescent="0.25">
      <c r="H3083" s="116"/>
      <c r="I3083" s="116"/>
    </row>
    <row r="3084" spans="8:9" x14ac:dyDescent="0.25">
      <c r="H3084" s="116"/>
      <c r="I3084" s="116"/>
    </row>
    <row r="3085" spans="8:9" x14ac:dyDescent="0.25">
      <c r="H3085" s="116"/>
      <c r="I3085" s="116"/>
    </row>
    <row r="3086" spans="8:9" x14ac:dyDescent="0.25">
      <c r="H3086" s="116"/>
      <c r="I3086" s="116"/>
    </row>
    <row r="3087" spans="8:9" x14ac:dyDescent="0.25">
      <c r="H3087" s="116"/>
      <c r="I3087" s="116"/>
    </row>
    <row r="3088" spans="8:9" x14ac:dyDescent="0.25">
      <c r="H3088" s="116"/>
      <c r="I3088" s="116"/>
    </row>
    <row r="3089" spans="8:9" x14ac:dyDescent="0.25">
      <c r="H3089" s="116"/>
      <c r="I3089" s="116"/>
    </row>
    <row r="3090" spans="8:9" x14ac:dyDescent="0.25">
      <c r="H3090" s="116"/>
      <c r="I3090" s="116"/>
    </row>
    <row r="3091" spans="8:9" x14ac:dyDescent="0.25">
      <c r="H3091" s="116"/>
      <c r="I3091" s="116"/>
    </row>
    <row r="3092" spans="8:9" x14ac:dyDescent="0.25">
      <c r="H3092" s="116"/>
      <c r="I3092" s="116"/>
    </row>
    <row r="3093" spans="8:9" x14ac:dyDescent="0.25">
      <c r="H3093" s="116"/>
      <c r="I3093" s="116"/>
    </row>
    <row r="3094" spans="8:9" x14ac:dyDescent="0.25">
      <c r="H3094" s="116"/>
      <c r="I3094" s="116"/>
    </row>
    <row r="3095" spans="8:9" x14ac:dyDescent="0.25">
      <c r="H3095" s="116"/>
      <c r="I3095" s="116"/>
    </row>
    <row r="3096" spans="8:9" x14ac:dyDescent="0.25">
      <c r="H3096" s="116"/>
      <c r="I3096" s="116"/>
    </row>
    <row r="3097" spans="8:9" x14ac:dyDescent="0.25">
      <c r="H3097" s="116"/>
      <c r="I3097" s="116"/>
    </row>
    <row r="3098" spans="8:9" x14ac:dyDescent="0.25">
      <c r="H3098" s="116"/>
      <c r="I3098" s="116"/>
    </row>
    <row r="3099" spans="8:9" x14ac:dyDescent="0.25">
      <c r="H3099" s="116"/>
      <c r="I3099" s="116"/>
    </row>
    <row r="3100" spans="8:9" x14ac:dyDescent="0.25">
      <c r="H3100" s="116"/>
      <c r="I3100" s="116"/>
    </row>
    <row r="3101" spans="8:9" x14ac:dyDescent="0.25">
      <c r="H3101" s="116"/>
      <c r="I3101" s="116"/>
    </row>
    <row r="3102" spans="8:9" x14ac:dyDescent="0.25">
      <c r="H3102" s="116"/>
      <c r="I3102" s="116"/>
    </row>
    <row r="3103" spans="8:9" x14ac:dyDescent="0.25">
      <c r="H3103" s="116"/>
      <c r="I3103" s="116"/>
    </row>
    <row r="3104" spans="8:9" x14ac:dyDescent="0.25">
      <c r="H3104" s="116"/>
      <c r="I3104" s="116"/>
    </row>
    <row r="3105" spans="8:9" x14ac:dyDescent="0.25">
      <c r="H3105" s="116"/>
      <c r="I3105" s="116"/>
    </row>
    <row r="3106" spans="8:9" x14ac:dyDescent="0.25">
      <c r="H3106" s="116"/>
      <c r="I3106" s="116"/>
    </row>
    <row r="3107" spans="8:9" x14ac:dyDescent="0.25">
      <c r="H3107" s="116"/>
      <c r="I3107" s="116"/>
    </row>
    <row r="3108" spans="8:9" x14ac:dyDescent="0.25">
      <c r="H3108" s="116"/>
      <c r="I3108" s="116"/>
    </row>
    <row r="3109" spans="8:9" x14ac:dyDescent="0.25">
      <c r="H3109" s="116"/>
      <c r="I3109" s="116"/>
    </row>
    <row r="3110" spans="8:9" x14ac:dyDescent="0.25">
      <c r="H3110" s="116"/>
      <c r="I3110" s="116"/>
    </row>
    <row r="3111" spans="8:9" x14ac:dyDescent="0.25">
      <c r="H3111" s="116"/>
      <c r="I3111" s="116"/>
    </row>
    <row r="3112" spans="8:9" x14ac:dyDescent="0.25">
      <c r="H3112" s="116"/>
      <c r="I3112" s="116"/>
    </row>
    <row r="3113" spans="8:9" x14ac:dyDescent="0.25">
      <c r="H3113" s="116"/>
      <c r="I3113" s="116"/>
    </row>
    <row r="3114" spans="8:9" x14ac:dyDescent="0.25">
      <c r="H3114" s="116"/>
      <c r="I3114" s="116"/>
    </row>
    <row r="3115" spans="8:9" x14ac:dyDescent="0.25">
      <c r="H3115" s="116"/>
      <c r="I3115" s="116"/>
    </row>
    <row r="3116" spans="8:9" x14ac:dyDescent="0.25">
      <c r="H3116" s="116"/>
      <c r="I3116" s="116"/>
    </row>
    <row r="3117" spans="8:9" x14ac:dyDescent="0.25">
      <c r="H3117" s="116"/>
      <c r="I3117" s="116"/>
    </row>
    <row r="3118" spans="8:9" x14ac:dyDescent="0.25">
      <c r="H3118" s="116"/>
      <c r="I3118" s="116"/>
    </row>
    <row r="3119" spans="8:9" x14ac:dyDescent="0.25">
      <c r="H3119" s="116"/>
      <c r="I3119" s="116"/>
    </row>
    <row r="3120" spans="8:9" x14ac:dyDescent="0.25">
      <c r="H3120" s="116"/>
      <c r="I3120" s="116"/>
    </row>
    <row r="3121" spans="8:9" x14ac:dyDescent="0.25">
      <c r="H3121" s="116"/>
      <c r="I3121" s="116"/>
    </row>
    <row r="3122" spans="8:9" x14ac:dyDescent="0.25">
      <c r="H3122" s="116"/>
      <c r="I3122" s="116"/>
    </row>
    <row r="3123" spans="8:9" x14ac:dyDescent="0.25">
      <c r="H3123" s="116"/>
      <c r="I3123" s="116"/>
    </row>
    <row r="3124" spans="8:9" x14ac:dyDescent="0.25">
      <c r="H3124" s="116"/>
      <c r="I3124" s="116"/>
    </row>
    <row r="3125" spans="8:9" x14ac:dyDescent="0.25">
      <c r="H3125" s="116"/>
      <c r="I3125" s="116"/>
    </row>
    <row r="3126" spans="8:9" x14ac:dyDescent="0.25">
      <c r="H3126" s="116"/>
      <c r="I3126" s="116"/>
    </row>
    <row r="3127" spans="8:9" x14ac:dyDescent="0.25">
      <c r="H3127" s="116"/>
      <c r="I3127" s="116"/>
    </row>
    <row r="3128" spans="8:9" x14ac:dyDescent="0.25">
      <c r="H3128" s="116"/>
      <c r="I3128" s="116"/>
    </row>
    <row r="3129" spans="8:9" x14ac:dyDescent="0.25">
      <c r="H3129" s="116"/>
      <c r="I3129" s="116"/>
    </row>
    <row r="3130" spans="8:9" x14ac:dyDescent="0.25">
      <c r="H3130" s="116"/>
      <c r="I3130" s="116"/>
    </row>
    <row r="3131" spans="8:9" x14ac:dyDescent="0.25">
      <c r="H3131" s="116"/>
      <c r="I3131" s="116"/>
    </row>
    <row r="3132" spans="8:9" x14ac:dyDescent="0.25">
      <c r="H3132" s="116"/>
      <c r="I3132" s="116"/>
    </row>
    <row r="3133" spans="8:9" x14ac:dyDescent="0.25">
      <c r="H3133" s="116"/>
      <c r="I3133" s="116"/>
    </row>
    <row r="3134" spans="8:9" x14ac:dyDescent="0.25">
      <c r="H3134" s="116"/>
      <c r="I3134" s="116"/>
    </row>
    <row r="3135" spans="8:9" x14ac:dyDescent="0.25">
      <c r="H3135" s="116"/>
      <c r="I3135" s="116"/>
    </row>
    <row r="3136" spans="8:9" x14ac:dyDescent="0.25">
      <c r="H3136" s="116"/>
      <c r="I3136" s="116"/>
    </row>
    <row r="3137" spans="8:9" x14ac:dyDescent="0.25">
      <c r="H3137" s="116"/>
      <c r="I3137" s="116"/>
    </row>
    <row r="3138" spans="8:9" x14ac:dyDescent="0.25">
      <c r="H3138" s="116"/>
      <c r="I3138" s="116"/>
    </row>
    <row r="3139" spans="8:9" x14ac:dyDescent="0.25">
      <c r="H3139" s="116"/>
      <c r="I3139" s="116"/>
    </row>
    <row r="3140" spans="8:9" x14ac:dyDescent="0.25">
      <c r="H3140" s="116"/>
      <c r="I3140" s="116"/>
    </row>
    <row r="3141" spans="8:9" x14ac:dyDescent="0.25">
      <c r="H3141" s="116"/>
      <c r="I3141" s="116"/>
    </row>
    <row r="3142" spans="8:9" x14ac:dyDescent="0.25">
      <c r="H3142" s="116"/>
      <c r="I3142" s="116"/>
    </row>
    <row r="3143" spans="8:9" x14ac:dyDescent="0.25">
      <c r="H3143" s="116"/>
      <c r="I3143" s="116"/>
    </row>
    <row r="3144" spans="8:9" x14ac:dyDescent="0.25">
      <c r="H3144" s="116"/>
      <c r="I3144" s="116"/>
    </row>
    <row r="3145" spans="8:9" x14ac:dyDescent="0.25">
      <c r="H3145" s="116"/>
      <c r="I3145" s="116"/>
    </row>
    <row r="3146" spans="8:9" x14ac:dyDescent="0.25">
      <c r="H3146" s="116"/>
      <c r="I3146" s="116"/>
    </row>
    <row r="3147" spans="8:9" x14ac:dyDescent="0.25">
      <c r="H3147" s="116"/>
      <c r="I3147" s="116"/>
    </row>
    <row r="3148" spans="8:9" x14ac:dyDescent="0.25">
      <c r="H3148" s="116"/>
      <c r="I3148" s="116"/>
    </row>
    <row r="3149" spans="8:9" x14ac:dyDescent="0.25">
      <c r="H3149" s="116"/>
      <c r="I3149" s="116"/>
    </row>
    <row r="3150" spans="8:9" x14ac:dyDescent="0.25">
      <c r="H3150" s="116"/>
      <c r="I3150" s="116"/>
    </row>
    <row r="3151" spans="8:9" x14ac:dyDescent="0.25">
      <c r="H3151" s="116"/>
      <c r="I3151" s="116"/>
    </row>
    <row r="3152" spans="8:9" x14ac:dyDescent="0.25">
      <c r="H3152" s="116"/>
      <c r="I3152" s="116"/>
    </row>
    <row r="3153" spans="8:9" x14ac:dyDescent="0.25">
      <c r="H3153" s="116"/>
      <c r="I3153" s="116"/>
    </row>
    <row r="3154" spans="8:9" x14ac:dyDescent="0.25">
      <c r="H3154" s="116"/>
      <c r="I3154" s="116"/>
    </row>
    <row r="3155" spans="8:9" x14ac:dyDescent="0.25">
      <c r="H3155" s="116"/>
      <c r="I3155" s="116"/>
    </row>
    <row r="3156" spans="8:9" x14ac:dyDescent="0.25">
      <c r="H3156" s="116"/>
      <c r="I3156" s="116"/>
    </row>
    <row r="3157" spans="8:9" x14ac:dyDescent="0.25">
      <c r="H3157" s="116"/>
      <c r="I3157" s="116"/>
    </row>
    <row r="3158" spans="8:9" x14ac:dyDescent="0.25">
      <c r="H3158" s="116"/>
      <c r="I3158" s="116"/>
    </row>
    <row r="3159" spans="8:9" x14ac:dyDescent="0.25">
      <c r="H3159" s="116"/>
      <c r="I3159" s="116"/>
    </row>
    <row r="3160" spans="8:9" x14ac:dyDescent="0.25">
      <c r="H3160" s="116"/>
      <c r="I3160" s="116"/>
    </row>
    <row r="3161" spans="8:9" x14ac:dyDescent="0.25">
      <c r="H3161" s="116"/>
      <c r="I3161" s="116"/>
    </row>
    <row r="3162" spans="8:9" x14ac:dyDescent="0.25">
      <c r="H3162" s="116"/>
      <c r="I3162" s="116"/>
    </row>
    <row r="3163" spans="8:9" x14ac:dyDescent="0.25">
      <c r="H3163" s="116"/>
      <c r="I3163" s="116"/>
    </row>
    <row r="3164" spans="8:9" x14ac:dyDescent="0.25">
      <c r="H3164" s="116"/>
      <c r="I3164" s="116"/>
    </row>
    <row r="3165" spans="8:9" x14ac:dyDescent="0.25">
      <c r="H3165" s="116"/>
      <c r="I3165" s="116"/>
    </row>
    <row r="3166" spans="8:9" x14ac:dyDescent="0.25">
      <c r="H3166" s="116"/>
      <c r="I3166" s="116"/>
    </row>
    <row r="3167" spans="8:9" x14ac:dyDescent="0.25">
      <c r="H3167" s="116"/>
      <c r="I3167" s="116"/>
    </row>
    <row r="3168" spans="8:9" x14ac:dyDescent="0.25">
      <c r="H3168" s="116"/>
      <c r="I3168" s="116"/>
    </row>
    <row r="3169" spans="8:9" x14ac:dyDescent="0.25">
      <c r="H3169" s="116"/>
      <c r="I3169" s="116"/>
    </row>
    <row r="3170" spans="8:9" x14ac:dyDescent="0.25">
      <c r="H3170" s="116"/>
      <c r="I3170" s="116"/>
    </row>
    <row r="3171" spans="8:9" x14ac:dyDescent="0.25">
      <c r="H3171" s="116"/>
      <c r="I3171" s="116"/>
    </row>
    <row r="3172" spans="8:9" x14ac:dyDescent="0.25">
      <c r="H3172" s="116"/>
      <c r="I3172" s="116"/>
    </row>
    <row r="3173" spans="8:9" x14ac:dyDescent="0.25">
      <c r="H3173" s="116"/>
      <c r="I3173" s="116"/>
    </row>
    <row r="3174" spans="8:9" x14ac:dyDescent="0.25">
      <c r="H3174" s="116"/>
      <c r="I3174" s="116"/>
    </row>
    <row r="3175" spans="8:9" x14ac:dyDescent="0.25">
      <c r="H3175" s="116"/>
      <c r="I3175" s="116"/>
    </row>
    <row r="3176" spans="8:9" x14ac:dyDescent="0.25">
      <c r="H3176" s="116"/>
      <c r="I3176" s="116"/>
    </row>
    <row r="3177" spans="8:9" x14ac:dyDescent="0.25">
      <c r="H3177" s="116"/>
      <c r="I3177" s="116"/>
    </row>
    <row r="3178" spans="8:9" x14ac:dyDescent="0.25">
      <c r="H3178" s="116"/>
      <c r="I3178" s="116"/>
    </row>
    <row r="3179" spans="8:9" x14ac:dyDescent="0.25">
      <c r="H3179" s="116"/>
      <c r="I3179" s="116"/>
    </row>
    <row r="3180" spans="8:9" x14ac:dyDescent="0.25">
      <c r="H3180" s="116"/>
      <c r="I3180" s="116"/>
    </row>
    <row r="3181" spans="8:9" x14ac:dyDescent="0.25">
      <c r="H3181" s="116"/>
      <c r="I3181" s="116"/>
    </row>
    <row r="3182" spans="8:9" x14ac:dyDescent="0.25">
      <c r="H3182" s="116"/>
      <c r="I3182" s="116"/>
    </row>
    <row r="3183" spans="8:9" x14ac:dyDescent="0.25">
      <c r="H3183" s="116"/>
      <c r="I3183" s="116"/>
    </row>
    <row r="3184" spans="8:9" x14ac:dyDescent="0.25">
      <c r="H3184" s="116"/>
      <c r="I3184" s="116"/>
    </row>
    <row r="3185" spans="8:9" x14ac:dyDescent="0.25">
      <c r="H3185" s="116"/>
      <c r="I3185" s="116"/>
    </row>
    <row r="3186" spans="8:9" x14ac:dyDescent="0.25">
      <c r="H3186" s="116"/>
      <c r="I3186" s="116"/>
    </row>
    <row r="3187" spans="8:9" x14ac:dyDescent="0.25">
      <c r="H3187" s="116"/>
      <c r="I3187" s="116"/>
    </row>
    <row r="3188" spans="8:9" x14ac:dyDescent="0.25">
      <c r="H3188" s="116"/>
      <c r="I3188" s="116"/>
    </row>
    <row r="3189" spans="8:9" x14ac:dyDescent="0.25">
      <c r="H3189" s="116"/>
      <c r="I3189" s="116"/>
    </row>
    <row r="3190" spans="8:9" x14ac:dyDescent="0.25">
      <c r="H3190" s="116"/>
      <c r="I3190" s="116"/>
    </row>
    <row r="3191" spans="8:9" x14ac:dyDescent="0.25">
      <c r="H3191" s="116"/>
      <c r="I3191" s="116"/>
    </row>
    <row r="3192" spans="8:9" x14ac:dyDescent="0.25">
      <c r="H3192" s="116"/>
      <c r="I3192" s="116"/>
    </row>
    <row r="3193" spans="8:9" x14ac:dyDescent="0.25">
      <c r="H3193" s="116"/>
      <c r="I3193" s="116"/>
    </row>
    <row r="3194" spans="8:9" x14ac:dyDescent="0.25">
      <c r="H3194" s="116"/>
      <c r="I3194" s="116"/>
    </row>
    <row r="3195" spans="8:9" x14ac:dyDescent="0.25">
      <c r="H3195" s="116"/>
      <c r="I3195" s="116"/>
    </row>
    <row r="3196" spans="8:9" x14ac:dyDescent="0.25">
      <c r="H3196" s="116"/>
      <c r="I3196" s="116"/>
    </row>
    <row r="3197" spans="8:9" x14ac:dyDescent="0.25">
      <c r="H3197" s="116"/>
      <c r="I3197" s="116"/>
    </row>
    <row r="3198" spans="8:9" x14ac:dyDescent="0.25">
      <c r="H3198" s="116"/>
      <c r="I3198" s="116"/>
    </row>
    <row r="3199" spans="8:9" x14ac:dyDescent="0.25">
      <c r="H3199" s="116"/>
      <c r="I3199" s="116"/>
    </row>
    <row r="3200" spans="8:9" x14ac:dyDescent="0.25">
      <c r="H3200" s="116"/>
      <c r="I3200" s="116"/>
    </row>
    <row r="3201" spans="8:9" x14ac:dyDescent="0.25">
      <c r="H3201" s="116"/>
      <c r="I3201" s="116"/>
    </row>
    <row r="3202" spans="8:9" x14ac:dyDescent="0.25">
      <c r="H3202" s="116"/>
      <c r="I3202" s="116"/>
    </row>
    <row r="3203" spans="8:9" x14ac:dyDescent="0.25">
      <c r="H3203" s="116"/>
      <c r="I3203" s="116"/>
    </row>
    <row r="3204" spans="8:9" x14ac:dyDescent="0.25">
      <c r="H3204" s="116"/>
      <c r="I3204" s="116"/>
    </row>
    <row r="3205" spans="8:9" x14ac:dyDescent="0.25">
      <c r="H3205" s="116"/>
      <c r="I3205" s="116"/>
    </row>
    <row r="3206" spans="8:9" x14ac:dyDescent="0.25">
      <c r="H3206" s="116"/>
      <c r="I3206" s="116"/>
    </row>
    <row r="3207" spans="8:9" x14ac:dyDescent="0.25">
      <c r="H3207" s="116"/>
      <c r="I3207" s="116"/>
    </row>
    <row r="3208" spans="8:9" x14ac:dyDescent="0.25">
      <c r="H3208" s="116"/>
      <c r="I3208" s="116"/>
    </row>
    <row r="3209" spans="8:9" x14ac:dyDescent="0.25">
      <c r="H3209" s="116"/>
      <c r="I3209" s="116"/>
    </row>
    <row r="3210" spans="8:9" x14ac:dyDescent="0.25">
      <c r="H3210" s="116"/>
      <c r="I3210" s="116"/>
    </row>
    <row r="3211" spans="8:9" x14ac:dyDescent="0.25">
      <c r="H3211" s="116"/>
      <c r="I3211" s="116"/>
    </row>
    <row r="3212" spans="8:9" x14ac:dyDescent="0.25">
      <c r="H3212" s="116"/>
      <c r="I3212" s="116"/>
    </row>
    <row r="3213" spans="8:9" x14ac:dyDescent="0.25">
      <c r="H3213" s="116"/>
      <c r="I3213" s="116"/>
    </row>
    <row r="3214" spans="8:9" x14ac:dyDescent="0.25">
      <c r="H3214" s="116"/>
      <c r="I3214" s="116"/>
    </row>
    <row r="3215" spans="8:9" x14ac:dyDescent="0.25">
      <c r="H3215" s="116"/>
      <c r="I3215" s="116"/>
    </row>
    <row r="3216" spans="8:9" x14ac:dyDescent="0.25">
      <c r="H3216" s="116"/>
      <c r="I3216" s="116"/>
    </row>
    <row r="3217" spans="8:9" x14ac:dyDescent="0.25">
      <c r="H3217" s="116"/>
      <c r="I3217" s="116"/>
    </row>
    <row r="3218" spans="8:9" x14ac:dyDescent="0.25">
      <c r="H3218" s="116"/>
      <c r="I3218" s="116"/>
    </row>
    <row r="3219" spans="8:9" x14ac:dyDescent="0.25">
      <c r="H3219" s="116"/>
      <c r="I3219" s="116"/>
    </row>
    <row r="3220" spans="8:9" x14ac:dyDescent="0.25">
      <c r="H3220" s="116"/>
      <c r="I3220" s="116"/>
    </row>
    <row r="3221" spans="8:9" x14ac:dyDescent="0.25">
      <c r="H3221" s="116"/>
      <c r="I3221" s="116"/>
    </row>
    <row r="3222" spans="8:9" x14ac:dyDescent="0.25">
      <c r="H3222" s="116"/>
      <c r="I3222" s="116"/>
    </row>
    <row r="3223" spans="8:9" x14ac:dyDescent="0.25">
      <c r="H3223" s="116"/>
      <c r="I3223" s="116"/>
    </row>
    <row r="3224" spans="8:9" x14ac:dyDescent="0.25">
      <c r="H3224" s="116"/>
      <c r="I3224" s="116"/>
    </row>
    <row r="3225" spans="8:9" x14ac:dyDescent="0.25">
      <c r="H3225" s="116"/>
      <c r="I3225" s="116"/>
    </row>
    <row r="3226" spans="8:9" x14ac:dyDescent="0.25">
      <c r="H3226" s="116"/>
      <c r="I3226" s="116"/>
    </row>
    <row r="3227" spans="8:9" x14ac:dyDescent="0.25">
      <c r="H3227" s="116"/>
      <c r="I3227" s="116"/>
    </row>
    <row r="3228" spans="8:9" x14ac:dyDescent="0.25">
      <c r="H3228" s="116"/>
      <c r="I3228" s="116"/>
    </row>
    <row r="3229" spans="8:9" x14ac:dyDescent="0.25">
      <c r="H3229" s="116"/>
      <c r="I3229" s="116"/>
    </row>
    <row r="3230" spans="8:9" x14ac:dyDescent="0.25">
      <c r="H3230" s="116"/>
      <c r="I3230" s="116"/>
    </row>
    <row r="3231" spans="8:9" x14ac:dyDescent="0.25">
      <c r="H3231" s="116"/>
      <c r="I3231" s="116"/>
    </row>
    <row r="3232" spans="8:9" x14ac:dyDescent="0.25">
      <c r="H3232" s="116"/>
      <c r="I3232" s="116"/>
    </row>
    <row r="3233" spans="8:9" x14ac:dyDescent="0.25">
      <c r="H3233" s="116"/>
      <c r="I3233" s="116"/>
    </row>
    <row r="3234" spans="8:9" x14ac:dyDescent="0.25">
      <c r="H3234" s="116"/>
      <c r="I3234" s="116"/>
    </row>
    <row r="3235" spans="8:9" x14ac:dyDescent="0.25">
      <c r="H3235" s="116"/>
      <c r="I3235" s="116"/>
    </row>
    <row r="3236" spans="8:9" x14ac:dyDescent="0.25">
      <c r="H3236" s="116"/>
      <c r="I3236" s="116"/>
    </row>
    <row r="3237" spans="8:9" x14ac:dyDescent="0.25">
      <c r="H3237" s="116"/>
      <c r="I3237" s="116"/>
    </row>
    <row r="3238" spans="8:9" x14ac:dyDescent="0.25">
      <c r="H3238" s="116"/>
      <c r="I3238" s="116"/>
    </row>
    <row r="3239" spans="8:9" x14ac:dyDescent="0.25">
      <c r="H3239" s="116"/>
      <c r="I3239" s="116"/>
    </row>
    <row r="3240" spans="8:9" x14ac:dyDescent="0.25">
      <c r="H3240" s="116"/>
      <c r="I3240" s="116"/>
    </row>
    <row r="3241" spans="8:9" x14ac:dyDescent="0.25">
      <c r="H3241" s="116"/>
      <c r="I3241" s="116"/>
    </row>
    <row r="3242" spans="8:9" x14ac:dyDescent="0.25">
      <c r="H3242" s="116"/>
      <c r="I3242" s="116"/>
    </row>
    <row r="3243" spans="8:9" x14ac:dyDescent="0.25">
      <c r="H3243" s="116"/>
      <c r="I3243" s="116"/>
    </row>
    <row r="3244" spans="8:9" x14ac:dyDescent="0.25">
      <c r="H3244" s="116"/>
      <c r="I3244" s="116"/>
    </row>
    <row r="3245" spans="8:9" x14ac:dyDescent="0.25">
      <c r="H3245" s="116"/>
      <c r="I3245" s="116"/>
    </row>
    <row r="3246" spans="8:9" x14ac:dyDescent="0.25">
      <c r="H3246" s="116"/>
      <c r="I3246" s="116"/>
    </row>
    <row r="3247" spans="8:9" x14ac:dyDescent="0.25">
      <c r="H3247" s="116"/>
      <c r="I3247" s="116"/>
    </row>
    <row r="3248" spans="8:9" x14ac:dyDescent="0.25">
      <c r="H3248" s="116"/>
      <c r="I3248" s="116"/>
    </row>
    <row r="3249" spans="8:9" x14ac:dyDescent="0.25">
      <c r="H3249" s="116"/>
      <c r="I3249" s="116"/>
    </row>
    <row r="3250" spans="8:9" x14ac:dyDescent="0.25">
      <c r="H3250" s="116"/>
      <c r="I3250" s="116"/>
    </row>
    <row r="3251" spans="8:9" x14ac:dyDescent="0.25">
      <c r="H3251" s="116"/>
      <c r="I3251" s="116"/>
    </row>
    <row r="3252" spans="8:9" x14ac:dyDescent="0.25">
      <c r="H3252" s="116"/>
      <c r="I3252" s="116"/>
    </row>
    <row r="3253" spans="8:9" x14ac:dyDescent="0.25">
      <c r="H3253" s="116"/>
      <c r="I3253" s="116"/>
    </row>
    <row r="3254" spans="8:9" x14ac:dyDescent="0.25">
      <c r="H3254" s="116"/>
      <c r="I3254" s="116"/>
    </row>
    <row r="3255" spans="8:9" x14ac:dyDescent="0.25">
      <c r="H3255" s="116"/>
      <c r="I3255" s="116"/>
    </row>
    <row r="3256" spans="8:9" x14ac:dyDescent="0.25">
      <c r="H3256" s="116"/>
      <c r="I3256" s="116"/>
    </row>
    <row r="3257" spans="8:9" x14ac:dyDescent="0.25">
      <c r="H3257" s="116"/>
      <c r="I3257" s="116"/>
    </row>
    <row r="3258" spans="8:9" x14ac:dyDescent="0.25">
      <c r="H3258" s="116"/>
      <c r="I3258" s="116"/>
    </row>
    <row r="3259" spans="8:9" x14ac:dyDescent="0.25">
      <c r="H3259" s="116"/>
      <c r="I3259" s="116"/>
    </row>
    <row r="3260" spans="8:9" x14ac:dyDescent="0.25">
      <c r="H3260" s="116"/>
      <c r="I3260" s="116"/>
    </row>
    <row r="3261" spans="8:9" x14ac:dyDescent="0.25">
      <c r="H3261" s="116"/>
      <c r="I3261" s="116"/>
    </row>
    <row r="3262" spans="8:9" x14ac:dyDescent="0.25">
      <c r="H3262" s="116"/>
      <c r="I3262" s="116"/>
    </row>
    <row r="3263" spans="8:9" x14ac:dyDescent="0.25">
      <c r="H3263" s="116"/>
      <c r="I3263" s="116"/>
    </row>
    <row r="3264" spans="8:9" x14ac:dyDescent="0.25">
      <c r="H3264" s="116"/>
      <c r="I3264" s="116"/>
    </row>
    <row r="3265" spans="8:9" x14ac:dyDescent="0.25">
      <c r="H3265" s="116"/>
      <c r="I3265" s="116"/>
    </row>
    <row r="3266" spans="8:9" x14ac:dyDescent="0.25">
      <c r="H3266" s="116"/>
      <c r="I3266" s="116"/>
    </row>
    <row r="3267" spans="8:9" x14ac:dyDescent="0.25">
      <c r="H3267" s="116"/>
      <c r="I3267" s="116"/>
    </row>
    <row r="3268" spans="8:9" x14ac:dyDescent="0.25">
      <c r="H3268" s="116"/>
      <c r="I3268" s="116"/>
    </row>
    <row r="3269" spans="8:9" x14ac:dyDescent="0.25">
      <c r="H3269" s="116"/>
      <c r="I3269" s="116"/>
    </row>
    <row r="3270" spans="8:9" x14ac:dyDescent="0.25">
      <c r="H3270" s="116"/>
      <c r="I3270" s="116"/>
    </row>
    <row r="3271" spans="8:9" x14ac:dyDescent="0.25">
      <c r="H3271" s="116"/>
      <c r="I3271" s="116"/>
    </row>
    <row r="3272" spans="8:9" x14ac:dyDescent="0.25">
      <c r="H3272" s="116"/>
      <c r="I3272" s="116"/>
    </row>
    <row r="3273" spans="8:9" x14ac:dyDescent="0.25">
      <c r="H3273" s="116"/>
      <c r="I3273" s="116"/>
    </row>
    <row r="3274" spans="8:9" x14ac:dyDescent="0.25">
      <c r="H3274" s="116"/>
      <c r="I3274" s="116"/>
    </row>
    <row r="3275" spans="8:9" x14ac:dyDescent="0.25">
      <c r="H3275" s="116"/>
      <c r="I3275" s="116"/>
    </row>
    <row r="3276" spans="8:9" x14ac:dyDescent="0.25">
      <c r="H3276" s="116"/>
      <c r="I3276" s="116"/>
    </row>
    <row r="3277" spans="8:9" x14ac:dyDescent="0.25">
      <c r="H3277" s="116"/>
      <c r="I3277" s="116"/>
    </row>
    <row r="3278" spans="8:9" x14ac:dyDescent="0.25">
      <c r="H3278" s="116"/>
      <c r="I3278" s="116"/>
    </row>
    <row r="3279" spans="8:9" x14ac:dyDescent="0.25">
      <c r="H3279" s="116"/>
      <c r="I3279" s="116"/>
    </row>
    <row r="3280" spans="8:9" x14ac:dyDescent="0.25">
      <c r="H3280" s="116"/>
      <c r="I3280" s="116"/>
    </row>
    <row r="3281" spans="8:9" x14ac:dyDescent="0.25">
      <c r="H3281" s="116"/>
      <c r="I3281" s="116"/>
    </row>
    <row r="3282" spans="8:9" x14ac:dyDescent="0.25">
      <c r="H3282" s="116"/>
      <c r="I3282" s="116"/>
    </row>
    <row r="3283" spans="8:9" x14ac:dyDescent="0.25">
      <c r="H3283" s="116"/>
      <c r="I3283" s="116"/>
    </row>
    <row r="3284" spans="8:9" x14ac:dyDescent="0.25">
      <c r="H3284" s="116"/>
      <c r="I3284" s="116"/>
    </row>
    <row r="3285" spans="8:9" x14ac:dyDescent="0.25">
      <c r="H3285" s="116"/>
      <c r="I3285" s="116"/>
    </row>
    <row r="3286" spans="8:9" x14ac:dyDescent="0.25">
      <c r="H3286" s="116"/>
      <c r="I3286" s="116"/>
    </row>
    <row r="3287" spans="8:9" x14ac:dyDescent="0.25">
      <c r="H3287" s="116"/>
      <c r="I3287" s="116"/>
    </row>
    <row r="3288" spans="8:9" x14ac:dyDescent="0.25">
      <c r="H3288" s="116"/>
      <c r="I3288" s="116"/>
    </row>
    <row r="3289" spans="8:9" x14ac:dyDescent="0.25">
      <c r="H3289" s="116"/>
      <c r="I3289" s="116"/>
    </row>
    <row r="3290" spans="8:9" x14ac:dyDescent="0.25">
      <c r="H3290" s="116"/>
      <c r="I3290" s="116"/>
    </row>
    <row r="3291" spans="8:9" x14ac:dyDescent="0.25">
      <c r="H3291" s="116"/>
      <c r="I3291" s="116"/>
    </row>
    <row r="3292" spans="8:9" x14ac:dyDescent="0.25">
      <c r="H3292" s="116"/>
      <c r="I3292" s="116"/>
    </row>
    <row r="3293" spans="8:9" x14ac:dyDescent="0.25">
      <c r="H3293" s="116"/>
      <c r="I3293" s="116"/>
    </row>
    <row r="3294" spans="8:9" x14ac:dyDescent="0.25">
      <c r="H3294" s="116"/>
      <c r="I3294" s="116"/>
    </row>
    <row r="3295" spans="8:9" x14ac:dyDescent="0.25">
      <c r="H3295" s="116"/>
      <c r="I3295" s="116"/>
    </row>
    <row r="3296" spans="8:9" x14ac:dyDescent="0.25">
      <c r="H3296" s="116"/>
      <c r="I3296" s="116"/>
    </row>
    <row r="3297" spans="8:9" x14ac:dyDescent="0.25">
      <c r="H3297" s="116"/>
      <c r="I3297" s="116"/>
    </row>
    <row r="3298" spans="8:9" x14ac:dyDescent="0.25">
      <c r="H3298" s="116"/>
      <c r="I3298" s="116"/>
    </row>
    <row r="3299" spans="8:9" x14ac:dyDescent="0.25">
      <c r="H3299" s="116"/>
      <c r="I3299" s="116"/>
    </row>
    <row r="3300" spans="8:9" x14ac:dyDescent="0.25">
      <c r="H3300" s="116"/>
      <c r="I3300" s="116"/>
    </row>
    <row r="3301" spans="8:9" x14ac:dyDescent="0.25">
      <c r="H3301" s="116"/>
      <c r="I3301" s="116"/>
    </row>
    <row r="3302" spans="8:9" x14ac:dyDescent="0.25">
      <c r="H3302" s="116"/>
      <c r="I3302" s="116"/>
    </row>
    <row r="3303" spans="8:9" x14ac:dyDescent="0.25">
      <c r="H3303" s="116"/>
      <c r="I3303" s="116"/>
    </row>
    <row r="3304" spans="8:9" x14ac:dyDescent="0.25">
      <c r="H3304" s="116"/>
      <c r="I3304" s="116"/>
    </row>
    <row r="3305" spans="8:9" x14ac:dyDescent="0.25">
      <c r="H3305" s="116"/>
      <c r="I3305" s="116"/>
    </row>
    <row r="3306" spans="8:9" x14ac:dyDescent="0.25">
      <c r="H3306" s="116"/>
      <c r="I3306" s="116"/>
    </row>
    <row r="3307" spans="8:9" x14ac:dyDescent="0.25">
      <c r="H3307" s="116"/>
      <c r="I3307" s="116"/>
    </row>
    <row r="3308" spans="8:9" x14ac:dyDescent="0.25">
      <c r="H3308" s="116"/>
      <c r="I3308" s="116"/>
    </row>
    <row r="3309" spans="8:9" x14ac:dyDescent="0.25">
      <c r="H3309" s="116"/>
      <c r="I3309" s="116"/>
    </row>
    <row r="3310" spans="8:9" x14ac:dyDescent="0.25">
      <c r="H3310" s="116"/>
      <c r="I3310" s="116"/>
    </row>
    <row r="3311" spans="8:9" x14ac:dyDescent="0.25">
      <c r="H3311" s="116"/>
      <c r="I3311" s="116"/>
    </row>
    <row r="3312" spans="8:9" x14ac:dyDescent="0.25">
      <c r="H3312" s="116"/>
      <c r="I3312" s="116"/>
    </row>
    <row r="3313" spans="8:9" x14ac:dyDescent="0.25">
      <c r="H3313" s="116"/>
      <c r="I3313" s="116"/>
    </row>
    <row r="3314" spans="8:9" x14ac:dyDescent="0.25">
      <c r="H3314" s="116"/>
      <c r="I3314" s="116"/>
    </row>
    <row r="3315" spans="8:9" x14ac:dyDescent="0.25">
      <c r="H3315" s="116"/>
      <c r="I3315" s="116"/>
    </row>
    <row r="3316" spans="8:9" x14ac:dyDescent="0.25">
      <c r="H3316" s="116"/>
      <c r="I3316" s="116"/>
    </row>
    <row r="3317" spans="8:9" x14ac:dyDescent="0.25">
      <c r="H3317" s="116"/>
      <c r="I3317" s="116"/>
    </row>
    <row r="3318" spans="8:9" x14ac:dyDescent="0.25">
      <c r="H3318" s="116"/>
      <c r="I3318" s="116"/>
    </row>
    <row r="3319" spans="8:9" x14ac:dyDescent="0.25">
      <c r="H3319" s="116"/>
      <c r="I3319" s="116"/>
    </row>
    <row r="3320" spans="8:9" x14ac:dyDescent="0.25">
      <c r="H3320" s="116"/>
      <c r="I3320" s="116"/>
    </row>
    <row r="3321" spans="8:9" x14ac:dyDescent="0.25">
      <c r="H3321" s="116"/>
      <c r="I3321" s="116"/>
    </row>
    <row r="3322" spans="8:9" x14ac:dyDescent="0.25">
      <c r="H3322" s="116"/>
      <c r="I3322" s="116"/>
    </row>
    <row r="3323" spans="8:9" x14ac:dyDescent="0.25">
      <c r="H3323" s="116"/>
      <c r="I3323" s="116"/>
    </row>
    <row r="3324" spans="8:9" x14ac:dyDescent="0.25">
      <c r="H3324" s="116"/>
      <c r="I3324" s="116"/>
    </row>
    <row r="3325" spans="8:9" x14ac:dyDescent="0.25">
      <c r="H3325" s="116"/>
      <c r="I3325" s="116"/>
    </row>
    <row r="3326" spans="8:9" x14ac:dyDescent="0.25">
      <c r="H3326" s="116"/>
      <c r="I3326" s="116"/>
    </row>
    <row r="3327" spans="8:9" x14ac:dyDescent="0.25">
      <c r="H3327" s="116"/>
      <c r="I3327" s="116"/>
    </row>
    <row r="3328" spans="8:9" x14ac:dyDescent="0.25">
      <c r="H3328" s="116"/>
      <c r="I3328" s="116"/>
    </row>
    <row r="3329" spans="8:9" x14ac:dyDescent="0.25">
      <c r="H3329" s="116"/>
      <c r="I3329" s="116"/>
    </row>
    <row r="3330" spans="8:9" x14ac:dyDescent="0.25">
      <c r="H3330" s="116"/>
      <c r="I3330" s="116"/>
    </row>
    <row r="3331" spans="8:9" x14ac:dyDescent="0.25">
      <c r="H3331" s="116"/>
      <c r="I3331" s="116"/>
    </row>
    <row r="3332" spans="8:9" x14ac:dyDescent="0.25">
      <c r="H3332" s="116"/>
      <c r="I3332" s="116"/>
    </row>
    <row r="3333" spans="8:9" x14ac:dyDescent="0.25">
      <c r="H3333" s="116"/>
      <c r="I3333" s="116"/>
    </row>
    <row r="3334" spans="8:9" x14ac:dyDescent="0.25">
      <c r="H3334" s="116"/>
      <c r="I3334" s="116"/>
    </row>
    <row r="3335" spans="8:9" x14ac:dyDescent="0.25">
      <c r="H3335" s="116"/>
      <c r="I3335" s="116"/>
    </row>
    <row r="3336" spans="8:9" x14ac:dyDescent="0.25">
      <c r="H3336" s="116"/>
      <c r="I3336" s="116"/>
    </row>
    <row r="3337" spans="8:9" x14ac:dyDescent="0.25">
      <c r="H3337" s="116"/>
      <c r="I3337" s="116"/>
    </row>
    <row r="3338" spans="8:9" x14ac:dyDescent="0.25">
      <c r="H3338" s="116"/>
      <c r="I3338" s="116"/>
    </row>
    <row r="3339" spans="8:9" x14ac:dyDescent="0.25">
      <c r="H3339" s="116"/>
      <c r="I3339" s="116"/>
    </row>
    <row r="3340" spans="8:9" x14ac:dyDescent="0.25">
      <c r="H3340" s="116"/>
      <c r="I3340" s="116"/>
    </row>
    <row r="3341" spans="8:9" x14ac:dyDescent="0.25">
      <c r="H3341" s="116"/>
      <c r="I3341" s="116"/>
    </row>
    <row r="3342" spans="8:9" x14ac:dyDescent="0.25">
      <c r="H3342" s="116"/>
      <c r="I3342" s="116"/>
    </row>
    <row r="3343" spans="8:9" x14ac:dyDescent="0.25">
      <c r="H3343" s="116"/>
      <c r="I3343" s="116"/>
    </row>
    <row r="3344" spans="8:9" x14ac:dyDescent="0.25">
      <c r="H3344" s="116"/>
      <c r="I3344" s="116"/>
    </row>
    <row r="3345" spans="8:9" x14ac:dyDescent="0.25">
      <c r="H3345" s="116"/>
      <c r="I3345" s="116"/>
    </row>
    <row r="3346" spans="8:9" x14ac:dyDescent="0.25">
      <c r="H3346" s="116"/>
      <c r="I3346" s="116"/>
    </row>
    <row r="3347" spans="8:9" x14ac:dyDescent="0.25">
      <c r="H3347" s="116"/>
      <c r="I3347" s="116"/>
    </row>
    <row r="3348" spans="8:9" x14ac:dyDescent="0.25">
      <c r="H3348" s="116"/>
      <c r="I3348" s="116"/>
    </row>
    <row r="3349" spans="8:9" x14ac:dyDescent="0.25">
      <c r="H3349" s="116"/>
      <c r="I3349" s="116"/>
    </row>
    <row r="3350" spans="8:9" x14ac:dyDescent="0.25">
      <c r="H3350" s="116"/>
      <c r="I3350" s="116"/>
    </row>
    <row r="3351" spans="8:9" x14ac:dyDescent="0.25">
      <c r="H3351" s="116"/>
      <c r="I3351" s="116"/>
    </row>
    <row r="3352" spans="8:9" x14ac:dyDescent="0.25">
      <c r="H3352" s="116"/>
      <c r="I3352" s="116"/>
    </row>
    <row r="3353" spans="8:9" x14ac:dyDescent="0.25">
      <c r="H3353" s="116"/>
      <c r="I3353" s="116"/>
    </row>
    <row r="3354" spans="8:9" x14ac:dyDescent="0.25">
      <c r="H3354" s="116"/>
      <c r="I3354" s="116"/>
    </row>
    <row r="3355" spans="8:9" x14ac:dyDescent="0.25">
      <c r="H3355" s="116"/>
      <c r="I3355" s="116"/>
    </row>
    <row r="3356" spans="8:9" x14ac:dyDescent="0.25">
      <c r="H3356" s="116"/>
      <c r="I3356" s="116"/>
    </row>
    <row r="3357" spans="8:9" x14ac:dyDescent="0.25">
      <c r="H3357" s="116"/>
      <c r="I3357" s="116"/>
    </row>
    <row r="3358" spans="8:9" x14ac:dyDescent="0.25">
      <c r="H3358" s="116"/>
      <c r="I3358" s="116"/>
    </row>
    <row r="3359" spans="8:9" x14ac:dyDescent="0.25">
      <c r="H3359" s="116"/>
      <c r="I3359" s="116"/>
    </row>
    <row r="3360" spans="8:9" x14ac:dyDescent="0.25">
      <c r="H3360" s="116"/>
      <c r="I3360" s="116"/>
    </row>
    <row r="3361" spans="8:9" x14ac:dyDescent="0.25">
      <c r="H3361" s="116"/>
      <c r="I3361" s="116"/>
    </row>
    <row r="3362" spans="8:9" x14ac:dyDescent="0.25">
      <c r="H3362" s="116"/>
      <c r="I3362" s="116"/>
    </row>
    <row r="3363" spans="8:9" x14ac:dyDescent="0.25">
      <c r="H3363" s="116"/>
      <c r="I3363" s="116"/>
    </row>
    <row r="3364" spans="8:9" x14ac:dyDescent="0.25">
      <c r="H3364" s="116"/>
      <c r="I3364" s="116"/>
    </row>
    <row r="3365" spans="8:9" x14ac:dyDescent="0.25">
      <c r="H3365" s="116"/>
      <c r="I3365" s="116"/>
    </row>
    <row r="3366" spans="8:9" x14ac:dyDescent="0.25">
      <c r="H3366" s="116"/>
      <c r="I3366" s="116"/>
    </row>
    <row r="3367" spans="8:9" x14ac:dyDescent="0.25">
      <c r="H3367" s="116"/>
      <c r="I3367" s="116"/>
    </row>
    <row r="3368" spans="8:9" x14ac:dyDescent="0.25">
      <c r="H3368" s="116"/>
      <c r="I3368" s="116"/>
    </row>
    <row r="3369" spans="8:9" x14ac:dyDescent="0.25">
      <c r="H3369" s="116"/>
      <c r="I3369" s="116"/>
    </row>
    <row r="3370" spans="8:9" x14ac:dyDescent="0.25">
      <c r="H3370" s="116"/>
      <c r="I3370" s="116"/>
    </row>
    <row r="3371" spans="8:9" x14ac:dyDescent="0.25">
      <c r="H3371" s="116"/>
      <c r="I3371" s="116"/>
    </row>
    <row r="3372" spans="8:9" x14ac:dyDescent="0.25">
      <c r="H3372" s="116"/>
      <c r="I3372" s="116"/>
    </row>
    <row r="3373" spans="8:9" x14ac:dyDescent="0.25">
      <c r="H3373" s="116"/>
      <c r="I3373" s="116"/>
    </row>
    <row r="3374" spans="8:9" x14ac:dyDescent="0.25">
      <c r="H3374" s="116"/>
      <c r="I3374" s="116"/>
    </row>
    <row r="3375" spans="8:9" x14ac:dyDescent="0.25">
      <c r="H3375" s="116"/>
      <c r="I3375" s="116"/>
    </row>
    <row r="3376" spans="8:9" x14ac:dyDescent="0.25">
      <c r="H3376" s="116"/>
      <c r="I3376" s="116"/>
    </row>
    <row r="3377" spans="8:9" x14ac:dyDescent="0.25">
      <c r="H3377" s="116"/>
      <c r="I3377" s="116"/>
    </row>
    <row r="3378" spans="8:9" x14ac:dyDescent="0.25">
      <c r="H3378" s="116"/>
      <c r="I3378" s="116"/>
    </row>
    <row r="3379" spans="8:9" x14ac:dyDescent="0.25">
      <c r="H3379" s="116"/>
      <c r="I3379" s="116"/>
    </row>
    <row r="3380" spans="8:9" x14ac:dyDescent="0.25">
      <c r="H3380" s="116"/>
      <c r="I3380" s="116"/>
    </row>
    <row r="3381" spans="8:9" x14ac:dyDescent="0.25">
      <c r="H3381" s="116"/>
      <c r="I3381" s="116"/>
    </row>
    <row r="3382" spans="8:9" x14ac:dyDescent="0.25">
      <c r="H3382" s="116"/>
      <c r="I3382" s="116"/>
    </row>
    <row r="3383" spans="8:9" x14ac:dyDescent="0.25">
      <c r="H3383" s="116"/>
      <c r="I3383" s="116"/>
    </row>
    <row r="3384" spans="8:9" x14ac:dyDescent="0.25">
      <c r="H3384" s="116"/>
      <c r="I3384" s="116"/>
    </row>
    <row r="3385" spans="8:9" x14ac:dyDescent="0.25">
      <c r="H3385" s="116"/>
      <c r="I3385" s="116"/>
    </row>
    <row r="3386" spans="8:9" x14ac:dyDescent="0.25">
      <c r="H3386" s="116"/>
      <c r="I3386" s="116"/>
    </row>
    <row r="3387" spans="8:9" x14ac:dyDescent="0.25">
      <c r="H3387" s="116"/>
      <c r="I3387" s="116"/>
    </row>
    <row r="3388" spans="8:9" x14ac:dyDescent="0.25">
      <c r="H3388" s="116"/>
      <c r="I3388" s="116"/>
    </row>
    <row r="3389" spans="8:9" x14ac:dyDescent="0.25">
      <c r="H3389" s="116"/>
      <c r="I3389" s="116"/>
    </row>
    <row r="3390" spans="8:9" x14ac:dyDescent="0.25">
      <c r="H3390" s="116"/>
      <c r="I3390" s="116"/>
    </row>
    <row r="3391" spans="8:9" x14ac:dyDescent="0.25">
      <c r="H3391" s="116"/>
      <c r="I3391" s="116"/>
    </row>
    <row r="3392" spans="8:9" x14ac:dyDescent="0.25">
      <c r="H3392" s="116"/>
      <c r="I3392" s="116"/>
    </row>
    <row r="3393" spans="8:9" x14ac:dyDescent="0.25">
      <c r="H3393" s="116"/>
      <c r="I3393" s="116"/>
    </row>
    <row r="3394" spans="8:9" x14ac:dyDescent="0.25">
      <c r="H3394" s="116"/>
      <c r="I3394" s="116"/>
    </row>
    <row r="3395" spans="8:9" x14ac:dyDescent="0.25">
      <c r="H3395" s="116"/>
      <c r="I3395" s="116"/>
    </row>
    <row r="3396" spans="8:9" x14ac:dyDescent="0.25">
      <c r="H3396" s="116"/>
      <c r="I3396" s="116"/>
    </row>
    <row r="3397" spans="8:9" x14ac:dyDescent="0.25">
      <c r="H3397" s="116"/>
      <c r="I3397" s="116"/>
    </row>
    <row r="3398" spans="8:9" x14ac:dyDescent="0.25">
      <c r="H3398" s="116"/>
      <c r="I3398" s="116"/>
    </row>
    <row r="3399" spans="8:9" x14ac:dyDescent="0.25">
      <c r="H3399" s="116"/>
      <c r="I3399" s="116"/>
    </row>
    <row r="3400" spans="8:9" x14ac:dyDescent="0.25">
      <c r="H3400" s="116"/>
      <c r="I3400" s="116"/>
    </row>
    <row r="3401" spans="8:9" x14ac:dyDescent="0.25">
      <c r="H3401" s="116"/>
      <c r="I3401" s="116"/>
    </row>
    <row r="3402" spans="8:9" x14ac:dyDescent="0.25">
      <c r="H3402" s="116"/>
      <c r="I3402" s="116"/>
    </row>
    <row r="3403" spans="8:9" x14ac:dyDescent="0.25">
      <c r="H3403" s="116"/>
      <c r="I3403" s="116"/>
    </row>
    <row r="3404" spans="8:9" x14ac:dyDescent="0.25">
      <c r="H3404" s="116"/>
      <c r="I3404" s="116"/>
    </row>
    <row r="3405" spans="8:9" x14ac:dyDescent="0.25">
      <c r="H3405" s="116"/>
      <c r="I3405" s="116"/>
    </row>
    <row r="3406" spans="8:9" x14ac:dyDescent="0.25">
      <c r="H3406" s="116"/>
      <c r="I3406" s="116"/>
    </row>
    <row r="3407" spans="8:9" x14ac:dyDescent="0.25">
      <c r="H3407" s="116"/>
      <c r="I3407" s="116"/>
    </row>
    <row r="3408" spans="8:9" x14ac:dyDescent="0.25">
      <c r="H3408" s="116"/>
      <c r="I3408" s="116"/>
    </row>
    <row r="3409" spans="8:9" x14ac:dyDescent="0.25">
      <c r="H3409" s="116"/>
      <c r="I3409" s="116"/>
    </row>
    <row r="3410" spans="8:9" x14ac:dyDescent="0.25">
      <c r="H3410" s="116"/>
      <c r="I3410" s="116"/>
    </row>
    <row r="3411" spans="8:9" x14ac:dyDescent="0.25">
      <c r="H3411" s="116"/>
      <c r="I3411" s="116"/>
    </row>
    <row r="3412" spans="8:9" x14ac:dyDescent="0.25">
      <c r="H3412" s="116"/>
      <c r="I3412" s="116"/>
    </row>
    <row r="3413" spans="8:9" x14ac:dyDescent="0.25">
      <c r="H3413" s="116"/>
      <c r="I3413" s="116"/>
    </row>
    <row r="3414" spans="8:9" x14ac:dyDescent="0.25">
      <c r="H3414" s="116"/>
      <c r="I3414" s="116"/>
    </row>
    <row r="3415" spans="8:9" x14ac:dyDescent="0.25">
      <c r="H3415" s="116"/>
      <c r="I3415" s="116"/>
    </row>
    <row r="3416" spans="8:9" x14ac:dyDescent="0.25">
      <c r="H3416" s="116"/>
      <c r="I3416" s="116"/>
    </row>
    <row r="3417" spans="8:9" x14ac:dyDescent="0.25">
      <c r="H3417" s="116"/>
      <c r="I3417" s="116"/>
    </row>
    <row r="3418" spans="8:9" x14ac:dyDescent="0.25">
      <c r="H3418" s="116"/>
      <c r="I3418" s="116"/>
    </row>
    <row r="3419" spans="8:9" x14ac:dyDescent="0.25">
      <c r="H3419" s="116"/>
      <c r="I3419" s="116"/>
    </row>
    <row r="3420" spans="8:9" x14ac:dyDescent="0.25">
      <c r="H3420" s="116"/>
      <c r="I3420" s="116"/>
    </row>
    <row r="3421" spans="8:9" x14ac:dyDescent="0.25">
      <c r="H3421" s="116"/>
      <c r="I3421" s="116"/>
    </row>
    <row r="3422" spans="8:9" x14ac:dyDescent="0.25">
      <c r="H3422" s="116"/>
      <c r="I3422" s="116"/>
    </row>
    <row r="3423" spans="8:9" x14ac:dyDescent="0.25">
      <c r="H3423" s="116"/>
      <c r="I3423" s="116"/>
    </row>
    <row r="3424" spans="8:9" x14ac:dyDescent="0.25">
      <c r="H3424" s="116"/>
      <c r="I3424" s="116"/>
    </row>
    <row r="3425" spans="8:9" x14ac:dyDescent="0.25">
      <c r="H3425" s="116"/>
      <c r="I3425" s="116"/>
    </row>
    <row r="3426" spans="8:9" x14ac:dyDescent="0.25">
      <c r="H3426" s="116"/>
      <c r="I3426" s="116"/>
    </row>
    <row r="3427" spans="8:9" x14ac:dyDescent="0.25">
      <c r="H3427" s="116"/>
      <c r="I3427" s="116"/>
    </row>
    <row r="3428" spans="8:9" x14ac:dyDescent="0.25">
      <c r="H3428" s="116"/>
      <c r="I3428" s="116"/>
    </row>
    <row r="3429" spans="8:9" x14ac:dyDescent="0.25">
      <c r="H3429" s="116"/>
      <c r="I3429" s="116"/>
    </row>
    <row r="3430" spans="8:9" x14ac:dyDescent="0.25">
      <c r="H3430" s="116"/>
      <c r="I3430" s="116"/>
    </row>
    <row r="3431" spans="8:9" x14ac:dyDescent="0.25">
      <c r="H3431" s="116"/>
      <c r="I3431" s="116"/>
    </row>
    <row r="3432" spans="8:9" x14ac:dyDescent="0.25">
      <c r="H3432" s="116"/>
      <c r="I3432" s="116"/>
    </row>
    <row r="3433" spans="8:9" x14ac:dyDescent="0.25">
      <c r="H3433" s="116"/>
      <c r="I3433" s="116"/>
    </row>
    <row r="3434" spans="8:9" x14ac:dyDescent="0.25">
      <c r="H3434" s="116"/>
      <c r="I3434" s="116"/>
    </row>
    <row r="3435" spans="8:9" x14ac:dyDescent="0.25">
      <c r="H3435" s="116"/>
      <c r="I3435" s="116"/>
    </row>
    <row r="3436" spans="8:9" x14ac:dyDescent="0.25">
      <c r="H3436" s="116"/>
      <c r="I3436" s="116"/>
    </row>
    <row r="3437" spans="8:9" x14ac:dyDescent="0.25">
      <c r="H3437" s="116"/>
      <c r="I3437" s="116"/>
    </row>
    <row r="3438" spans="8:9" x14ac:dyDescent="0.25">
      <c r="H3438" s="116"/>
      <c r="I3438" s="116"/>
    </row>
    <row r="3439" spans="8:9" x14ac:dyDescent="0.25">
      <c r="H3439" s="116"/>
      <c r="I3439" s="116"/>
    </row>
    <row r="3440" spans="8:9" x14ac:dyDescent="0.25">
      <c r="H3440" s="116"/>
      <c r="I3440" s="116"/>
    </row>
    <row r="3441" spans="8:9" x14ac:dyDescent="0.25">
      <c r="H3441" s="116"/>
      <c r="I3441" s="116"/>
    </row>
    <row r="3442" spans="8:9" x14ac:dyDescent="0.25">
      <c r="H3442" s="116"/>
      <c r="I3442" s="116"/>
    </row>
    <row r="3443" spans="8:9" x14ac:dyDescent="0.25">
      <c r="H3443" s="116"/>
      <c r="I3443" s="116"/>
    </row>
    <row r="3444" spans="8:9" x14ac:dyDescent="0.25">
      <c r="H3444" s="116"/>
      <c r="I3444" s="116"/>
    </row>
    <row r="3445" spans="8:9" x14ac:dyDescent="0.25">
      <c r="H3445" s="116"/>
      <c r="I3445" s="116"/>
    </row>
    <row r="3446" spans="8:9" x14ac:dyDescent="0.25">
      <c r="H3446" s="116"/>
      <c r="I3446" s="116"/>
    </row>
    <row r="3447" spans="8:9" x14ac:dyDescent="0.25">
      <c r="H3447" s="116"/>
      <c r="I3447" s="116"/>
    </row>
    <row r="3448" spans="8:9" x14ac:dyDescent="0.25">
      <c r="H3448" s="116"/>
      <c r="I3448" s="116"/>
    </row>
    <row r="3449" spans="8:9" x14ac:dyDescent="0.25">
      <c r="H3449" s="116"/>
      <c r="I3449" s="116"/>
    </row>
    <row r="3450" spans="8:9" x14ac:dyDescent="0.25">
      <c r="H3450" s="116"/>
      <c r="I3450" s="116"/>
    </row>
    <row r="3451" spans="8:9" x14ac:dyDescent="0.25">
      <c r="H3451" s="116"/>
      <c r="I3451" s="116"/>
    </row>
    <row r="3452" spans="8:9" x14ac:dyDescent="0.25">
      <c r="H3452" s="116"/>
      <c r="I3452" s="116"/>
    </row>
    <row r="3453" spans="8:9" x14ac:dyDescent="0.25">
      <c r="H3453" s="116"/>
      <c r="I3453" s="116"/>
    </row>
    <row r="3454" spans="8:9" x14ac:dyDescent="0.25">
      <c r="H3454" s="116"/>
      <c r="I3454" s="116"/>
    </row>
    <row r="3455" spans="8:9" x14ac:dyDescent="0.25">
      <c r="H3455" s="116"/>
      <c r="I3455" s="116"/>
    </row>
    <row r="3456" spans="8:9" x14ac:dyDescent="0.25">
      <c r="H3456" s="116"/>
      <c r="I3456" s="116"/>
    </row>
    <row r="3457" spans="8:9" x14ac:dyDescent="0.25">
      <c r="H3457" s="116"/>
      <c r="I3457" s="116"/>
    </row>
    <row r="3458" spans="8:9" x14ac:dyDescent="0.25">
      <c r="H3458" s="116"/>
      <c r="I3458" s="116"/>
    </row>
    <row r="3459" spans="8:9" x14ac:dyDescent="0.25">
      <c r="H3459" s="116"/>
      <c r="I3459" s="116"/>
    </row>
    <row r="3460" spans="8:9" x14ac:dyDescent="0.25">
      <c r="H3460" s="116"/>
      <c r="I3460" s="116"/>
    </row>
    <row r="3461" spans="8:9" x14ac:dyDescent="0.25">
      <c r="H3461" s="116"/>
      <c r="I3461" s="116"/>
    </row>
    <row r="3462" spans="8:9" x14ac:dyDescent="0.25">
      <c r="H3462" s="116"/>
      <c r="I3462" s="116"/>
    </row>
    <row r="3463" spans="8:9" x14ac:dyDescent="0.25">
      <c r="H3463" s="116"/>
      <c r="I3463" s="116"/>
    </row>
    <row r="3464" spans="8:9" x14ac:dyDescent="0.25">
      <c r="H3464" s="116"/>
      <c r="I3464" s="116"/>
    </row>
    <row r="3465" spans="8:9" x14ac:dyDescent="0.25">
      <c r="H3465" s="116"/>
      <c r="I3465" s="116"/>
    </row>
    <row r="3466" spans="8:9" x14ac:dyDescent="0.25">
      <c r="H3466" s="116"/>
      <c r="I3466" s="116"/>
    </row>
    <row r="3467" spans="8:9" x14ac:dyDescent="0.25">
      <c r="H3467" s="116"/>
      <c r="I3467" s="116"/>
    </row>
    <row r="3468" spans="8:9" x14ac:dyDescent="0.25">
      <c r="H3468" s="116"/>
      <c r="I3468" s="116"/>
    </row>
    <row r="3469" spans="8:9" x14ac:dyDescent="0.25">
      <c r="H3469" s="116"/>
      <c r="I3469" s="116"/>
    </row>
    <row r="3470" spans="8:9" x14ac:dyDescent="0.25">
      <c r="H3470" s="116"/>
      <c r="I3470" s="116"/>
    </row>
    <row r="3471" spans="8:9" x14ac:dyDescent="0.25">
      <c r="H3471" s="116"/>
      <c r="I3471" s="116"/>
    </row>
    <row r="3472" spans="8:9" x14ac:dyDescent="0.25">
      <c r="H3472" s="116"/>
      <c r="I3472" s="116"/>
    </row>
    <row r="3473" spans="8:9" x14ac:dyDescent="0.25">
      <c r="H3473" s="116"/>
      <c r="I3473" s="116"/>
    </row>
    <row r="3474" spans="8:9" x14ac:dyDescent="0.25">
      <c r="H3474" s="116"/>
      <c r="I3474" s="116"/>
    </row>
    <row r="3475" spans="8:9" x14ac:dyDescent="0.25">
      <c r="H3475" s="116"/>
      <c r="I3475" s="116"/>
    </row>
    <row r="3476" spans="8:9" x14ac:dyDescent="0.25">
      <c r="H3476" s="116"/>
      <c r="I3476" s="116"/>
    </row>
    <row r="3477" spans="8:9" x14ac:dyDescent="0.25">
      <c r="H3477" s="116"/>
      <c r="I3477" s="116"/>
    </row>
    <row r="3478" spans="8:9" x14ac:dyDescent="0.25">
      <c r="H3478" s="116"/>
      <c r="I3478" s="116"/>
    </row>
    <row r="3479" spans="8:9" x14ac:dyDescent="0.25">
      <c r="H3479" s="116"/>
      <c r="I3479" s="116"/>
    </row>
    <row r="3480" spans="8:9" x14ac:dyDescent="0.25">
      <c r="H3480" s="116"/>
      <c r="I3480" s="116"/>
    </row>
    <row r="3481" spans="8:9" x14ac:dyDescent="0.25">
      <c r="H3481" s="116"/>
      <c r="I3481" s="116"/>
    </row>
    <row r="3482" spans="8:9" x14ac:dyDescent="0.25">
      <c r="H3482" s="116"/>
      <c r="I3482" s="116"/>
    </row>
    <row r="3483" spans="8:9" x14ac:dyDescent="0.25">
      <c r="H3483" s="116"/>
      <c r="I3483" s="116"/>
    </row>
    <row r="3484" spans="8:9" x14ac:dyDescent="0.25">
      <c r="H3484" s="116"/>
      <c r="I3484" s="116"/>
    </row>
    <row r="3485" spans="8:9" x14ac:dyDescent="0.25">
      <c r="H3485" s="116"/>
      <c r="I3485" s="116"/>
    </row>
    <row r="3486" spans="8:9" x14ac:dyDescent="0.25">
      <c r="H3486" s="116"/>
      <c r="I3486" s="116"/>
    </row>
    <row r="3487" spans="8:9" x14ac:dyDescent="0.25">
      <c r="H3487" s="116"/>
      <c r="I3487" s="116"/>
    </row>
    <row r="3488" spans="8:9" x14ac:dyDescent="0.25">
      <c r="H3488" s="116"/>
      <c r="I3488" s="116"/>
    </row>
    <row r="3489" spans="8:9" x14ac:dyDescent="0.25">
      <c r="H3489" s="116"/>
      <c r="I3489" s="116"/>
    </row>
    <row r="3490" spans="8:9" x14ac:dyDescent="0.25">
      <c r="H3490" s="116"/>
      <c r="I3490" s="116"/>
    </row>
    <row r="3491" spans="8:9" x14ac:dyDescent="0.25">
      <c r="H3491" s="116"/>
      <c r="I3491" s="116"/>
    </row>
    <row r="3492" spans="8:9" x14ac:dyDescent="0.25">
      <c r="H3492" s="116"/>
      <c r="I3492" s="116"/>
    </row>
    <row r="3493" spans="8:9" x14ac:dyDescent="0.25">
      <c r="H3493" s="116"/>
      <c r="I3493" s="116"/>
    </row>
    <row r="3494" spans="8:9" x14ac:dyDescent="0.25">
      <c r="H3494" s="116"/>
      <c r="I3494" s="116"/>
    </row>
    <row r="3495" spans="8:9" x14ac:dyDescent="0.25">
      <c r="H3495" s="116"/>
      <c r="I3495" s="116"/>
    </row>
    <row r="3496" spans="8:9" x14ac:dyDescent="0.25">
      <c r="H3496" s="116"/>
      <c r="I3496" s="116"/>
    </row>
    <row r="3497" spans="8:9" x14ac:dyDescent="0.25">
      <c r="H3497" s="116"/>
      <c r="I3497" s="116"/>
    </row>
    <row r="3498" spans="8:9" x14ac:dyDescent="0.25">
      <c r="H3498" s="116"/>
      <c r="I3498" s="116"/>
    </row>
    <row r="3499" spans="8:9" x14ac:dyDescent="0.25">
      <c r="H3499" s="116"/>
      <c r="I3499" s="116"/>
    </row>
    <row r="3500" spans="8:9" x14ac:dyDescent="0.25">
      <c r="H3500" s="116"/>
      <c r="I3500" s="116"/>
    </row>
    <row r="3501" spans="8:9" x14ac:dyDescent="0.25">
      <c r="H3501" s="116"/>
      <c r="I3501" s="116"/>
    </row>
    <row r="3502" spans="8:9" x14ac:dyDescent="0.25">
      <c r="H3502" s="116"/>
      <c r="I3502" s="116"/>
    </row>
    <row r="3503" spans="8:9" x14ac:dyDescent="0.25">
      <c r="H3503" s="116"/>
      <c r="I3503" s="116"/>
    </row>
    <row r="3504" spans="8:9" x14ac:dyDescent="0.25">
      <c r="H3504" s="116"/>
      <c r="I3504" s="116"/>
    </row>
    <row r="3505" spans="8:9" x14ac:dyDescent="0.25">
      <c r="H3505" s="116"/>
      <c r="I3505" s="116"/>
    </row>
    <row r="3506" spans="8:9" x14ac:dyDescent="0.25">
      <c r="H3506" s="116"/>
      <c r="I3506" s="116"/>
    </row>
    <row r="3507" spans="8:9" x14ac:dyDescent="0.25">
      <c r="H3507" s="116"/>
      <c r="I3507" s="116"/>
    </row>
    <row r="3508" spans="8:9" x14ac:dyDescent="0.25">
      <c r="H3508" s="116"/>
      <c r="I3508" s="116"/>
    </row>
    <row r="3509" spans="8:9" x14ac:dyDescent="0.25">
      <c r="H3509" s="116"/>
      <c r="I3509" s="116"/>
    </row>
    <row r="3510" spans="8:9" x14ac:dyDescent="0.25">
      <c r="H3510" s="116"/>
      <c r="I3510" s="116"/>
    </row>
    <row r="3511" spans="8:9" x14ac:dyDescent="0.25">
      <c r="H3511" s="116"/>
      <c r="I3511" s="116"/>
    </row>
    <row r="3512" spans="8:9" x14ac:dyDescent="0.25">
      <c r="H3512" s="116"/>
      <c r="I3512" s="116"/>
    </row>
    <row r="3513" spans="8:9" x14ac:dyDescent="0.25">
      <c r="H3513" s="116"/>
      <c r="I3513" s="116"/>
    </row>
    <row r="3514" spans="8:9" x14ac:dyDescent="0.25">
      <c r="H3514" s="116"/>
      <c r="I3514" s="116"/>
    </row>
    <row r="3515" spans="8:9" x14ac:dyDescent="0.25">
      <c r="H3515" s="116"/>
      <c r="I3515" s="116"/>
    </row>
    <row r="3516" spans="8:9" x14ac:dyDescent="0.25">
      <c r="H3516" s="116"/>
      <c r="I3516" s="116"/>
    </row>
    <row r="3517" spans="8:9" x14ac:dyDescent="0.25">
      <c r="H3517" s="116"/>
      <c r="I3517" s="116"/>
    </row>
    <row r="3518" spans="8:9" x14ac:dyDescent="0.25">
      <c r="H3518" s="116"/>
      <c r="I3518" s="116"/>
    </row>
    <row r="3519" spans="8:9" x14ac:dyDescent="0.25">
      <c r="H3519" s="116"/>
      <c r="I3519" s="116"/>
    </row>
    <row r="3520" spans="8:9" x14ac:dyDescent="0.25">
      <c r="H3520" s="116"/>
      <c r="I3520" s="116"/>
    </row>
    <row r="3521" spans="8:9" x14ac:dyDescent="0.25">
      <c r="H3521" s="116"/>
      <c r="I3521" s="116"/>
    </row>
    <row r="3522" spans="8:9" x14ac:dyDescent="0.25">
      <c r="H3522" s="116"/>
      <c r="I3522" s="116"/>
    </row>
    <row r="3523" spans="8:9" x14ac:dyDescent="0.25">
      <c r="H3523" s="116"/>
      <c r="I3523" s="116"/>
    </row>
    <row r="3524" spans="8:9" x14ac:dyDescent="0.25">
      <c r="H3524" s="116"/>
      <c r="I3524" s="116"/>
    </row>
    <row r="3525" spans="8:9" x14ac:dyDescent="0.25">
      <c r="H3525" s="116"/>
      <c r="I3525" s="116"/>
    </row>
    <row r="3526" spans="8:9" x14ac:dyDescent="0.25">
      <c r="H3526" s="116"/>
      <c r="I3526" s="116"/>
    </row>
    <row r="3527" spans="8:9" x14ac:dyDescent="0.25">
      <c r="H3527" s="116"/>
      <c r="I3527" s="116"/>
    </row>
    <row r="3528" spans="8:9" x14ac:dyDescent="0.25">
      <c r="H3528" s="116"/>
      <c r="I3528" s="116"/>
    </row>
    <row r="3529" spans="8:9" x14ac:dyDescent="0.25">
      <c r="H3529" s="116"/>
      <c r="I3529" s="116"/>
    </row>
    <row r="3530" spans="8:9" x14ac:dyDescent="0.25">
      <c r="H3530" s="116"/>
      <c r="I3530" s="116"/>
    </row>
    <row r="3531" spans="8:9" x14ac:dyDescent="0.25">
      <c r="H3531" s="116"/>
      <c r="I3531" s="116"/>
    </row>
    <row r="3532" spans="8:9" x14ac:dyDescent="0.25">
      <c r="H3532" s="116"/>
      <c r="I3532" s="116"/>
    </row>
    <row r="3533" spans="8:9" x14ac:dyDescent="0.25">
      <c r="H3533" s="116"/>
      <c r="I3533" s="116"/>
    </row>
    <row r="3534" spans="8:9" x14ac:dyDescent="0.25">
      <c r="H3534" s="116"/>
      <c r="I3534" s="116"/>
    </row>
    <row r="3535" spans="8:9" x14ac:dyDescent="0.25">
      <c r="H3535" s="116"/>
      <c r="I3535" s="116"/>
    </row>
    <row r="3536" spans="8:9" x14ac:dyDescent="0.25">
      <c r="H3536" s="116"/>
      <c r="I3536" s="116"/>
    </row>
    <row r="3537" spans="8:9" x14ac:dyDescent="0.25">
      <c r="H3537" s="116"/>
      <c r="I3537" s="116"/>
    </row>
    <row r="3538" spans="8:9" x14ac:dyDescent="0.25">
      <c r="H3538" s="116"/>
      <c r="I3538" s="116"/>
    </row>
    <row r="3539" spans="8:9" x14ac:dyDescent="0.25">
      <c r="H3539" s="116"/>
      <c r="I3539" s="116"/>
    </row>
    <row r="3540" spans="8:9" x14ac:dyDescent="0.25">
      <c r="H3540" s="116"/>
      <c r="I3540" s="116"/>
    </row>
    <row r="3541" spans="8:9" x14ac:dyDescent="0.25">
      <c r="H3541" s="116"/>
      <c r="I3541" s="116"/>
    </row>
    <row r="3542" spans="8:9" x14ac:dyDescent="0.25">
      <c r="H3542" s="116"/>
      <c r="I3542" s="116"/>
    </row>
    <row r="3543" spans="8:9" x14ac:dyDescent="0.25">
      <c r="H3543" s="116"/>
      <c r="I3543" s="116"/>
    </row>
    <row r="3544" spans="8:9" x14ac:dyDescent="0.25">
      <c r="H3544" s="116"/>
      <c r="I3544" s="116"/>
    </row>
    <row r="3545" spans="8:9" x14ac:dyDescent="0.25">
      <c r="H3545" s="116"/>
      <c r="I3545" s="116"/>
    </row>
    <row r="3546" spans="8:9" x14ac:dyDescent="0.25">
      <c r="H3546" s="116"/>
      <c r="I3546" s="116"/>
    </row>
    <row r="3547" spans="8:9" x14ac:dyDescent="0.25">
      <c r="H3547" s="116"/>
      <c r="I3547" s="116"/>
    </row>
    <row r="3548" spans="8:9" x14ac:dyDescent="0.25">
      <c r="H3548" s="116"/>
      <c r="I3548" s="116"/>
    </row>
    <row r="3549" spans="8:9" x14ac:dyDescent="0.25">
      <c r="H3549" s="116"/>
      <c r="I3549" s="116"/>
    </row>
    <row r="3550" spans="8:9" x14ac:dyDescent="0.25">
      <c r="H3550" s="116"/>
      <c r="I3550" s="116"/>
    </row>
    <row r="3551" spans="8:9" x14ac:dyDescent="0.25">
      <c r="H3551" s="116"/>
      <c r="I3551" s="116"/>
    </row>
    <row r="3552" spans="8:9" x14ac:dyDescent="0.25">
      <c r="H3552" s="116"/>
      <c r="I3552" s="116"/>
    </row>
    <row r="3553" spans="8:9" x14ac:dyDescent="0.25">
      <c r="H3553" s="116"/>
      <c r="I3553" s="116"/>
    </row>
    <row r="3554" spans="8:9" x14ac:dyDescent="0.25">
      <c r="H3554" s="116"/>
      <c r="I3554" s="116"/>
    </row>
    <row r="3555" spans="8:9" x14ac:dyDescent="0.25">
      <c r="H3555" s="116"/>
      <c r="I3555" s="116"/>
    </row>
    <row r="3556" spans="8:9" x14ac:dyDescent="0.25">
      <c r="H3556" s="116"/>
      <c r="I3556" s="116"/>
    </row>
    <row r="3557" spans="8:9" x14ac:dyDescent="0.25">
      <c r="H3557" s="116"/>
      <c r="I3557" s="116"/>
    </row>
    <row r="3558" spans="8:9" x14ac:dyDescent="0.25">
      <c r="H3558" s="116"/>
      <c r="I3558" s="116"/>
    </row>
    <row r="3559" spans="8:9" x14ac:dyDescent="0.25">
      <c r="H3559" s="116"/>
      <c r="I3559" s="116"/>
    </row>
    <row r="3560" spans="8:9" x14ac:dyDescent="0.25">
      <c r="H3560" s="116"/>
      <c r="I3560" s="116"/>
    </row>
    <row r="3561" spans="8:9" x14ac:dyDescent="0.25">
      <c r="H3561" s="116"/>
      <c r="I3561" s="116"/>
    </row>
    <row r="3562" spans="8:9" x14ac:dyDescent="0.25">
      <c r="H3562" s="116"/>
      <c r="I3562" s="116"/>
    </row>
    <row r="3563" spans="8:9" x14ac:dyDescent="0.25">
      <c r="H3563" s="116"/>
      <c r="I3563" s="116"/>
    </row>
    <row r="3564" spans="8:9" x14ac:dyDescent="0.25">
      <c r="H3564" s="116"/>
      <c r="I3564" s="116"/>
    </row>
    <row r="3565" spans="8:9" x14ac:dyDescent="0.25">
      <c r="H3565" s="116"/>
      <c r="I3565" s="116"/>
    </row>
    <row r="3566" spans="8:9" x14ac:dyDescent="0.25">
      <c r="H3566" s="116"/>
      <c r="I3566" s="116"/>
    </row>
    <row r="3567" spans="8:9" x14ac:dyDescent="0.25">
      <c r="H3567" s="116"/>
      <c r="I3567" s="116"/>
    </row>
    <row r="3568" spans="8:9" x14ac:dyDescent="0.25">
      <c r="H3568" s="116"/>
      <c r="I3568" s="116"/>
    </row>
    <row r="3569" spans="8:9" x14ac:dyDescent="0.25">
      <c r="H3569" s="116"/>
      <c r="I3569" s="116"/>
    </row>
    <row r="3570" spans="8:9" x14ac:dyDescent="0.25">
      <c r="H3570" s="116"/>
      <c r="I3570" s="116"/>
    </row>
    <row r="3571" spans="8:9" x14ac:dyDescent="0.25">
      <c r="H3571" s="116"/>
      <c r="I3571" s="116"/>
    </row>
    <row r="3572" spans="8:9" x14ac:dyDescent="0.25">
      <c r="H3572" s="116"/>
      <c r="I3572" s="116"/>
    </row>
    <row r="3573" spans="8:9" x14ac:dyDescent="0.25">
      <c r="H3573" s="116"/>
      <c r="I3573" s="116"/>
    </row>
    <row r="3574" spans="8:9" x14ac:dyDescent="0.25">
      <c r="H3574" s="116"/>
      <c r="I3574" s="116"/>
    </row>
    <row r="3575" spans="8:9" x14ac:dyDescent="0.25">
      <c r="H3575" s="116"/>
      <c r="I3575" s="116"/>
    </row>
    <row r="3576" spans="8:9" x14ac:dyDescent="0.25">
      <c r="H3576" s="116"/>
      <c r="I3576" s="116"/>
    </row>
    <row r="3577" spans="8:9" x14ac:dyDescent="0.25">
      <c r="H3577" s="116"/>
      <c r="I3577" s="116"/>
    </row>
    <row r="3578" spans="8:9" x14ac:dyDescent="0.25">
      <c r="H3578" s="116"/>
      <c r="I3578" s="116"/>
    </row>
    <row r="3579" spans="8:9" x14ac:dyDescent="0.25">
      <c r="H3579" s="116"/>
      <c r="I3579" s="116"/>
    </row>
    <row r="3580" spans="8:9" x14ac:dyDescent="0.25">
      <c r="H3580" s="116"/>
      <c r="I3580" s="116"/>
    </row>
    <row r="3581" spans="8:9" x14ac:dyDescent="0.25">
      <c r="H3581" s="116"/>
      <c r="I3581" s="116"/>
    </row>
    <row r="3582" spans="8:9" x14ac:dyDescent="0.25">
      <c r="H3582" s="116"/>
      <c r="I3582" s="116"/>
    </row>
    <row r="3583" spans="8:9" x14ac:dyDescent="0.25">
      <c r="H3583" s="116"/>
      <c r="I3583" s="116"/>
    </row>
    <row r="3584" spans="8:9" x14ac:dyDescent="0.25">
      <c r="H3584" s="116"/>
      <c r="I3584" s="116"/>
    </row>
    <row r="3585" spans="8:9" x14ac:dyDescent="0.25">
      <c r="H3585" s="116"/>
      <c r="I3585" s="116"/>
    </row>
    <row r="3586" spans="8:9" x14ac:dyDescent="0.25">
      <c r="H3586" s="116"/>
      <c r="I3586" s="116"/>
    </row>
    <row r="3587" spans="8:9" x14ac:dyDescent="0.25">
      <c r="H3587" s="116"/>
      <c r="I3587" s="116"/>
    </row>
    <row r="3588" spans="8:9" x14ac:dyDescent="0.25">
      <c r="H3588" s="116"/>
      <c r="I3588" s="116"/>
    </row>
    <row r="3589" spans="8:9" x14ac:dyDescent="0.25">
      <c r="H3589" s="116"/>
      <c r="I3589" s="116"/>
    </row>
    <row r="3590" spans="8:9" x14ac:dyDescent="0.25">
      <c r="H3590" s="116"/>
      <c r="I3590" s="116"/>
    </row>
    <row r="3591" spans="8:9" x14ac:dyDescent="0.25">
      <c r="H3591" s="116"/>
      <c r="I3591" s="116"/>
    </row>
    <row r="3592" spans="8:9" x14ac:dyDescent="0.25">
      <c r="H3592" s="116"/>
      <c r="I3592" s="116"/>
    </row>
    <row r="3593" spans="8:9" x14ac:dyDescent="0.25">
      <c r="H3593" s="116"/>
      <c r="I3593" s="116"/>
    </row>
    <row r="3594" spans="8:9" x14ac:dyDescent="0.25">
      <c r="H3594" s="116"/>
      <c r="I3594" s="116"/>
    </row>
    <row r="3595" spans="8:9" x14ac:dyDescent="0.25">
      <c r="H3595" s="116"/>
      <c r="I3595" s="116"/>
    </row>
    <row r="3596" spans="8:9" x14ac:dyDescent="0.25">
      <c r="H3596" s="116"/>
      <c r="I3596" s="116"/>
    </row>
    <row r="3597" spans="8:9" x14ac:dyDescent="0.25">
      <c r="H3597" s="116"/>
      <c r="I3597" s="116"/>
    </row>
    <row r="3598" spans="8:9" x14ac:dyDescent="0.25">
      <c r="H3598" s="116"/>
      <c r="I3598" s="116"/>
    </row>
    <row r="3599" spans="8:9" x14ac:dyDescent="0.25">
      <c r="H3599" s="116"/>
      <c r="I3599" s="116"/>
    </row>
    <row r="3600" spans="8:9" x14ac:dyDescent="0.25">
      <c r="H3600" s="116"/>
      <c r="I3600" s="116"/>
    </row>
    <row r="3601" spans="8:9" x14ac:dyDescent="0.25">
      <c r="H3601" s="116"/>
      <c r="I3601" s="116"/>
    </row>
    <row r="3602" spans="8:9" x14ac:dyDescent="0.25">
      <c r="H3602" s="116"/>
      <c r="I3602" s="116"/>
    </row>
    <row r="3603" spans="8:9" x14ac:dyDescent="0.25">
      <c r="H3603" s="116"/>
      <c r="I3603" s="116"/>
    </row>
    <row r="3604" spans="8:9" x14ac:dyDescent="0.25">
      <c r="H3604" s="116"/>
      <c r="I3604" s="116"/>
    </row>
    <row r="3605" spans="8:9" x14ac:dyDescent="0.25">
      <c r="H3605" s="116"/>
      <c r="I3605" s="116"/>
    </row>
    <row r="3606" spans="8:9" x14ac:dyDescent="0.25">
      <c r="H3606" s="116"/>
      <c r="I3606" s="116"/>
    </row>
    <row r="3607" spans="8:9" x14ac:dyDescent="0.25">
      <c r="H3607" s="116"/>
      <c r="I3607" s="116"/>
    </row>
    <row r="3608" spans="8:9" x14ac:dyDescent="0.25">
      <c r="H3608" s="116"/>
      <c r="I3608" s="116"/>
    </row>
    <row r="3609" spans="8:9" x14ac:dyDescent="0.25">
      <c r="H3609" s="116"/>
      <c r="I3609" s="116"/>
    </row>
    <row r="3610" spans="8:9" x14ac:dyDescent="0.25">
      <c r="H3610" s="116"/>
      <c r="I3610" s="116"/>
    </row>
    <row r="3611" spans="8:9" x14ac:dyDescent="0.25">
      <c r="H3611" s="116"/>
      <c r="I3611" s="116"/>
    </row>
    <row r="3612" spans="8:9" x14ac:dyDescent="0.25">
      <c r="H3612" s="116"/>
      <c r="I3612" s="116"/>
    </row>
    <row r="3613" spans="8:9" x14ac:dyDescent="0.25">
      <c r="H3613" s="116"/>
      <c r="I3613" s="116"/>
    </row>
    <row r="3614" spans="8:9" x14ac:dyDescent="0.25">
      <c r="H3614" s="116"/>
      <c r="I3614" s="116"/>
    </row>
    <row r="3615" spans="8:9" x14ac:dyDescent="0.25">
      <c r="H3615" s="116"/>
      <c r="I3615" s="116"/>
    </row>
    <row r="3616" spans="8:9" x14ac:dyDescent="0.25">
      <c r="H3616" s="116"/>
      <c r="I3616" s="116"/>
    </row>
    <row r="3617" spans="8:9" x14ac:dyDescent="0.25">
      <c r="H3617" s="116"/>
      <c r="I3617" s="116"/>
    </row>
    <row r="3618" spans="8:9" x14ac:dyDescent="0.25">
      <c r="H3618" s="116"/>
      <c r="I3618" s="116"/>
    </row>
    <row r="3619" spans="8:9" x14ac:dyDescent="0.25">
      <c r="H3619" s="116"/>
      <c r="I3619" s="116"/>
    </row>
    <row r="3620" spans="8:9" x14ac:dyDescent="0.25">
      <c r="H3620" s="116"/>
      <c r="I3620" s="116"/>
    </row>
    <row r="3621" spans="8:9" x14ac:dyDescent="0.25">
      <c r="H3621" s="116"/>
      <c r="I3621" s="116"/>
    </row>
    <row r="3622" spans="8:9" x14ac:dyDescent="0.25">
      <c r="H3622" s="116"/>
      <c r="I3622" s="116"/>
    </row>
    <row r="3623" spans="8:9" x14ac:dyDescent="0.25">
      <c r="H3623" s="116"/>
      <c r="I3623" s="116"/>
    </row>
    <row r="3624" spans="8:9" x14ac:dyDescent="0.25">
      <c r="H3624" s="116"/>
      <c r="I3624" s="116"/>
    </row>
    <row r="3625" spans="8:9" x14ac:dyDescent="0.25">
      <c r="H3625" s="116"/>
      <c r="I3625" s="116"/>
    </row>
    <row r="3626" spans="8:9" x14ac:dyDescent="0.25">
      <c r="H3626" s="116"/>
      <c r="I3626" s="116"/>
    </row>
    <row r="3627" spans="8:9" x14ac:dyDescent="0.25">
      <c r="H3627" s="116"/>
      <c r="I3627" s="116"/>
    </row>
    <row r="3628" spans="8:9" x14ac:dyDescent="0.25">
      <c r="H3628" s="116"/>
      <c r="I3628" s="116"/>
    </row>
    <row r="3629" spans="8:9" x14ac:dyDescent="0.25">
      <c r="H3629" s="116"/>
      <c r="I3629" s="116"/>
    </row>
    <row r="3630" spans="8:9" x14ac:dyDescent="0.25">
      <c r="H3630" s="116"/>
      <c r="I3630" s="116"/>
    </row>
    <row r="3631" spans="8:9" x14ac:dyDescent="0.25">
      <c r="H3631" s="116"/>
      <c r="I3631" s="116"/>
    </row>
    <row r="3632" spans="8:9" x14ac:dyDescent="0.25">
      <c r="H3632" s="116"/>
      <c r="I3632" s="116"/>
    </row>
    <row r="3633" spans="8:9" x14ac:dyDescent="0.25">
      <c r="H3633" s="116"/>
      <c r="I3633" s="116"/>
    </row>
    <row r="3634" spans="8:9" x14ac:dyDescent="0.25">
      <c r="H3634" s="116"/>
      <c r="I3634" s="116"/>
    </row>
    <row r="3635" spans="8:9" x14ac:dyDescent="0.25">
      <c r="H3635" s="116"/>
      <c r="I3635" s="116"/>
    </row>
    <row r="3636" spans="8:9" x14ac:dyDescent="0.25">
      <c r="H3636" s="116"/>
      <c r="I3636" s="116"/>
    </row>
    <row r="3637" spans="8:9" x14ac:dyDescent="0.25">
      <c r="H3637" s="116"/>
      <c r="I3637" s="116"/>
    </row>
    <row r="3638" spans="8:9" x14ac:dyDescent="0.25">
      <c r="H3638" s="116"/>
      <c r="I3638" s="116"/>
    </row>
    <row r="3639" spans="8:9" x14ac:dyDescent="0.25">
      <c r="H3639" s="116"/>
      <c r="I3639" s="116"/>
    </row>
    <row r="3640" spans="8:9" x14ac:dyDescent="0.25">
      <c r="H3640" s="116"/>
      <c r="I3640" s="116"/>
    </row>
    <row r="3641" spans="8:9" x14ac:dyDescent="0.25">
      <c r="H3641" s="116"/>
      <c r="I3641" s="116"/>
    </row>
    <row r="3642" spans="8:9" x14ac:dyDescent="0.25">
      <c r="H3642" s="116"/>
      <c r="I3642" s="116"/>
    </row>
    <row r="3643" spans="8:9" x14ac:dyDescent="0.25">
      <c r="H3643" s="116"/>
      <c r="I3643" s="116"/>
    </row>
    <row r="3644" spans="8:9" x14ac:dyDescent="0.25">
      <c r="H3644" s="116"/>
      <c r="I3644" s="116"/>
    </row>
    <row r="3645" spans="8:9" x14ac:dyDescent="0.25">
      <c r="H3645" s="116"/>
      <c r="I3645" s="116"/>
    </row>
    <row r="3646" spans="8:9" x14ac:dyDescent="0.25">
      <c r="H3646" s="116"/>
      <c r="I3646" s="116"/>
    </row>
    <row r="3647" spans="8:9" x14ac:dyDescent="0.25">
      <c r="H3647" s="116"/>
      <c r="I3647" s="116"/>
    </row>
    <row r="3648" spans="8:9" x14ac:dyDescent="0.25">
      <c r="H3648" s="116"/>
      <c r="I3648" s="116"/>
    </row>
    <row r="3649" spans="8:9" x14ac:dyDescent="0.25">
      <c r="H3649" s="116"/>
      <c r="I3649" s="116"/>
    </row>
    <row r="3650" spans="8:9" x14ac:dyDescent="0.25">
      <c r="H3650" s="116"/>
      <c r="I3650" s="116"/>
    </row>
    <row r="3651" spans="8:9" x14ac:dyDescent="0.25">
      <c r="H3651" s="116"/>
      <c r="I3651" s="116"/>
    </row>
    <row r="3652" spans="8:9" x14ac:dyDescent="0.25">
      <c r="H3652" s="116"/>
      <c r="I3652" s="116"/>
    </row>
    <row r="3653" spans="8:9" x14ac:dyDescent="0.25">
      <c r="H3653" s="116"/>
      <c r="I3653" s="116"/>
    </row>
    <row r="3654" spans="8:9" x14ac:dyDescent="0.25">
      <c r="H3654" s="116"/>
      <c r="I3654" s="116"/>
    </row>
    <row r="3655" spans="8:9" x14ac:dyDescent="0.25">
      <c r="H3655" s="116"/>
      <c r="I3655" s="116"/>
    </row>
    <row r="3656" spans="8:9" x14ac:dyDescent="0.25">
      <c r="H3656" s="116"/>
      <c r="I3656" s="116"/>
    </row>
    <row r="3657" spans="8:9" x14ac:dyDescent="0.25">
      <c r="H3657" s="116"/>
      <c r="I3657" s="116"/>
    </row>
    <row r="3658" spans="8:9" x14ac:dyDescent="0.25">
      <c r="H3658" s="116"/>
      <c r="I3658" s="116"/>
    </row>
    <row r="3659" spans="8:9" x14ac:dyDescent="0.25">
      <c r="H3659" s="116"/>
      <c r="I3659" s="116"/>
    </row>
    <row r="3660" spans="8:9" x14ac:dyDescent="0.25">
      <c r="H3660" s="116"/>
      <c r="I3660" s="116"/>
    </row>
    <row r="3661" spans="8:9" x14ac:dyDescent="0.25">
      <c r="H3661" s="116"/>
      <c r="I3661" s="116"/>
    </row>
    <row r="3662" spans="8:9" x14ac:dyDescent="0.25">
      <c r="H3662" s="116"/>
      <c r="I3662" s="116"/>
    </row>
    <row r="3663" spans="8:9" x14ac:dyDescent="0.25">
      <c r="H3663" s="116"/>
      <c r="I3663" s="116"/>
    </row>
    <row r="3664" spans="8:9" x14ac:dyDescent="0.25">
      <c r="H3664" s="116"/>
      <c r="I3664" s="116"/>
    </row>
    <row r="3665" spans="8:9" x14ac:dyDescent="0.25">
      <c r="H3665" s="116"/>
      <c r="I3665" s="116"/>
    </row>
    <row r="3666" spans="8:9" x14ac:dyDescent="0.25">
      <c r="H3666" s="116"/>
      <c r="I3666" s="116"/>
    </row>
    <row r="3667" spans="8:9" x14ac:dyDescent="0.25">
      <c r="H3667" s="116"/>
      <c r="I3667" s="116"/>
    </row>
    <row r="3668" spans="8:9" x14ac:dyDescent="0.25">
      <c r="H3668" s="116"/>
      <c r="I3668" s="116"/>
    </row>
    <row r="3669" spans="8:9" x14ac:dyDescent="0.25">
      <c r="H3669" s="116"/>
      <c r="I3669" s="116"/>
    </row>
    <row r="3670" spans="8:9" x14ac:dyDescent="0.25">
      <c r="H3670" s="116"/>
      <c r="I3670" s="116"/>
    </row>
    <row r="3671" spans="8:9" x14ac:dyDescent="0.25">
      <c r="H3671" s="116"/>
      <c r="I3671" s="116"/>
    </row>
    <row r="3672" spans="8:9" x14ac:dyDescent="0.25">
      <c r="H3672" s="116"/>
      <c r="I3672" s="116"/>
    </row>
    <row r="3673" spans="8:9" x14ac:dyDescent="0.25">
      <c r="H3673" s="116"/>
      <c r="I3673" s="116"/>
    </row>
    <row r="3674" spans="8:9" x14ac:dyDescent="0.25">
      <c r="H3674" s="116"/>
      <c r="I3674" s="116"/>
    </row>
    <row r="3675" spans="8:9" x14ac:dyDescent="0.25">
      <c r="H3675" s="116"/>
      <c r="I3675" s="116"/>
    </row>
    <row r="3676" spans="8:9" x14ac:dyDescent="0.25">
      <c r="H3676" s="116"/>
      <c r="I3676" s="116"/>
    </row>
    <row r="3677" spans="8:9" x14ac:dyDescent="0.25">
      <c r="H3677" s="116"/>
      <c r="I3677" s="116"/>
    </row>
    <row r="3678" spans="8:9" x14ac:dyDescent="0.25">
      <c r="H3678" s="116"/>
      <c r="I3678" s="116"/>
    </row>
    <row r="3679" spans="8:9" x14ac:dyDescent="0.25">
      <c r="H3679" s="116"/>
      <c r="I3679" s="116"/>
    </row>
    <row r="3680" spans="8:9" x14ac:dyDescent="0.25">
      <c r="H3680" s="116"/>
      <c r="I3680" s="116"/>
    </row>
    <row r="3681" spans="8:9" x14ac:dyDescent="0.25">
      <c r="H3681" s="116"/>
      <c r="I3681" s="116"/>
    </row>
    <row r="3682" spans="8:9" x14ac:dyDescent="0.25">
      <c r="H3682" s="116"/>
      <c r="I3682" s="116"/>
    </row>
    <row r="3683" spans="8:9" x14ac:dyDescent="0.25">
      <c r="H3683" s="116"/>
      <c r="I3683" s="116"/>
    </row>
    <row r="3684" spans="8:9" x14ac:dyDescent="0.25">
      <c r="H3684" s="116"/>
      <c r="I3684" s="116"/>
    </row>
    <row r="3685" spans="8:9" x14ac:dyDescent="0.25">
      <c r="H3685" s="116"/>
      <c r="I3685" s="116"/>
    </row>
    <row r="3686" spans="8:9" x14ac:dyDescent="0.25">
      <c r="H3686" s="116"/>
      <c r="I3686" s="116"/>
    </row>
    <row r="3687" spans="8:9" x14ac:dyDescent="0.25">
      <c r="H3687" s="116"/>
      <c r="I3687" s="116"/>
    </row>
    <row r="3688" spans="8:9" x14ac:dyDescent="0.25">
      <c r="H3688" s="116"/>
      <c r="I3688" s="116"/>
    </row>
    <row r="3689" spans="8:9" x14ac:dyDescent="0.25">
      <c r="H3689" s="116"/>
      <c r="I3689" s="116"/>
    </row>
    <row r="3690" spans="8:9" x14ac:dyDescent="0.25">
      <c r="H3690" s="116"/>
      <c r="I3690" s="116"/>
    </row>
    <row r="3691" spans="8:9" x14ac:dyDescent="0.25">
      <c r="H3691" s="116"/>
      <c r="I3691" s="116"/>
    </row>
    <row r="3692" spans="8:9" x14ac:dyDescent="0.25">
      <c r="H3692" s="116"/>
      <c r="I3692" s="116"/>
    </row>
    <row r="3693" spans="8:9" x14ac:dyDescent="0.25">
      <c r="H3693" s="116"/>
      <c r="I3693" s="116"/>
    </row>
    <row r="3694" spans="8:9" x14ac:dyDescent="0.25">
      <c r="H3694" s="116"/>
      <c r="I3694" s="116"/>
    </row>
    <row r="3695" spans="8:9" x14ac:dyDescent="0.25">
      <c r="H3695" s="116"/>
      <c r="I3695" s="116"/>
    </row>
    <row r="3696" spans="8:9" x14ac:dyDescent="0.25">
      <c r="H3696" s="116"/>
      <c r="I3696" s="116"/>
    </row>
    <row r="3697" spans="8:9" x14ac:dyDescent="0.25">
      <c r="H3697" s="116"/>
      <c r="I3697" s="116"/>
    </row>
    <row r="3698" spans="8:9" x14ac:dyDescent="0.25">
      <c r="H3698" s="116"/>
      <c r="I3698" s="116"/>
    </row>
    <row r="3699" spans="8:9" x14ac:dyDescent="0.25">
      <c r="H3699" s="116"/>
      <c r="I3699" s="116"/>
    </row>
    <row r="3700" spans="8:9" x14ac:dyDescent="0.25">
      <c r="H3700" s="116"/>
      <c r="I3700" s="116"/>
    </row>
    <row r="3701" spans="8:9" x14ac:dyDescent="0.25">
      <c r="H3701" s="116"/>
      <c r="I3701" s="116"/>
    </row>
    <row r="3702" spans="8:9" x14ac:dyDescent="0.25">
      <c r="H3702" s="116"/>
      <c r="I3702" s="116"/>
    </row>
    <row r="3703" spans="8:9" x14ac:dyDescent="0.25">
      <c r="H3703" s="116"/>
      <c r="I3703" s="116"/>
    </row>
    <row r="3704" spans="8:9" x14ac:dyDescent="0.25">
      <c r="H3704" s="116"/>
      <c r="I3704" s="116"/>
    </row>
    <row r="3705" spans="8:9" x14ac:dyDescent="0.25">
      <c r="H3705" s="116"/>
      <c r="I3705" s="116"/>
    </row>
    <row r="3706" spans="8:9" x14ac:dyDescent="0.25">
      <c r="H3706" s="116"/>
      <c r="I3706" s="116"/>
    </row>
    <row r="3707" spans="8:9" x14ac:dyDescent="0.25">
      <c r="H3707" s="116"/>
      <c r="I3707" s="116"/>
    </row>
    <row r="3708" spans="8:9" x14ac:dyDescent="0.25">
      <c r="H3708" s="116"/>
      <c r="I3708" s="116"/>
    </row>
    <row r="3709" spans="8:9" x14ac:dyDescent="0.25">
      <c r="H3709" s="116"/>
      <c r="I3709" s="116"/>
    </row>
    <row r="3710" spans="8:9" x14ac:dyDescent="0.25">
      <c r="H3710" s="116"/>
      <c r="I3710" s="116"/>
    </row>
    <row r="3711" spans="8:9" x14ac:dyDescent="0.25">
      <c r="H3711" s="116"/>
      <c r="I3711" s="116"/>
    </row>
    <row r="3712" spans="8:9" x14ac:dyDescent="0.25">
      <c r="H3712" s="116"/>
      <c r="I3712" s="116"/>
    </row>
    <row r="3713" spans="8:9" x14ac:dyDescent="0.25">
      <c r="H3713" s="116"/>
      <c r="I3713" s="116"/>
    </row>
    <row r="3714" spans="8:9" x14ac:dyDescent="0.25">
      <c r="H3714" s="116"/>
      <c r="I3714" s="116"/>
    </row>
    <row r="3715" spans="8:9" x14ac:dyDescent="0.25">
      <c r="H3715" s="116"/>
      <c r="I3715" s="116"/>
    </row>
    <row r="3716" spans="8:9" x14ac:dyDescent="0.25">
      <c r="H3716" s="116"/>
      <c r="I3716" s="116"/>
    </row>
    <row r="3717" spans="8:9" x14ac:dyDescent="0.25">
      <c r="H3717" s="116"/>
      <c r="I3717" s="116"/>
    </row>
    <row r="3718" spans="8:9" x14ac:dyDescent="0.25">
      <c r="H3718" s="116"/>
      <c r="I3718" s="116"/>
    </row>
    <row r="3719" spans="8:9" x14ac:dyDescent="0.25">
      <c r="H3719" s="116"/>
      <c r="I3719" s="116"/>
    </row>
    <row r="3720" spans="8:9" x14ac:dyDescent="0.25">
      <c r="H3720" s="116"/>
      <c r="I3720" s="116"/>
    </row>
    <row r="3721" spans="8:9" x14ac:dyDescent="0.25">
      <c r="H3721" s="116"/>
      <c r="I3721" s="116"/>
    </row>
    <row r="3722" spans="8:9" x14ac:dyDescent="0.25">
      <c r="H3722" s="116"/>
      <c r="I3722" s="116"/>
    </row>
    <row r="3723" spans="8:9" x14ac:dyDescent="0.25">
      <c r="H3723" s="116"/>
      <c r="I3723" s="116"/>
    </row>
    <row r="3724" spans="8:9" x14ac:dyDescent="0.25">
      <c r="H3724" s="116"/>
      <c r="I3724" s="116"/>
    </row>
    <row r="3725" spans="8:9" x14ac:dyDescent="0.25">
      <c r="H3725" s="116"/>
      <c r="I3725" s="116"/>
    </row>
    <row r="3726" spans="8:9" x14ac:dyDescent="0.25">
      <c r="H3726" s="116"/>
      <c r="I3726" s="116"/>
    </row>
    <row r="3727" spans="8:9" x14ac:dyDescent="0.25">
      <c r="H3727" s="116"/>
      <c r="I3727" s="116"/>
    </row>
    <row r="3728" spans="8:9" x14ac:dyDescent="0.25">
      <c r="H3728" s="116"/>
      <c r="I3728" s="116"/>
    </row>
    <row r="3729" spans="8:9" x14ac:dyDescent="0.25">
      <c r="H3729" s="116"/>
      <c r="I3729" s="116"/>
    </row>
    <row r="3730" spans="8:9" x14ac:dyDescent="0.25">
      <c r="H3730" s="116"/>
      <c r="I3730" s="116"/>
    </row>
    <row r="3731" spans="8:9" x14ac:dyDescent="0.25">
      <c r="H3731" s="116"/>
      <c r="I3731" s="116"/>
    </row>
    <row r="3732" spans="8:9" x14ac:dyDescent="0.25">
      <c r="H3732" s="116"/>
      <c r="I3732" s="116"/>
    </row>
    <row r="3733" spans="8:9" x14ac:dyDescent="0.25">
      <c r="H3733" s="116"/>
      <c r="I3733" s="116"/>
    </row>
    <row r="3734" spans="8:9" x14ac:dyDescent="0.25">
      <c r="H3734" s="116"/>
      <c r="I3734" s="116"/>
    </row>
    <row r="3735" spans="8:9" x14ac:dyDescent="0.25">
      <c r="H3735" s="116"/>
      <c r="I3735" s="116"/>
    </row>
    <row r="3736" spans="8:9" x14ac:dyDescent="0.25">
      <c r="H3736" s="116"/>
      <c r="I3736" s="116"/>
    </row>
    <row r="3737" spans="8:9" x14ac:dyDescent="0.25">
      <c r="H3737" s="116"/>
      <c r="I3737" s="116"/>
    </row>
    <row r="3738" spans="8:9" x14ac:dyDescent="0.25">
      <c r="H3738" s="116"/>
      <c r="I3738" s="116"/>
    </row>
    <row r="3739" spans="8:9" x14ac:dyDescent="0.25">
      <c r="H3739" s="116"/>
      <c r="I3739" s="116"/>
    </row>
    <row r="3740" spans="8:9" x14ac:dyDescent="0.25">
      <c r="H3740" s="116"/>
      <c r="I3740" s="116"/>
    </row>
    <row r="3741" spans="8:9" x14ac:dyDescent="0.25">
      <c r="H3741" s="116"/>
      <c r="I3741" s="116"/>
    </row>
    <row r="3742" spans="8:9" x14ac:dyDescent="0.25">
      <c r="H3742" s="116"/>
      <c r="I3742" s="116"/>
    </row>
    <row r="3743" spans="8:9" x14ac:dyDescent="0.25">
      <c r="H3743" s="116"/>
      <c r="I3743" s="116"/>
    </row>
    <row r="3744" spans="8:9" x14ac:dyDescent="0.25">
      <c r="H3744" s="116"/>
      <c r="I3744" s="116"/>
    </row>
    <row r="3745" spans="8:9" x14ac:dyDescent="0.25">
      <c r="H3745" s="116"/>
      <c r="I3745" s="116"/>
    </row>
    <row r="3746" spans="8:9" x14ac:dyDescent="0.25">
      <c r="H3746" s="116"/>
      <c r="I3746" s="116"/>
    </row>
    <row r="3747" spans="8:9" x14ac:dyDescent="0.25">
      <c r="H3747" s="116"/>
      <c r="I3747" s="116"/>
    </row>
    <row r="3748" spans="8:9" x14ac:dyDescent="0.25">
      <c r="H3748" s="116"/>
      <c r="I3748" s="116"/>
    </row>
    <row r="3749" spans="8:9" x14ac:dyDescent="0.25">
      <c r="H3749" s="116"/>
      <c r="I3749" s="116"/>
    </row>
    <row r="3750" spans="8:9" x14ac:dyDescent="0.25">
      <c r="H3750" s="116"/>
      <c r="I3750" s="116"/>
    </row>
    <row r="3751" spans="8:9" x14ac:dyDescent="0.25">
      <c r="H3751" s="116"/>
      <c r="I3751" s="116"/>
    </row>
    <row r="3752" spans="8:9" x14ac:dyDescent="0.25">
      <c r="H3752" s="116"/>
      <c r="I3752" s="116"/>
    </row>
    <row r="3753" spans="8:9" x14ac:dyDescent="0.25">
      <c r="H3753" s="116"/>
      <c r="I3753" s="116"/>
    </row>
    <row r="3754" spans="8:9" x14ac:dyDescent="0.25">
      <c r="H3754" s="116"/>
      <c r="I3754" s="116"/>
    </row>
    <row r="3755" spans="8:9" x14ac:dyDescent="0.25">
      <c r="H3755" s="116"/>
      <c r="I3755" s="116"/>
    </row>
    <row r="3756" spans="8:9" x14ac:dyDescent="0.25">
      <c r="H3756" s="116"/>
      <c r="I3756" s="116"/>
    </row>
    <row r="3757" spans="8:9" x14ac:dyDescent="0.25">
      <c r="H3757" s="116"/>
      <c r="I3757" s="116"/>
    </row>
    <row r="3758" spans="8:9" x14ac:dyDescent="0.25">
      <c r="H3758" s="116"/>
      <c r="I3758" s="116"/>
    </row>
    <row r="3759" spans="8:9" x14ac:dyDescent="0.25">
      <c r="H3759" s="116"/>
      <c r="I3759" s="116"/>
    </row>
    <row r="3760" spans="8:9" x14ac:dyDescent="0.25">
      <c r="H3760" s="116"/>
      <c r="I3760" s="116"/>
    </row>
    <row r="3761" spans="8:9" x14ac:dyDescent="0.25">
      <c r="H3761" s="116"/>
      <c r="I3761" s="116"/>
    </row>
    <row r="3762" spans="8:9" x14ac:dyDescent="0.25">
      <c r="H3762" s="116"/>
      <c r="I3762" s="116"/>
    </row>
    <row r="3763" spans="8:9" x14ac:dyDescent="0.25">
      <c r="H3763" s="116"/>
      <c r="I3763" s="116"/>
    </row>
    <row r="3764" spans="8:9" x14ac:dyDescent="0.25">
      <c r="H3764" s="116"/>
      <c r="I3764" s="116"/>
    </row>
    <row r="3765" spans="8:9" x14ac:dyDescent="0.25">
      <c r="H3765" s="116"/>
      <c r="I3765" s="116"/>
    </row>
    <row r="3766" spans="8:9" x14ac:dyDescent="0.25">
      <c r="H3766" s="116"/>
      <c r="I3766" s="116"/>
    </row>
    <row r="3767" spans="8:9" x14ac:dyDescent="0.25">
      <c r="H3767" s="116"/>
      <c r="I3767" s="116"/>
    </row>
    <row r="3768" spans="8:9" x14ac:dyDescent="0.25">
      <c r="H3768" s="116"/>
      <c r="I3768" s="116"/>
    </row>
    <row r="3769" spans="8:9" x14ac:dyDescent="0.25">
      <c r="H3769" s="116"/>
      <c r="I3769" s="116"/>
    </row>
    <row r="3770" spans="8:9" x14ac:dyDescent="0.25">
      <c r="H3770" s="116"/>
      <c r="I3770" s="116"/>
    </row>
    <row r="3771" spans="8:9" x14ac:dyDescent="0.25">
      <c r="H3771" s="116"/>
      <c r="I3771" s="116"/>
    </row>
    <row r="3772" spans="8:9" x14ac:dyDescent="0.25">
      <c r="H3772" s="116"/>
      <c r="I3772" s="116"/>
    </row>
    <row r="3773" spans="8:9" x14ac:dyDescent="0.25">
      <c r="H3773" s="116"/>
      <c r="I3773" s="116"/>
    </row>
    <row r="3774" spans="8:9" x14ac:dyDescent="0.25">
      <c r="H3774" s="116"/>
      <c r="I3774" s="116"/>
    </row>
    <row r="3775" spans="8:9" x14ac:dyDescent="0.25">
      <c r="H3775" s="116"/>
      <c r="I3775" s="116"/>
    </row>
    <row r="3776" spans="8:9" x14ac:dyDescent="0.25">
      <c r="H3776" s="116"/>
      <c r="I3776" s="116"/>
    </row>
    <row r="3777" spans="8:9" x14ac:dyDescent="0.25">
      <c r="H3777" s="116"/>
      <c r="I3777" s="116"/>
    </row>
    <row r="3778" spans="8:9" x14ac:dyDescent="0.25">
      <c r="H3778" s="116"/>
      <c r="I3778" s="116"/>
    </row>
    <row r="3779" spans="8:9" x14ac:dyDescent="0.25">
      <c r="H3779" s="116"/>
      <c r="I3779" s="116"/>
    </row>
    <row r="3780" spans="8:9" x14ac:dyDescent="0.25">
      <c r="H3780" s="116"/>
      <c r="I3780" s="116"/>
    </row>
    <row r="3781" spans="8:9" x14ac:dyDescent="0.25">
      <c r="H3781" s="116"/>
      <c r="I3781" s="116"/>
    </row>
    <row r="3782" spans="8:9" x14ac:dyDescent="0.25">
      <c r="H3782" s="116"/>
      <c r="I3782" s="116"/>
    </row>
    <row r="3783" spans="8:9" x14ac:dyDescent="0.25">
      <c r="H3783" s="116"/>
      <c r="I3783" s="116"/>
    </row>
    <row r="3784" spans="8:9" x14ac:dyDescent="0.25">
      <c r="H3784" s="116"/>
      <c r="I3784" s="116"/>
    </row>
    <row r="3785" spans="8:9" x14ac:dyDescent="0.25">
      <c r="H3785" s="116"/>
      <c r="I3785" s="116"/>
    </row>
    <row r="3786" spans="8:9" x14ac:dyDescent="0.25">
      <c r="H3786" s="116"/>
      <c r="I3786" s="116"/>
    </row>
    <row r="3787" spans="8:9" x14ac:dyDescent="0.25">
      <c r="H3787" s="116"/>
      <c r="I3787" s="116"/>
    </row>
    <row r="3788" spans="8:9" x14ac:dyDescent="0.25">
      <c r="H3788" s="116"/>
      <c r="I3788" s="116"/>
    </row>
    <row r="3789" spans="8:9" x14ac:dyDescent="0.25">
      <c r="H3789" s="116"/>
      <c r="I3789" s="116"/>
    </row>
    <row r="3790" spans="8:9" x14ac:dyDescent="0.25">
      <c r="H3790" s="116"/>
      <c r="I3790" s="116"/>
    </row>
    <row r="3791" spans="8:9" x14ac:dyDescent="0.25">
      <c r="H3791" s="116"/>
      <c r="I3791" s="116"/>
    </row>
    <row r="3792" spans="8:9" x14ac:dyDescent="0.25">
      <c r="H3792" s="116"/>
      <c r="I3792" s="116"/>
    </row>
    <row r="3793" spans="8:9" x14ac:dyDescent="0.25">
      <c r="H3793" s="116"/>
      <c r="I3793" s="116"/>
    </row>
    <row r="3794" spans="8:9" x14ac:dyDescent="0.25">
      <c r="H3794" s="116"/>
      <c r="I3794" s="116"/>
    </row>
    <row r="3795" spans="8:9" x14ac:dyDescent="0.25">
      <c r="H3795" s="116"/>
      <c r="I3795" s="116"/>
    </row>
    <row r="3796" spans="8:9" x14ac:dyDescent="0.25">
      <c r="H3796" s="116"/>
      <c r="I3796" s="116"/>
    </row>
    <row r="3797" spans="8:9" x14ac:dyDescent="0.25">
      <c r="H3797" s="116"/>
      <c r="I3797" s="116"/>
    </row>
    <row r="3798" spans="8:9" x14ac:dyDescent="0.25">
      <c r="H3798" s="116"/>
      <c r="I3798" s="116"/>
    </row>
    <row r="3799" spans="8:9" x14ac:dyDescent="0.25">
      <c r="H3799" s="116"/>
      <c r="I3799" s="116"/>
    </row>
    <row r="3800" spans="8:9" x14ac:dyDescent="0.25">
      <c r="H3800" s="116"/>
      <c r="I3800" s="116"/>
    </row>
    <row r="3801" spans="8:9" x14ac:dyDescent="0.25">
      <c r="H3801" s="116"/>
      <c r="I3801" s="116"/>
    </row>
    <row r="3802" spans="8:9" x14ac:dyDescent="0.25">
      <c r="H3802" s="116"/>
      <c r="I3802" s="116"/>
    </row>
    <row r="3803" spans="8:9" x14ac:dyDescent="0.25">
      <c r="H3803" s="116"/>
      <c r="I3803" s="116"/>
    </row>
    <row r="3804" spans="8:9" x14ac:dyDescent="0.25">
      <c r="H3804" s="116"/>
      <c r="I3804" s="116"/>
    </row>
    <row r="3805" spans="8:9" x14ac:dyDescent="0.25">
      <c r="H3805" s="116"/>
      <c r="I3805" s="116"/>
    </row>
    <row r="3806" spans="8:9" x14ac:dyDescent="0.25">
      <c r="H3806" s="116"/>
      <c r="I3806" s="116"/>
    </row>
    <row r="3807" spans="8:9" x14ac:dyDescent="0.25">
      <c r="H3807" s="116"/>
      <c r="I3807" s="116"/>
    </row>
    <row r="3808" spans="8:9" x14ac:dyDescent="0.25">
      <c r="H3808" s="116"/>
      <c r="I3808" s="116"/>
    </row>
    <row r="3809" spans="8:9" x14ac:dyDescent="0.25">
      <c r="H3809" s="116"/>
      <c r="I3809" s="116"/>
    </row>
    <row r="3810" spans="8:9" x14ac:dyDescent="0.25">
      <c r="H3810" s="116"/>
      <c r="I3810" s="116"/>
    </row>
    <row r="3811" spans="8:9" x14ac:dyDescent="0.25">
      <c r="H3811" s="116"/>
      <c r="I3811" s="116"/>
    </row>
    <row r="3812" spans="8:9" x14ac:dyDescent="0.25">
      <c r="H3812" s="116"/>
      <c r="I3812" s="116"/>
    </row>
    <row r="3813" spans="8:9" x14ac:dyDescent="0.25">
      <c r="H3813" s="116"/>
      <c r="I3813" s="116"/>
    </row>
    <row r="3814" spans="8:9" x14ac:dyDescent="0.25">
      <c r="H3814" s="116"/>
      <c r="I3814" s="116"/>
    </row>
    <row r="3815" spans="8:9" x14ac:dyDescent="0.25">
      <c r="H3815" s="116"/>
      <c r="I3815" s="116"/>
    </row>
    <row r="3816" spans="8:9" x14ac:dyDescent="0.25">
      <c r="H3816" s="116"/>
      <c r="I3816" s="116"/>
    </row>
    <row r="3817" spans="8:9" x14ac:dyDescent="0.25">
      <c r="H3817" s="116"/>
      <c r="I3817" s="116"/>
    </row>
    <row r="3818" spans="8:9" x14ac:dyDescent="0.25">
      <c r="H3818" s="116"/>
      <c r="I3818" s="116"/>
    </row>
    <row r="3819" spans="8:9" x14ac:dyDescent="0.25">
      <c r="H3819" s="116"/>
      <c r="I3819" s="116"/>
    </row>
    <row r="3820" spans="8:9" x14ac:dyDescent="0.25">
      <c r="H3820" s="116"/>
      <c r="I3820" s="116"/>
    </row>
    <row r="3821" spans="8:9" x14ac:dyDescent="0.25">
      <c r="H3821" s="116"/>
      <c r="I3821" s="116"/>
    </row>
    <row r="3822" spans="8:9" x14ac:dyDescent="0.25">
      <c r="H3822" s="116"/>
      <c r="I3822" s="116"/>
    </row>
    <row r="3823" spans="8:9" x14ac:dyDescent="0.25">
      <c r="H3823" s="116"/>
      <c r="I3823" s="116"/>
    </row>
    <row r="3824" spans="8:9" x14ac:dyDescent="0.25">
      <c r="H3824" s="116"/>
      <c r="I3824" s="116"/>
    </row>
    <row r="3825" spans="8:9" x14ac:dyDescent="0.25">
      <c r="H3825" s="116"/>
      <c r="I3825" s="116"/>
    </row>
    <row r="3826" spans="8:9" x14ac:dyDescent="0.25">
      <c r="H3826" s="116"/>
      <c r="I3826" s="116"/>
    </row>
    <row r="3827" spans="8:9" x14ac:dyDescent="0.25">
      <c r="H3827" s="116"/>
      <c r="I3827" s="116"/>
    </row>
    <row r="3828" spans="8:9" x14ac:dyDescent="0.25">
      <c r="H3828" s="116"/>
      <c r="I3828" s="116"/>
    </row>
    <row r="3829" spans="8:9" x14ac:dyDescent="0.25">
      <c r="H3829" s="116"/>
      <c r="I3829" s="116"/>
    </row>
    <row r="3830" spans="8:9" x14ac:dyDescent="0.25">
      <c r="H3830" s="116"/>
      <c r="I3830" s="116"/>
    </row>
    <row r="3831" spans="8:9" x14ac:dyDescent="0.25">
      <c r="H3831" s="116"/>
      <c r="I3831" s="116"/>
    </row>
    <row r="3832" spans="8:9" x14ac:dyDescent="0.25">
      <c r="H3832" s="116"/>
      <c r="I3832" s="116"/>
    </row>
    <row r="3833" spans="8:9" x14ac:dyDescent="0.25">
      <c r="H3833" s="116"/>
      <c r="I3833" s="116"/>
    </row>
    <row r="3834" spans="8:9" x14ac:dyDescent="0.25">
      <c r="H3834" s="116"/>
      <c r="I3834" s="116"/>
    </row>
    <row r="3835" spans="8:9" x14ac:dyDescent="0.25">
      <c r="H3835" s="116"/>
      <c r="I3835" s="116"/>
    </row>
    <row r="3836" spans="8:9" x14ac:dyDescent="0.25">
      <c r="H3836" s="116"/>
      <c r="I3836" s="116"/>
    </row>
    <row r="3837" spans="8:9" x14ac:dyDescent="0.25">
      <c r="H3837" s="116"/>
      <c r="I3837" s="116"/>
    </row>
    <row r="3838" spans="8:9" x14ac:dyDescent="0.25">
      <c r="H3838" s="116"/>
      <c r="I3838" s="116"/>
    </row>
    <row r="3839" spans="8:9" x14ac:dyDescent="0.25">
      <c r="H3839" s="116"/>
      <c r="I3839" s="116"/>
    </row>
    <row r="3840" spans="8:9" x14ac:dyDescent="0.25">
      <c r="H3840" s="116"/>
      <c r="I3840" s="116"/>
    </row>
    <row r="3841" spans="8:9" x14ac:dyDescent="0.25">
      <c r="H3841" s="116"/>
      <c r="I3841" s="116"/>
    </row>
    <row r="3842" spans="8:9" x14ac:dyDescent="0.25">
      <c r="H3842" s="116"/>
      <c r="I3842" s="116"/>
    </row>
    <row r="3843" spans="8:9" x14ac:dyDescent="0.25">
      <c r="H3843" s="116"/>
      <c r="I3843" s="116"/>
    </row>
    <row r="3844" spans="8:9" x14ac:dyDescent="0.25">
      <c r="H3844" s="116"/>
      <c r="I3844" s="116"/>
    </row>
    <row r="3845" spans="8:9" x14ac:dyDescent="0.25">
      <c r="H3845" s="116"/>
      <c r="I3845" s="116"/>
    </row>
    <row r="3846" spans="8:9" x14ac:dyDescent="0.25">
      <c r="H3846" s="116"/>
      <c r="I3846" s="116"/>
    </row>
    <row r="3847" spans="8:9" x14ac:dyDescent="0.25">
      <c r="H3847" s="116"/>
      <c r="I3847" s="116"/>
    </row>
    <row r="3848" spans="8:9" x14ac:dyDescent="0.25">
      <c r="H3848" s="116"/>
      <c r="I3848" s="116"/>
    </row>
    <row r="3849" spans="8:9" x14ac:dyDescent="0.25">
      <c r="H3849" s="116"/>
      <c r="I3849" s="116"/>
    </row>
    <row r="3850" spans="8:9" x14ac:dyDescent="0.25">
      <c r="H3850" s="116"/>
      <c r="I3850" s="116"/>
    </row>
    <row r="3851" spans="8:9" x14ac:dyDescent="0.25">
      <c r="H3851" s="116"/>
      <c r="I3851" s="116"/>
    </row>
    <row r="3852" spans="8:9" x14ac:dyDescent="0.25">
      <c r="H3852" s="116"/>
      <c r="I3852" s="116"/>
    </row>
    <row r="3853" spans="8:9" x14ac:dyDescent="0.25">
      <c r="H3853" s="116"/>
      <c r="I3853" s="116"/>
    </row>
    <row r="3854" spans="8:9" x14ac:dyDescent="0.25">
      <c r="H3854" s="116"/>
      <c r="I3854" s="116"/>
    </row>
    <row r="3855" spans="8:9" x14ac:dyDescent="0.25">
      <c r="H3855" s="116"/>
      <c r="I3855" s="116"/>
    </row>
    <row r="3856" spans="8:9" x14ac:dyDescent="0.25">
      <c r="H3856" s="116"/>
      <c r="I3856" s="116"/>
    </row>
    <row r="3857" spans="8:9" x14ac:dyDescent="0.25">
      <c r="H3857" s="116"/>
      <c r="I3857" s="116"/>
    </row>
    <row r="3858" spans="8:9" x14ac:dyDescent="0.25">
      <c r="H3858" s="116"/>
      <c r="I3858" s="116"/>
    </row>
    <row r="3859" spans="8:9" x14ac:dyDescent="0.25">
      <c r="H3859" s="116"/>
      <c r="I3859" s="116"/>
    </row>
    <row r="3860" spans="8:9" x14ac:dyDescent="0.25">
      <c r="H3860" s="116"/>
      <c r="I3860" s="116"/>
    </row>
    <row r="3861" spans="8:9" x14ac:dyDescent="0.25">
      <c r="H3861" s="116"/>
      <c r="I3861" s="116"/>
    </row>
    <row r="3862" spans="8:9" x14ac:dyDescent="0.25">
      <c r="H3862" s="116"/>
      <c r="I3862" s="116"/>
    </row>
    <row r="3863" spans="8:9" x14ac:dyDescent="0.25">
      <c r="H3863" s="116"/>
      <c r="I3863" s="116"/>
    </row>
    <row r="3864" spans="8:9" x14ac:dyDescent="0.25">
      <c r="H3864" s="116"/>
      <c r="I3864" s="116"/>
    </row>
    <row r="3865" spans="8:9" x14ac:dyDescent="0.25">
      <c r="H3865" s="116"/>
      <c r="I3865" s="116"/>
    </row>
    <row r="3866" spans="8:9" x14ac:dyDescent="0.25">
      <c r="H3866" s="116"/>
      <c r="I3866" s="116"/>
    </row>
    <row r="3867" spans="8:9" x14ac:dyDescent="0.25">
      <c r="H3867" s="116"/>
      <c r="I3867" s="116"/>
    </row>
    <row r="3868" spans="8:9" x14ac:dyDescent="0.25">
      <c r="H3868" s="116"/>
      <c r="I3868" s="116"/>
    </row>
    <row r="3869" spans="8:9" x14ac:dyDescent="0.25">
      <c r="H3869" s="116"/>
      <c r="I3869" s="116"/>
    </row>
    <row r="3870" spans="8:9" x14ac:dyDescent="0.25">
      <c r="H3870" s="116"/>
      <c r="I3870" s="116"/>
    </row>
    <row r="3871" spans="8:9" x14ac:dyDescent="0.25">
      <c r="H3871" s="116"/>
      <c r="I3871" s="116"/>
    </row>
    <row r="3872" spans="8:9" x14ac:dyDescent="0.25">
      <c r="H3872" s="116"/>
      <c r="I3872" s="116"/>
    </row>
    <row r="3873" spans="8:9" x14ac:dyDescent="0.25">
      <c r="H3873" s="116"/>
      <c r="I3873" s="116"/>
    </row>
    <row r="3874" spans="8:9" x14ac:dyDescent="0.25">
      <c r="H3874" s="116"/>
      <c r="I3874" s="116"/>
    </row>
    <row r="3875" spans="8:9" x14ac:dyDescent="0.25">
      <c r="H3875" s="116"/>
      <c r="I3875" s="116"/>
    </row>
    <row r="3876" spans="8:9" x14ac:dyDescent="0.25">
      <c r="H3876" s="116"/>
      <c r="I3876" s="116"/>
    </row>
    <row r="3877" spans="8:9" x14ac:dyDescent="0.25">
      <c r="H3877" s="116"/>
      <c r="I3877" s="116"/>
    </row>
    <row r="3878" spans="8:9" x14ac:dyDescent="0.25">
      <c r="H3878" s="116"/>
      <c r="I3878" s="116"/>
    </row>
    <row r="3879" spans="8:9" x14ac:dyDescent="0.25">
      <c r="H3879" s="116"/>
      <c r="I3879" s="116"/>
    </row>
    <row r="3880" spans="8:9" x14ac:dyDescent="0.25">
      <c r="H3880" s="116"/>
      <c r="I3880" s="116"/>
    </row>
    <row r="3881" spans="8:9" x14ac:dyDescent="0.25">
      <c r="H3881" s="116"/>
      <c r="I3881" s="116"/>
    </row>
    <row r="3882" spans="8:9" x14ac:dyDescent="0.25">
      <c r="H3882" s="116"/>
      <c r="I3882" s="116"/>
    </row>
    <row r="3883" spans="8:9" x14ac:dyDescent="0.25">
      <c r="H3883" s="116"/>
      <c r="I3883" s="116"/>
    </row>
    <row r="3884" spans="8:9" x14ac:dyDescent="0.25">
      <c r="H3884" s="116"/>
      <c r="I3884" s="116"/>
    </row>
    <row r="3885" spans="8:9" x14ac:dyDescent="0.25">
      <c r="H3885" s="116"/>
      <c r="I3885" s="116"/>
    </row>
    <row r="3886" spans="8:9" x14ac:dyDescent="0.25">
      <c r="H3886" s="116"/>
      <c r="I3886" s="116"/>
    </row>
    <row r="3887" spans="8:9" x14ac:dyDescent="0.25">
      <c r="H3887" s="116"/>
      <c r="I3887" s="116"/>
    </row>
    <row r="3888" spans="8:9" x14ac:dyDescent="0.25">
      <c r="H3888" s="116"/>
      <c r="I3888" s="116"/>
    </row>
    <row r="3889" spans="8:9" x14ac:dyDescent="0.25">
      <c r="H3889" s="116"/>
      <c r="I3889" s="116"/>
    </row>
    <row r="3890" spans="8:9" x14ac:dyDescent="0.25">
      <c r="H3890" s="116"/>
      <c r="I3890" s="116"/>
    </row>
    <row r="3891" spans="8:9" x14ac:dyDescent="0.25">
      <c r="H3891" s="116"/>
      <c r="I3891" s="116"/>
    </row>
    <row r="3892" spans="8:9" x14ac:dyDescent="0.25">
      <c r="H3892" s="116"/>
      <c r="I3892" s="116"/>
    </row>
    <row r="3893" spans="8:9" x14ac:dyDescent="0.25">
      <c r="H3893" s="116"/>
      <c r="I3893" s="116"/>
    </row>
    <row r="3894" spans="8:9" x14ac:dyDescent="0.25">
      <c r="H3894" s="116"/>
      <c r="I3894" s="116"/>
    </row>
    <row r="3895" spans="8:9" x14ac:dyDescent="0.25">
      <c r="H3895" s="116"/>
      <c r="I3895" s="116"/>
    </row>
    <row r="3896" spans="8:9" x14ac:dyDescent="0.25">
      <c r="H3896" s="116"/>
      <c r="I3896" s="116"/>
    </row>
    <row r="3897" spans="8:9" x14ac:dyDescent="0.25">
      <c r="H3897" s="116"/>
      <c r="I3897" s="116"/>
    </row>
    <row r="3898" spans="8:9" x14ac:dyDescent="0.25">
      <c r="H3898" s="116"/>
      <c r="I3898" s="116"/>
    </row>
    <row r="3899" spans="8:9" x14ac:dyDescent="0.25">
      <c r="H3899" s="116"/>
      <c r="I3899" s="116"/>
    </row>
    <row r="3900" spans="8:9" x14ac:dyDescent="0.25">
      <c r="H3900" s="116"/>
      <c r="I3900" s="116"/>
    </row>
    <row r="3901" spans="8:9" x14ac:dyDescent="0.25">
      <c r="H3901" s="116"/>
      <c r="I3901" s="116"/>
    </row>
    <row r="3902" spans="8:9" x14ac:dyDescent="0.25">
      <c r="H3902" s="116"/>
      <c r="I3902" s="116"/>
    </row>
    <row r="3903" spans="8:9" x14ac:dyDescent="0.25">
      <c r="H3903" s="116"/>
      <c r="I3903" s="116"/>
    </row>
    <row r="3904" spans="8:9" x14ac:dyDescent="0.25">
      <c r="H3904" s="116"/>
      <c r="I3904" s="116"/>
    </row>
    <row r="3905" spans="8:9" x14ac:dyDescent="0.25">
      <c r="H3905" s="116"/>
      <c r="I3905" s="116"/>
    </row>
    <row r="3906" spans="8:9" x14ac:dyDescent="0.25">
      <c r="H3906" s="116"/>
      <c r="I3906" s="116"/>
    </row>
    <row r="3907" spans="8:9" x14ac:dyDescent="0.25">
      <c r="H3907" s="116"/>
      <c r="I3907" s="116"/>
    </row>
    <row r="3908" spans="8:9" x14ac:dyDescent="0.25">
      <c r="H3908" s="116"/>
      <c r="I3908" s="116"/>
    </row>
    <row r="3909" spans="8:9" x14ac:dyDescent="0.25">
      <c r="H3909" s="116"/>
      <c r="I3909" s="116"/>
    </row>
    <row r="3910" spans="8:9" x14ac:dyDescent="0.25">
      <c r="H3910" s="116"/>
      <c r="I3910" s="116"/>
    </row>
    <row r="3911" spans="8:9" x14ac:dyDescent="0.25">
      <c r="H3911" s="116"/>
      <c r="I3911" s="116"/>
    </row>
    <row r="3912" spans="8:9" x14ac:dyDescent="0.25">
      <c r="H3912" s="116"/>
      <c r="I3912" s="116"/>
    </row>
    <row r="3913" spans="8:9" x14ac:dyDescent="0.25">
      <c r="H3913" s="116"/>
      <c r="I3913" s="116"/>
    </row>
    <row r="3914" spans="8:9" x14ac:dyDescent="0.25">
      <c r="H3914" s="116"/>
      <c r="I3914" s="116"/>
    </row>
    <row r="3915" spans="8:9" x14ac:dyDescent="0.25">
      <c r="H3915" s="116"/>
      <c r="I3915" s="116"/>
    </row>
    <row r="3916" spans="8:9" x14ac:dyDescent="0.25">
      <c r="H3916" s="116"/>
      <c r="I3916" s="116"/>
    </row>
    <row r="3917" spans="8:9" x14ac:dyDescent="0.25">
      <c r="H3917" s="116"/>
      <c r="I3917" s="116"/>
    </row>
    <row r="3918" spans="8:9" x14ac:dyDescent="0.25">
      <c r="H3918" s="116"/>
      <c r="I3918" s="116"/>
    </row>
    <row r="3919" spans="8:9" x14ac:dyDescent="0.25">
      <c r="H3919" s="116"/>
      <c r="I3919" s="116"/>
    </row>
    <row r="3920" spans="8:9" x14ac:dyDescent="0.25">
      <c r="H3920" s="116"/>
      <c r="I3920" s="116"/>
    </row>
    <row r="3921" spans="8:9" x14ac:dyDescent="0.25">
      <c r="H3921" s="116"/>
      <c r="I3921" s="116"/>
    </row>
    <row r="3922" spans="8:9" x14ac:dyDescent="0.25">
      <c r="H3922" s="116"/>
      <c r="I3922" s="116"/>
    </row>
    <row r="3923" spans="8:9" x14ac:dyDescent="0.25">
      <c r="H3923" s="116"/>
      <c r="I3923" s="116"/>
    </row>
    <row r="3924" spans="8:9" x14ac:dyDescent="0.25">
      <c r="H3924" s="116"/>
      <c r="I3924" s="116"/>
    </row>
    <row r="3925" spans="8:9" x14ac:dyDescent="0.25">
      <c r="H3925" s="116"/>
      <c r="I3925" s="116"/>
    </row>
    <row r="3926" spans="8:9" x14ac:dyDescent="0.25">
      <c r="H3926" s="116"/>
      <c r="I3926" s="116"/>
    </row>
    <row r="3927" spans="8:9" x14ac:dyDescent="0.25">
      <c r="H3927" s="116"/>
      <c r="I3927" s="116"/>
    </row>
    <row r="3928" spans="8:9" x14ac:dyDescent="0.25">
      <c r="H3928" s="116"/>
      <c r="I3928" s="116"/>
    </row>
    <row r="3929" spans="8:9" x14ac:dyDescent="0.25">
      <c r="H3929" s="116"/>
      <c r="I3929" s="116"/>
    </row>
    <row r="3930" spans="8:9" x14ac:dyDescent="0.25">
      <c r="H3930" s="116"/>
      <c r="I3930" s="116"/>
    </row>
    <row r="3931" spans="8:9" x14ac:dyDescent="0.25">
      <c r="H3931" s="116"/>
      <c r="I3931" s="116"/>
    </row>
    <row r="3932" spans="8:9" x14ac:dyDescent="0.25">
      <c r="H3932" s="116"/>
      <c r="I3932" s="116"/>
    </row>
    <row r="3933" spans="8:9" x14ac:dyDescent="0.25">
      <c r="H3933" s="116"/>
      <c r="I3933" s="116"/>
    </row>
    <row r="3934" spans="8:9" x14ac:dyDescent="0.25">
      <c r="H3934" s="116"/>
      <c r="I3934" s="116"/>
    </row>
    <row r="3935" spans="8:9" x14ac:dyDescent="0.25">
      <c r="H3935" s="116"/>
      <c r="I3935" s="116"/>
    </row>
    <row r="3936" spans="8:9" x14ac:dyDescent="0.25">
      <c r="H3936" s="116"/>
      <c r="I3936" s="116"/>
    </row>
    <row r="3937" spans="8:9" x14ac:dyDescent="0.25">
      <c r="H3937" s="116"/>
      <c r="I3937" s="116"/>
    </row>
    <row r="3938" spans="8:9" x14ac:dyDescent="0.25">
      <c r="H3938" s="116"/>
      <c r="I3938" s="116"/>
    </row>
    <row r="3939" spans="8:9" x14ac:dyDescent="0.25">
      <c r="H3939" s="116"/>
      <c r="I3939" s="116"/>
    </row>
    <row r="3940" spans="8:9" x14ac:dyDescent="0.25">
      <c r="H3940" s="116"/>
      <c r="I3940" s="116"/>
    </row>
    <row r="3941" spans="8:9" x14ac:dyDescent="0.25">
      <c r="H3941" s="116"/>
      <c r="I3941" s="116"/>
    </row>
    <row r="3942" spans="8:9" x14ac:dyDescent="0.25">
      <c r="H3942" s="116"/>
      <c r="I3942" s="116"/>
    </row>
    <row r="3943" spans="8:9" x14ac:dyDescent="0.25">
      <c r="H3943" s="116"/>
      <c r="I3943" s="116"/>
    </row>
    <row r="3944" spans="8:9" x14ac:dyDescent="0.25">
      <c r="H3944" s="116"/>
      <c r="I3944" s="116"/>
    </row>
    <row r="3945" spans="8:9" x14ac:dyDescent="0.25">
      <c r="H3945" s="116"/>
      <c r="I3945" s="116"/>
    </row>
    <row r="3946" spans="8:9" x14ac:dyDescent="0.25">
      <c r="H3946" s="116"/>
      <c r="I3946" s="116"/>
    </row>
    <row r="3947" spans="8:9" x14ac:dyDescent="0.25">
      <c r="H3947" s="116"/>
      <c r="I3947" s="116"/>
    </row>
    <row r="3948" spans="8:9" x14ac:dyDescent="0.25">
      <c r="H3948" s="116"/>
      <c r="I3948" s="116"/>
    </row>
    <row r="3949" spans="8:9" x14ac:dyDescent="0.25">
      <c r="H3949" s="116"/>
      <c r="I3949" s="116"/>
    </row>
    <row r="3950" spans="8:9" x14ac:dyDescent="0.25">
      <c r="H3950" s="116"/>
      <c r="I3950" s="116"/>
    </row>
    <row r="3951" spans="8:9" x14ac:dyDescent="0.25">
      <c r="H3951" s="116"/>
      <c r="I3951" s="116"/>
    </row>
    <row r="3952" spans="8:9" x14ac:dyDescent="0.25">
      <c r="H3952" s="116"/>
      <c r="I3952" s="116"/>
    </row>
    <row r="3953" spans="8:9" x14ac:dyDescent="0.25">
      <c r="H3953" s="116"/>
      <c r="I3953" s="116"/>
    </row>
    <row r="3954" spans="8:9" x14ac:dyDescent="0.25">
      <c r="H3954" s="116"/>
      <c r="I3954" s="116"/>
    </row>
    <row r="3955" spans="8:9" x14ac:dyDescent="0.25">
      <c r="H3955" s="116"/>
      <c r="I3955" s="116"/>
    </row>
    <row r="3956" spans="8:9" x14ac:dyDescent="0.25">
      <c r="H3956" s="116"/>
      <c r="I3956" s="116"/>
    </row>
    <row r="3957" spans="8:9" x14ac:dyDescent="0.25">
      <c r="H3957" s="116"/>
      <c r="I3957" s="116"/>
    </row>
    <row r="3958" spans="8:9" x14ac:dyDescent="0.25">
      <c r="H3958" s="116"/>
      <c r="I3958" s="116"/>
    </row>
    <row r="3959" spans="8:9" x14ac:dyDescent="0.25">
      <c r="H3959" s="116"/>
      <c r="I3959" s="116"/>
    </row>
    <row r="3960" spans="8:9" x14ac:dyDescent="0.25">
      <c r="H3960" s="116"/>
      <c r="I3960" s="116"/>
    </row>
    <row r="3961" spans="8:9" x14ac:dyDescent="0.25">
      <c r="H3961" s="116"/>
      <c r="I3961" s="116"/>
    </row>
    <row r="3962" spans="8:9" x14ac:dyDescent="0.25">
      <c r="H3962" s="116"/>
      <c r="I3962" s="116"/>
    </row>
    <row r="3963" spans="8:9" x14ac:dyDescent="0.25">
      <c r="H3963" s="116"/>
      <c r="I3963" s="116"/>
    </row>
    <row r="3964" spans="8:9" x14ac:dyDescent="0.25">
      <c r="H3964" s="116"/>
      <c r="I3964" s="116"/>
    </row>
    <row r="3965" spans="8:9" x14ac:dyDescent="0.25">
      <c r="H3965" s="116"/>
      <c r="I3965" s="116"/>
    </row>
    <row r="3966" spans="8:9" x14ac:dyDescent="0.25">
      <c r="H3966" s="116"/>
      <c r="I3966" s="116"/>
    </row>
    <row r="3967" spans="8:9" x14ac:dyDescent="0.25">
      <c r="H3967" s="116"/>
      <c r="I3967" s="116"/>
    </row>
    <row r="3968" spans="8:9" x14ac:dyDescent="0.25">
      <c r="H3968" s="116"/>
      <c r="I3968" s="116"/>
    </row>
    <row r="3969" spans="8:9" x14ac:dyDescent="0.25">
      <c r="H3969" s="116"/>
      <c r="I3969" s="116"/>
    </row>
    <row r="3970" spans="8:9" x14ac:dyDescent="0.25">
      <c r="H3970" s="116"/>
      <c r="I3970" s="116"/>
    </row>
    <row r="3971" spans="8:9" x14ac:dyDescent="0.25">
      <c r="H3971" s="116"/>
      <c r="I3971" s="116"/>
    </row>
    <row r="3972" spans="8:9" x14ac:dyDescent="0.25">
      <c r="H3972" s="116"/>
      <c r="I3972" s="116"/>
    </row>
    <row r="3973" spans="8:9" x14ac:dyDescent="0.25">
      <c r="H3973" s="116"/>
      <c r="I3973" s="116"/>
    </row>
    <row r="3974" spans="8:9" x14ac:dyDescent="0.25">
      <c r="H3974" s="116"/>
      <c r="I3974" s="116"/>
    </row>
    <row r="3975" spans="8:9" x14ac:dyDescent="0.25">
      <c r="H3975" s="116"/>
      <c r="I3975" s="116"/>
    </row>
    <row r="3976" spans="8:9" x14ac:dyDescent="0.25">
      <c r="H3976" s="116"/>
      <c r="I3976" s="116"/>
    </row>
    <row r="3977" spans="8:9" x14ac:dyDescent="0.25">
      <c r="H3977" s="116"/>
      <c r="I3977" s="116"/>
    </row>
    <row r="3978" spans="8:9" x14ac:dyDescent="0.25">
      <c r="H3978" s="116"/>
      <c r="I3978" s="116"/>
    </row>
    <row r="3979" spans="8:9" x14ac:dyDescent="0.25">
      <c r="H3979" s="116"/>
      <c r="I3979" s="116"/>
    </row>
    <row r="3980" spans="8:9" x14ac:dyDescent="0.25">
      <c r="H3980" s="116"/>
      <c r="I3980" s="116"/>
    </row>
    <row r="3981" spans="8:9" x14ac:dyDescent="0.25">
      <c r="H3981" s="116"/>
      <c r="I3981" s="116"/>
    </row>
    <row r="3982" spans="8:9" x14ac:dyDescent="0.25">
      <c r="H3982" s="116"/>
      <c r="I3982" s="116"/>
    </row>
    <row r="3983" spans="8:9" x14ac:dyDescent="0.25">
      <c r="H3983" s="116"/>
      <c r="I3983" s="116"/>
    </row>
    <row r="3984" spans="8:9" x14ac:dyDescent="0.25">
      <c r="H3984" s="116"/>
      <c r="I3984" s="116"/>
    </row>
    <row r="3985" spans="8:9" x14ac:dyDescent="0.25">
      <c r="H3985" s="116"/>
      <c r="I3985" s="116"/>
    </row>
    <row r="3986" spans="8:9" x14ac:dyDescent="0.25">
      <c r="H3986" s="116"/>
      <c r="I3986" s="116"/>
    </row>
    <row r="3987" spans="8:9" x14ac:dyDescent="0.25">
      <c r="H3987" s="116"/>
      <c r="I3987" s="116"/>
    </row>
    <row r="3988" spans="8:9" x14ac:dyDescent="0.25">
      <c r="H3988" s="116"/>
      <c r="I3988" s="116"/>
    </row>
    <row r="3989" spans="8:9" x14ac:dyDescent="0.25">
      <c r="H3989" s="116"/>
      <c r="I3989" s="116"/>
    </row>
    <row r="3990" spans="8:9" x14ac:dyDescent="0.25">
      <c r="H3990" s="116"/>
      <c r="I3990" s="116"/>
    </row>
    <row r="3991" spans="8:9" x14ac:dyDescent="0.25">
      <c r="H3991" s="116"/>
      <c r="I3991" s="116"/>
    </row>
    <row r="3992" spans="8:9" x14ac:dyDescent="0.25">
      <c r="H3992" s="116"/>
      <c r="I3992" s="116"/>
    </row>
    <row r="3993" spans="8:9" x14ac:dyDescent="0.25">
      <c r="H3993" s="116"/>
      <c r="I3993" s="116"/>
    </row>
    <row r="3994" spans="8:9" x14ac:dyDescent="0.25">
      <c r="H3994" s="116"/>
      <c r="I3994" s="116"/>
    </row>
    <row r="3995" spans="8:9" x14ac:dyDescent="0.25">
      <c r="H3995" s="116"/>
      <c r="I3995" s="116"/>
    </row>
    <row r="3996" spans="8:9" x14ac:dyDescent="0.25">
      <c r="H3996" s="116"/>
      <c r="I3996" s="116"/>
    </row>
    <row r="3997" spans="8:9" x14ac:dyDescent="0.25">
      <c r="H3997" s="116"/>
      <c r="I3997" s="116"/>
    </row>
    <row r="3998" spans="8:9" x14ac:dyDescent="0.25">
      <c r="H3998" s="116"/>
      <c r="I3998" s="116"/>
    </row>
    <row r="3999" spans="8:9" x14ac:dyDescent="0.25">
      <c r="H3999" s="116"/>
      <c r="I3999" s="116"/>
    </row>
    <row r="4000" spans="8:9" x14ac:dyDescent="0.25">
      <c r="H4000" s="116"/>
      <c r="I4000" s="116"/>
    </row>
    <row r="4001" spans="8:9" x14ac:dyDescent="0.25">
      <c r="H4001" s="116"/>
      <c r="I4001" s="116"/>
    </row>
    <row r="4002" spans="8:9" x14ac:dyDescent="0.25">
      <c r="H4002" s="116"/>
      <c r="I4002" s="116"/>
    </row>
    <row r="4003" spans="8:9" x14ac:dyDescent="0.25">
      <c r="H4003" s="116"/>
      <c r="I4003" s="116"/>
    </row>
    <row r="4004" spans="8:9" x14ac:dyDescent="0.25">
      <c r="H4004" s="116"/>
      <c r="I4004" s="116"/>
    </row>
    <row r="4005" spans="8:9" x14ac:dyDescent="0.25">
      <c r="H4005" s="116"/>
      <c r="I4005" s="116"/>
    </row>
    <row r="4006" spans="8:9" x14ac:dyDescent="0.25">
      <c r="H4006" s="116"/>
      <c r="I4006" s="116"/>
    </row>
    <row r="4007" spans="8:9" x14ac:dyDescent="0.25">
      <c r="H4007" s="116"/>
      <c r="I4007" s="116"/>
    </row>
    <row r="4008" spans="8:9" x14ac:dyDescent="0.25">
      <c r="H4008" s="116"/>
      <c r="I4008" s="116"/>
    </row>
    <row r="4009" spans="8:9" x14ac:dyDescent="0.25">
      <c r="H4009" s="116"/>
      <c r="I4009" s="116"/>
    </row>
    <row r="4010" spans="8:9" x14ac:dyDescent="0.25">
      <c r="H4010" s="116"/>
      <c r="I4010" s="116"/>
    </row>
    <row r="4011" spans="8:9" x14ac:dyDescent="0.25">
      <c r="H4011" s="116"/>
      <c r="I4011" s="116"/>
    </row>
    <row r="4012" spans="8:9" x14ac:dyDescent="0.25">
      <c r="H4012" s="116"/>
      <c r="I4012" s="116"/>
    </row>
    <row r="4013" spans="8:9" x14ac:dyDescent="0.25">
      <c r="H4013" s="116"/>
      <c r="I4013" s="116"/>
    </row>
    <row r="4014" spans="8:9" x14ac:dyDescent="0.25">
      <c r="H4014" s="116"/>
      <c r="I4014" s="116"/>
    </row>
    <row r="4015" spans="8:9" x14ac:dyDescent="0.25">
      <c r="H4015" s="116"/>
      <c r="I4015" s="116"/>
    </row>
    <row r="4016" spans="8:9" x14ac:dyDescent="0.25">
      <c r="H4016" s="116"/>
      <c r="I4016" s="116"/>
    </row>
    <row r="4017" spans="8:9" x14ac:dyDescent="0.25">
      <c r="H4017" s="116"/>
      <c r="I4017" s="116"/>
    </row>
    <row r="4018" spans="8:9" x14ac:dyDescent="0.25">
      <c r="H4018" s="116"/>
      <c r="I4018" s="116"/>
    </row>
    <row r="4019" spans="8:9" x14ac:dyDescent="0.25">
      <c r="H4019" s="116"/>
      <c r="I4019" s="116"/>
    </row>
    <row r="4020" spans="8:9" x14ac:dyDescent="0.25">
      <c r="H4020" s="116"/>
      <c r="I4020" s="116"/>
    </row>
    <row r="4021" spans="8:9" x14ac:dyDescent="0.25">
      <c r="H4021" s="116"/>
      <c r="I4021" s="116"/>
    </row>
    <row r="4022" spans="8:9" x14ac:dyDescent="0.25">
      <c r="H4022" s="116"/>
      <c r="I4022" s="116"/>
    </row>
    <row r="4023" spans="8:9" x14ac:dyDescent="0.25">
      <c r="H4023" s="116"/>
      <c r="I4023" s="116"/>
    </row>
    <row r="4024" spans="8:9" x14ac:dyDescent="0.25">
      <c r="H4024" s="116"/>
      <c r="I4024" s="116"/>
    </row>
    <row r="4025" spans="8:9" x14ac:dyDescent="0.25">
      <c r="H4025" s="116"/>
      <c r="I4025" s="116"/>
    </row>
    <row r="4026" spans="8:9" x14ac:dyDescent="0.25">
      <c r="H4026" s="116"/>
      <c r="I4026" s="116"/>
    </row>
    <row r="4027" spans="8:9" x14ac:dyDescent="0.25">
      <c r="H4027" s="116"/>
      <c r="I4027" s="116"/>
    </row>
    <row r="4028" spans="8:9" x14ac:dyDescent="0.25">
      <c r="H4028" s="116"/>
      <c r="I4028" s="116"/>
    </row>
    <row r="4029" spans="8:9" x14ac:dyDescent="0.25">
      <c r="H4029" s="116"/>
      <c r="I4029" s="116"/>
    </row>
    <row r="4030" spans="8:9" x14ac:dyDescent="0.25">
      <c r="H4030" s="116"/>
      <c r="I4030" s="116"/>
    </row>
    <row r="4031" spans="8:9" x14ac:dyDescent="0.25">
      <c r="H4031" s="116"/>
      <c r="I4031" s="116"/>
    </row>
    <row r="4032" spans="8:9" x14ac:dyDescent="0.25">
      <c r="H4032" s="116"/>
      <c r="I4032" s="116"/>
    </row>
    <row r="4033" spans="8:9" x14ac:dyDescent="0.25">
      <c r="H4033" s="116"/>
      <c r="I4033" s="116"/>
    </row>
    <row r="4034" spans="8:9" x14ac:dyDescent="0.25">
      <c r="H4034" s="116"/>
      <c r="I4034" s="116"/>
    </row>
    <row r="4035" spans="8:9" x14ac:dyDescent="0.25">
      <c r="H4035" s="116"/>
      <c r="I4035" s="116"/>
    </row>
    <row r="4036" spans="8:9" x14ac:dyDescent="0.25">
      <c r="H4036" s="116"/>
      <c r="I4036" s="116"/>
    </row>
    <row r="4037" spans="8:9" x14ac:dyDescent="0.25">
      <c r="H4037" s="116"/>
      <c r="I4037" s="116"/>
    </row>
    <row r="4038" spans="8:9" x14ac:dyDescent="0.25">
      <c r="H4038" s="116"/>
      <c r="I4038" s="116"/>
    </row>
    <row r="4039" spans="8:9" x14ac:dyDescent="0.25">
      <c r="H4039" s="116"/>
      <c r="I4039" s="116"/>
    </row>
    <row r="4040" spans="8:9" x14ac:dyDescent="0.25">
      <c r="H4040" s="116"/>
      <c r="I4040" s="116"/>
    </row>
    <row r="4041" spans="8:9" x14ac:dyDescent="0.25">
      <c r="H4041" s="116"/>
      <c r="I4041" s="116"/>
    </row>
    <row r="4042" spans="8:9" x14ac:dyDescent="0.25">
      <c r="H4042" s="116"/>
      <c r="I4042" s="116"/>
    </row>
    <row r="4043" spans="8:9" x14ac:dyDescent="0.25">
      <c r="H4043" s="116"/>
      <c r="I4043" s="116"/>
    </row>
    <row r="4044" spans="8:9" x14ac:dyDescent="0.25">
      <c r="H4044" s="116"/>
      <c r="I4044" s="116"/>
    </row>
    <row r="4045" spans="8:9" x14ac:dyDescent="0.25">
      <c r="H4045" s="116"/>
      <c r="I4045" s="116"/>
    </row>
    <row r="4046" spans="8:9" x14ac:dyDescent="0.25">
      <c r="H4046" s="116"/>
      <c r="I4046" s="116"/>
    </row>
    <row r="4047" spans="8:9" x14ac:dyDescent="0.25">
      <c r="H4047" s="116"/>
      <c r="I4047" s="116"/>
    </row>
    <row r="4048" spans="8:9" x14ac:dyDescent="0.25">
      <c r="H4048" s="116"/>
      <c r="I4048" s="116"/>
    </row>
    <row r="4049" spans="8:9" x14ac:dyDescent="0.25">
      <c r="H4049" s="116"/>
      <c r="I4049" s="116"/>
    </row>
    <row r="4050" spans="8:9" x14ac:dyDescent="0.25">
      <c r="H4050" s="116"/>
      <c r="I4050" s="116"/>
    </row>
    <row r="4051" spans="8:9" x14ac:dyDescent="0.25">
      <c r="H4051" s="116"/>
      <c r="I4051" s="116"/>
    </row>
    <row r="4052" spans="8:9" x14ac:dyDescent="0.25">
      <c r="H4052" s="116"/>
      <c r="I4052" s="116"/>
    </row>
    <row r="4053" spans="8:9" x14ac:dyDescent="0.25">
      <c r="H4053" s="116"/>
      <c r="I4053" s="116"/>
    </row>
    <row r="4054" spans="8:9" x14ac:dyDescent="0.25">
      <c r="H4054" s="116"/>
      <c r="I4054" s="116"/>
    </row>
    <row r="4055" spans="8:9" x14ac:dyDescent="0.25">
      <c r="H4055" s="116"/>
      <c r="I4055" s="116"/>
    </row>
    <row r="4056" spans="8:9" x14ac:dyDescent="0.25">
      <c r="H4056" s="116"/>
      <c r="I4056" s="116"/>
    </row>
    <row r="4057" spans="8:9" x14ac:dyDescent="0.25">
      <c r="H4057" s="116"/>
      <c r="I4057" s="116"/>
    </row>
    <row r="4058" spans="8:9" x14ac:dyDescent="0.25">
      <c r="H4058" s="116"/>
      <c r="I4058" s="116"/>
    </row>
    <row r="4059" spans="8:9" x14ac:dyDescent="0.25">
      <c r="H4059" s="116"/>
      <c r="I4059" s="116"/>
    </row>
    <row r="4060" spans="8:9" x14ac:dyDescent="0.25">
      <c r="H4060" s="116"/>
      <c r="I4060" s="116"/>
    </row>
    <row r="4061" spans="8:9" x14ac:dyDescent="0.25">
      <c r="H4061" s="116"/>
      <c r="I4061" s="116"/>
    </row>
    <row r="4062" spans="8:9" x14ac:dyDescent="0.25">
      <c r="H4062" s="116"/>
      <c r="I4062" s="116"/>
    </row>
    <row r="4063" spans="8:9" x14ac:dyDescent="0.25">
      <c r="H4063" s="116"/>
      <c r="I4063" s="116"/>
    </row>
    <row r="4064" spans="8:9" x14ac:dyDescent="0.25">
      <c r="H4064" s="116"/>
      <c r="I4064" s="116"/>
    </row>
    <row r="4065" spans="8:9" x14ac:dyDescent="0.25">
      <c r="H4065" s="116"/>
      <c r="I4065" s="116"/>
    </row>
    <row r="4066" spans="8:9" x14ac:dyDescent="0.25">
      <c r="H4066" s="116"/>
      <c r="I4066" s="116"/>
    </row>
    <row r="4067" spans="8:9" x14ac:dyDescent="0.25">
      <c r="H4067" s="116"/>
      <c r="I4067" s="116"/>
    </row>
    <row r="4068" spans="8:9" x14ac:dyDescent="0.25">
      <c r="H4068" s="116"/>
      <c r="I4068" s="116"/>
    </row>
    <row r="4069" spans="8:9" x14ac:dyDescent="0.25">
      <c r="H4069" s="116"/>
      <c r="I4069" s="116"/>
    </row>
    <row r="4070" spans="8:9" x14ac:dyDescent="0.25">
      <c r="H4070" s="116"/>
      <c r="I4070" s="116"/>
    </row>
    <row r="4071" spans="8:9" x14ac:dyDescent="0.25">
      <c r="H4071" s="116"/>
      <c r="I4071" s="116"/>
    </row>
    <row r="4072" spans="8:9" x14ac:dyDescent="0.25">
      <c r="H4072" s="116"/>
      <c r="I4072" s="116"/>
    </row>
    <row r="4073" spans="8:9" x14ac:dyDescent="0.25">
      <c r="H4073" s="116"/>
      <c r="I4073" s="116"/>
    </row>
    <row r="4074" spans="8:9" x14ac:dyDescent="0.25">
      <c r="H4074" s="116"/>
      <c r="I4074" s="116"/>
    </row>
    <row r="4075" spans="8:9" x14ac:dyDescent="0.25">
      <c r="H4075" s="116"/>
      <c r="I4075" s="116"/>
    </row>
    <row r="4076" spans="8:9" x14ac:dyDescent="0.25">
      <c r="H4076" s="116"/>
      <c r="I4076" s="116"/>
    </row>
    <row r="4077" spans="8:9" x14ac:dyDescent="0.25">
      <c r="H4077" s="116"/>
      <c r="I4077" s="116"/>
    </row>
    <row r="4078" spans="8:9" x14ac:dyDescent="0.25">
      <c r="H4078" s="116"/>
      <c r="I4078" s="116"/>
    </row>
    <row r="4079" spans="8:9" x14ac:dyDescent="0.25">
      <c r="H4079" s="116"/>
      <c r="I4079" s="116"/>
    </row>
    <row r="4080" spans="8:9" x14ac:dyDescent="0.25">
      <c r="H4080" s="116"/>
      <c r="I4080" s="116"/>
    </row>
    <row r="4081" spans="8:9" x14ac:dyDescent="0.25">
      <c r="H4081" s="116"/>
      <c r="I4081" s="116"/>
    </row>
    <row r="4082" spans="8:9" x14ac:dyDescent="0.25">
      <c r="H4082" s="116"/>
      <c r="I4082" s="116"/>
    </row>
    <row r="4083" spans="8:9" x14ac:dyDescent="0.25">
      <c r="H4083" s="116"/>
      <c r="I4083" s="116"/>
    </row>
    <row r="4084" spans="8:9" x14ac:dyDescent="0.25">
      <c r="H4084" s="116"/>
      <c r="I4084" s="116"/>
    </row>
    <row r="4085" spans="8:9" x14ac:dyDescent="0.25">
      <c r="H4085" s="116"/>
      <c r="I4085" s="116"/>
    </row>
    <row r="4086" spans="8:9" x14ac:dyDescent="0.25">
      <c r="H4086" s="116"/>
      <c r="I4086" s="116"/>
    </row>
    <row r="4087" spans="8:9" x14ac:dyDescent="0.25">
      <c r="H4087" s="116"/>
      <c r="I4087" s="116"/>
    </row>
    <row r="4088" spans="8:9" x14ac:dyDescent="0.25">
      <c r="H4088" s="116"/>
      <c r="I4088" s="116"/>
    </row>
    <row r="4089" spans="8:9" x14ac:dyDescent="0.25">
      <c r="H4089" s="116"/>
      <c r="I4089" s="116"/>
    </row>
    <row r="4090" spans="8:9" x14ac:dyDescent="0.25">
      <c r="H4090" s="116"/>
      <c r="I4090" s="116"/>
    </row>
    <row r="4091" spans="8:9" x14ac:dyDescent="0.25">
      <c r="H4091" s="116"/>
      <c r="I4091" s="116"/>
    </row>
    <row r="4092" spans="8:9" x14ac:dyDescent="0.25">
      <c r="H4092" s="116"/>
      <c r="I4092" s="116"/>
    </row>
    <row r="4093" spans="8:9" x14ac:dyDescent="0.25">
      <c r="H4093" s="116"/>
      <c r="I4093" s="116"/>
    </row>
    <row r="4094" spans="8:9" x14ac:dyDescent="0.25">
      <c r="H4094" s="116"/>
      <c r="I4094" s="116"/>
    </row>
    <row r="4095" spans="8:9" x14ac:dyDescent="0.25">
      <c r="H4095" s="116"/>
      <c r="I4095" s="116"/>
    </row>
    <row r="4096" spans="8:9" x14ac:dyDescent="0.25">
      <c r="H4096" s="116"/>
      <c r="I4096" s="116"/>
    </row>
    <row r="4097" spans="8:9" x14ac:dyDescent="0.25">
      <c r="H4097" s="116"/>
      <c r="I4097" s="116"/>
    </row>
    <row r="4098" spans="8:9" x14ac:dyDescent="0.25">
      <c r="H4098" s="116"/>
      <c r="I4098" s="116"/>
    </row>
    <row r="4099" spans="8:9" x14ac:dyDescent="0.25">
      <c r="H4099" s="116"/>
      <c r="I4099" s="116"/>
    </row>
    <row r="4100" spans="8:9" x14ac:dyDescent="0.25">
      <c r="H4100" s="116"/>
      <c r="I4100" s="116"/>
    </row>
    <row r="4101" spans="8:9" x14ac:dyDescent="0.25">
      <c r="H4101" s="116"/>
      <c r="I4101" s="116"/>
    </row>
    <row r="4102" spans="8:9" x14ac:dyDescent="0.25">
      <c r="H4102" s="116"/>
      <c r="I4102" s="116"/>
    </row>
    <row r="4103" spans="8:9" x14ac:dyDescent="0.25">
      <c r="H4103" s="116"/>
      <c r="I4103" s="116"/>
    </row>
    <row r="4104" spans="8:9" x14ac:dyDescent="0.25">
      <c r="H4104" s="116"/>
      <c r="I4104" s="116"/>
    </row>
    <row r="4105" spans="8:9" x14ac:dyDescent="0.25">
      <c r="H4105" s="116"/>
      <c r="I4105" s="116"/>
    </row>
    <row r="4106" spans="8:9" x14ac:dyDescent="0.25">
      <c r="H4106" s="116"/>
      <c r="I4106" s="116"/>
    </row>
    <row r="4107" spans="8:9" x14ac:dyDescent="0.25">
      <c r="H4107" s="116"/>
      <c r="I4107" s="116"/>
    </row>
    <row r="4108" spans="8:9" x14ac:dyDescent="0.25">
      <c r="H4108" s="116"/>
      <c r="I4108" s="116"/>
    </row>
    <row r="4109" spans="8:9" x14ac:dyDescent="0.25">
      <c r="H4109" s="116"/>
      <c r="I4109" s="116"/>
    </row>
    <row r="4110" spans="8:9" x14ac:dyDescent="0.25">
      <c r="H4110" s="116"/>
      <c r="I4110" s="116"/>
    </row>
    <row r="4111" spans="8:9" x14ac:dyDescent="0.25">
      <c r="H4111" s="116"/>
      <c r="I4111" s="116"/>
    </row>
    <row r="4112" spans="8:9" x14ac:dyDescent="0.25">
      <c r="H4112" s="116"/>
      <c r="I4112" s="116"/>
    </row>
    <row r="4113" spans="8:9" x14ac:dyDescent="0.25">
      <c r="H4113" s="116"/>
      <c r="I4113" s="116"/>
    </row>
    <row r="4114" spans="8:9" x14ac:dyDescent="0.25">
      <c r="H4114" s="116"/>
      <c r="I4114" s="116"/>
    </row>
    <row r="4115" spans="8:9" x14ac:dyDescent="0.25">
      <c r="H4115" s="116"/>
      <c r="I4115" s="116"/>
    </row>
    <row r="4116" spans="8:9" x14ac:dyDescent="0.25">
      <c r="H4116" s="116"/>
      <c r="I4116" s="116"/>
    </row>
    <row r="4117" spans="8:9" x14ac:dyDescent="0.25">
      <c r="H4117" s="116"/>
      <c r="I4117" s="116"/>
    </row>
    <row r="4118" spans="8:9" x14ac:dyDescent="0.25">
      <c r="H4118" s="116"/>
      <c r="I4118" s="116"/>
    </row>
    <row r="4119" spans="8:9" x14ac:dyDescent="0.25">
      <c r="H4119" s="116"/>
      <c r="I4119" s="116"/>
    </row>
    <row r="4120" spans="8:9" x14ac:dyDescent="0.25">
      <c r="H4120" s="116"/>
      <c r="I4120" s="116"/>
    </row>
    <row r="4121" spans="8:9" x14ac:dyDescent="0.25">
      <c r="H4121" s="116"/>
      <c r="I4121" s="116"/>
    </row>
    <row r="4122" spans="8:9" x14ac:dyDescent="0.25">
      <c r="H4122" s="116"/>
      <c r="I4122" s="116"/>
    </row>
    <row r="4123" spans="8:9" x14ac:dyDescent="0.25">
      <c r="H4123" s="116"/>
      <c r="I4123" s="116"/>
    </row>
    <row r="4124" spans="8:9" x14ac:dyDescent="0.25">
      <c r="H4124" s="116"/>
      <c r="I4124" s="116"/>
    </row>
    <row r="4125" spans="8:9" x14ac:dyDescent="0.25">
      <c r="H4125" s="116"/>
      <c r="I4125" s="116"/>
    </row>
    <row r="4126" spans="8:9" x14ac:dyDescent="0.25">
      <c r="H4126" s="116"/>
      <c r="I4126" s="116"/>
    </row>
    <row r="4127" spans="8:9" x14ac:dyDescent="0.25">
      <c r="H4127" s="116"/>
      <c r="I4127" s="116"/>
    </row>
    <row r="4128" spans="8:9" x14ac:dyDescent="0.25">
      <c r="H4128" s="116"/>
      <c r="I4128" s="116"/>
    </row>
    <row r="4129" spans="8:9" x14ac:dyDescent="0.25">
      <c r="H4129" s="116"/>
      <c r="I4129" s="116"/>
    </row>
    <row r="4130" spans="8:9" x14ac:dyDescent="0.25">
      <c r="H4130" s="116"/>
      <c r="I4130" s="116"/>
    </row>
    <row r="4131" spans="8:9" x14ac:dyDescent="0.25">
      <c r="H4131" s="116"/>
      <c r="I4131" s="116"/>
    </row>
    <row r="4132" spans="8:9" x14ac:dyDescent="0.25">
      <c r="H4132" s="116"/>
      <c r="I4132" s="116"/>
    </row>
    <row r="4133" spans="8:9" x14ac:dyDescent="0.25">
      <c r="H4133" s="116"/>
      <c r="I4133" s="116"/>
    </row>
    <row r="4134" spans="8:9" x14ac:dyDescent="0.25">
      <c r="H4134" s="116"/>
      <c r="I4134" s="116"/>
    </row>
    <row r="4135" spans="8:9" x14ac:dyDescent="0.25">
      <c r="H4135" s="116"/>
      <c r="I4135" s="116"/>
    </row>
    <row r="4136" spans="8:9" x14ac:dyDescent="0.25">
      <c r="H4136" s="116"/>
      <c r="I4136" s="116"/>
    </row>
    <row r="4137" spans="8:9" x14ac:dyDescent="0.25">
      <c r="H4137" s="116"/>
      <c r="I4137" s="116"/>
    </row>
    <row r="4138" spans="8:9" x14ac:dyDescent="0.25">
      <c r="H4138" s="116"/>
      <c r="I4138" s="116"/>
    </row>
    <row r="4139" spans="8:9" x14ac:dyDescent="0.25">
      <c r="H4139" s="116"/>
      <c r="I4139" s="116"/>
    </row>
    <row r="4140" spans="8:9" x14ac:dyDescent="0.25">
      <c r="H4140" s="116"/>
      <c r="I4140" s="116"/>
    </row>
    <row r="4141" spans="8:9" x14ac:dyDescent="0.25">
      <c r="H4141" s="116"/>
      <c r="I4141" s="116"/>
    </row>
    <row r="4142" spans="8:9" x14ac:dyDescent="0.25">
      <c r="H4142" s="116"/>
      <c r="I4142" s="116"/>
    </row>
    <row r="4143" spans="8:9" x14ac:dyDescent="0.25">
      <c r="H4143" s="116"/>
      <c r="I4143" s="116"/>
    </row>
    <row r="4144" spans="8:9" x14ac:dyDescent="0.25">
      <c r="H4144" s="116"/>
      <c r="I4144" s="116"/>
    </row>
    <row r="4145" spans="8:9" x14ac:dyDescent="0.25">
      <c r="H4145" s="116"/>
      <c r="I4145" s="116"/>
    </row>
    <row r="4146" spans="8:9" x14ac:dyDescent="0.25">
      <c r="H4146" s="116"/>
      <c r="I4146" s="116"/>
    </row>
    <row r="4147" spans="8:9" x14ac:dyDescent="0.25">
      <c r="H4147" s="116"/>
      <c r="I4147" s="116"/>
    </row>
    <row r="4148" spans="8:9" x14ac:dyDescent="0.25">
      <c r="H4148" s="116"/>
      <c r="I4148" s="116"/>
    </row>
    <row r="4149" spans="8:9" x14ac:dyDescent="0.25">
      <c r="H4149" s="116"/>
      <c r="I4149" s="116"/>
    </row>
    <row r="4150" spans="8:9" x14ac:dyDescent="0.25">
      <c r="H4150" s="116"/>
      <c r="I4150" s="116"/>
    </row>
    <row r="4151" spans="8:9" x14ac:dyDescent="0.25">
      <c r="H4151" s="116"/>
      <c r="I4151" s="116"/>
    </row>
    <row r="4152" spans="8:9" x14ac:dyDescent="0.25">
      <c r="H4152" s="116"/>
      <c r="I4152" s="116"/>
    </row>
    <row r="4153" spans="8:9" x14ac:dyDescent="0.25">
      <c r="H4153" s="116"/>
      <c r="I4153" s="116"/>
    </row>
    <row r="4154" spans="8:9" x14ac:dyDescent="0.25">
      <c r="H4154" s="116"/>
      <c r="I4154" s="116"/>
    </row>
    <row r="4155" spans="8:9" x14ac:dyDescent="0.25">
      <c r="H4155" s="116"/>
      <c r="I4155" s="116"/>
    </row>
    <row r="4156" spans="8:9" x14ac:dyDescent="0.25">
      <c r="H4156" s="116"/>
      <c r="I4156" s="116"/>
    </row>
    <row r="4157" spans="8:9" x14ac:dyDescent="0.25">
      <c r="H4157" s="116"/>
      <c r="I4157" s="116"/>
    </row>
    <row r="4158" spans="8:9" x14ac:dyDescent="0.25">
      <c r="H4158" s="116"/>
      <c r="I4158" s="116"/>
    </row>
    <row r="4159" spans="8:9" x14ac:dyDescent="0.25">
      <c r="H4159" s="116"/>
      <c r="I4159" s="116"/>
    </row>
    <row r="4160" spans="8:9" x14ac:dyDescent="0.25">
      <c r="H4160" s="116"/>
      <c r="I4160" s="116"/>
    </row>
    <row r="4161" spans="8:9" x14ac:dyDescent="0.25">
      <c r="H4161" s="116"/>
      <c r="I4161" s="116"/>
    </row>
    <row r="4162" spans="8:9" x14ac:dyDescent="0.25">
      <c r="H4162" s="116"/>
      <c r="I4162" s="116"/>
    </row>
    <row r="4163" spans="8:9" x14ac:dyDescent="0.25">
      <c r="H4163" s="116"/>
      <c r="I4163" s="116"/>
    </row>
    <row r="4164" spans="8:9" x14ac:dyDescent="0.25">
      <c r="H4164" s="116"/>
      <c r="I4164" s="116"/>
    </row>
    <row r="4165" spans="8:9" x14ac:dyDescent="0.25">
      <c r="H4165" s="116"/>
      <c r="I4165" s="116"/>
    </row>
    <row r="4166" spans="8:9" x14ac:dyDescent="0.25">
      <c r="H4166" s="116"/>
      <c r="I4166" s="116"/>
    </row>
    <row r="4167" spans="8:9" x14ac:dyDescent="0.25">
      <c r="H4167" s="116"/>
      <c r="I4167" s="116"/>
    </row>
    <row r="4168" spans="8:9" x14ac:dyDescent="0.25">
      <c r="H4168" s="116"/>
      <c r="I4168" s="116"/>
    </row>
    <row r="4169" spans="8:9" x14ac:dyDescent="0.25">
      <c r="H4169" s="116"/>
      <c r="I4169" s="116"/>
    </row>
    <row r="4170" spans="8:9" x14ac:dyDescent="0.25">
      <c r="H4170" s="116"/>
      <c r="I4170" s="116"/>
    </row>
    <row r="4171" spans="8:9" x14ac:dyDescent="0.25">
      <c r="H4171" s="116"/>
      <c r="I4171" s="116"/>
    </row>
    <row r="4172" spans="8:9" x14ac:dyDescent="0.25">
      <c r="H4172" s="116"/>
      <c r="I4172" s="116"/>
    </row>
    <row r="4173" spans="8:9" x14ac:dyDescent="0.25">
      <c r="H4173" s="116"/>
      <c r="I4173" s="116"/>
    </row>
    <row r="4174" spans="8:9" x14ac:dyDescent="0.25">
      <c r="H4174" s="116"/>
      <c r="I4174" s="116"/>
    </row>
    <row r="4175" spans="8:9" x14ac:dyDescent="0.25">
      <c r="H4175" s="116"/>
      <c r="I4175" s="116"/>
    </row>
    <row r="4176" spans="8:9" x14ac:dyDescent="0.25">
      <c r="H4176" s="116"/>
      <c r="I4176" s="116"/>
    </row>
    <row r="4177" spans="8:9" x14ac:dyDescent="0.25">
      <c r="H4177" s="116"/>
      <c r="I4177" s="116"/>
    </row>
    <row r="4178" spans="8:9" x14ac:dyDescent="0.25">
      <c r="H4178" s="116"/>
      <c r="I4178" s="116"/>
    </row>
    <row r="4179" spans="8:9" x14ac:dyDescent="0.25">
      <c r="H4179" s="116"/>
      <c r="I4179" s="116"/>
    </row>
    <row r="4180" spans="8:9" x14ac:dyDescent="0.25">
      <c r="H4180" s="116"/>
      <c r="I4180" s="116"/>
    </row>
    <row r="4181" spans="8:9" x14ac:dyDescent="0.25">
      <c r="H4181" s="116"/>
      <c r="I4181" s="116"/>
    </row>
    <row r="4182" spans="8:9" x14ac:dyDescent="0.25">
      <c r="H4182" s="116"/>
      <c r="I4182" s="116"/>
    </row>
    <row r="4183" spans="8:9" x14ac:dyDescent="0.25">
      <c r="H4183" s="116"/>
      <c r="I4183" s="116"/>
    </row>
    <row r="4184" spans="8:9" x14ac:dyDescent="0.25">
      <c r="H4184" s="116"/>
      <c r="I4184" s="116"/>
    </row>
    <row r="4185" spans="8:9" x14ac:dyDescent="0.25">
      <c r="H4185" s="116"/>
      <c r="I4185" s="116"/>
    </row>
    <row r="4186" spans="8:9" x14ac:dyDescent="0.25">
      <c r="H4186" s="116"/>
      <c r="I4186" s="116"/>
    </row>
    <row r="4187" spans="8:9" x14ac:dyDescent="0.25">
      <c r="H4187" s="116"/>
      <c r="I4187" s="116"/>
    </row>
    <row r="4188" spans="8:9" x14ac:dyDescent="0.25">
      <c r="H4188" s="116"/>
      <c r="I4188" s="116"/>
    </row>
    <row r="4189" spans="8:9" x14ac:dyDescent="0.25">
      <c r="H4189" s="116"/>
      <c r="I4189" s="116"/>
    </row>
    <row r="4190" spans="8:9" x14ac:dyDescent="0.25">
      <c r="H4190" s="116"/>
      <c r="I4190" s="116"/>
    </row>
    <row r="4191" spans="8:9" x14ac:dyDescent="0.25">
      <c r="H4191" s="116"/>
      <c r="I4191" s="116"/>
    </row>
    <row r="4192" spans="8:9" x14ac:dyDescent="0.25">
      <c r="H4192" s="116"/>
      <c r="I4192" s="116"/>
    </row>
    <row r="4193" spans="8:9" x14ac:dyDescent="0.25">
      <c r="H4193" s="116"/>
      <c r="I4193" s="116"/>
    </row>
    <row r="4194" spans="8:9" x14ac:dyDescent="0.25">
      <c r="H4194" s="116"/>
      <c r="I4194" s="116"/>
    </row>
    <row r="4195" spans="8:9" x14ac:dyDescent="0.25">
      <c r="H4195" s="116"/>
      <c r="I4195" s="116"/>
    </row>
    <row r="4196" spans="8:9" x14ac:dyDescent="0.25">
      <c r="H4196" s="116"/>
      <c r="I4196" s="116"/>
    </row>
    <row r="4197" spans="8:9" x14ac:dyDescent="0.25">
      <c r="H4197" s="116"/>
      <c r="I4197" s="116"/>
    </row>
    <row r="4198" spans="8:9" x14ac:dyDescent="0.25">
      <c r="H4198" s="116"/>
      <c r="I4198" s="116"/>
    </row>
    <row r="4199" spans="8:9" x14ac:dyDescent="0.25">
      <c r="H4199" s="116"/>
      <c r="I4199" s="116"/>
    </row>
    <row r="4200" spans="8:9" x14ac:dyDescent="0.25">
      <c r="H4200" s="116"/>
      <c r="I4200" s="116"/>
    </row>
    <row r="4201" spans="8:9" x14ac:dyDescent="0.25">
      <c r="H4201" s="116"/>
      <c r="I4201" s="116"/>
    </row>
    <row r="4202" spans="8:9" x14ac:dyDescent="0.25">
      <c r="H4202" s="116"/>
      <c r="I4202" s="116"/>
    </row>
    <row r="4203" spans="8:9" x14ac:dyDescent="0.25">
      <c r="H4203" s="116"/>
      <c r="I4203" s="116"/>
    </row>
    <row r="4204" spans="8:9" x14ac:dyDescent="0.25">
      <c r="H4204" s="116"/>
      <c r="I4204" s="116"/>
    </row>
    <row r="4205" spans="8:9" x14ac:dyDescent="0.25">
      <c r="H4205" s="116"/>
      <c r="I4205" s="116"/>
    </row>
    <row r="4206" spans="8:9" x14ac:dyDescent="0.25">
      <c r="H4206" s="116"/>
      <c r="I4206" s="116"/>
    </row>
    <row r="4207" spans="8:9" x14ac:dyDescent="0.25">
      <c r="H4207" s="116"/>
      <c r="I4207" s="116"/>
    </row>
    <row r="4208" spans="8:9" x14ac:dyDescent="0.25">
      <c r="H4208" s="116"/>
      <c r="I4208" s="116"/>
    </row>
    <row r="4209" spans="8:9" x14ac:dyDescent="0.25">
      <c r="H4209" s="116"/>
      <c r="I4209" s="116"/>
    </row>
    <row r="4210" spans="8:9" x14ac:dyDescent="0.25">
      <c r="H4210" s="116"/>
      <c r="I4210" s="116"/>
    </row>
    <row r="4211" spans="8:9" x14ac:dyDescent="0.25">
      <c r="H4211" s="116"/>
      <c r="I4211" s="116"/>
    </row>
    <row r="4212" spans="8:9" x14ac:dyDescent="0.25">
      <c r="H4212" s="116"/>
      <c r="I4212" s="116"/>
    </row>
    <row r="4213" spans="8:9" x14ac:dyDescent="0.25">
      <c r="H4213" s="116"/>
      <c r="I4213" s="116"/>
    </row>
    <row r="4214" spans="8:9" x14ac:dyDescent="0.25">
      <c r="H4214" s="116"/>
      <c r="I4214" s="116"/>
    </row>
    <row r="4215" spans="8:9" x14ac:dyDescent="0.25">
      <c r="H4215" s="116"/>
      <c r="I4215" s="116"/>
    </row>
    <row r="4216" spans="8:9" x14ac:dyDescent="0.25">
      <c r="H4216" s="116"/>
      <c r="I4216" s="116"/>
    </row>
    <row r="4217" spans="8:9" x14ac:dyDescent="0.25">
      <c r="H4217" s="116"/>
      <c r="I4217" s="116"/>
    </row>
    <row r="4218" spans="8:9" x14ac:dyDescent="0.25">
      <c r="H4218" s="116"/>
      <c r="I4218" s="116"/>
    </row>
    <row r="4219" spans="8:9" x14ac:dyDescent="0.25">
      <c r="H4219" s="116"/>
      <c r="I4219" s="116"/>
    </row>
    <row r="4220" spans="8:9" x14ac:dyDescent="0.25">
      <c r="H4220" s="116"/>
      <c r="I4220" s="116"/>
    </row>
    <row r="4221" spans="8:9" x14ac:dyDescent="0.25">
      <c r="H4221" s="116"/>
      <c r="I4221" s="116"/>
    </row>
    <row r="4222" spans="8:9" x14ac:dyDescent="0.25">
      <c r="H4222" s="116"/>
      <c r="I4222" s="116"/>
    </row>
    <row r="4223" spans="8:9" x14ac:dyDescent="0.25">
      <c r="H4223" s="116"/>
      <c r="I4223" s="116"/>
    </row>
    <row r="4224" spans="8:9" x14ac:dyDescent="0.25">
      <c r="H4224" s="116"/>
      <c r="I4224" s="116"/>
    </row>
    <row r="4225" spans="8:9" x14ac:dyDescent="0.25">
      <c r="H4225" s="116"/>
      <c r="I4225" s="116"/>
    </row>
    <row r="4226" spans="8:9" x14ac:dyDescent="0.25">
      <c r="H4226" s="116"/>
      <c r="I4226" s="116"/>
    </row>
    <row r="4227" spans="8:9" x14ac:dyDescent="0.25">
      <c r="H4227" s="116"/>
      <c r="I4227" s="116"/>
    </row>
    <row r="4228" spans="8:9" x14ac:dyDescent="0.25">
      <c r="H4228" s="116"/>
      <c r="I4228" s="116"/>
    </row>
    <row r="4229" spans="8:9" x14ac:dyDescent="0.25">
      <c r="H4229" s="116"/>
      <c r="I4229" s="116"/>
    </row>
    <row r="4230" spans="8:9" x14ac:dyDescent="0.25">
      <c r="H4230" s="116"/>
      <c r="I4230" s="116"/>
    </row>
    <row r="4231" spans="8:9" x14ac:dyDescent="0.25">
      <c r="H4231" s="116"/>
      <c r="I4231" s="116"/>
    </row>
    <row r="4232" spans="8:9" x14ac:dyDescent="0.25">
      <c r="H4232" s="116"/>
      <c r="I4232" s="116"/>
    </row>
    <row r="4233" spans="8:9" x14ac:dyDescent="0.25">
      <c r="H4233" s="116"/>
      <c r="I4233" s="116"/>
    </row>
    <row r="4234" spans="8:9" x14ac:dyDescent="0.25">
      <c r="H4234" s="116"/>
      <c r="I4234" s="116"/>
    </row>
    <row r="4235" spans="8:9" x14ac:dyDescent="0.25">
      <c r="H4235" s="116"/>
      <c r="I4235" s="116"/>
    </row>
    <row r="4236" spans="8:9" x14ac:dyDescent="0.25">
      <c r="H4236" s="116"/>
      <c r="I4236" s="116"/>
    </row>
    <row r="4237" spans="8:9" x14ac:dyDescent="0.25">
      <c r="H4237" s="116"/>
      <c r="I4237" s="116"/>
    </row>
    <row r="4238" spans="8:9" x14ac:dyDescent="0.25">
      <c r="H4238" s="116"/>
      <c r="I4238" s="116"/>
    </row>
    <row r="4239" spans="8:9" x14ac:dyDescent="0.25">
      <c r="H4239" s="116"/>
      <c r="I4239" s="116"/>
    </row>
    <row r="4240" spans="8:9" x14ac:dyDescent="0.25">
      <c r="H4240" s="116"/>
      <c r="I4240" s="116"/>
    </row>
    <row r="4241" spans="8:9" x14ac:dyDescent="0.25">
      <c r="H4241" s="116"/>
      <c r="I4241" s="116"/>
    </row>
    <row r="4242" spans="8:9" x14ac:dyDescent="0.25">
      <c r="H4242" s="116"/>
      <c r="I4242" s="116"/>
    </row>
    <row r="4243" spans="8:9" x14ac:dyDescent="0.25">
      <c r="H4243" s="116"/>
      <c r="I4243" s="116"/>
    </row>
    <row r="4244" spans="8:9" x14ac:dyDescent="0.25">
      <c r="H4244" s="116"/>
      <c r="I4244" s="116"/>
    </row>
    <row r="4245" spans="8:9" x14ac:dyDescent="0.25">
      <c r="H4245" s="116"/>
      <c r="I4245" s="116"/>
    </row>
    <row r="4246" spans="8:9" x14ac:dyDescent="0.25">
      <c r="H4246" s="116"/>
      <c r="I4246" s="116"/>
    </row>
    <row r="4247" spans="8:9" x14ac:dyDescent="0.25">
      <c r="H4247" s="116"/>
      <c r="I4247" s="116"/>
    </row>
    <row r="4248" spans="8:9" x14ac:dyDescent="0.25">
      <c r="H4248" s="116"/>
      <c r="I4248" s="116"/>
    </row>
    <row r="4249" spans="8:9" x14ac:dyDescent="0.25">
      <c r="H4249" s="116"/>
      <c r="I4249" s="116"/>
    </row>
    <row r="4250" spans="8:9" x14ac:dyDescent="0.25">
      <c r="H4250" s="116"/>
      <c r="I4250" s="116"/>
    </row>
    <row r="4251" spans="8:9" x14ac:dyDescent="0.25">
      <c r="H4251" s="116"/>
      <c r="I4251" s="116"/>
    </row>
    <row r="4252" spans="8:9" x14ac:dyDescent="0.25">
      <c r="H4252" s="116"/>
      <c r="I4252" s="116"/>
    </row>
    <row r="4253" spans="8:9" x14ac:dyDescent="0.25">
      <c r="H4253" s="116"/>
      <c r="I4253" s="116"/>
    </row>
    <row r="4254" spans="8:9" x14ac:dyDescent="0.25">
      <c r="H4254" s="116"/>
      <c r="I4254" s="116"/>
    </row>
    <row r="4255" spans="8:9" x14ac:dyDescent="0.25">
      <c r="H4255" s="116"/>
      <c r="I4255" s="116"/>
    </row>
    <row r="4256" spans="8:9" x14ac:dyDescent="0.25">
      <c r="H4256" s="116"/>
      <c r="I4256" s="116"/>
    </row>
    <row r="4257" spans="8:9" x14ac:dyDescent="0.25">
      <c r="H4257" s="116"/>
      <c r="I4257" s="116"/>
    </row>
    <row r="4258" spans="8:9" x14ac:dyDescent="0.25">
      <c r="H4258" s="116"/>
      <c r="I4258" s="116"/>
    </row>
    <row r="4259" spans="8:9" x14ac:dyDescent="0.25">
      <c r="H4259" s="116"/>
      <c r="I4259" s="116"/>
    </row>
    <row r="4260" spans="8:9" x14ac:dyDescent="0.25">
      <c r="H4260" s="116"/>
      <c r="I4260" s="116"/>
    </row>
    <row r="4261" spans="8:9" x14ac:dyDescent="0.25">
      <c r="H4261" s="116"/>
      <c r="I4261" s="116"/>
    </row>
    <row r="4262" spans="8:9" x14ac:dyDescent="0.25">
      <c r="H4262" s="116"/>
      <c r="I4262" s="116"/>
    </row>
    <row r="4263" spans="8:9" x14ac:dyDescent="0.25">
      <c r="H4263" s="116"/>
      <c r="I4263" s="116"/>
    </row>
    <row r="4264" spans="8:9" x14ac:dyDescent="0.25">
      <c r="H4264" s="116"/>
      <c r="I4264" s="116"/>
    </row>
    <row r="4265" spans="8:9" x14ac:dyDescent="0.25">
      <c r="H4265" s="116"/>
      <c r="I4265" s="116"/>
    </row>
    <row r="4266" spans="8:9" x14ac:dyDescent="0.25">
      <c r="H4266" s="116"/>
      <c r="I4266" s="116"/>
    </row>
    <row r="4267" spans="8:9" x14ac:dyDescent="0.25">
      <c r="H4267" s="116"/>
      <c r="I4267" s="116"/>
    </row>
    <row r="4268" spans="8:9" x14ac:dyDescent="0.25">
      <c r="H4268" s="116"/>
      <c r="I4268" s="116"/>
    </row>
    <row r="4269" spans="8:9" x14ac:dyDescent="0.25">
      <c r="H4269" s="116"/>
      <c r="I4269" s="116"/>
    </row>
    <row r="4270" spans="8:9" x14ac:dyDescent="0.25">
      <c r="H4270" s="116"/>
      <c r="I4270" s="116"/>
    </row>
    <row r="4271" spans="8:9" x14ac:dyDescent="0.25">
      <c r="H4271" s="116"/>
      <c r="I4271" s="116"/>
    </row>
    <row r="4272" spans="8:9" x14ac:dyDescent="0.25">
      <c r="H4272" s="116"/>
      <c r="I4272" s="116"/>
    </row>
    <row r="4273" spans="8:9" x14ac:dyDescent="0.25">
      <c r="H4273" s="116"/>
      <c r="I4273" s="116"/>
    </row>
    <row r="4274" spans="8:9" x14ac:dyDescent="0.25">
      <c r="H4274" s="116"/>
      <c r="I4274" s="116"/>
    </row>
    <row r="4275" spans="8:9" x14ac:dyDescent="0.25">
      <c r="H4275" s="116"/>
      <c r="I4275" s="116"/>
    </row>
    <row r="4276" spans="8:9" x14ac:dyDescent="0.25">
      <c r="H4276" s="116"/>
      <c r="I4276" s="116"/>
    </row>
    <row r="4277" spans="8:9" x14ac:dyDescent="0.25">
      <c r="H4277" s="116"/>
      <c r="I4277" s="116"/>
    </row>
    <row r="4278" spans="8:9" x14ac:dyDescent="0.25">
      <c r="H4278" s="116"/>
      <c r="I4278" s="116"/>
    </row>
    <row r="4279" spans="8:9" x14ac:dyDescent="0.25">
      <c r="H4279" s="116"/>
      <c r="I4279" s="116"/>
    </row>
    <row r="4280" spans="8:9" x14ac:dyDescent="0.25">
      <c r="H4280" s="116"/>
      <c r="I4280" s="116"/>
    </row>
    <row r="4281" spans="8:9" x14ac:dyDescent="0.25">
      <c r="H4281" s="116"/>
      <c r="I4281" s="116"/>
    </row>
    <row r="4282" spans="8:9" x14ac:dyDescent="0.25">
      <c r="H4282" s="116"/>
      <c r="I4282" s="116"/>
    </row>
    <row r="4283" spans="8:9" x14ac:dyDescent="0.25">
      <c r="H4283" s="116"/>
      <c r="I4283" s="116"/>
    </row>
    <row r="4284" spans="8:9" x14ac:dyDescent="0.25">
      <c r="H4284" s="116"/>
      <c r="I4284" s="116"/>
    </row>
    <row r="4285" spans="8:9" x14ac:dyDescent="0.25">
      <c r="H4285" s="116"/>
      <c r="I4285" s="116"/>
    </row>
    <row r="4286" spans="8:9" x14ac:dyDescent="0.25">
      <c r="H4286" s="116"/>
      <c r="I4286" s="116"/>
    </row>
    <row r="4287" spans="8:9" x14ac:dyDescent="0.25">
      <c r="H4287" s="116"/>
      <c r="I4287" s="116"/>
    </row>
    <row r="4288" spans="8:9" x14ac:dyDescent="0.25">
      <c r="H4288" s="116"/>
      <c r="I4288" s="116"/>
    </row>
    <row r="4289" spans="8:9" x14ac:dyDescent="0.25">
      <c r="H4289" s="116"/>
      <c r="I4289" s="116"/>
    </row>
    <row r="4290" spans="8:9" x14ac:dyDescent="0.25">
      <c r="H4290" s="116"/>
      <c r="I4290" s="116"/>
    </row>
    <row r="4291" spans="8:9" x14ac:dyDescent="0.25">
      <c r="H4291" s="116"/>
      <c r="I4291" s="116"/>
    </row>
    <row r="4292" spans="8:9" x14ac:dyDescent="0.25">
      <c r="H4292" s="116"/>
      <c r="I4292" s="116"/>
    </row>
    <row r="4293" spans="8:9" x14ac:dyDescent="0.25">
      <c r="H4293" s="116"/>
      <c r="I4293" s="116"/>
    </row>
    <row r="4294" spans="8:9" x14ac:dyDescent="0.25">
      <c r="H4294" s="116"/>
      <c r="I4294" s="116"/>
    </row>
    <row r="4295" spans="8:9" x14ac:dyDescent="0.25">
      <c r="H4295" s="116"/>
      <c r="I4295" s="116"/>
    </row>
    <row r="4296" spans="8:9" x14ac:dyDescent="0.25">
      <c r="H4296" s="116"/>
      <c r="I4296" s="116"/>
    </row>
    <row r="4297" spans="8:9" x14ac:dyDescent="0.25">
      <c r="H4297" s="116"/>
      <c r="I4297" s="116"/>
    </row>
    <row r="4298" spans="8:9" x14ac:dyDescent="0.25">
      <c r="H4298" s="116"/>
      <c r="I4298" s="116"/>
    </row>
    <row r="4299" spans="8:9" x14ac:dyDescent="0.25">
      <c r="H4299" s="116"/>
      <c r="I4299" s="116"/>
    </row>
    <row r="4300" spans="8:9" x14ac:dyDescent="0.25">
      <c r="H4300" s="116"/>
      <c r="I4300" s="116"/>
    </row>
    <row r="4301" spans="8:9" x14ac:dyDescent="0.25">
      <c r="H4301" s="116"/>
      <c r="I4301" s="116"/>
    </row>
    <row r="4302" spans="8:9" x14ac:dyDescent="0.25">
      <c r="H4302" s="116"/>
      <c r="I4302" s="116"/>
    </row>
    <row r="4303" spans="8:9" x14ac:dyDescent="0.25">
      <c r="H4303" s="116"/>
      <c r="I4303" s="116"/>
    </row>
    <row r="4304" spans="8:9" x14ac:dyDescent="0.25">
      <c r="H4304" s="116"/>
      <c r="I4304" s="116"/>
    </row>
    <row r="4305" spans="8:9" x14ac:dyDescent="0.25">
      <c r="H4305" s="116"/>
      <c r="I4305" s="116"/>
    </row>
    <row r="4306" spans="8:9" x14ac:dyDescent="0.25">
      <c r="H4306" s="116"/>
      <c r="I4306" s="116"/>
    </row>
    <row r="4307" spans="8:9" x14ac:dyDescent="0.25">
      <c r="H4307" s="116"/>
      <c r="I4307" s="116"/>
    </row>
    <row r="4308" spans="8:9" x14ac:dyDescent="0.25">
      <c r="H4308" s="116"/>
      <c r="I4308" s="116"/>
    </row>
    <row r="4309" spans="8:9" x14ac:dyDescent="0.25">
      <c r="H4309" s="116"/>
      <c r="I4309" s="116"/>
    </row>
    <row r="4310" spans="8:9" x14ac:dyDescent="0.25">
      <c r="H4310" s="116"/>
      <c r="I4310" s="116"/>
    </row>
    <row r="4311" spans="8:9" x14ac:dyDescent="0.25">
      <c r="H4311" s="116"/>
      <c r="I4311" s="116"/>
    </row>
    <row r="4312" spans="8:9" x14ac:dyDescent="0.25">
      <c r="H4312" s="116"/>
      <c r="I4312" s="116"/>
    </row>
    <row r="4313" spans="8:9" x14ac:dyDescent="0.25">
      <c r="H4313" s="116"/>
      <c r="I4313" s="116"/>
    </row>
    <row r="4314" spans="8:9" x14ac:dyDescent="0.25">
      <c r="H4314" s="116"/>
      <c r="I4314" s="116"/>
    </row>
    <row r="4315" spans="8:9" x14ac:dyDescent="0.25">
      <c r="H4315" s="116"/>
      <c r="I4315" s="116"/>
    </row>
    <row r="4316" spans="8:9" x14ac:dyDescent="0.25">
      <c r="H4316" s="116"/>
      <c r="I4316" s="116"/>
    </row>
    <row r="4317" spans="8:9" x14ac:dyDescent="0.25">
      <c r="H4317" s="116"/>
      <c r="I4317" s="116"/>
    </row>
    <row r="4318" spans="8:9" x14ac:dyDescent="0.25">
      <c r="H4318" s="116"/>
      <c r="I4318" s="116"/>
    </row>
    <row r="4319" spans="8:9" x14ac:dyDescent="0.25">
      <c r="H4319" s="116"/>
      <c r="I4319" s="116"/>
    </row>
    <row r="4320" spans="8:9" x14ac:dyDescent="0.25">
      <c r="H4320" s="116"/>
      <c r="I4320" s="116"/>
    </row>
    <row r="4321" spans="8:9" x14ac:dyDescent="0.25">
      <c r="H4321" s="116"/>
      <c r="I4321" s="116"/>
    </row>
    <row r="4322" spans="8:9" x14ac:dyDescent="0.25">
      <c r="H4322" s="116"/>
      <c r="I4322" s="116"/>
    </row>
    <row r="4323" spans="8:9" x14ac:dyDescent="0.25">
      <c r="H4323" s="116"/>
      <c r="I4323" s="116"/>
    </row>
    <row r="4324" spans="8:9" x14ac:dyDescent="0.25">
      <c r="H4324" s="116"/>
      <c r="I4324" s="116"/>
    </row>
    <row r="4325" spans="8:9" x14ac:dyDescent="0.25">
      <c r="H4325" s="116"/>
      <c r="I4325" s="116"/>
    </row>
    <row r="4326" spans="8:9" x14ac:dyDescent="0.25">
      <c r="H4326" s="116"/>
      <c r="I4326" s="116"/>
    </row>
    <row r="4327" spans="8:9" x14ac:dyDescent="0.25">
      <c r="H4327" s="116"/>
      <c r="I4327" s="116"/>
    </row>
    <row r="4328" spans="8:9" x14ac:dyDescent="0.25">
      <c r="H4328" s="116"/>
      <c r="I4328" s="116"/>
    </row>
    <row r="4329" spans="8:9" x14ac:dyDescent="0.25">
      <c r="H4329" s="116"/>
      <c r="I4329" s="116"/>
    </row>
    <row r="4330" spans="8:9" x14ac:dyDescent="0.25">
      <c r="H4330" s="116"/>
      <c r="I4330" s="116"/>
    </row>
    <row r="4331" spans="8:9" x14ac:dyDescent="0.25">
      <c r="H4331" s="116"/>
      <c r="I4331" s="116"/>
    </row>
    <row r="4332" spans="8:9" x14ac:dyDescent="0.25">
      <c r="H4332" s="116"/>
      <c r="I4332" s="116"/>
    </row>
    <row r="4333" spans="8:9" x14ac:dyDescent="0.25">
      <c r="H4333" s="116"/>
      <c r="I4333" s="116"/>
    </row>
    <row r="4334" spans="8:9" x14ac:dyDescent="0.25">
      <c r="H4334" s="116"/>
      <c r="I4334" s="116"/>
    </row>
    <row r="4335" spans="8:9" x14ac:dyDescent="0.25">
      <c r="H4335" s="116"/>
      <c r="I4335" s="116"/>
    </row>
    <row r="4336" spans="8:9" x14ac:dyDescent="0.25">
      <c r="H4336" s="116"/>
      <c r="I4336" s="116"/>
    </row>
    <row r="4337" spans="8:9" x14ac:dyDescent="0.25">
      <c r="H4337" s="116"/>
      <c r="I4337" s="116"/>
    </row>
    <row r="4338" spans="8:9" x14ac:dyDescent="0.25">
      <c r="H4338" s="116"/>
      <c r="I4338" s="116"/>
    </row>
    <row r="4339" spans="8:9" x14ac:dyDescent="0.25">
      <c r="H4339" s="116"/>
      <c r="I4339" s="116"/>
    </row>
    <row r="4340" spans="8:9" x14ac:dyDescent="0.25">
      <c r="H4340" s="116"/>
      <c r="I4340" s="116"/>
    </row>
    <row r="4341" spans="8:9" x14ac:dyDescent="0.25">
      <c r="H4341" s="116"/>
      <c r="I4341" s="116"/>
    </row>
    <row r="4342" spans="8:9" x14ac:dyDescent="0.25">
      <c r="H4342" s="116"/>
      <c r="I4342" s="116"/>
    </row>
    <row r="4343" spans="8:9" x14ac:dyDescent="0.25">
      <c r="H4343" s="116"/>
      <c r="I4343" s="116"/>
    </row>
    <row r="4344" spans="8:9" x14ac:dyDescent="0.25">
      <c r="H4344" s="116"/>
      <c r="I4344" s="116"/>
    </row>
    <row r="4345" spans="8:9" x14ac:dyDescent="0.25">
      <c r="H4345" s="116"/>
      <c r="I4345" s="116"/>
    </row>
    <row r="4346" spans="8:9" x14ac:dyDescent="0.25">
      <c r="H4346" s="116"/>
      <c r="I4346" s="116"/>
    </row>
    <row r="4347" spans="8:9" x14ac:dyDescent="0.25">
      <c r="H4347" s="116"/>
      <c r="I4347" s="116"/>
    </row>
    <row r="4348" spans="8:9" x14ac:dyDescent="0.25">
      <c r="H4348" s="116"/>
      <c r="I4348" s="116"/>
    </row>
    <row r="4349" spans="8:9" x14ac:dyDescent="0.25">
      <c r="H4349" s="116"/>
      <c r="I4349" s="116"/>
    </row>
    <row r="4350" spans="8:9" x14ac:dyDescent="0.25">
      <c r="H4350" s="116"/>
      <c r="I4350" s="116"/>
    </row>
    <row r="4351" spans="8:9" x14ac:dyDescent="0.25">
      <c r="H4351" s="116"/>
      <c r="I4351" s="116"/>
    </row>
    <row r="4352" spans="8:9" x14ac:dyDescent="0.25">
      <c r="H4352" s="116"/>
      <c r="I4352" s="116"/>
    </row>
    <row r="4353" spans="8:9" x14ac:dyDescent="0.25">
      <c r="H4353" s="116"/>
      <c r="I4353" s="116"/>
    </row>
    <row r="4354" spans="8:9" x14ac:dyDescent="0.25">
      <c r="H4354" s="116"/>
      <c r="I4354" s="116"/>
    </row>
    <row r="4355" spans="8:9" x14ac:dyDescent="0.25">
      <c r="H4355" s="116"/>
      <c r="I4355" s="116"/>
    </row>
    <row r="4356" spans="8:9" x14ac:dyDescent="0.25">
      <c r="H4356" s="116"/>
      <c r="I4356" s="116"/>
    </row>
    <row r="4357" spans="8:9" x14ac:dyDescent="0.25">
      <c r="H4357" s="116"/>
      <c r="I4357" s="116"/>
    </row>
    <row r="4358" spans="8:9" x14ac:dyDescent="0.25">
      <c r="H4358" s="116"/>
      <c r="I4358" s="116"/>
    </row>
    <row r="4359" spans="8:9" x14ac:dyDescent="0.25">
      <c r="H4359" s="116"/>
      <c r="I4359" s="116"/>
    </row>
    <row r="4360" spans="8:9" x14ac:dyDescent="0.25">
      <c r="H4360" s="116"/>
      <c r="I4360" s="116"/>
    </row>
    <row r="4361" spans="8:9" x14ac:dyDescent="0.25">
      <c r="H4361" s="116"/>
      <c r="I4361" s="116"/>
    </row>
    <row r="4362" spans="8:9" x14ac:dyDescent="0.25">
      <c r="H4362" s="116"/>
      <c r="I4362" s="116"/>
    </row>
    <row r="4363" spans="8:9" x14ac:dyDescent="0.25">
      <c r="H4363" s="116"/>
      <c r="I4363" s="116"/>
    </row>
    <row r="4364" spans="8:9" x14ac:dyDescent="0.25">
      <c r="H4364" s="116"/>
      <c r="I4364" s="116"/>
    </row>
    <row r="4365" spans="8:9" x14ac:dyDescent="0.25">
      <c r="H4365" s="116"/>
      <c r="I4365" s="116"/>
    </row>
    <row r="4366" spans="8:9" x14ac:dyDescent="0.25">
      <c r="H4366" s="116"/>
      <c r="I4366" s="116"/>
    </row>
    <row r="4367" spans="8:9" x14ac:dyDescent="0.25">
      <c r="H4367" s="116"/>
      <c r="I4367" s="116"/>
    </row>
    <row r="4368" spans="8:9" x14ac:dyDescent="0.25">
      <c r="H4368" s="116"/>
      <c r="I4368" s="116"/>
    </row>
    <row r="4369" spans="8:9" x14ac:dyDescent="0.25">
      <c r="H4369" s="116"/>
      <c r="I4369" s="116"/>
    </row>
    <row r="4370" spans="8:9" x14ac:dyDescent="0.25">
      <c r="H4370" s="116"/>
      <c r="I4370" s="116"/>
    </row>
    <row r="4371" spans="8:9" x14ac:dyDescent="0.25">
      <c r="H4371" s="116"/>
      <c r="I4371" s="116"/>
    </row>
    <row r="4372" spans="8:9" x14ac:dyDescent="0.25">
      <c r="H4372" s="116"/>
      <c r="I4372" s="116"/>
    </row>
    <row r="4373" spans="8:9" x14ac:dyDescent="0.25">
      <c r="H4373" s="116"/>
      <c r="I4373" s="116"/>
    </row>
    <row r="4374" spans="8:9" x14ac:dyDescent="0.25">
      <c r="H4374" s="116"/>
      <c r="I4374" s="116"/>
    </row>
    <row r="4375" spans="8:9" x14ac:dyDescent="0.25">
      <c r="H4375" s="116"/>
      <c r="I4375" s="116"/>
    </row>
    <row r="4376" spans="8:9" x14ac:dyDescent="0.25">
      <c r="H4376" s="116"/>
      <c r="I4376" s="116"/>
    </row>
    <row r="4377" spans="8:9" x14ac:dyDescent="0.25">
      <c r="H4377" s="116"/>
      <c r="I4377" s="116"/>
    </row>
    <row r="4378" spans="8:9" x14ac:dyDescent="0.25">
      <c r="H4378" s="116"/>
      <c r="I4378" s="116"/>
    </row>
    <row r="4379" spans="8:9" x14ac:dyDescent="0.25">
      <c r="H4379" s="116"/>
      <c r="I4379" s="116"/>
    </row>
    <row r="4380" spans="8:9" x14ac:dyDescent="0.25">
      <c r="H4380" s="116"/>
      <c r="I4380" s="116"/>
    </row>
    <row r="4381" spans="8:9" x14ac:dyDescent="0.25">
      <c r="H4381" s="116"/>
      <c r="I4381" s="116"/>
    </row>
    <row r="4382" spans="8:9" x14ac:dyDescent="0.25">
      <c r="H4382" s="116"/>
      <c r="I4382" s="116"/>
    </row>
    <row r="4383" spans="8:9" x14ac:dyDescent="0.25">
      <c r="H4383" s="116"/>
      <c r="I4383" s="116"/>
    </row>
    <row r="4384" spans="8:9" x14ac:dyDescent="0.25">
      <c r="H4384" s="116"/>
      <c r="I4384" s="116"/>
    </row>
    <row r="4385" spans="8:9" x14ac:dyDescent="0.25">
      <c r="H4385" s="116"/>
      <c r="I4385" s="116"/>
    </row>
    <row r="4386" spans="8:9" x14ac:dyDescent="0.25">
      <c r="H4386" s="116"/>
      <c r="I4386" s="116"/>
    </row>
    <row r="4387" spans="8:9" x14ac:dyDescent="0.25">
      <c r="H4387" s="116"/>
      <c r="I4387" s="116"/>
    </row>
    <row r="4388" spans="8:9" x14ac:dyDescent="0.25">
      <c r="H4388" s="116"/>
      <c r="I4388" s="116"/>
    </row>
    <row r="4389" spans="8:9" x14ac:dyDescent="0.25">
      <c r="H4389" s="116"/>
      <c r="I4389" s="116"/>
    </row>
    <row r="4390" spans="8:9" x14ac:dyDescent="0.25">
      <c r="H4390" s="116"/>
      <c r="I4390" s="116"/>
    </row>
    <row r="4391" spans="8:9" x14ac:dyDescent="0.25">
      <c r="H4391" s="116"/>
      <c r="I4391" s="116"/>
    </row>
    <row r="4392" spans="8:9" x14ac:dyDescent="0.25">
      <c r="H4392" s="116"/>
      <c r="I4392" s="116"/>
    </row>
    <row r="4393" spans="8:9" x14ac:dyDescent="0.25">
      <c r="H4393" s="116"/>
      <c r="I4393" s="116"/>
    </row>
    <row r="4394" spans="8:9" x14ac:dyDescent="0.25">
      <c r="H4394" s="116"/>
      <c r="I4394" s="116"/>
    </row>
    <row r="4395" spans="8:9" x14ac:dyDescent="0.25">
      <c r="H4395" s="116"/>
      <c r="I4395" s="116"/>
    </row>
    <row r="4396" spans="8:9" x14ac:dyDescent="0.25">
      <c r="H4396" s="116"/>
      <c r="I4396" s="116"/>
    </row>
    <row r="4397" spans="8:9" x14ac:dyDescent="0.25">
      <c r="H4397" s="116"/>
      <c r="I4397" s="116"/>
    </row>
    <row r="4398" spans="8:9" x14ac:dyDescent="0.25">
      <c r="H4398" s="116"/>
      <c r="I4398" s="116"/>
    </row>
    <row r="4399" spans="8:9" x14ac:dyDescent="0.25">
      <c r="H4399" s="116"/>
      <c r="I4399" s="116"/>
    </row>
    <row r="4400" spans="8:9" x14ac:dyDescent="0.25">
      <c r="H4400" s="116"/>
      <c r="I4400" s="116"/>
    </row>
    <row r="4401" spans="8:9" x14ac:dyDescent="0.25">
      <c r="H4401" s="116"/>
      <c r="I4401" s="116"/>
    </row>
    <row r="4402" spans="8:9" x14ac:dyDescent="0.25">
      <c r="H4402" s="116"/>
      <c r="I4402" s="116"/>
    </row>
    <row r="4403" spans="8:9" x14ac:dyDescent="0.25">
      <c r="H4403" s="116"/>
      <c r="I4403" s="116"/>
    </row>
    <row r="4404" spans="8:9" x14ac:dyDescent="0.25">
      <c r="H4404" s="116"/>
      <c r="I4404" s="116"/>
    </row>
    <row r="4405" spans="8:9" x14ac:dyDescent="0.25">
      <c r="H4405" s="116"/>
      <c r="I4405" s="116"/>
    </row>
    <row r="4406" spans="8:9" x14ac:dyDescent="0.25">
      <c r="H4406" s="116"/>
      <c r="I4406" s="116"/>
    </row>
    <row r="4407" spans="8:9" x14ac:dyDescent="0.25">
      <c r="H4407" s="116"/>
      <c r="I4407" s="116"/>
    </row>
    <row r="4408" spans="8:9" x14ac:dyDescent="0.25">
      <c r="H4408" s="116"/>
      <c r="I4408" s="116"/>
    </row>
    <row r="4409" spans="8:9" x14ac:dyDescent="0.25">
      <c r="H4409" s="116"/>
      <c r="I4409" s="116"/>
    </row>
    <row r="4410" spans="8:9" x14ac:dyDescent="0.25">
      <c r="H4410" s="116"/>
      <c r="I4410" s="116"/>
    </row>
    <row r="4411" spans="8:9" x14ac:dyDescent="0.25">
      <c r="H4411" s="116"/>
      <c r="I4411" s="116"/>
    </row>
    <row r="4412" spans="8:9" x14ac:dyDescent="0.25">
      <c r="H4412" s="116"/>
      <c r="I4412" s="116"/>
    </row>
    <row r="4413" spans="8:9" x14ac:dyDescent="0.25">
      <c r="H4413" s="116"/>
      <c r="I4413" s="116"/>
    </row>
    <row r="4414" spans="8:9" x14ac:dyDescent="0.25">
      <c r="H4414" s="116"/>
      <c r="I4414" s="116"/>
    </row>
    <row r="4415" spans="8:9" x14ac:dyDescent="0.25">
      <c r="H4415" s="116"/>
      <c r="I4415" s="116"/>
    </row>
    <row r="4416" spans="8:9" x14ac:dyDescent="0.25">
      <c r="H4416" s="116"/>
      <c r="I4416" s="116"/>
    </row>
    <row r="4417" spans="8:9" x14ac:dyDescent="0.25">
      <c r="H4417" s="116"/>
      <c r="I4417" s="116"/>
    </row>
    <row r="4418" spans="8:9" x14ac:dyDescent="0.25">
      <c r="H4418" s="116"/>
      <c r="I4418" s="116"/>
    </row>
    <row r="4419" spans="8:9" x14ac:dyDescent="0.25">
      <c r="H4419" s="116"/>
      <c r="I4419" s="116"/>
    </row>
    <row r="4420" spans="8:9" x14ac:dyDescent="0.25">
      <c r="H4420" s="116"/>
      <c r="I4420" s="116"/>
    </row>
    <row r="4421" spans="8:9" x14ac:dyDescent="0.25">
      <c r="H4421" s="116"/>
      <c r="I4421" s="116"/>
    </row>
    <row r="4422" spans="8:9" x14ac:dyDescent="0.25">
      <c r="H4422" s="116"/>
      <c r="I4422" s="116"/>
    </row>
    <row r="4423" spans="8:9" x14ac:dyDescent="0.25">
      <c r="H4423" s="116"/>
      <c r="I4423" s="116"/>
    </row>
    <row r="4424" spans="8:9" x14ac:dyDescent="0.25">
      <c r="H4424" s="116"/>
      <c r="I4424" s="116"/>
    </row>
    <row r="4425" spans="8:9" x14ac:dyDescent="0.25">
      <c r="H4425" s="116"/>
      <c r="I4425" s="116"/>
    </row>
    <row r="4426" spans="8:9" x14ac:dyDescent="0.25">
      <c r="H4426" s="116"/>
      <c r="I4426" s="116"/>
    </row>
    <row r="4427" spans="8:9" x14ac:dyDescent="0.25">
      <c r="H4427" s="116"/>
      <c r="I4427" s="116"/>
    </row>
    <row r="4428" spans="8:9" x14ac:dyDescent="0.25">
      <c r="H4428" s="116"/>
      <c r="I4428" s="116"/>
    </row>
    <row r="4429" spans="8:9" x14ac:dyDescent="0.25">
      <c r="H4429" s="116"/>
      <c r="I4429" s="116"/>
    </row>
    <row r="4430" spans="8:9" x14ac:dyDescent="0.25">
      <c r="H4430" s="116"/>
      <c r="I4430" s="116"/>
    </row>
    <row r="4431" spans="8:9" x14ac:dyDescent="0.25">
      <c r="H4431" s="116"/>
      <c r="I4431" s="116"/>
    </row>
    <row r="4432" spans="8:9" x14ac:dyDescent="0.25">
      <c r="H4432" s="116"/>
      <c r="I4432" s="116"/>
    </row>
    <row r="4433" spans="8:9" x14ac:dyDescent="0.25">
      <c r="H4433" s="116"/>
      <c r="I4433" s="116"/>
    </row>
    <row r="4434" spans="8:9" x14ac:dyDescent="0.25">
      <c r="H4434" s="116"/>
      <c r="I4434" s="116"/>
    </row>
    <row r="4435" spans="8:9" x14ac:dyDescent="0.25">
      <c r="H4435" s="116"/>
      <c r="I4435" s="116"/>
    </row>
    <row r="4436" spans="8:9" x14ac:dyDescent="0.25">
      <c r="H4436" s="116"/>
      <c r="I4436" s="116"/>
    </row>
    <row r="4437" spans="8:9" x14ac:dyDescent="0.25">
      <c r="H4437" s="116"/>
      <c r="I4437" s="116"/>
    </row>
    <row r="4438" spans="8:9" x14ac:dyDescent="0.25">
      <c r="H4438" s="116"/>
      <c r="I4438" s="116"/>
    </row>
    <row r="4439" spans="8:9" x14ac:dyDescent="0.25">
      <c r="H4439" s="116"/>
      <c r="I4439" s="116"/>
    </row>
    <row r="4440" spans="8:9" x14ac:dyDescent="0.25">
      <c r="H4440" s="116"/>
      <c r="I4440" s="116"/>
    </row>
    <row r="4441" spans="8:9" x14ac:dyDescent="0.25">
      <c r="H4441" s="116"/>
      <c r="I4441" s="116"/>
    </row>
    <row r="4442" spans="8:9" x14ac:dyDescent="0.25">
      <c r="H4442" s="116"/>
      <c r="I4442" s="116"/>
    </row>
    <row r="4443" spans="8:9" x14ac:dyDescent="0.25">
      <c r="H4443" s="116"/>
      <c r="I4443" s="116"/>
    </row>
    <row r="4444" spans="8:9" x14ac:dyDescent="0.25">
      <c r="H4444" s="116"/>
      <c r="I4444" s="116"/>
    </row>
    <row r="4445" spans="8:9" x14ac:dyDescent="0.25">
      <c r="H4445" s="116"/>
      <c r="I4445" s="116"/>
    </row>
    <row r="4446" spans="8:9" x14ac:dyDescent="0.25">
      <c r="H4446" s="116"/>
      <c r="I4446" s="116"/>
    </row>
    <row r="4447" spans="8:9" x14ac:dyDescent="0.25">
      <c r="H4447" s="116"/>
      <c r="I4447" s="116"/>
    </row>
    <row r="4448" spans="8:9" x14ac:dyDescent="0.25">
      <c r="H4448" s="116"/>
      <c r="I4448" s="116"/>
    </row>
    <row r="4449" spans="8:9" x14ac:dyDescent="0.25">
      <c r="H4449" s="116"/>
      <c r="I4449" s="116"/>
    </row>
    <row r="4450" spans="8:9" x14ac:dyDescent="0.25">
      <c r="H4450" s="116"/>
      <c r="I4450" s="116"/>
    </row>
    <row r="4451" spans="8:9" x14ac:dyDescent="0.25">
      <c r="H4451" s="116"/>
      <c r="I4451" s="116"/>
    </row>
    <row r="4452" spans="8:9" x14ac:dyDescent="0.25">
      <c r="H4452" s="116"/>
      <c r="I4452" s="116"/>
    </row>
    <row r="4453" spans="8:9" x14ac:dyDescent="0.25">
      <c r="H4453" s="116"/>
      <c r="I4453" s="116"/>
    </row>
    <row r="4454" spans="8:9" x14ac:dyDescent="0.25">
      <c r="H4454" s="116"/>
      <c r="I4454" s="116"/>
    </row>
    <row r="4455" spans="8:9" x14ac:dyDescent="0.25">
      <c r="H4455" s="116"/>
      <c r="I4455" s="116"/>
    </row>
    <row r="4456" spans="8:9" x14ac:dyDescent="0.25">
      <c r="H4456" s="116"/>
      <c r="I4456" s="116"/>
    </row>
    <row r="4457" spans="8:9" x14ac:dyDescent="0.25">
      <c r="H4457" s="116"/>
      <c r="I4457" s="116"/>
    </row>
    <row r="4458" spans="8:9" x14ac:dyDescent="0.25">
      <c r="H4458" s="116"/>
      <c r="I4458" s="116"/>
    </row>
    <row r="4459" spans="8:9" x14ac:dyDescent="0.25">
      <c r="H4459" s="116"/>
      <c r="I4459" s="116"/>
    </row>
    <row r="4460" spans="8:9" x14ac:dyDescent="0.25">
      <c r="H4460" s="116"/>
      <c r="I4460" s="116"/>
    </row>
    <row r="4461" spans="8:9" x14ac:dyDescent="0.25">
      <c r="H4461" s="116"/>
      <c r="I4461" s="116"/>
    </row>
    <row r="4462" spans="8:9" x14ac:dyDescent="0.25">
      <c r="H4462" s="116"/>
      <c r="I4462" s="116"/>
    </row>
    <row r="4463" spans="8:9" x14ac:dyDescent="0.25">
      <c r="H4463" s="116"/>
      <c r="I4463" s="116"/>
    </row>
    <row r="4464" spans="8:9" x14ac:dyDescent="0.25">
      <c r="H4464" s="116"/>
      <c r="I4464" s="116"/>
    </row>
    <row r="4465" spans="8:9" x14ac:dyDescent="0.25">
      <c r="H4465" s="116"/>
      <c r="I4465" s="116"/>
    </row>
    <row r="4466" spans="8:9" x14ac:dyDescent="0.25">
      <c r="H4466" s="116"/>
      <c r="I4466" s="116"/>
    </row>
    <row r="4467" spans="8:9" x14ac:dyDescent="0.25">
      <c r="H4467" s="116"/>
      <c r="I4467" s="116"/>
    </row>
    <row r="4468" spans="8:9" x14ac:dyDescent="0.25">
      <c r="H4468" s="116"/>
      <c r="I4468" s="116"/>
    </row>
    <row r="4469" spans="8:9" x14ac:dyDescent="0.25">
      <c r="H4469" s="116"/>
      <c r="I4469" s="116"/>
    </row>
    <row r="4470" spans="8:9" x14ac:dyDescent="0.25">
      <c r="H4470" s="116"/>
      <c r="I4470" s="116"/>
    </row>
    <row r="4471" spans="8:9" x14ac:dyDescent="0.25">
      <c r="H4471" s="116"/>
      <c r="I4471" s="116"/>
    </row>
    <row r="4472" spans="8:9" x14ac:dyDescent="0.25">
      <c r="H4472" s="116"/>
      <c r="I4472" s="116"/>
    </row>
    <row r="4473" spans="8:9" x14ac:dyDescent="0.25">
      <c r="H4473" s="116"/>
      <c r="I4473" s="116"/>
    </row>
    <row r="4474" spans="8:9" x14ac:dyDescent="0.25">
      <c r="H4474" s="116"/>
      <c r="I4474" s="116"/>
    </row>
    <row r="4475" spans="8:9" x14ac:dyDescent="0.25">
      <c r="H4475" s="116"/>
      <c r="I4475" s="116"/>
    </row>
    <row r="4476" spans="8:9" x14ac:dyDescent="0.25">
      <c r="H4476" s="116"/>
      <c r="I4476" s="116"/>
    </row>
    <row r="4477" spans="8:9" x14ac:dyDescent="0.25">
      <c r="H4477" s="116"/>
      <c r="I4477" s="116"/>
    </row>
    <row r="4478" spans="8:9" x14ac:dyDescent="0.25">
      <c r="H4478" s="116"/>
      <c r="I4478" s="116"/>
    </row>
    <row r="4479" spans="8:9" x14ac:dyDescent="0.25">
      <c r="H4479" s="116"/>
      <c r="I4479" s="116"/>
    </row>
    <row r="4480" spans="8:9" x14ac:dyDescent="0.25">
      <c r="H4480" s="116"/>
      <c r="I4480" s="116"/>
    </row>
    <row r="4481" spans="8:9" x14ac:dyDescent="0.25">
      <c r="H4481" s="116"/>
      <c r="I4481" s="116"/>
    </row>
    <row r="4482" spans="8:9" x14ac:dyDescent="0.25">
      <c r="H4482" s="116"/>
      <c r="I4482" s="116"/>
    </row>
    <row r="4483" spans="8:9" x14ac:dyDescent="0.25">
      <c r="H4483" s="116"/>
      <c r="I4483" s="116"/>
    </row>
    <row r="4484" spans="8:9" x14ac:dyDescent="0.25">
      <c r="H4484" s="116"/>
      <c r="I4484" s="116"/>
    </row>
    <row r="4485" spans="8:9" x14ac:dyDescent="0.25">
      <c r="H4485" s="116"/>
      <c r="I4485" s="116"/>
    </row>
    <row r="4486" spans="8:9" x14ac:dyDescent="0.25">
      <c r="H4486" s="116"/>
      <c r="I4486" s="116"/>
    </row>
    <row r="4487" spans="8:9" x14ac:dyDescent="0.25">
      <c r="H4487" s="116"/>
      <c r="I4487" s="116"/>
    </row>
    <row r="4488" spans="8:9" x14ac:dyDescent="0.25">
      <c r="H4488" s="116"/>
      <c r="I4488" s="116"/>
    </row>
    <row r="4489" spans="8:9" x14ac:dyDescent="0.25">
      <c r="H4489" s="116"/>
      <c r="I4489" s="116"/>
    </row>
    <row r="4490" spans="8:9" x14ac:dyDescent="0.25">
      <c r="H4490" s="116"/>
      <c r="I4490" s="116"/>
    </row>
    <row r="4491" spans="8:9" x14ac:dyDescent="0.25">
      <c r="H4491" s="116"/>
      <c r="I4491" s="116"/>
    </row>
    <row r="4492" spans="8:9" x14ac:dyDescent="0.25">
      <c r="H4492" s="116"/>
      <c r="I4492" s="116"/>
    </row>
    <row r="4493" spans="8:9" x14ac:dyDescent="0.25">
      <c r="H4493" s="116"/>
      <c r="I4493" s="116"/>
    </row>
    <row r="4494" spans="8:9" x14ac:dyDescent="0.25">
      <c r="H4494" s="116"/>
      <c r="I4494" s="116"/>
    </row>
    <row r="4495" spans="8:9" x14ac:dyDescent="0.25">
      <c r="H4495" s="116"/>
      <c r="I4495" s="116"/>
    </row>
    <row r="4496" spans="8:9" x14ac:dyDescent="0.25">
      <c r="H4496" s="116"/>
      <c r="I4496" s="116"/>
    </row>
    <row r="4497" spans="8:9" x14ac:dyDescent="0.25">
      <c r="H4497" s="116"/>
      <c r="I4497" s="116"/>
    </row>
    <row r="4498" spans="8:9" x14ac:dyDescent="0.25">
      <c r="H4498" s="116"/>
      <c r="I4498" s="116"/>
    </row>
    <row r="4499" spans="8:9" x14ac:dyDescent="0.25">
      <c r="H4499" s="116"/>
      <c r="I4499" s="116"/>
    </row>
    <row r="4500" spans="8:9" x14ac:dyDescent="0.25">
      <c r="H4500" s="116"/>
      <c r="I4500" s="116"/>
    </row>
    <row r="4501" spans="8:9" x14ac:dyDescent="0.25">
      <c r="H4501" s="116"/>
      <c r="I4501" s="116"/>
    </row>
    <row r="4502" spans="8:9" x14ac:dyDescent="0.25">
      <c r="H4502" s="116"/>
      <c r="I4502" s="116"/>
    </row>
    <row r="4503" spans="8:9" x14ac:dyDescent="0.25">
      <c r="H4503" s="116"/>
      <c r="I4503" s="116"/>
    </row>
    <row r="4504" spans="8:9" x14ac:dyDescent="0.25">
      <c r="H4504" s="116"/>
      <c r="I4504" s="116"/>
    </row>
    <row r="4505" spans="8:9" x14ac:dyDescent="0.25">
      <c r="H4505" s="116"/>
      <c r="I4505" s="116"/>
    </row>
    <row r="4506" spans="8:9" x14ac:dyDescent="0.25">
      <c r="H4506" s="116"/>
      <c r="I4506" s="116"/>
    </row>
    <row r="4507" spans="8:9" x14ac:dyDescent="0.25">
      <c r="H4507" s="116"/>
      <c r="I4507" s="116"/>
    </row>
    <row r="4508" spans="8:9" x14ac:dyDescent="0.25">
      <c r="H4508" s="116"/>
      <c r="I4508" s="116"/>
    </row>
    <row r="4509" spans="8:9" x14ac:dyDescent="0.25">
      <c r="H4509" s="116"/>
      <c r="I4509" s="116"/>
    </row>
    <row r="4510" spans="8:9" x14ac:dyDescent="0.25">
      <c r="H4510" s="116"/>
      <c r="I4510" s="116"/>
    </row>
    <row r="4511" spans="8:9" x14ac:dyDescent="0.25">
      <c r="H4511" s="116"/>
      <c r="I4511" s="116"/>
    </row>
    <row r="4512" spans="8:9" x14ac:dyDescent="0.25">
      <c r="H4512" s="116"/>
      <c r="I4512" s="116"/>
    </row>
    <row r="4513" spans="8:9" x14ac:dyDescent="0.25">
      <c r="H4513" s="116"/>
      <c r="I4513" s="116"/>
    </row>
    <row r="4514" spans="8:9" x14ac:dyDescent="0.25">
      <c r="H4514" s="116"/>
      <c r="I4514" s="116"/>
    </row>
    <row r="4515" spans="8:9" x14ac:dyDescent="0.25">
      <c r="H4515" s="116"/>
      <c r="I4515" s="116"/>
    </row>
    <row r="4516" spans="8:9" x14ac:dyDescent="0.25">
      <c r="H4516" s="116"/>
      <c r="I4516" s="116"/>
    </row>
    <row r="4517" spans="8:9" x14ac:dyDescent="0.25">
      <c r="H4517" s="116"/>
      <c r="I4517" s="116"/>
    </row>
    <row r="4518" spans="8:9" x14ac:dyDescent="0.25">
      <c r="H4518" s="116"/>
      <c r="I4518" s="116"/>
    </row>
    <row r="4519" spans="8:9" x14ac:dyDescent="0.25">
      <c r="H4519" s="116"/>
      <c r="I4519" s="116"/>
    </row>
    <row r="4520" spans="8:9" x14ac:dyDescent="0.25">
      <c r="H4520" s="116"/>
      <c r="I4520" s="116"/>
    </row>
    <row r="4521" spans="8:9" x14ac:dyDescent="0.25">
      <c r="H4521" s="116"/>
      <c r="I4521" s="116"/>
    </row>
    <row r="4522" spans="8:9" x14ac:dyDescent="0.25">
      <c r="H4522" s="116"/>
      <c r="I4522" s="116"/>
    </row>
    <row r="4523" spans="8:9" x14ac:dyDescent="0.25">
      <c r="H4523" s="116"/>
      <c r="I4523" s="116"/>
    </row>
    <row r="4524" spans="8:9" x14ac:dyDescent="0.25">
      <c r="H4524" s="116"/>
      <c r="I4524" s="116"/>
    </row>
    <row r="4525" spans="8:9" x14ac:dyDescent="0.25">
      <c r="H4525" s="116"/>
      <c r="I4525" s="116"/>
    </row>
    <row r="4526" spans="8:9" x14ac:dyDescent="0.25">
      <c r="H4526" s="116"/>
      <c r="I4526" s="116"/>
    </row>
    <row r="4527" spans="8:9" x14ac:dyDescent="0.25">
      <c r="H4527" s="116"/>
      <c r="I4527" s="116"/>
    </row>
    <row r="4528" spans="8:9" x14ac:dyDescent="0.25">
      <c r="H4528" s="116"/>
      <c r="I4528" s="116"/>
    </row>
    <row r="4529" spans="8:9" x14ac:dyDescent="0.25">
      <c r="H4529" s="116"/>
      <c r="I4529" s="116"/>
    </row>
    <row r="4530" spans="8:9" x14ac:dyDescent="0.25">
      <c r="H4530" s="116"/>
      <c r="I4530" s="116"/>
    </row>
    <row r="4531" spans="8:9" x14ac:dyDescent="0.25">
      <c r="H4531" s="116"/>
      <c r="I4531" s="116"/>
    </row>
    <row r="4532" spans="8:9" x14ac:dyDescent="0.25">
      <c r="H4532" s="116"/>
      <c r="I4532" s="116"/>
    </row>
    <row r="4533" spans="8:9" x14ac:dyDescent="0.25">
      <c r="H4533" s="116"/>
      <c r="I4533" s="116"/>
    </row>
    <row r="4534" spans="8:9" x14ac:dyDescent="0.25">
      <c r="H4534" s="116"/>
      <c r="I4534" s="116"/>
    </row>
    <row r="4535" spans="8:9" x14ac:dyDescent="0.25">
      <c r="H4535" s="116"/>
      <c r="I4535" s="116"/>
    </row>
    <row r="4536" spans="8:9" x14ac:dyDescent="0.25">
      <c r="H4536" s="116"/>
      <c r="I4536" s="116"/>
    </row>
    <row r="4537" spans="8:9" x14ac:dyDescent="0.25">
      <c r="H4537" s="116"/>
      <c r="I4537" s="116"/>
    </row>
    <row r="4538" spans="8:9" x14ac:dyDescent="0.25">
      <c r="H4538" s="116"/>
      <c r="I4538" s="116"/>
    </row>
    <row r="4539" spans="8:9" x14ac:dyDescent="0.25">
      <c r="H4539" s="116"/>
      <c r="I4539" s="116"/>
    </row>
    <row r="4540" spans="8:9" x14ac:dyDescent="0.25">
      <c r="H4540" s="116"/>
      <c r="I4540" s="116"/>
    </row>
    <row r="4541" spans="8:9" x14ac:dyDescent="0.25">
      <c r="H4541" s="116"/>
      <c r="I4541" s="116"/>
    </row>
    <row r="4542" spans="8:9" x14ac:dyDescent="0.25">
      <c r="H4542" s="116"/>
      <c r="I4542" s="116"/>
    </row>
    <row r="4543" spans="8:9" x14ac:dyDescent="0.25">
      <c r="H4543" s="116"/>
      <c r="I4543" s="116"/>
    </row>
    <row r="4544" spans="8:9" x14ac:dyDescent="0.25">
      <c r="H4544" s="116"/>
      <c r="I4544" s="116"/>
    </row>
    <row r="4545" spans="8:9" x14ac:dyDescent="0.25">
      <c r="H4545" s="116"/>
      <c r="I4545" s="116"/>
    </row>
    <row r="4546" spans="8:9" x14ac:dyDescent="0.25">
      <c r="H4546" s="116"/>
      <c r="I4546" s="116"/>
    </row>
    <row r="4547" spans="8:9" x14ac:dyDescent="0.25">
      <c r="H4547" s="116"/>
      <c r="I4547" s="116"/>
    </row>
    <row r="4548" spans="8:9" x14ac:dyDescent="0.25">
      <c r="H4548" s="116"/>
      <c r="I4548" s="116"/>
    </row>
    <row r="4549" spans="8:9" x14ac:dyDescent="0.25">
      <c r="H4549" s="116"/>
      <c r="I4549" s="116"/>
    </row>
    <row r="4550" spans="8:9" x14ac:dyDescent="0.25">
      <c r="H4550" s="116"/>
      <c r="I4550" s="116"/>
    </row>
    <row r="4551" spans="8:9" x14ac:dyDescent="0.25">
      <c r="H4551" s="116"/>
      <c r="I4551" s="116"/>
    </row>
    <row r="4552" spans="8:9" x14ac:dyDescent="0.25">
      <c r="H4552" s="116"/>
      <c r="I4552" s="116"/>
    </row>
    <row r="4553" spans="8:9" x14ac:dyDescent="0.25">
      <c r="H4553" s="116"/>
      <c r="I4553" s="116"/>
    </row>
    <row r="4554" spans="8:9" x14ac:dyDescent="0.25">
      <c r="H4554" s="116"/>
      <c r="I4554" s="116"/>
    </row>
    <row r="4555" spans="8:9" x14ac:dyDescent="0.25">
      <c r="H4555" s="116"/>
      <c r="I4555" s="116"/>
    </row>
    <row r="4556" spans="8:9" x14ac:dyDescent="0.25">
      <c r="H4556" s="116"/>
      <c r="I4556" s="116"/>
    </row>
    <row r="4557" spans="8:9" x14ac:dyDescent="0.25">
      <c r="H4557" s="116"/>
      <c r="I4557" s="116"/>
    </row>
    <row r="4558" spans="8:9" x14ac:dyDescent="0.25">
      <c r="H4558" s="116"/>
      <c r="I4558" s="116"/>
    </row>
    <row r="4559" spans="8:9" x14ac:dyDescent="0.25">
      <c r="H4559" s="116"/>
      <c r="I4559" s="116"/>
    </row>
    <row r="4560" spans="8:9" x14ac:dyDescent="0.25">
      <c r="H4560" s="116"/>
      <c r="I4560" s="116"/>
    </row>
    <row r="4561" spans="8:9" x14ac:dyDescent="0.25">
      <c r="H4561" s="116"/>
      <c r="I4561" s="116"/>
    </row>
    <row r="4562" spans="8:9" x14ac:dyDescent="0.25">
      <c r="H4562" s="116"/>
      <c r="I4562" s="116"/>
    </row>
    <row r="4563" spans="8:9" x14ac:dyDescent="0.25">
      <c r="H4563" s="116"/>
      <c r="I4563" s="116"/>
    </row>
    <row r="4564" spans="8:9" x14ac:dyDescent="0.25">
      <c r="H4564" s="116"/>
      <c r="I4564" s="116"/>
    </row>
    <row r="4565" spans="8:9" x14ac:dyDescent="0.25">
      <c r="H4565" s="116"/>
      <c r="I4565" s="116"/>
    </row>
    <row r="4566" spans="8:9" x14ac:dyDescent="0.25">
      <c r="H4566" s="116"/>
      <c r="I4566" s="116"/>
    </row>
    <row r="4567" spans="8:9" x14ac:dyDescent="0.25">
      <c r="H4567" s="116"/>
      <c r="I4567" s="116"/>
    </row>
    <row r="4568" spans="8:9" x14ac:dyDescent="0.25">
      <c r="H4568" s="116"/>
      <c r="I4568" s="116"/>
    </row>
    <row r="4569" spans="8:9" x14ac:dyDescent="0.25">
      <c r="H4569" s="116"/>
      <c r="I4569" s="116"/>
    </row>
    <row r="4570" spans="8:9" x14ac:dyDescent="0.25">
      <c r="H4570" s="116"/>
      <c r="I4570" s="116"/>
    </row>
    <row r="4571" spans="8:9" x14ac:dyDescent="0.25">
      <c r="H4571" s="116"/>
      <c r="I4571" s="116"/>
    </row>
    <row r="4572" spans="8:9" x14ac:dyDescent="0.25">
      <c r="H4572" s="116"/>
      <c r="I4572" s="116"/>
    </row>
    <row r="4573" spans="8:9" x14ac:dyDescent="0.25">
      <c r="H4573" s="116"/>
      <c r="I4573" s="116"/>
    </row>
    <row r="4574" spans="8:9" x14ac:dyDescent="0.25">
      <c r="H4574" s="116"/>
      <c r="I4574" s="116"/>
    </row>
    <row r="4575" spans="8:9" x14ac:dyDescent="0.25">
      <c r="H4575" s="116"/>
      <c r="I4575" s="116"/>
    </row>
    <row r="4576" spans="8:9" x14ac:dyDescent="0.25">
      <c r="H4576" s="116"/>
      <c r="I4576" s="116"/>
    </row>
    <row r="4577" spans="8:9" x14ac:dyDescent="0.25">
      <c r="H4577" s="116"/>
      <c r="I4577" s="116"/>
    </row>
    <row r="4578" spans="8:9" x14ac:dyDescent="0.25">
      <c r="H4578" s="116"/>
      <c r="I4578" s="116"/>
    </row>
    <row r="4579" spans="8:9" x14ac:dyDescent="0.25">
      <c r="H4579" s="116"/>
      <c r="I4579" s="116"/>
    </row>
    <row r="4580" spans="8:9" x14ac:dyDescent="0.25">
      <c r="H4580" s="116"/>
      <c r="I4580" s="116"/>
    </row>
    <row r="4581" spans="8:9" x14ac:dyDescent="0.25">
      <c r="H4581" s="116"/>
      <c r="I4581" s="116"/>
    </row>
    <row r="4582" spans="8:9" x14ac:dyDescent="0.25">
      <c r="H4582" s="116"/>
      <c r="I4582" s="116"/>
    </row>
    <row r="4583" spans="8:9" x14ac:dyDescent="0.25">
      <c r="H4583" s="116"/>
      <c r="I4583" s="116"/>
    </row>
    <row r="4584" spans="8:9" x14ac:dyDescent="0.25">
      <c r="H4584" s="116"/>
      <c r="I4584" s="116"/>
    </row>
    <row r="4585" spans="8:9" x14ac:dyDescent="0.25">
      <c r="H4585" s="116"/>
      <c r="I4585" s="116"/>
    </row>
    <row r="4586" spans="8:9" x14ac:dyDescent="0.25">
      <c r="H4586" s="116"/>
      <c r="I4586" s="116"/>
    </row>
    <row r="4587" spans="8:9" x14ac:dyDescent="0.25">
      <c r="H4587" s="116"/>
      <c r="I4587" s="116"/>
    </row>
    <row r="4588" spans="8:9" x14ac:dyDescent="0.25">
      <c r="H4588" s="116"/>
      <c r="I4588" s="116"/>
    </row>
    <row r="4589" spans="8:9" x14ac:dyDescent="0.25">
      <c r="H4589" s="116"/>
      <c r="I4589" s="116"/>
    </row>
    <row r="4590" spans="8:9" x14ac:dyDescent="0.25">
      <c r="H4590" s="116"/>
      <c r="I4590" s="116"/>
    </row>
    <row r="4591" spans="8:9" x14ac:dyDescent="0.25">
      <c r="H4591" s="116"/>
      <c r="I4591" s="116"/>
    </row>
    <row r="4592" spans="8:9" x14ac:dyDescent="0.25">
      <c r="H4592" s="116"/>
      <c r="I4592" s="116"/>
    </row>
    <row r="4593" spans="8:9" x14ac:dyDescent="0.25">
      <c r="H4593" s="116"/>
      <c r="I4593" s="116"/>
    </row>
    <row r="4594" spans="8:9" x14ac:dyDescent="0.25">
      <c r="H4594" s="116"/>
      <c r="I4594" s="116"/>
    </row>
    <row r="4595" spans="8:9" x14ac:dyDescent="0.25">
      <c r="H4595" s="116"/>
      <c r="I4595" s="116"/>
    </row>
    <row r="4596" spans="8:9" x14ac:dyDescent="0.25">
      <c r="H4596" s="116"/>
      <c r="I4596" s="116"/>
    </row>
    <row r="4597" spans="8:9" x14ac:dyDescent="0.25">
      <c r="H4597" s="116"/>
      <c r="I4597" s="116"/>
    </row>
    <row r="4598" spans="8:9" x14ac:dyDescent="0.25">
      <c r="H4598" s="116"/>
      <c r="I4598" s="116"/>
    </row>
    <row r="4599" spans="8:9" x14ac:dyDescent="0.25">
      <c r="H4599" s="116"/>
      <c r="I4599" s="116"/>
    </row>
    <row r="4600" spans="8:9" x14ac:dyDescent="0.25">
      <c r="H4600" s="116"/>
      <c r="I4600" s="116"/>
    </row>
    <row r="4601" spans="8:9" x14ac:dyDescent="0.25">
      <c r="H4601" s="116"/>
      <c r="I4601" s="116"/>
    </row>
    <row r="4602" spans="8:9" x14ac:dyDescent="0.25">
      <c r="H4602" s="116"/>
      <c r="I4602" s="116"/>
    </row>
    <row r="4603" spans="8:9" x14ac:dyDescent="0.25">
      <c r="H4603" s="116"/>
      <c r="I4603" s="116"/>
    </row>
    <row r="4604" spans="8:9" x14ac:dyDescent="0.25">
      <c r="H4604" s="116"/>
      <c r="I4604" s="116"/>
    </row>
    <row r="4605" spans="8:9" x14ac:dyDescent="0.25">
      <c r="H4605" s="116"/>
      <c r="I4605" s="116"/>
    </row>
    <row r="4606" spans="8:9" x14ac:dyDescent="0.25">
      <c r="H4606" s="116"/>
      <c r="I4606" s="116"/>
    </row>
    <row r="4607" spans="8:9" x14ac:dyDescent="0.25">
      <c r="H4607" s="116"/>
      <c r="I4607" s="116"/>
    </row>
    <row r="4608" spans="8:9" x14ac:dyDescent="0.25">
      <c r="H4608" s="116"/>
      <c r="I4608" s="116"/>
    </row>
    <row r="4609" spans="8:9" x14ac:dyDescent="0.25">
      <c r="H4609" s="116"/>
      <c r="I4609" s="116"/>
    </row>
    <row r="4610" spans="8:9" x14ac:dyDescent="0.25">
      <c r="H4610" s="116"/>
      <c r="I4610" s="116"/>
    </row>
    <row r="4611" spans="8:9" x14ac:dyDescent="0.25">
      <c r="H4611" s="116"/>
      <c r="I4611" s="116"/>
    </row>
    <row r="4612" spans="8:9" x14ac:dyDescent="0.25">
      <c r="H4612" s="116"/>
      <c r="I4612" s="116"/>
    </row>
    <row r="4613" spans="8:9" x14ac:dyDescent="0.25">
      <c r="H4613" s="116"/>
      <c r="I4613" s="116"/>
    </row>
    <row r="4614" spans="8:9" x14ac:dyDescent="0.25">
      <c r="H4614" s="116"/>
      <c r="I4614" s="116"/>
    </row>
    <row r="4615" spans="8:9" x14ac:dyDescent="0.25">
      <c r="H4615" s="116"/>
      <c r="I4615" s="116"/>
    </row>
    <row r="4616" spans="8:9" x14ac:dyDescent="0.25">
      <c r="H4616" s="116"/>
      <c r="I4616" s="116"/>
    </row>
    <row r="4617" spans="8:9" x14ac:dyDescent="0.25">
      <c r="H4617" s="116"/>
      <c r="I4617" s="116"/>
    </row>
    <row r="4618" spans="8:9" x14ac:dyDescent="0.25">
      <c r="H4618" s="116"/>
      <c r="I4618" s="116"/>
    </row>
    <row r="4619" spans="8:9" x14ac:dyDescent="0.25">
      <c r="H4619" s="116"/>
      <c r="I4619" s="116"/>
    </row>
    <row r="4620" spans="8:9" x14ac:dyDescent="0.25">
      <c r="H4620" s="116"/>
      <c r="I4620" s="116"/>
    </row>
    <row r="4621" spans="8:9" x14ac:dyDescent="0.25">
      <c r="H4621" s="116"/>
      <c r="I4621" s="116"/>
    </row>
    <row r="4622" spans="8:9" x14ac:dyDescent="0.25">
      <c r="H4622" s="116"/>
      <c r="I4622" s="116"/>
    </row>
    <row r="4623" spans="8:9" x14ac:dyDescent="0.25">
      <c r="H4623" s="116"/>
      <c r="I4623" s="116"/>
    </row>
    <row r="4624" spans="8:9" x14ac:dyDescent="0.25">
      <c r="H4624" s="116"/>
      <c r="I4624" s="116"/>
    </row>
    <row r="4625" spans="8:9" x14ac:dyDescent="0.25">
      <c r="H4625" s="116"/>
      <c r="I4625" s="116"/>
    </row>
    <row r="4626" spans="8:9" x14ac:dyDescent="0.25">
      <c r="H4626" s="116"/>
      <c r="I4626" s="116"/>
    </row>
    <row r="4627" spans="8:9" x14ac:dyDescent="0.25">
      <c r="H4627" s="116"/>
      <c r="I4627" s="116"/>
    </row>
    <row r="4628" spans="8:9" x14ac:dyDescent="0.25">
      <c r="H4628" s="116"/>
      <c r="I4628" s="116"/>
    </row>
    <row r="4629" spans="8:9" x14ac:dyDescent="0.25">
      <c r="H4629" s="116"/>
      <c r="I4629" s="116"/>
    </row>
    <row r="4630" spans="8:9" x14ac:dyDescent="0.25">
      <c r="H4630" s="116"/>
      <c r="I4630" s="116"/>
    </row>
    <row r="4631" spans="8:9" x14ac:dyDescent="0.25">
      <c r="H4631" s="116"/>
      <c r="I4631" s="116"/>
    </row>
    <row r="4632" spans="8:9" x14ac:dyDescent="0.25">
      <c r="H4632" s="116"/>
      <c r="I4632" s="116"/>
    </row>
    <row r="4633" spans="8:9" x14ac:dyDescent="0.25">
      <c r="H4633" s="116"/>
      <c r="I4633" s="116"/>
    </row>
    <row r="4634" spans="8:9" x14ac:dyDescent="0.25">
      <c r="H4634" s="116"/>
      <c r="I4634" s="116"/>
    </row>
    <row r="4635" spans="8:9" x14ac:dyDescent="0.25">
      <c r="H4635" s="116"/>
      <c r="I4635" s="116"/>
    </row>
    <row r="4636" spans="8:9" x14ac:dyDescent="0.25">
      <c r="H4636" s="116"/>
      <c r="I4636" s="116"/>
    </row>
    <row r="4637" spans="8:9" x14ac:dyDescent="0.25">
      <c r="H4637" s="116"/>
      <c r="I4637" s="116"/>
    </row>
    <row r="4638" spans="8:9" x14ac:dyDescent="0.25">
      <c r="H4638" s="116"/>
      <c r="I4638" s="116"/>
    </row>
    <row r="4639" spans="8:9" x14ac:dyDescent="0.25">
      <c r="H4639" s="116"/>
      <c r="I4639" s="116"/>
    </row>
    <row r="4640" spans="8:9" x14ac:dyDescent="0.25">
      <c r="H4640" s="116"/>
      <c r="I4640" s="116"/>
    </row>
    <row r="4641" spans="8:9" x14ac:dyDescent="0.25">
      <c r="H4641" s="116"/>
      <c r="I4641" s="116"/>
    </row>
    <row r="4642" spans="8:9" x14ac:dyDescent="0.25">
      <c r="H4642" s="116"/>
      <c r="I4642" s="116"/>
    </row>
    <row r="4643" spans="8:9" x14ac:dyDescent="0.25">
      <c r="H4643" s="116"/>
      <c r="I4643" s="116"/>
    </row>
    <row r="4644" spans="8:9" x14ac:dyDescent="0.25">
      <c r="H4644" s="116"/>
      <c r="I4644" s="116"/>
    </row>
    <row r="4645" spans="8:9" x14ac:dyDescent="0.25">
      <c r="H4645" s="116"/>
      <c r="I4645" s="116"/>
    </row>
    <row r="4646" spans="8:9" x14ac:dyDescent="0.25">
      <c r="H4646" s="116"/>
      <c r="I4646" s="116"/>
    </row>
    <row r="4647" spans="8:9" x14ac:dyDescent="0.25">
      <c r="H4647" s="116"/>
      <c r="I4647" s="116"/>
    </row>
    <row r="4648" spans="8:9" x14ac:dyDescent="0.25">
      <c r="H4648" s="116"/>
      <c r="I4648" s="116"/>
    </row>
    <row r="4649" spans="8:9" x14ac:dyDescent="0.25">
      <c r="H4649" s="116"/>
      <c r="I4649" s="116"/>
    </row>
    <row r="4650" spans="8:9" x14ac:dyDescent="0.25">
      <c r="H4650" s="116"/>
      <c r="I4650" s="116"/>
    </row>
    <row r="4651" spans="8:9" x14ac:dyDescent="0.25">
      <c r="H4651" s="116"/>
      <c r="I4651" s="116"/>
    </row>
    <row r="4652" spans="8:9" x14ac:dyDescent="0.25">
      <c r="H4652" s="116"/>
      <c r="I4652" s="116"/>
    </row>
    <row r="4653" spans="8:9" x14ac:dyDescent="0.25">
      <c r="H4653" s="116"/>
      <c r="I4653" s="116"/>
    </row>
    <row r="4654" spans="8:9" x14ac:dyDescent="0.25">
      <c r="H4654" s="116"/>
      <c r="I4654" s="116"/>
    </row>
    <row r="4655" spans="8:9" x14ac:dyDescent="0.25">
      <c r="H4655" s="116"/>
      <c r="I4655" s="116"/>
    </row>
    <row r="4656" spans="8:9" x14ac:dyDescent="0.25">
      <c r="H4656" s="116"/>
      <c r="I4656" s="116"/>
    </row>
    <row r="4657" spans="8:9" x14ac:dyDescent="0.25">
      <c r="H4657" s="116"/>
      <c r="I4657" s="116"/>
    </row>
    <row r="4658" spans="8:9" x14ac:dyDescent="0.25">
      <c r="H4658" s="116"/>
      <c r="I4658" s="116"/>
    </row>
    <row r="4659" spans="8:9" x14ac:dyDescent="0.25">
      <c r="H4659" s="116"/>
      <c r="I4659" s="116"/>
    </row>
    <row r="4660" spans="8:9" x14ac:dyDescent="0.25">
      <c r="H4660" s="116"/>
      <c r="I4660" s="116"/>
    </row>
    <row r="4661" spans="8:9" x14ac:dyDescent="0.25">
      <c r="H4661" s="116"/>
      <c r="I4661" s="116"/>
    </row>
    <row r="4662" spans="8:9" x14ac:dyDescent="0.25">
      <c r="H4662" s="116"/>
      <c r="I4662" s="116"/>
    </row>
    <row r="4663" spans="8:9" x14ac:dyDescent="0.25">
      <c r="H4663" s="116"/>
      <c r="I4663" s="116"/>
    </row>
    <row r="4664" spans="8:9" x14ac:dyDescent="0.25">
      <c r="H4664" s="116"/>
      <c r="I4664" s="116"/>
    </row>
    <row r="4665" spans="8:9" x14ac:dyDescent="0.25">
      <c r="H4665" s="116"/>
      <c r="I4665" s="116"/>
    </row>
    <row r="4666" spans="8:9" x14ac:dyDescent="0.25">
      <c r="H4666" s="116"/>
      <c r="I4666" s="116"/>
    </row>
    <row r="4667" spans="8:9" x14ac:dyDescent="0.25">
      <c r="H4667" s="116"/>
      <c r="I4667" s="116"/>
    </row>
    <row r="4668" spans="8:9" x14ac:dyDescent="0.25">
      <c r="H4668" s="116"/>
      <c r="I4668" s="116"/>
    </row>
    <row r="4669" spans="8:9" x14ac:dyDescent="0.25">
      <c r="H4669" s="116"/>
      <c r="I4669" s="116"/>
    </row>
    <row r="4670" spans="8:9" x14ac:dyDescent="0.25">
      <c r="H4670" s="116"/>
      <c r="I4670" s="116"/>
    </row>
    <row r="4671" spans="8:9" x14ac:dyDescent="0.25">
      <c r="H4671" s="116"/>
      <c r="I4671" s="116"/>
    </row>
    <row r="4672" spans="8:9" x14ac:dyDescent="0.25">
      <c r="H4672" s="116"/>
      <c r="I4672" s="116"/>
    </row>
    <row r="4673" spans="8:9" x14ac:dyDescent="0.25">
      <c r="H4673" s="116"/>
      <c r="I4673" s="116"/>
    </row>
    <row r="4674" spans="8:9" x14ac:dyDescent="0.25">
      <c r="H4674" s="116"/>
      <c r="I4674" s="116"/>
    </row>
    <row r="4675" spans="8:9" x14ac:dyDescent="0.25">
      <c r="H4675" s="116"/>
      <c r="I4675" s="116"/>
    </row>
    <row r="4676" spans="8:9" x14ac:dyDescent="0.25">
      <c r="H4676" s="116"/>
      <c r="I4676" s="116"/>
    </row>
    <row r="4677" spans="8:9" x14ac:dyDescent="0.25">
      <c r="H4677" s="116"/>
      <c r="I4677" s="116"/>
    </row>
    <row r="4678" spans="8:9" x14ac:dyDescent="0.25">
      <c r="H4678" s="116"/>
      <c r="I4678" s="116"/>
    </row>
    <row r="4679" spans="8:9" x14ac:dyDescent="0.25">
      <c r="H4679" s="116"/>
      <c r="I4679" s="116"/>
    </row>
    <row r="4680" spans="8:9" x14ac:dyDescent="0.25">
      <c r="H4680" s="116"/>
      <c r="I4680" s="116"/>
    </row>
    <row r="4681" spans="8:9" x14ac:dyDescent="0.25">
      <c r="H4681" s="116"/>
      <c r="I4681" s="116"/>
    </row>
    <row r="4682" spans="8:9" x14ac:dyDescent="0.25">
      <c r="H4682" s="116"/>
      <c r="I4682" s="116"/>
    </row>
    <row r="4683" spans="8:9" x14ac:dyDescent="0.25">
      <c r="H4683" s="116"/>
      <c r="I4683" s="116"/>
    </row>
    <row r="4684" spans="8:9" x14ac:dyDescent="0.25">
      <c r="H4684" s="116"/>
      <c r="I4684" s="116"/>
    </row>
    <row r="4685" spans="8:9" x14ac:dyDescent="0.25">
      <c r="H4685" s="116"/>
      <c r="I4685" s="116"/>
    </row>
    <row r="4686" spans="8:9" x14ac:dyDescent="0.25">
      <c r="H4686" s="116"/>
      <c r="I4686" s="116"/>
    </row>
    <row r="4687" spans="8:9" x14ac:dyDescent="0.25">
      <c r="H4687" s="116"/>
      <c r="I4687" s="116"/>
    </row>
    <row r="4688" spans="8:9" x14ac:dyDescent="0.25">
      <c r="H4688" s="116"/>
      <c r="I4688" s="116"/>
    </row>
    <row r="4689" spans="8:9" x14ac:dyDescent="0.25">
      <c r="H4689" s="116"/>
      <c r="I4689" s="116"/>
    </row>
    <row r="4690" spans="8:9" x14ac:dyDescent="0.25">
      <c r="H4690" s="116"/>
      <c r="I4690" s="116"/>
    </row>
    <row r="4691" spans="8:9" x14ac:dyDescent="0.25">
      <c r="H4691" s="116"/>
      <c r="I4691" s="116"/>
    </row>
    <row r="4692" spans="8:9" x14ac:dyDescent="0.25">
      <c r="H4692" s="116"/>
      <c r="I4692" s="116"/>
    </row>
    <row r="4693" spans="8:9" x14ac:dyDescent="0.25">
      <c r="H4693" s="116"/>
      <c r="I4693" s="116"/>
    </row>
    <row r="4694" spans="8:9" x14ac:dyDescent="0.25">
      <c r="H4694" s="116"/>
      <c r="I4694" s="116"/>
    </row>
    <row r="4695" spans="8:9" x14ac:dyDescent="0.25">
      <c r="H4695" s="116"/>
      <c r="I4695" s="116"/>
    </row>
    <row r="4696" spans="8:9" x14ac:dyDescent="0.25">
      <c r="H4696" s="116"/>
      <c r="I4696" s="116"/>
    </row>
    <row r="4697" spans="8:9" x14ac:dyDescent="0.25">
      <c r="H4697" s="116"/>
      <c r="I4697" s="116"/>
    </row>
    <row r="4698" spans="8:9" x14ac:dyDescent="0.25">
      <c r="H4698" s="116"/>
      <c r="I4698" s="116"/>
    </row>
    <row r="4699" spans="8:9" x14ac:dyDescent="0.25">
      <c r="H4699" s="116"/>
      <c r="I4699" s="116"/>
    </row>
    <row r="4700" spans="8:9" x14ac:dyDescent="0.25">
      <c r="H4700" s="116"/>
      <c r="I4700" s="116"/>
    </row>
    <row r="4701" spans="8:9" x14ac:dyDescent="0.25">
      <c r="H4701" s="116"/>
      <c r="I4701" s="116"/>
    </row>
    <row r="4702" spans="8:9" x14ac:dyDescent="0.25">
      <c r="H4702" s="116"/>
      <c r="I4702" s="116"/>
    </row>
    <row r="4703" spans="8:9" x14ac:dyDescent="0.25">
      <c r="H4703" s="116"/>
      <c r="I4703" s="116"/>
    </row>
    <row r="4704" spans="8:9" x14ac:dyDescent="0.25">
      <c r="H4704" s="116"/>
      <c r="I4704" s="116"/>
    </row>
    <row r="4705" spans="8:9" x14ac:dyDescent="0.25">
      <c r="H4705" s="116"/>
      <c r="I4705" s="116"/>
    </row>
    <row r="4706" spans="8:9" x14ac:dyDescent="0.25">
      <c r="H4706" s="116"/>
      <c r="I4706" s="116"/>
    </row>
    <row r="4707" spans="8:9" x14ac:dyDescent="0.25">
      <c r="H4707" s="116"/>
      <c r="I4707" s="116"/>
    </row>
    <row r="4708" spans="8:9" x14ac:dyDescent="0.25">
      <c r="H4708" s="116"/>
      <c r="I4708" s="116"/>
    </row>
    <row r="4709" spans="8:9" x14ac:dyDescent="0.25">
      <c r="H4709" s="116"/>
      <c r="I4709" s="116"/>
    </row>
    <row r="4710" spans="8:9" x14ac:dyDescent="0.25">
      <c r="H4710" s="116"/>
      <c r="I4710" s="116"/>
    </row>
    <row r="4711" spans="8:9" x14ac:dyDescent="0.25">
      <c r="H4711" s="116"/>
      <c r="I4711" s="116"/>
    </row>
    <row r="4712" spans="8:9" x14ac:dyDescent="0.25">
      <c r="H4712" s="116"/>
      <c r="I4712" s="116"/>
    </row>
    <row r="4713" spans="8:9" x14ac:dyDescent="0.25">
      <c r="H4713" s="116"/>
      <c r="I4713" s="116"/>
    </row>
    <row r="4714" spans="8:9" x14ac:dyDescent="0.25">
      <c r="H4714" s="116"/>
      <c r="I4714" s="116"/>
    </row>
    <row r="4715" spans="8:9" x14ac:dyDescent="0.25">
      <c r="H4715" s="116"/>
      <c r="I4715" s="116"/>
    </row>
    <row r="4716" spans="8:9" x14ac:dyDescent="0.25">
      <c r="H4716" s="116"/>
      <c r="I4716" s="116"/>
    </row>
    <row r="4717" spans="8:9" x14ac:dyDescent="0.25">
      <c r="H4717" s="116"/>
      <c r="I4717" s="116"/>
    </row>
    <row r="4718" spans="8:9" x14ac:dyDescent="0.25">
      <c r="H4718" s="116"/>
      <c r="I4718" s="116"/>
    </row>
    <row r="4719" spans="8:9" x14ac:dyDescent="0.25">
      <c r="H4719" s="116"/>
      <c r="I4719" s="116"/>
    </row>
    <row r="4720" spans="8:9" x14ac:dyDescent="0.25">
      <c r="H4720" s="116"/>
      <c r="I4720" s="116"/>
    </row>
    <row r="4721" spans="8:9" x14ac:dyDescent="0.25">
      <c r="H4721" s="116"/>
      <c r="I4721" s="116"/>
    </row>
    <row r="4722" spans="8:9" x14ac:dyDescent="0.25">
      <c r="H4722" s="116"/>
      <c r="I4722" s="116"/>
    </row>
    <row r="4723" spans="8:9" x14ac:dyDescent="0.25">
      <c r="H4723" s="116"/>
      <c r="I4723" s="116"/>
    </row>
    <row r="4724" spans="8:9" x14ac:dyDescent="0.25">
      <c r="H4724" s="116"/>
      <c r="I4724" s="116"/>
    </row>
    <row r="4725" spans="8:9" x14ac:dyDescent="0.25">
      <c r="H4725" s="116"/>
      <c r="I4725" s="116"/>
    </row>
    <row r="4726" spans="8:9" x14ac:dyDescent="0.25">
      <c r="H4726" s="116"/>
      <c r="I4726" s="116"/>
    </row>
    <row r="4727" spans="8:9" x14ac:dyDescent="0.25">
      <c r="H4727" s="116"/>
      <c r="I4727" s="116"/>
    </row>
    <row r="4728" spans="8:9" x14ac:dyDescent="0.25">
      <c r="H4728" s="116"/>
      <c r="I4728" s="116"/>
    </row>
    <row r="4729" spans="8:9" x14ac:dyDescent="0.25">
      <c r="H4729" s="116"/>
      <c r="I4729" s="116"/>
    </row>
    <row r="4730" spans="8:9" x14ac:dyDescent="0.25">
      <c r="H4730" s="116"/>
      <c r="I4730" s="116"/>
    </row>
    <row r="4731" spans="8:9" x14ac:dyDescent="0.25">
      <c r="H4731" s="116"/>
      <c r="I4731" s="116"/>
    </row>
    <row r="4732" spans="8:9" x14ac:dyDescent="0.25">
      <c r="H4732" s="116"/>
      <c r="I4732" s="116"/>
    </row>
    <row r="4733" spans="8:9" x14ac:dyDescent="0.25">
      <c r="H4733" s="116"/>
      <c r="I4733" s="116"/>
    </row>
    <row r="4734" spans="8:9" x14ac:dyDescent="0.25">
      <c r="H4734" s="116"/>
      <c r="I4734" s="116"/>
    </row>
    <row r="4735" spans="8:9" x14ac:dyDescent="0.25">
      <c r="H4735" s="116"/>
      <c r="I4735" s="116"/>
    </row>
    <row r="4736" spans="8:9" x14ac:dyDescent="0.25">
      <c r="H4736" s="116"/>
      <c r="I4736" s="116"/>
    </row>
    <row r="4737" spans="8:9" x14ac:dyDescent="0.25">
      <c r="H4737" s="116"/>
      <c r="I4737" s="116"/>
    </row>
    <row r="4738" spans="8:9" x14ac:dyDescent="0.25">
      <c r="H4738" s="116"/>
      <c r="I4738" s="116"/>
    </row>
    <row r="4739" spans="8:9" x14ac:dyDescent="0.25">
      <c r="H4739" s="116"/>
      <c r="I4739" s="116"/>
    </row>
    <row r="4740" spans="8:9" x14ac:dyDescent="0.25">
      <c r="H4740" s="116"/>
      <c r="I4740" s="116"/>
    </row>
    <row r="4741" spans="8:9" x14ac:dyDescent="0.25">
      <c r="H4741" s="116"/>
      <c r="I4741" s="116"/>
    </row>
    <row r="4742" spans="8:9" x14ac:dyDescent="0.25">
      <c r="H4742" s="116"/>
      <c r="I4742" s="116"/>
    </row>
    <row r="4743" spans="8:9" x14ac:dyDescent="0.25">
      <c r="H4743" s="116"/>
      <c r="I4743" s="116"/>
    </row>
    <row r="4744" spans="8:9" x14ac:dyDescent="0.25">
      <c r="H4744" s="116"/>
      <c r="I4744" s="116"/>
    </row>
    <row r="4745" spans="8:9" x14ac:dyDescent="0.25">
      <c r="H4745" s="116"/>
      <c r="I4745" s="116"/>
    </row>
    <row r="4746" spans="8:9" x14ac:dyDescent="0.25">
      <c r="H4746" s="116"/>
      <c r="I4746" s="116"/>
    </row>
    <row r="4747" spans="8:9" x14ac:dyDescent="0.25">
      <c r="H4747" s="116"/>
      <c r="I4747" s="116"/>
    </row>
    <row r="4748" spans="8:9" x14ac:dyDescent="0.25">
      <c r="H4748" s="116"/>
      <c r="I4748" s="116"/>
    </row>
    <row r="4749" spans="8:9" x14ac:dyDescent="0.25">
      <c r="H4749" s="116"/>
      <c r="I4749" s="116"/>
    </row>
    <row r="4750" spans="8:9" x14ac:dyDescent="0.25">
      <c r="H4750" s="116"/>
      <c r="I4750" s="116"/>
    </row>
    <row r="4751" spans="8:9" x14ac:dyDescent="0.25">
      <c r="H4751" s="116"/>
      <c r="I4751" s="116"/>
    </row>
    <row r="4752" spans="8:9" x14ac:dyDescent="0.25">
      <c r="H4752" s="116"/>
      <c r="I4752" s="116"/>
    </row>
    <row r="4753" spans="8:9" x14ac:dyDescent="0.25">
      <c r="H4753" s="116"/>
      <c r="I4753" s="116"/>
    </row>
    <row r="4754" spans="8:9" x14ac:dyDescent="0.25">
      <c r="H4754" s="116"/>
      <c r="I4754" s="116"/>
    </row>
    <row r="4755" spans="8:9" x14ac:dyDescent="0.25">
      <c r="H4755" s="116"/>
      <c r="I4755" s="116"/>
    </row>
    <row r="4756" spans="8:9" x14ac:dyDescent="0.25">
      <c r="H4756" s="116"/>
      <c r="I4756" s="116"/>
    </row>
    <row r="4757" spans="8:9" x14ac:dyDescent="0.25">
      <c r="H4757" s="116"/>
      <c r="I4757" s="116"/>
    </row>
    <row r="4758" spans="8:9" x14ac:dyDescent="0.25">
      <c r="H4758" s="116"/>
      <c r="I4758" s="116"/>
    </row>
    <row r="4759" spans="8:9" x14ac:dyDescent="0.25">
      <c r="H4759" s="116"/>
      <c r="I4759" s="116"/>
    </row>
    <row r="4760" spans="8:9" x14ac:dyDescent="0.25">
      <c r="H4760" s="116"/>
      <c r="I4760" s="116"/>
    </row>
    <row r="4761" spans="8:9" x14ac:dyDescent="0.25">
      <c r="H4761" s="116"/>
      <c r="I4761" s="116"/>
    </row>
    <row r="4762" spans="8:9" x14ac:dyDescent="0.25">
      <c r="H4762" s="116"/>
      <c r="I4762" s="116"/>
    </row>
    <row r="4763" spans="8:9" x14ac:dyDescent="0.25">
      <c r="H4763" s="116"/>
      <c r="I4763" s="116"/>
    </row>
    <row r="4764" spans="8:9" x14ac:dyDescent="0.25">
      <c r="H4764" s="116"/>
      <c r="I4764" s="116"/>
    </row>
    <row r="4765" spans="8:9" x14ac:dyDescent="0.25">
      <c r="H4765" s="116"/>
      <c r="I4765" s="116"/>
    </row>
    <row r="4766" spans="8:9" x14ac:dyDescent="0.25">
      <c r="H4766" s="116"/>
      <c r="I4766" s="116"/>
    </row>
    <row r="4767" spans="8:9" x14ac:dyDescent="0.25">
      <c r="H4767" s="116"/>
      <c r="I4767" s="116"/>
    </row>
    <row r="4768" spans="8:9" x14ac:dyDescent="0.25">
      <c r="H4768" s="116"/>
      <c r="I4768" s="116"/>
    </row>
    <row r="4769" spans="8:9" x14ac:dyDescent="0.25">
      <c r="H4769" s="116"/>
      <c r="I4769" s="116"/>
    </row>
    <row r="4770" spans="8:9" x14ac:dyDescent="0.25">
      <c r="H4770" s="116"/>
      <c r="I4770" s="116"/>
    </row>
    <row r="4771" spans="8:9" x14ac:dyDescent="0.25">
      <c r="H4771" s="116"/>
      <c r="I4771" s="116"/>
    </row>
    <row r="4772" spans="8:9" x14ac:dyDescent="0.25">
      <c r="H4772" s="116"/>
      <c r="I4772" s="116"/>
    </row>
    <row r="4773" spans="8:9" x14ac:dyDescent="0.25">
      <c r="H4773" s="116"/>
      <c r="I4773" s="116"/>
    </row>
    <row r="4774" spans="8:9" x14ac:dyDescent="0.25">
      <c r="H4774" s="116"/>
      <c r="I4774" s="116"/>
    </row>
    <row r="4775" spans="8:9" x14ac:dyDescent="0.25">
      <c r="H4775" s="116"/>
      <c r="I4775" s="116"/>
    </row>
    <row r="4776" spans="8:9" x14ac:dyDescent="0.25">
      <c r="H4776" s="116"/>
      <c r="I4776" s="116"/>
    </row>
    <row r="4777" spans="8:9" x14ac:dyDescent="0.25">
      <c r="H4777" s="116"/>
      <c r="I4777" s="116"/>
    </row>
    <row r="4778" spans="8:9" x14ac:dyDescent="0.25">
      <c r="H4778" s="116"/>
      <c r="I4778" s="116"/>
    </row>
    <row r="4779" spans="8:9" x14ac:dyDescent="0.25">
      <c r="H4779" s="116"/>
      <c r="I4779" s="116"/>
    </row>
    <row r="4780" spans="8:9" x14ac:dyDescent="0.25">
      <c r="H4780" s="116"/>
      <c r="I4780" s="116"/>
    </row>
    <row r="4781" spans="8:9" x14ac:dyDescent="0.25">
      <c r="H4781" s="116"/>
      <c r="I4781" s="116"/>
    </row>
    <row r="4782" spans="8:9" x14ac:dyDescent="0.25">
      <c r="H4782" s="116"/>
      <c r="I4782" s="116"/>
    </row>
    <row r="4783" spans="8:9" x14ac:dyDescent="0.25">
      <c r="H4783" s="116"/>
      <c r="I4783" s="116"/>
    </row>
    <row r="4784" spans="8:9" x14ac:dyDescent="0.25">
      <c r="H4784" s="116"/>
      <c r="I4784" s="116"/>
    </row>
    <row r="4785" spans="8:9" x14ac:dyDescent="0.25">
      <c r="H4785" s="116"/>
      <c r="I4785" s="116"/>
    </row>
    <row r="4786" spans="8:9" x14ac:dyDescent="0.25">
      <c r="H4786" s="116"/>
      <c r="I4786" s="116"/>
    </row>
    <row r="4787" spans="8:9" x14ac:dyDescent="0.25">
      <c r="H4787" s="116"/>
      <c r="I4787" s="116"/>
    </row>
    <row r="4788" spans="8:9" x14ac:dyDescent="0.25">
      <c r="H4788" s="116"/>
      <c r="I4788" s="116"/>
    </row>
    <row r="4789" spans="8:9" x14ac:dyDescent="0.25">
      <c r="H4789" s="116"/>
      <c r="I4789" s="116"/>
    </row>
    <row r="4790" spans="8:9" x14ac:dyDescent="0.25">
      <c r="H4790" s="116"/>
      <c r="I4790" s="116"/>
    </row>
    <row r="4791" spans="8:9" x14ac:dyDescent="0.25">
      <c r="H4791" s="116"/>
      <c r="I4791" s="116"/>
    </row>
    <row r="4792" spans="8:9" x14ac:dyDescent="0.25">
      <c r="H4792" s="116"/>
      <c r="I4792" s="116"/>
    </row>
    <row r="4793" spans="8:9" x14ac:dyDescent="0.25">
      <c r="H4793" s="116"/>
      <c r="I4793" s="116"/>
    </row>
    <row r="4794" spans="8:9" x14ac:dyDescent="0.25">
      <c r="H4794" s="116"/>
      <c r="I4794" s="116"/>
    </row>
    <row r="4795" spans="8:9" x14ac:dyDescent="0.25">
      <c r="H4795" s="116"/>
      <c r="I4795" s="116"/>
    </row>
    <row r="4796" spans="8:9" x14ac:dyDescent="0.25">
      <c r="H4796" s="116"/>
      <c r="I4796" s="116"/>
    </row>
    <row r="4797" spans="8:9" x14ac:dyDescent="0.25">
      <c r="H4797" s="116"/>
      <c r="I4797" s="116"/>
    </row>
    <row r="4798" spans="8:9" x14ac:dyDescent="0.25">
      <c r="H4798" s="116"/>
      <c r="I4798" s="116"/>
    </row>
    <row r="4799" spans="8:9" x14ac:dyDescent="0.25">
      <c r="H4799" s="116"/>
      <c r="I4799" s="116"/>
    </row>
    <row r="4800" spans="8:9" x14ac:dyDescent="0.25">
      <c r="H4800" s="116"/>
      <c r="I4800" s="116"/>
    </row>
    <row r="4801" spans="8:9" x14ac:dyDescent="0.25">
      <c r="H4801" s="116"/>
      <c r="I4801" s="116"/>
    </row>
    <row r="4802" spans="8:9" x14ac:dyDescent="0.25">
      <c r="H4802" s="116"/>
      <c r="I4802" s="116"/>
    </row>
    <row r="4803" spans="8:9" x14ac:dyDescent="0.25">
      <c r="H4803" s="116"/>
      <c r="I4803" s="116"/>
    </row>
    <row r="4804" spans="8:9" x14ac:dyDescent="0.25">
      <c r="H4804" s="116"/>
      <c r="I4804" s="116"/>
    </row>
    <row r="4805" spans="8:9" x14ac:dyDescent="0.25">
      <c r="H4805" s="116"/>
      <c r="I4805" s="116"/>
    </row>
    <row r="4806" spans="8:9" x14ac:dyDescent="0.25">
      <c r="H4806" s="116"/>
      <c r="I4806" s="116"/>
    </row>
    <row r="4807" spans="8:9" x14ac:dyDescent="0.25">
      <c r="H4807" s="116"/>
      <c r="I4807" s="116"/>
    </row>
    <row r="4808" spans="8:9" x14ac:dyDescent="0.25">
      <c r="H4808" s="116"/>
      <c r="I4808" s="116"/>
    </row>
    <row r="4809" spans="8:9" x14ac:dyDescent="0.25">
      <c r="H4809" s="116"/>
      <c r="I4809" s="116"/>
    </row>
    <row r="4810" spans="8:9" x14ac:dyDescent="0.25">
      <c r="H4810" s="116"/>
      <c r="I4810" s="116"/>
    </row>
    <row r="4811" spans="8:9" x14ac:dyDescent="0.25">
      <c r="H4811" s="116"/>
      <c r="I4811" s="116"/>
    </row>
    <row r="4812" spans="8:9" x14ac:dyDescent="0.25">
      <c r="H4812" s="116"/>
      <c r="I4812" s="116"/>
    </row>
    <row r="4813" spans="8:9" x14ac:dyDescent="0.25">
      <c r="H4813" s="116"/>
      <c r="I4813" s="116"/>
    </row>
    <row r="4814" spans="8:9" x14ac:dyDescent="0.25">
      <c r="H4814" s="116"/>
      <c r="I4814" s="116"/>
    </row>
    <row r="4815" spans="8:9" x14ac:dyDescent="0.25">
      <c r="H4815" s="116"/>
      <c r="I4815" s="116"/>
    </row>
    <row r="4816" spans="8:9" x14ac:dyDescent="0.25">
      <c r="H4816" s="116"/>
      <c r="I4816" s="116"/>
    </row>
    <row r="4817" spans="8:9" x14ac:dyDescent="0.25">
      <c r="H4817" s="116"/>
      <c r="I4817" s="116"/>
    </row>
    <row r="4818" spans="8:9" x14ac:dyDescent="0.25">
      <c r="H4818" s="116"/>
      <c r="I4818" s="116"/>
    </row>
    <row r="4819" spans="8:9" x14ac:dyDescent="0.25">
      <c r="H4819" s="116"/>
      <c r="I4819" s="116"/>
    </row>
    <row r="4820" spans="8:9" x14ac:dyDescent="0.25">
      <c r="H4820" s="116"/>
      <c r="I4820" s="116"/>
    </row>
    <row r="4821" spans="8:9" x14ac:dyDescent="0.25">
      <c r="H4821" s="116"/>
      <c r="I4821" s="116"/>
    </row>
    <row r="4822" spans="8:9" x14ac:dyDescent="0.25">
      <c r="H4822" s="116"/>
      <c r="I4822" s="116"/>
    </row>
    <row r="4823" spans="8:9" x14ac:dyDescent="0.25">
      <c r="H4823" s="116"/>
      <c r="I4823" s="116"/>
    </row>
    <row r="4824" spans="8:9" x14ac:dyDescent="0.25">
      <c r="H4824" s="116"/>
      <c r="I4824" s="116"/>
    </row>
    <row r="4825" spans="8:9" x14ac:dyDescent="0.25">
      <c r="H4825" s="116"/>
      <c r="I4825" s="116"/>
    </row>
    <row r="4826" spans="8:9" x14ac:dyDescent="0.25">
      <c r="H4826" s="116"/>
      <c r="I4826" s="116"/>
    </row>
    <row r="4827" spans="8:9" x14ac:dyDescent="0.25">
      <c r="H4827" s="116"/>
      <c r="I4827" s="116"/>
    </row>
    <row r="4828" spans="8:9" x14ac:dyDescent="0.25">
      <c r="H4828" s="116"/>
      <c r="I4828" s="116"/>
    </row>
    <row r="4829" spans="8:9" x14ac:dyDescent="0.25">
      <c r="H4829" s="116"/>
      <c r="I4829" s="116"/>
    </row>
    <row r="4830" spans="8:9" x14ac:dyDescent="0.25">
      <c r="H4830" s="116"/>
      <c r="I4830" s="116"/>
    </row>
    <row r="4831" spans="8:9" x14ac:dyDescent="0.25">
      <c r="H4831" s="116"/>
      <c r="I4831" s="116"/>
    </row>
    <row r="4832" spans="8:9" x14ac:dyDescent="0.25">
      <c r="H4832" s="116"/>
      <c r="I4832" s="116"/>
    </row>
    <row r="4833" spans="8:9" x14ac:dyDescent="0.25">
      <c r="H4833" s="116"/>
      <c r="I4833" s="116"/>
    </row>
    <row r="4834" spans="8:9" x14ac:dyDescent="0.25">
      <c r="H4834" s="116"/>
      <c r="I4834" s="116"/>
    </row>
    <row r="4835" spans="8:9" x14ac:dyDescent="0.25">
      <c r="H4835" s="116"/>
      <c r="I4835" s="116"/>
    </row>
    <row r="4836" spans="8:9" x14ac:dyDescent="0.25">
      <c r="H4836" s="116"/>
      <c r="I4836" s="116"/>
    </row>
    <row r="4837" spans="8:9" x14ac:dyDescent="0.25">
      <c r="H4837" s="116"/>
      <c r="I4837" s="116"/>
    </row>
    <row r="4838" spans="8:9" x14ac:dyDescent="0.25">
      <c r="H4838" s="116"/>
      <c r="I4838" s="116"/>
    </row>
    <row r="4839" spans="8:9" x14ac:dyDescent="0.25">
      <c r="H4839" s="116"/>
      <c r="I4839" s="116"/>
    </row>
    <row r="4840" spans="8:9" x14ac:dyDescent="0.25">
      <c r="H4840" s="116"/>
      <c r="I4840" s="116"/>
    </row>
    <row r="4841" spans="8:9" x14ac:dyDescent="0.25">
      <c r="H4841" s="116"/>
      <c r="I4841" s="116"/>
    </row>
    <row r="4842" spans="8:9" x14ac:dyDescent="0.25">
      <c r="H4842" s="116"/>
      <c r="I4842" s="116"/>
    </row>
    <row r="4843" spans="8:9" x14ac:dyDescent="0.25">
      <c r="H4843" s="116"/>
      <c r="I4843" s="116"/>
    </row>
    <row r="4844" spans="8:9" x14ac:dyDescent="0.25">
      <c r="H4844" s="116"/>
      <c r="I4844" s="116"/>
    </row>
    <row r="4845" spans="8:9" x14ac:dyDescent="0.25">
      <c r="H4845" s="116"/>
      <c r="I4845" s="116"/>
    </row>
    <row r="4846" spans="8:9" x14ac:dyDescent="0.25">
      <c r="H4846" s="116"/>
      <c r="I4846" s="116"/>
    </row>
    <row r="4847" spans="8:9" x14ac:dyDescent="0.25">
      <c r="H4847" s="116"/>
      <c r="I4847" s="116"/>
    </row>
    <row r="4848" spans="8:9" x14ac:dyDescent="0.25">
      <c r="H4848" s="116"/>
      <c r="I4848" s="116"/>
    </row>
    <row r="4849" spans="8:9" x14ac:dyDescent="0.25">
      <c r="H4849" s="116"/>
      <c r="I4849" s="116"/>
    </row>
    <row r="4850" spans="8:9" x14ac:dyDescent="0.25">
      <c r="H4850" s="116"/>
      <c r="I4850" s="116"/>
    </row>
    <row r="4851" spans="8:9" x14ac:dyDescent="0.25">
      <c r="H4851" s="116"/>
      <c r="I4851" s="116"/>
    </row>
    <row r="4852" spans="8:9" x14ac:dyDescent="0.25">
      <c r="H4852" s="116"/>
      <c r="I4852" s="116"/>
    </row>
    <row r="4853" spans="8:9" x14ac:dyDescent="0.25">
      <c r="H4853" s="116"/>
      <c r="I4853" s="116"/>
    </row>
    <row r="4854" spans="8:9" x14ac:dyDescent="0.25">
      <c r="H4854" s="116"/>
      <c r="I4854" s="116"/>
    </row>
    <row r="4855" spans="8:9" x14ac:dyDescent="0.25">
      <c r="H4855" s="116"/>
      <c r="I4855" s="116"/>
    </row>
    <row r="4856" spans="8:9" x14ac:dyDescent="0.25">
      <c r="H4856" s="116"/>
      <c r="I4856" s="116"/>
    </row>
    <row r="4857" spans="8:9" x14ac:dyDescent="0.25">
      <c r="H4857" s="116"/>
      <c r="I4857" s="116"/>
    </row>
    <row r="4858" spans="8:9" x14ac:dyDescent="0.25">
      <c r="H4858" s="116"/>
      <c r="I4858" s="116"/>
    </row>
    <row r="4859" spans="8:9" x14ac:dyDescent="0.25">
      <c r="H4859" s="116"/>
      <c r="I4859" s="116"/>
    </row>
    <row r="4860" spans="8:9" x14ac:dyDescent="0.25">
      <c r="H4860" s="116"/>
      <c r="I4860" s="116"/>
    </row>
    <row r="4861" spans="8:9" x14ac:dyDescent="0.25">
      <c r="H4861" s="116"/>
      <c r="I4861" s="116"/>
    </row>
    <row r="4862" spans="8:9" x14ac:dyDescent="0.25">
      <c r="H4862" s="116"/>
      <c r="I4862" s="116"/>
    </row>
    <row r="4863" spans="8:9" x14ac:dyDescent="0.25">
      <c r="H4863" s="116"/>
      <c r="I4863" s="116"/>
    </row>
    <row r="4864" spans="8:9" x14ac:dyDescent="0.25">
      <c r="H4864" s="116"/>
      <c r="I4864" s="116"/>
    </row>
    <row r="4865" spans="8:9" x14ac:dyDescent="0.25">
      <c r="H4865" s="116"/>
      <c r="I4865" s="116"/>
    </row>
    <row r="4866" spans="8:9" x14ac:dyDescent="0.25">
      <c r="H4866" s="116"/>
      <c r="I4866" s="116"/>
    </row>
    <row r="4867" spans="8:9" x14ac:dyDescent="0.25">
      <c r="H4867" s="116"/>
      <c r="I4867" s="116"/>
    </row>
    <row r="4868" spans="8:9" x14ac:dyDescent="0.25">
      <c r="H4868" s="116"/>
      <c r="I4868" s="116"/>
    </row>
    <row r="4869" spans="8:9" x14ac:dyDescent="0.25">
      <c r="H4869" s="116"/>
      <c r="I4869" s="116"/>
    </row>
    <row r="4870" spans="8:9" x14ac:dyDescent="0.25">
      <c r="H4870" s="116"/>
      <c r="I4870" s="116"/>
    </row>
    <row r="4871" spans="8:9" x14ac:dyDescent="0.25">
      <c r="H4871" s="116"/>
      <c r="I4871" s="116"/>
    </row>
    <row r="4872" spans="8:9" x14ac:dyDescent="0.25">
      <c r="H4872" s="116"/>
      <c r="I4872" s="116"/>
    </row>
    <row r="4873" spans="8:9" x14ac:dyDescent="0.25">
      <c r="H4873" s="116"/>
      <c r="I4873" s="116"/>
    </row>
    <row r="4874" spans="8:9" x14ac:dyDescent="0.25">
      <c r="H4874" s="116"/>
      <c r="I4874" s="116"/>
    </row>
    <row r="4875" spans="8:9" x14ac:dyDescent="0.25">
      <c r="H4875" s="116"/>
      <c r="I4875" s="116"/>
    </row>
    <row r="4876" spans="8:9" x14ac:dyDescent="0.25">
      <c r="H4876" s="116"/>
      <c r="I4876" s="116"/>
    </row>
    <row r="4877" spans="8:9" x14ac:dyDescent="0.25">
      <c r="H4877" s="116"/>
      <c r="I4877" s="116"/>
    </row>
    <row r="4878" spans="8:9" x14ac:dyDescent="0.25">
      <c r="H4878" s="116"/>
      <c r="I4878" s="116"/>
    </row>
    <row r="4879" spans="8:9" x14ac:dyDescent="0.25">
      <c r="H4879" s="116"/>
      <c r="I4879" s="116"/>
    </row>
    <row r="4880" spans="8:9" x14ac:dyDescent="0.25">
      <c r="H4880" s="116"/>
      <c r="I4880" s="116"/>
    </row>
    <row r="4881" spans="8:9" x14ac:dyDescent="0.25">
      <c r="H4881" s="116"/>
      <c r="I4881" s="116"/>
    </row>
    <row r="4882" spans="8:9" x14ac:dyDescent="0.25">
      <c r="H4882" s="116"/>
      <c r="I4882" s="116"/>
    </row>
    <row r="4883" spans="8:9" x14ac:dyDescent="0.25">
      <c r="H4883" s="116"/>
      <c r="I4883" s="116"/>
    </row>
    <row r="4884" spans="8:9" x14ac:dyDescent="0.25">
      <c r="H4884" s="116"/>
      <c r="I4884" s="116"/>
    </row>
    <row r="4885" spans="8:9" x14ac:dyDescent="0.25">
      <c r="H4885" s="116"/>
      <c r="I4885" s="116"/>
    </row>
    <row r="4886" spans="8:9" x14ac:dyDescent="0.25">
      <c r="H4886" s="116"/>
      <c r="I4886" s="116"/>
    </row>
    <row r="4887" spans="8:9" x14ac:dyDescent="0.25">
      <c r="H4887" s="116"/>
      <c r="I4887" s="116"/>
    </row>
    <row r="4888" spans="8:9" x14ac:dyDescent="0.25">
      <c r="H4888" s="116"/>
      <c r="I4888" s="116"/>
    </row>
    <row r="4889" spans="8:9" x14ac:dyDescent="0.25">
      <c r="H4889" s="116"/>
      <c r="I4889" s="116"/>
    </row>
    <row r="4890" spans="8:9" x14ac:dyDescent="0.25">
      <c r="H4890" s="116"/>
      <c r="I4890" s="116"/>
    </row>
    <row r="4891" spans="8:9" x14ac:dyDescent="0.25">
      <c r="H4891" s="116"/>
      <c r="I4891" s="116"/>
    </row>
    <row r="4892" spans="8:9" x14ac:dyDescent="0.25">
      <c r="H4892" s="116"/>
      <c r="I4892" s="116"/>
    </row>
    <row r="4893" spans="8:9" x14ac:dyDescent="0.25">
      <c r="H4893" s="116"/>
      <c r="I4893" s="116"/>
    </row>
    <row r="4894" spans="8:9" x14ac:dyDescent="0.25">
      <c r="H4894" s="116"/>
      <c r="I4894" s="116"/>
    </row>
    <row r="4895" spans="8:9" x14ac:dyDescent="0.25">
      <c r="H4895" s="116"/>
      <c r="I4895" s="116"/>
    </row>
    <row r="4896" spans="8:9" x14ac:dyDescent="0.25">
      <c r="H4896" s="116"/>
      <c r="I4896" s="116"/>
    </row>
    <row r="4897" spans="8:9" x14ac:dyDescent="0.25">
      <c r="H4897" s="116"/>
      <c r="I4897" s="116"/>
    </row>
    <row r="4898" spans="8:9" x14ac:dyDescent="0.25">
      <c r="H4898" s="116"/>
      <c r="I4898" s="116"/>
    </row>
    <row r="4899" spans="8:9" x14ac:dyDescent="0.25">
      <c r="H4899" s="116"/>
      <c r="I4899" s="116"/>
    </row>
    <row r="4900" spans="8:9" x14ac:dyDescent="0.25">
      <c r="H4900" s="116"/>
      <c r="I4900" s="116"/>
    </row>
    <row r="4901" spans="8:9" x14ac:dyDescent="0.25">
      <c r="H4901" s="116"/>
      <c r="I4901" s="116"/>
    </row>
    <row r="4902" spans="8:9" x14ac:dyDescent="0.25">
      <c r="H4902" s="116"/>
      <c r="I4902" s="116"/>
    </row>
    <row r="4903" spans="8:9" x14ac:dyDescent="0.25">
      <c r="H4903" s="116"/>
      <c r="I4903" s="116"/>
    </row>
    <row r="4904" spans="8:9" x14ac:dyDescent="0.25">
      <c r="H4904" s="116"/>
      <c r="I4904" s="116"/>
    </row>
    <row r="4905" spans="8:9" x14ac:dyDescent="0.25">
      <c r="H4905" s="116"/>
      <c r="I4905" s="116"/>
    </row>
    <row r="4906" spans="8:9" x14ac:dyDescent="0.25">
      <c r="H4906" s="116"/>
      <c r="I4906" s="116"/>
    </row>
    <row r="4907" spans="8:9" x14ac:dyDescent="0.25">
      <c r="H4907" s="116"/>
      <c r="I4907" s="116"/>
    </row>
    <row r="4908" spans="8:9" x14ac:dyDescent="0.25">
      <c r="H4908" s="116"/>
      <c r="I4908" s="116"/>
    </row>
    <row r="4909" spans="8:9" x14ac:dyDescent="0.25">
      <c r="H4909" s="116"/>
      <c r="I4909" s="116"/>
    </row>
    <row r="4910" spans="8:9" x14ac:dyDescent="0.25">
      <c r="H4910" s="116"/>
      <c r="I4910" s="116"/>
    </row>
    <row r="4911" spans="8:9" x14ac:dyDescent="0.25">
      <c r="H4911" s="116"/>
      <c r="I4911" s="116"/>
    </row>
    <row r="4912" spans="8:9" x14ac:dyDescent="0.25">
      <c r="H4912" s="116"/>
      <c r="I4912" s="116"/>
    </row>
    <row r="4913" spans="8:9" x14ac:dyDescent="0.25">
      <c r="H4913" s="116"/>
      <c r="I4913" s="116"/>
    </row>
    <row r="4914" spans="8:9" x14ac:dyDescent="0.25">
      <c r="H4914" s="116"/>
      <c r="I4914" s="116"/>
    </row>
    <row r="4915" spans="8:9" x14ac:dyDescent="0.25">
      <c r="H4915" s="116"/>
      <c r="I4915" s="116"/>
    </row>
    <row r="4916" spans="8:9" x14ac:dyDescent="0.25">
      <c r="H4916" s="116"/>
      <c r="I4916" s="116"/>
    </row>
    <row r="4917" spans="8:9" x14ac:dyDescent="0.25">
      <c r="H4917" s="116"/>
      <c r="I4917" s="116"/>
    </row>
    <row r="4918" spans="8:9" x14ac:dyDescent="0.25">
      <c r="H4918" s="116"/>
      <c r="I4918" s="116"/>
    </row>
    <row r="4919" spans="8:9" x14ac:dyDescent="0.25">
      <c r="H4919" s="116"/>
      <c r="I4919" s="116"/>
    </row>
    <row r="4920" spans="8:9" x14ac:dyDescent="0.25">
      <c r="H4920" s="116"/>
      <c r="I4920" s="116"/>
    </row>
    <row r="4921" spans="8:9" x14ac:dyDescent="0.25">
      <c r="H4921" s="116"/>
      <c r="I4921" s="116"/>
    </row>
    <row r="4922" spans="8:9" x14ac:dyDescent="0.25">
      <c r="H4922" s="116"/>
      <c r="I4922" s="116"/>
    </row>
    <row r="4923" spans="8:9" x14ac:dyDescent="0.25">
      <c r="H4923" s="116"/>
      <c r="I4923" s="116"/>
    </row>
    <row r="4924" spans="8:9" x14ac:dyDescent="0.25">
      <c r="H4924" s="116"/>
      <c r="I4924" s="116"/>
    </row>
    <row r="4925" spans="8:9" x14ac:dyDescent="0.25">
      <c r="H4925" s="116"/>
      <c r="I4925" s="116"/>
    </row>
    <row r="4926" spans="8:9" x14ac:dyDescent="0.25">
      <c r="H4926" s="116"/>
      <c r="I4926" s="116"/>
    </row>
    <row r="4927" spans="8:9" x14ac:dyDescent="0.25">
      <c r="H4927" s="116"/>
      <c r="I4927" s="116"/>
    </row>
    <row r="4928" spans="8:9" x14ac:dyDescent="0.25">
      <c r="H4928" s="116"/>
      <c r="I4928" s="116"/>
    </row>
    <row r="4929" spans="8:9" x14ac:dyDescent="0.25">
      <c r="H4929" s="116"/>
      <c r="I4929" s="116"/>
    </row>
    <row r="4930" spans="8:9" x14ac:dyDescent="0.25">
      <c r="H4930" s="116"/>
      <c r="I4930" s="116"/>
    </row>
    <row r="4931" spans="8:9" x14ac:dyDescent="0.25">
      <c r="H4931" s="116"/>
      <c r="I4931" s="116"/>
    </row>
    <row r="4932" spans="8:9" x14ac:dyDescent="0.25">
      <c r="H4932" s="116"/>
      <c r="I4932" s="116"/>
    </row>
    <row r="4933" spans="8:9" x14ac:dyDescent="0.25">
      <c r="H4933" s="116"/>
      <c r="I4933" s="116"/>
    </row>
    <row r="4934" spans="8:9" x14ac:dyDescent="0.25">
      <c r="H4934" s="116"/>
      <c r="I4934" s="116"/>
    </row>
    <row r="4935" spans="8:9" x14ac:dyDescent="0.25">
      <c r="H4935" s="116"/>
      <c r="I4935" s="116"/>
    </row>
    <row r="4936" spans="8:9" x14ac:dyDescent="0.25">
      <c r="H4936" s="116"/>
      <c r="I4936" s="116"/>
    </row>
    <row r="4937" spans="8:9" x14ac:dyDescent="0.25">
      <c r="H4937" s="116"/>
      <c r="I4937" s="116"/>
    </row>
    <row r="4938" spans="8:9" x14ac:dyDescent="0.25">
      <c r="H4938" s="116"/>
      <c r="I4938" s="116"/>
    </row>
    <row r="4939" spans="8:9" x14ac:dyDescent="0.25">
      <c r="H4939" s="116"/>
      <c r="I4939" s="116"/>
    </row>
    <row r="4940" spans="8:9" x14ac:dyDescent="0.25">
      <c r="H4940" s="116"/>
      <c r="I4940" s="116"/>
    </row>
    <row r="4941" spans="8:9" x14ac:dyDescent="0.25">
      <c r="H4941" s="116"/>
      <c r="I4941" s="116"/>
    </row>
    <row r="4942" spans="8:9" x14ac:dyDescent="0.25">
      <c r="H4942" s="116"/>
      <c r="I4942" s="116"/>
    </row>
    <row r="4943" spans="8:9" x14ac:dyDescent="0.25">
      <c r="H4943" s="116"/>
      <c r="I4943" s="116"/>
    </row>
    <row r="4944" spans="8:9" x14ac:dyDescent="0.25">
      <c r="H4944" s="116"/>
      <c r="I4944" s="116"/>
    </row>
    <row r="4945" spans="8:9" x14ac:dyDescent="0.25">
      <c r="H4945" s="116"/>
      <c r="I4945" s="116"/>
    </row>
    <row r="4946" spans="8:9" x14ac:dyDescent="0.25">
      <c r="H4946" s="116"/>
      <c r="I4946" s="116"/>
    </row>
    <row r="4947" spans="8:9" x14ac:dyDescent="0.25">
      <c r="H4947" s="116"/>
      <c r="I4947" s="116"/>
    </row>
    <row r="4948" spans="8:9" x14ac:dyDescent="0.25">
      <c r="H4948" s="116"/>
      <c r="I4948" s="116"/>
    </row>
    <row r="4949" spans="8:9" x14ac:dyDescent="0.25">
      <c r="H4949" s="116"/>
      <c r="I4949" s="116"/>
    </row>
    <row r="4950" spans="8:9" x14ac:dyDescent="0.25">
      <c r="H4950" s="116"/>
      <c r="I4950" s="116"/>
    </row>
    <row r="4951" spans="8:9" x14ac:dyDescent="0.25">
      <c r="H4951" s="116"/>
      <c r="I4951" s="116"/>
    </row>
    <row r="4952" spans="8:9" x14ac:dyDescent="0.25">
      <c r="H4952" s="116"/>
      <c r="I4952" s="116"/>
    </row>
    <row r="4953" spans="8:9" x14ac:dyDescent="0.25">
      <c r="H4953" s="116"/>
      <c r="I4953" s="116"/>
    </row>
    <row r="4954" spans="8:9" x14ac:dyDescent="0.25">
      <c r="H4954" s="116"/>
      <c r="I4954" s="116"/>
    </row>
    <row r="4955" spans="8:9" x14ac:dyDescent="0.25">
      <c r="H4955" s="116"/>
      <c r="I4955" s="116"/>
    </row>
    <row r="4956" spans="8:9" x14ac:dyDescent="0.25">
      <c r="H4956" s="116"/>
      <c r="I4956" s="116"/>
    </row>
    <row r="4957" spans="8:9" x14ac:dyDescent="0.25">
      <c r="H4957" s="116"/>
      <c r="I4957" s="116"/>
    </row>
    <row r="4958" spans="8:9" x14ac:dyDescent="0.25">
      <c r="H4958" s="116"/>
      <c r="I4958" s="116"/>
    </row>
    <row r="4959" spans="8:9" x14ac:dyDescent="0.25">
      <c r="H4959" s="116"/>
      <c r="I4959" s="116"/>
    </row>
    <row r="4960" spans="8:9" x14ac:dyDescent="0.25">
      <c r="H4960" s="116"/>
      <c r="I4960" s="116"/>
    </row>
    <row r="4961" spans="8:9" x14ac:dyDescent="0.25">
      <c r="H4961" s="116"/>
      <c r="I4961" s="116"/>
    </row>
    <row r="4962" spans="8:9" x14ac:dyDescent="0.25">
      <c r="H4962" s="116"/>
      <c r="I4962" s="116"/>
    </row>
    <row r="4963" spans="8:9" x14ac:dyDescent="0.25">
      <c r="H4963" s="116"/>
      <c r="I4963" s="116"/>
    </row>
    <row r="4964" spans="8:9" x14ac:dyDescent="0.25">
      <c r="H4964" s="116"/>
      <c r="I4964" s="116"/>
    </row>
    <row r="4965" spans="8:9" x14ac:dyDescent="0.25">
      <c r="H4965" s="116"/>
      <c r="I4965" s="116"/>
    </row>
    <row r="4966" spans="8:9" x14ac:dyDescent="0.25">
      <c r="H4966" s="116"/>
      <c r="I4966" s="116"/>
    </row>
    <row r="4967" spans="8:9" x14ac:dyDescent="0.25">
      <c r="H4967" s="116"/>
      <c r="I4967" s="116"/>
    </row>
    <row r="4968" spans="8:9" x14ac:dyDescent="0.25">
      <c r="H4968" s="116"/>
      <c r="I4968" s="116"/>
    </row>
    <row r="4969" spans="8:9" x14ac:dyDescent="0.25">
      <c r="H4969" s="116"/>
      <c r="I4969" s="116"/>
    </row>
    <row r="4970" spans="8:9" x14ac:dyDescent="0.25">
      <c r="H4970" s="116"/>
      <c r="I4970" s="116"/>
    </row>
    <row r="4971" spans="8:9" x14ac:dyDescent="0.25">
      <c r="H4971" s="116"/>
      <c r="I4971" s="116"/>
    </row>
    <row r="4972" spans="8:9" x14ac:dyDescent="0.25">
      <c r="H4972" s="116"/>
      <c r="I4972" s="116"/>
    </row>
    <row r="4973" spans="8:9" x14ac:dyDescent="0.25">
      <c r="H4973" s="116"/>
      <c r="I4973" s="116"/>
    </row>
    <row r="4974" spans="8:9" x14ac:dyDescent="0.25">
      <c r="H4974" s="116"/>
      <c r="I4974" s="116"/>
    </row>
    <row r="4975" spans="8:9" x14ac:dyDescent="0.25">
      <c r="H4975" s="116"/>
      <c r="I4975" s="116"/>
    </row>
    <row r="4976" spans="8:9" x14ac:dyDescent="0.25">
      <c r="H4976" s="116"/>
      <c r="I4976" s="116"/>
    </row>
    <row r="4977" spans="8:9" x14ac:dyDescent="0.25">
      <c r="H4977" s="116"/>
      <c r="I4977" s="116"/>
    </row>
    <row r="4978" spans="8:9" x14ac:dyDescent="0.25">
      <c r="H4978" s="116"/>
      <c r="I4978" s="116"/>
    </row>
    <row r="4979" spans="8:9" x14ac:dyDescent="0.25">
      <c r="H4979" s="116"/>
      <c r="I4979" s="116"/>
    </row>
    <row r="4980" spans="8:9" x14ac:dyDescent="0.25">
      <c r="H4980" s="116"/>
      <c r="I4980" s="116"/>
    </row>
    <row r="4981" spans="8:9" x14ac:dyDescent="0.25">
      <c r="H4981" s="116"/>
      <c r="I4981" s="116"/>
    </row>
    <row r="4982" spans="8:9" x14ac:dyDescent="0.25">
      <c r="H4982" s="116"/>
      <c r="I4982" s="116"/>
    </row>
    <row r="4983" spans="8:9" x14ac:dyDescent="0.25">
      <c r="H4983" s="116"/>
      <c r="I4983" s="116"/>
    </row>
    <row r="4984" spans="8:9" x14ac:dyDescent="0.25">
      <c r="H4984" s="116"/>
      <c r="I4984" s="116"/>
    </row>
    <row r="4985" spans="8:9" x14ac:dyDescent="0.25">
      <c r="H4985" s="116"/>
      <c r="I4985" s="116"/>
    </row>
    <row r="4986" spans="8:9" x14ac:dyDescent="0.25">
      <c r="H4986" s="116"/>
      <c r="I4986" s="116"/>
    </row>
    <row r="4987" spans="8:9" x14ac:dyDescent="0.25">
      <c r="H4987" s="116"/>
      <c r="I4987" s="116"/>
    </row>
    <row r="4988" spans="8:9" x14ac:dyDescent="0.25">
      <c r="H4988" s="116"/>
      <c r="I4988" s="116"/>
    </row>
    <row r="4989" spans="8:9" x14ac:dyDescent="0.25">
      <c r="H4989" s="116"/>
      <c r="I4989" s="116"/>
    </row>
    <row r="4990" spans="8:9" x14ac:dyDescent="0.25">
      <c r="H4990" s="116"/>
      <c r="I4990" s="116"/>
    </row>
    <row r="4991" spans="8:9" x14ac:dyDescent="0.25">
      <c r="H4991" s="116"/>
      <c r="I4991" s="116"/>
    </row>
    <row r="4992" spans="8:9" x14ac:dyDescent="0.25">
      <c r="H4992" s="116"/>
      <c r="I4992" s="116"/>
    </row>
    <row r="4993" spans="8:9" x14ac:dyDescent="0.25">
      <c r="H4993" s="116"/>
      <c r="I4993" s="116"/>
    </row>
    <row r="4994" spans="8:9" x14ac:dyDescent="0.25">
      <c r="H4994" s="116"/>
      <c r="I4994" s="116"/>
    </row>
    <row r="4995" spans="8:9" x14ac:dyDescent="0.25">
      <c r="H4995" s="116"/>
      <c r="I4995" s="116"/>
    </row>
    <row r="4996" spans="8:9" x14ac:dyDescent="0.25">
      <c r="H4996" s="116"/>
      <c r="I4996" s="116"/>
    </row>
    <row r="4997" spans="8:9" x14ac:dyDescent="0.25">
      <c r="H4997" s="116"/>
      <c r="I4997" s="116"/>
    </row>
    <row r="4998" spans="8:9" x14ac:dyDescent="0.25">
      <c r="H4998" s="116"/>
      <c r="I4998" s="116"/>
    </row>
    <row r="4999" spans="8:9" x14ac:dyDescent="0.25">
      <c r="H4999" s="116"/>
      <c r="I4999" s="116"/>
    </row>
    <row r="5000" spans="8:9" x14ac:dyDescent="0.25">
      <c r="H5000" s="116"/>
      <c r="I5000" s="116"/>
    </row>
    <row r="5001" spans="8:9" x14ac:dyDescent="0.25">
      <c r="H5001" s="116"/>
      <c r="I5001" s="116"/>
    </row>
    <row r="5002" spans="8:9" x14ac:dyDescent="0.25">
      <c r="H5002" s="116"/>
      <c r="I5002" s="116"/>
    </row>
    <row r="5003" spans="8:9" x14ac:dyDescent="0.25">
      <c r="H5003" s="116"/>
      <c r="I5003" s="116"/>
    </row>
    <row r="5004" spans="8:9" x14ac:dyDescent="0.25">
      <c r="H5004" s="116"/>
      <c r="I5004" s="116"/>
    </row>
    <row r="5005" spans="8:9" x14ac:dyDescent="0.25">
      <c r="H5005" s="116"/>
      <c r="I5005" s="116"/>
    </row>
    <row r="5006" spans="8:9" x14ac:dyDescent="0.25">
      <c r="H5006" s="116"/>
      <c r="I5006" s="116"/>
    </row>
    <row r="5007" spans="8:9" x14ac:dyDescent="0.25">
      <c r="H5007" s="116"/>
      <c r="I5007" s="116"/>
    </row>
    <row r="5008" spans="8:9" x14ac:dyDescent="0.25">
      <c r="H5008" s="116"/>
      <c r="I5008" s="116"/>
    </row>
    <row r="5009" spans="8:9" x14ac:dyDescent="0.25">
      <c r="H5009" s="116"/>
      <c r="I5009" s="116"/>
    </row>
    <row r="5010" spans="8:9" x14ac:dyDescent="0.25">
      <c r="H5010" s="116"/>
      <c r="I5010" s="116"/>
    </row>
    <row r="5011" spans="8:9" x14ac:dyDescent="0.25">
      <c r="H5011" s="116"/>
      <c r="I5011" s="116"/>
    </row>
    <row r="5012" spans="8:9" x14ac:dyDescent="0.25">
      <c r="H5012" s="116"/>
      <c r="I5012" s="116"/>
    </row>
    <row r="5013" spans="8:9" x14ac:dyDescent="0.25">
      <c r="H5013" s="116"/>
      <c r="I5013" s="116"/>
    </row>
    <row r="5014" spans="8:9" x14ac:dyDescent="0.25">
      <c r="H5014" s="116"/>
      <c r="I5014" s="116"/>
    </row>
    <row r="5015" spans="8:9" x14ac:dyDescent="0.25">
      <c r="H5015" s="116"/>
      <c r="I5015" s="116"/>
    </row>
    <row r="5016" spans="8:9" x14ac:dyDescent="0.25">
      <c r="H5016" s="116"/>
      <c r="I5016" s="116"/>
    </row>
    <row r="5017" spans="8:9" x14ac:dyDescent="0.25">
      <c r="H5017" s="116"/>
      <c r="I5017" s="116"/>
    </row>
    <row r="5018" spans="8:9" x14ac:dyDescent="0.25">
      <c r="H5018" s="116"/>
      <c r="I5018" s="116"/>
    </row>
    <row r="5019" spans="8:9" x14ac:dyDescent="0.25">
      <c r="H5019" s="116"/>
      <c r="I5019" s="116"/>
    </row>
    <row r="5020" spans="8:9" x14ac:dyDescent="0.25">
      <c r="H5020" s="116"/>
      <c r="I5020" s="116"/>
    </row>
    <row r="5021" spans="8:9" x14ac:dyDescent="0.25">
      <c r="H5021" s="116"/>
      <c r="I5021" s="116"/>
    </row>
    <row r="5022" spans="8:9" x14ac:dyDescent="0.25">
      <c r="H5022" s="116"/>
      <c r="I5022" s="116"/>
    </row>
    <row r="5023" spans="8:9" x14ac:dyDescent="0.25">
      <c r="H5023" s="116"/>
      <c r="I5023" s="116"/>
    </row>
    <row r="5024" spans="8:9" x14ac:dyDescent="0.25">
      <c r="H5024" s="116"/>
      <c r="I5024" s="116"/>
    </row>
    <row r="5025" spans="8:9" x14ac:dyDescent="0.25">
      <c r="H5025" s="116"/>
      <c r="I5025" s="116"/>
    </row>
    <row r="5026" spans="8:9" x14ac:dyDescent="0.25">
      <c r="H5026" s="116"/>
      <c r="I5026" s="116"/>
    </row>
    <row r="5027" spans="8:9" x14ac:dyDescent="0.25">
      <c r="H5027" s="116"/>
      <c r="I5027" s="116"/>
    </row>
    <row r="5028" spans="8:9" x14ac:dyDescent="0.25">
      <c r="H5028" s="116"/>
      <c r="I5028" s="116"/>
    </row>
    <row r="5029" spans="8:9" x14ac:dyDescent="0.25">
      <c r="H5029" s="116"/>
      <c r="I5029" s="116"/>
    </row>
    <row r="5030" spans="8:9" x14ac:dyDescent="0.25">
      <c r="H5030" s="116"/>
      <c r="I5030" s="116"/>
    </row>
    <row r="5031" spans="8:9" x14ac:dyDescent="0.25">
      <c r="H5031" s="116"/>
      <c r="I5031" s="116"/>
    </row>
    <row r="5032" spans="8:9" x14ac:dyDescent="0.25">
      <c r="H5032" s="116"/>
      <c r="I5032" s="116"/>
    </row>
    <row r="5033" spans="8:9" x14ac:dyDescent="0.25">
      <c r="H5033" s="116"/>
      <c r="I5033" s="116"/>
    </row>
    <row r="5034" spans="8:9" x14ac:dyDescent="0.25">
      <c r="H5034" s="116"/>
      <c r="I5034" s="116"/>
    </row>
    <row r="5035" spans="8:9" x14ac:dyDescent="0.25">
      <c r="H5035" s="116"/>
      <c r="I5035" s="116"/>
    </row>
    <row r="5036" spans="8:9" x14ac:dyDescent="0.25">
      <c r="H5036" s="116"/>
      <c r="I5036" s="116"/>
    </row>
    <row r="5037" spans="8:9" x14ac:dyDescent="0.25">
      <c r="H5037" s="116"/>
      <c r="I5037" s="116"/>
    </row>
    <row r="5038" spans="8:9" x14ac:dyDescent="0.25">
      <c r="H5038" s="116"/>
      <c r="I5038" s="116"/>
    </row>
    <row r="5039" spans="8:9" x14ac:dyDescent="0.25">
      <c r="H5039" s="116"/>
      <c r="I5039" s="116"/>
    </row>
    <row r="5040" spans="8:9" x14ac:dyDescent="0.25">
      <c r="H5040" s="116"/>
      <c r="I5040" s="116"/>
    </row>
    <row r="5041" spans="8:9" x14ac:dyDescent="0.25">
      <c r="H5041" s="116"/>
      <c r="I5041" s="116"/>
    </row>
    <row r="5042" spans="8:9" x14ac:dyDescent="0.25">
      <c r="H5042" s="116"/>
      <c r="I5042" s="116"/>
    </row>
    <row r="5043" spans="8:9" x14ac:dyDescent="0.25">
      <c r="H5043" s="116"/>
      <c r="I5043" s="116"/>
    </row>
    <row r="5044" spans="8:9" x14ac:dyDescent="0.25">
      <c r="H5044" s="116"/>
      <c r="I5044" s="116"/>
    </row>
    <row r="5045" spans="8:9" x14ac:dyDescent="0.25">
      <c r="H5045" s="116"/>
      <c r="I5045" s="116"/>
    </row>
    <row r="5046" spans="8:9" x14ac:dyDescent="0.25">
      <c r="H5046" s="116"/>
      <c r="I5046" s="116"/>
    </row>
    <row r="5047" spans="8:9" x14ac:dyDescent="0.25">
      <c r="H5047" s="116"/>
      <c r="I5047" s="116"/>
    </row>
    <row r="5048" spans="8:9" x14ac:dyDescent="0.25">
      <c r="H5048" s="116"/>
      <c r="I5048" s="116"/>
    </row>
    <row r="5049" spans="8:9" x14ac:dyDescent="0.25">
      <c r="H5049" s="116"/>
      <c r="I5049" s="116"/>
    </row>
    <row r="5050" spans="8:9" x14ac:dyDescent="0.25">
      <c r="H5050" s="116"/>
      <c r="I5050" s="116"/>
    </row>
    <row r="5051" spans="8:9" x14ac:dyDescent="0.25">
      <c r="H5051" s="116"/>
      <c r="I5051" s="116"/>
    </row>
    <row r="5052" spans="8:9" x14ac:dyDescent="0.25">
      <c r="H5052" s="116"/>
      <c r="I5052" s="116"/>
    </row>
    <row r="5053" spans="8:9" x14ac:dyDescent="0.25">
      <c r="H5053" s="116"/>
      <c r="I5053" s="116"/>
    </row>
    <row r="5054" spans="8:9" x14ac:dyDescent="0.25">
      <c r="H5054" s="116"/>
      <c r="I5054" s="116"/>
    </row>
    <row r="5055" spans="8:9" x14ac:dyDescent="0.25">
      <c r="H5055" s="116"/>
      <c r="I5055" s="116"/>
    </row>
    <row r="5056" spans="8:9" x14ac:dyDescent="0.25">
      <c r="H5056" s="116"/>
      <c r="I5056" s="116"/>
    </row>
    <row r="5057" spans="8:9" x14ac:dyDescent="0.25">
      <c r="H5057" s="116"/>
      <c r="I5057" s="116"/>
    </row>
    <row r="5058" spans="8:9" x14ac:dyDescent="0.25">
      <c r="H5058" s="116"/>
      <c r="I5058" s="116"/>
    </row>
    <row r="5059" spans="8:9" x14ac:dyDescent="0.25">
      <c r="H5059" s="116"/>
      <c r="I5059" s="116"/>
    </row>
    <row r="5060" spans="8:9" x14ac:dyDescent="0.25">
      <c r="H5060" s="116"/>
      <c r="I5060" s="116"/>
    </row>
    <row r="5061" spans="8:9" x14ac:dyDescent="0.25">
      <c r="H5061" s="116"/>
      <c r="I5061" s="116"/>
    </row>
    <row r="5062" spans="8:9" x14ac:dyDescent="0.25">
      <c r="H5062" s="116"/>
      <c r="I5062" s="116"/>
    </row>
    <row r="5063" spans="8:9" x14ac:dyDescent="0.25">
      <c r="H5063" s="116"/>
      <c r="I5063" s="116"/>
    </row>
    <row r="5064" spans="8:9" x14ac:dyDescent="0.25">
      <c r="H5064" s="116"/>
      <c r="I5064" s="116"/>
    </row>
    <row r="5065" spans="8:9" x14ac:dyDescent="0.25">
      <c r="H5065" s="116"/>
      <c r="I5065" s="116"/>
    </row>
    <row r="5066" spans="8:9" x14ac:dyDescent="0.25">
      <c r="H5066" s="116"/>
      <c r="I5066" s="116"/>
    </row>
    <row r="5067" spans="8:9" x14ac:dyDescent="0.25">
      <c r="H5067" s="116"/>
      <c r="I5067" s="116"/>
    </row>
    <row r="5068" spans="8:9" x14ac:dyDescent="0.25">
      <c r="H5068" s="116"/>
      <c r="I5068" s="116"/>
    </row>
    <row r="5069" spans="8:9" x14ac:dyDescent="0.25">
      <c r="H5069" s="116"/>
      <c r="I5069" s="116"/>
    </row>
    <row r="5070" spans="8:9" x14ac:dyDescent="0.25">
      <c r="H5070" s="116"/>
      <c r="I5070" s="116"/>
    </row>
    <row r="5071" spans="8:9" x14ac:dyDescent="0.25">
      <c r="H5071" s="116"/>
      <c r="I5071" s="116"/>
    </row>
    <row r="5072" spans="8:9" x14ac:dyDescent="0.25">
      <c r="H5072" s="116"/>
      <c r="I5072" s="116"/>
    </row>
    <row r="5073" spans="8:9" x14ac:dyDescent="0.25">
      <c r="H5073" s="116"/>
      <c r="I5073" s="116"/>
    </row>
    <row r="5074" spans="8:9" x14ac:dyDescent="0.25">
      <c r="H5074" s="116"/>
      <c r="I5074" s="116"/>
    </row>
    <row r="5075" spans="8:9" x14ac:dyDescent="0.25">
      <c r="H5075" s="116"/>
      <c r="I5075" s="116"/>
    </row>
    <row r="5076" spans="8:9" x14ac:dyDescent="0.25">
      <c r="H5076" s="116"/>
      <c r="I5076" s="116"/>
    </row>
    <row r="5077" spans="8:9" x14ac:dyDescent="0.25">
      <c r="H5077" s="116"/>
      <c r="I5077" s="116"/>
    </row>
    <row r="5078" spans="8:9" x14ac:dyDescent="0.25">
      <c r="H5078" s="116"/>
      <c r="I5078" s="116"/>
    </row>
    <row r="5079" spans="8:9" x14ac:dyDescent="0.25">
      <c r="H5079" s="116"/>
      <c r="I5079" s="116"/>
    </row>
    <row r="5080" spans="8:9" x14ac:dyDescent="0.25">
      <c r="H5080" s="116"/>
      <c r="I5080" s="116"/>
    </row>
    <row r="5081" spans="8:9" x14ac:dyDescent="0.25">
      <c r="H5081" s="116"/>
      <c r="I5081" s="116"/>
    </row>
    <row r="5082" spans="8:9" x14ac:dyDescent="0.25">
      <c r="H5082" s="116"/>
      <c r="I5082" s="116"/>
    </row>
    <row r="5083" spans="8:9" x14ac:dyDescent="0.25">
      <c r="H5083" s="116"/>
      <c r="I5083" s="116"/>
    </row>
    <row r="5084" spans="8:9" x14ac:dyDescent="0.25">
      <c r="H5084" s="116"/>
      <c r="I5084" s="116"/>
    </row>
    <row r="5085" spans="8:9" x14ac:dyDescent="0.25">
      <c r="H5085" s="116"/>
      <c r="I5085" s="116"/>
    </row>
    <row r="5086" spans="8:9" x14ac:dyDescent="0.25">
      <c r="H5086" s="116"/>
      <c r="I5086" s="116"/>
    </row>
    <row r="5087" spans="8:9" x14ac:dyDescent="0.25">
      <c r="H5087" s="116"/>
      <c r="I5087" s="116"/>
    </row>
    <row r="5088" spans="8:9" x14ac:dyDescent="0.25">
      <c r="H5088" s="116"/>
      <c r="I5088" s="116"/>
    </row>
    <row r="5089" spans="8:9" x14ac:dyDescent="0.25">
      <c r="H5089" s="116"/>
      <c r="I5089" s="116"/>
    </row>
    <row r="5090" spans="8:9" x14ac:dyDescent="0.25">
      <c r="H5090" s="116"/>
      <c r="I5090" s="116"/>
    </row>
    <row r="5091" spans="8:9" x14ac:dyDescent="0.25">
      <c r="H5091" s="116"/>
      <c r="I5091" s="116"/>
    </row>
    <row r="5092" spans="8:9" x14ac:dyDescent="0.25">
      <c r="H5092" s="116"/>
      <c r="I5092" s="116"/>
    </row>
    <row r="5093" spans="8:9" x14ac:dyDescent="0.25">
      <c r="H5093" s="116"/>
      <c r="I5093" s="116"/>
    </row>
    <row r="5094" spans="8:9" x14ac:dyDescent="0.25">
      <c r="H5094" s="116"/>
      <c r="I5094" s="116"/>
    </row>
    <row r="5095" spans="8:9" x14ac:dyDescent="0.25">
      <c r="H5095" s="116"/>
      <c r="I5095" s="116"/>
    </row>
    <row r="5096" spans="8:9" x14ac:dyDescent="0.25">
      <c r="H5096" s="116"/>
      <c r="I5096" s="116"/>
    </row>
    <row r="5097" spans="8:9" x14ac:dyDescent="0.25">
      <c r="H5097" s="116"/>
      <c r="I5097" s="116"/>
    </row>
    <row r="5098" spans="8:9" x14ac:dyDescent="0.25">
      <c r="H5098" s="116"/>
      <c r="I5098" s="116"/>
    </row>
    <row r="5099" spans="8:9" x14ac:dyDescent="0.25">
      <c r="H5099" s="116"/>
      <c r="I5099" s="116"/>
    </row>
    <row r="5100" spans="8:9" x14ac:dyDescent="0.25">
      <c r="H5100" s="116"/>
      <c r="I5100" s="116"/>
    </row>
    <row r="5101" spans="8:9" x14ac:dyDescent="0.25">
      <c r="H5101" s="116"/>
      <c r="I5101" s="116"/>
    </row>
    <row r="5102" spans="8:9" x14ac:dyDescent="0.25">
      <c r="H5102" s="116"/>
      <c r="I5102" s="116"/>
    </row>
    <row r="5103" spans="8:9" x14ac:dyDescent="0.25">
      <c r="H5103" s="116"/>
      <c r="I5103" s="116"/>
    </row>
    <row r="5104" spans="8:9" x14ac:dyDescent="0.25">
      <c r="H5104" s="116"/>
      <c r="I5104" s="116"/>
    </row>
    <row r="5105" spans="8:9" x14ac:dyDescent="0.25">
      <c r="H5105" s="116"/>
      <c r="I5105" s="116"/>
    </row>
    <row r="5106" spans="8:9" x14ac:dyDescent="0.25">
      <c r="H5106" s="116"/>
      <c r="I5106" s="116"/>
    </row>
    <row r="5107" spans="8:9" x14ac:dyDescent="0.25">
      <c r="H5107" s="116"/>
      <c r="I5107" s="116"/>
    </row>
    <row r="5108" spans="8:9" x14ac:dyDescent="0.25">
      <c r="H5108" s="116"/>
      <c r="I5108" s="116"/>
    </row>
    <row r="5109" spans="8:9" x14ac:dyDescent="0.25">
      <c r="H5109" s="116"/>
      <c r="I5109" s="116"/>
    </row>
    <row r="5110" spans="8:9" x14ac:dyDescent="0.25">
      <c r="H5110" s="116"/>
      <c r="I5110" s="116"/>
    </row>
    <row r="5111" spans="8:9" x14ac:dyDescent="0.25">
      <c r="H5111" s="116"/>
      <c r="I5111" s="116"/>
    </row>
    <row r="5112" spans="8:9" x14ac:dyDescent="0.25">
      <c r="H5112" s="116"/>
      <c r="I5112" s="116"/>
    </row>
    <row r="5113" spans="8:9" x14ac:dyDescent="0.25">
      <c r="H5113" s="116"/>
      <c r="I5113" s="116"/>
    </row>
    <row r="5114" spans="8:9" x14ac:dyDescent="0.25">
      <c r="H5114" s="116"/>
      <c r="I5114" s="116"/>
    </row>
    <row r="5115" spans="8:9" x14ac:dyDescent="0.25">
      <c r="H5115" s="116"/>
      <c r="I5115" s="116"/>
    </row>
    <row r="5116" spans="8:9" x14ac:dyDescent="0.25">
      <c r="H5116" s="116"/>
      <c r="I5116" s="116"/>
    </row>
    <row r="5117" spans="8:9" x14ac:dyDescent="0.25">
      <c r="H5117" s="116"/>
      <c r="I5117" s="116"/>
    </row>
    <row r="5118" spans="8:9" x14ac:dyDescent="0.25">
      <c r="H5118" s="116"/>
      <c r="I5118" s="116"/>
    </row>
    <row r="5119" spans="8:9" x14ac:dyDescent="0.25">
      <c r="H5119" s="116"/>
      <c r="I5119" s="116"/>
    </row>
    <row r="5120" spans="8:9" x14ac:dyDescent="0.25">
      <c r="H5120" s="116"/>
      <c r="I5120" s="116"/>
    </row>
    <row r="5121" spans="8:9" x14ac:dyDescent="0.25">
      <c r="H5121" s="116"/>
      <c r="I5121" s="116"/>
    </row>
    <row r="5122" spans="8:9" x14ac:dyDescent="0.25">
      <c r="H5122" s="116"/>
      <c r="I5122" s="116"/>
    </row>
    <row r="5123" spans="8:9" x14ac:dyDescent="0.25">
      <c r="H5123" s="116"/>
      <c r="I5123" s="116"/>
    </row>
    <row r="5124" spans="8:9" x14ac:dyDescent="0.25">
      <c r="H5124" s="116"/>
      <c r="I5124" s="116"/>
    </row>
    <row r="5125" spans="8:9" x14ac:dyDescent="0.25">
      <c r="H5125" s="116"/>
      <c r="I5125" s="116"/>
    </row>
    <row r="5126" spans="8:9" x14ac:dyDescent="0.25">
      <c r="H5126" s="116"/>
      <c r="I5126" s="116"/>
    </row>
    <row r="5127" spans="8:9" x14ac:dyDescent="0.25">
      <c r="H5127" s="116"/>
      <c r="I5127" s="116"/>
    </row>
    <row r="5128" spans="8:9" x14ac:dyDescent="0.25">
      <c r="H5128" s="116"/>
      <c r="I5128" s="116"/>
    </row>
    <row r="5129" spans="8:9" x14ac:dyDescent="0.25">
      <c r="H5129" s="116"/>
      <c r="I5129" s="116"/>
    </row>
    <row r="5130" spans="8:9" x14ac:dyDescent="0.25">
      <c r="H5130" s="116"/>
      <c r="I5130" s="116"/>
    </row>
    <row r="5131" spans="8:9" x14ac:dyDescent="0.25">
      <c r="H5131" s="116"/>
      <c r="I5131" s="116"/>
    </row>
    <row r="5132" spans="8:9" x14ac:dyDescent="0.25">
      <c r="H5132" s="116"/>
      <c r="I5132" s="116"/>
    </row>
    <row r="5133" spans="8:9" x14ac:dyDescent="0.25">
      <c r="H5133" s="116"/>
      <c r="I5133" s="116"/>
    </row>
    <row r="5134" spans="8:9" x14ac:dyDescent="0.25">
      <c r="H5134" s="116"/>
      <c r="I5134" s="116"/>
    </row>
    <row r="5135" spans="8:9" x14ac:dyDescent="0.25">
      <c r="H5135" s="116"/>
      <c r="I5135" s="116"/>
    </row>
    <row r="5136" spans="8:9" x14ac:dyDescent="0.25">
      <c r="H5136" s="116"/>
      <c r="I5136" s="116"/>
    </row>
    <row r="5137" spans="8:9" x14ac:dyDescent="0.25">
      <c r="H5137" s="116"/>
      <c r="I5137" s="116"/>
    </row>
    <row r="5138" spans="8:9" x14ac:dyDescent="0.25">
      <c r="H5138" s="116"/>
      <c r="I5138" s="116"/>
    </row>
    <row r="5139" spans="8:9" x14ac:dyDescent="0.25">
      <c r="H5139" s="116"/>
      <c r="I5139" s="116"/>
    </row>
    <row r="5140" spans="8:9" x14ac:dyDescent="0.25">
      <c r="H5140" s="116"/>
      <c r="I5140" s="116"/>
    </row>
    <row r="5141" spans="8:9" x14ac:dyDescent="0.25">
      <c r="H5141" s="116"/>
      <c r="I5141" s="116"/>
    </row>
    <row r="5142" spans="8:9" x14ac:dyDescent="0.25">
      <c r="H5142" s="116"/>
      <c r="I5142" s="116"/>
    </row>
    <row r="5143" spans="8:9" x14ac:dyDescent="0.25">
      <c r="H5143" s="116"/>
      <c r="I5143" s="116"/>
    </row>
    <row r="5144" spans="8:9" x14ac:dyDescent="0.25">
      <c r="H5144" s="116"/>
      <c r="I5144" s="116"/>
    </row>
    <row r="5145" spans="8:9" x14ac:dyDescent="0.25">
      <c r="H5145" s="116"/>
      <c r="I5145" s="116"/>
    </row>
    <row r="5146" spans="8:9" x14ac:dyDescent="0.25">
      <c r="H5146" s="116"/>
      <c r="I5146" s="116"/>
    </row>
    <row r="5147" spans="8:9" x14ac:dyDescent="0.25">
      <c r="H5147" s="116"/>
      <c r="I5147" s="116"/>
    </row>
    <row r="5148" spans="8:9" x14ac:dyDescent="0.25">
      <c r="H5148" s="116"/>
      <c r="I5148" s="116"/>
    </row>
    <row r="5149" spans="8:9" x14ac:dyDescent="0.25">
      <c r="H5149" s="116"/>
      <c r="I5149" s="116"/>
    </row>
    <row r="5150" spans="8:9" x14ac:dyDescent="0.25">
      <c r="H5150" s="116"/>
      <c r="I5150" s="116"/>
    </row>
    <row r="5151" spans="8:9" x14ac:dyDescent="0.25">
      <c r="H5151" s="116"/>
      <c r="I5151" s="116"/>
    </row>
    <row r="5152" spans="8:9" x14ac:dyDescent="0.25">
      <c r="H5152" s="116"/>
      <c r="I5152" s="116"/>
    </row>
    <row r="5153" spans="8:9" x14ac:dyDescent="0.25">
      <c r="H5153" s="116"/>
      <c r="I5153" s="116"/>
    </row>
    <row r="5154" spans="8:9" x14ac:dyDescent="0.25">
      <c r="H5154" s="116"/>
      <c r="I5154" s="116"/>
    </row>
    <row r="5155" spans="8:9" x14ac:dyDescent="0.25">
      <c r="H5155" s="116"/>
      <c r="I5155" s="116"/>
    </row>
    <row r="5156" spans="8:9" x14ac:dyDescent="0.25">
      <c r="H5156" s="116"/>
      <c r="I5156" s="116"/>
    </row>
    <row r="5157" spans="8:9" x14ac:dyDescent="0.25">
      <c r="H5157" s="116"/>
      <c r="I5157" s="116"/>
    </row>
    <row r="5158" spans="8:9" x14ac:dyDescent="0.25">
      <c r="H5158" s="116"/>
      <c r="I5158" s="116"/>
    </row>
    <row r="5159" spans="8:9" x14ac:dyDescent="0.25">
      <c r="H5159" s="116"/>
      <c r="I5159" s="116"/>
    </row>
    <row r="5160" spans="8:9" x14ac:dyDescent="0.25">
      <c r="H5160" s="116"/>
      <c r="I5160" s="116"/>
    </row>
    <row r="5161" spans="8:9" x14ac:dyDescent="0.25">
      <c r="H5161" s="116"/>
      <c r="I5161" s="116"/>
    </row>
    <row r="5162" spans="8:9" x14ac:dyDescent="0.25">
      <c r="H5162" s="116"/>
      <c r="I5162" s="116"/>
    </row>
    <row r="5163" spans="8:9" x14ac:dyDescent="0.25">
      <c r="H5163" s="116"/>
      <c r="I5163" s="116"/>
    </row>
    <row r="5164" spans="8:9" x14ac:dyDescent="0.25">
      <c r="H5164" s="116"/>
      <c r="I5164" s="116"/>
    </row>
    <row r="5165" spans="8:9" x14ac:dyDescent="0.25">
      <c r="H5165" s="116"/>
      <c r="I5165" s="116"/>
    </row>
    <row r="5166" spans="8:9" x14ac:dyDescent="0.25">
      <c r="H5166" s="116"/>
      <c r="I5166" s="116"/>
    </row>
    <row r="5167" spans="8:9" x14ac:dyDescent="0.25">
      <c r="H5167" s="116"/>
      <c r="I5167" s="116"/>
    </row>
    <row r="5168" spans="8:9" x14ac:dyDescent="0.25">
      <c r="H5168" s="116"/>
      <c r="I5168" s="116"/>
    </row>
    <row r="5169" spans="8:9" x14ac:dyDescent="0.25">
      <c r="H5169" s="116"/>
      <c r="I5169" s="116"/>
    </row>
    <row r="5170" spans="8:9" x14ac:dyDescent="0.25">
      <c r="H5170" s="116"/>
      <c r="I5170" s="116"/>
    </row>
    <row r="5171" spans="8:9" x14ac:dyDescent="0.25">
      <c r="H5171" s="116"/>
      <c r="I5171" s="116"/>
    </row>
    <row r="5172" spans="8:9" x14ac:dyDescent="0.25">
      <c r="H5172" s="116"/>
      <c r="I5172" s="116"/>
    </row>
    <row r="5173" spans="8:9" x14ac:dyDescent="0.25">
      <c r="H5173" s="116"/>
      <c r="I5173" s="116"/>
    </row>
    <row r="5174" spans="8:9" x14ac:dyDescent="0.25">
      <c r="H5174" s="116"/>
      <c r="I5174" s="116"/>
    </row>
    <row r="5175" spans="8:9" x14ac:dyDescent="0.25">
      <c r="H5175" s="116"/>
      <c r="I5175" s="116"/>
    </row>
    <row r="5176" spans="8:9" x14ac:dyDescent="0.25">
      <c r="H5176" s="116"/>
      <c r="I5176" s="116"/>
    </row>
    <row r="5177" spans="8:9" x14ac:dyDescent="0.25">
      <c r="H5177" s="116"/>
      <c r="I5177" s="116"/>
    </row>
    <row r="5178" spans="8:9" x14ac:dyDescent="0.25">
      <c r="H5178" s="116"/>
      <c r="I5178" s="116"/>
    </row>
    <row r="5179" spans="8:9" x14ac:dyDescent="0.25">
      <c r="H5179" s="116"/>
      <c r="I5179" s="116"/>
    </row>
    <row r="5180" spans="8:9" x14ac:dyDescent="0.25">
      <c r="H5180" s="116"/>
      <c r="I5180" s="116"/>
    </row>
    <row r="5181" spans="8:9" x14ac:dyDescent="0.25">
      <c r="H5181" s="116"/>
      <c r="I5181" s="116"/>
    </row>
    <row r="5182" spans="8:9" x14ac:dyDescent="0.25">
      <c r="H5182" s="116"/>
      <c r="I5182" s="116"/>
    </row>
    <row r="5183" spans="8:9" x14ac:dyDescent="0.25">
      <c r="H5183" s="116"/>
      <c r="I5183" s="116"/>
    </row>
    <row r="5184" spans="8:9" x14ac:dyDescent="0.25">
      <c r="H5184" s="116"/>
      <c r="I5184" s="116"/>
    </row>
    <row r="5185" spans="8:9" x14ac:dyDescent="0.25">
      <c r="H5185" s="116"/>
      <c r="I5185" s="116"/>
    </row>
    <row r="5186" spans="8:9" x14ac:dyDescent="0.25">
      <c r="H5186" s="116"/>
      <c r="I5186" s="116"/>
    </row>
    <row r="5187" spans="8:9" x14ac:dyDescent="0.25">
      <c r="H5187" s="116"/>
      <c r="I5187" s="116"/>
    </row>
    <row r="5188" spans="8:9" x14ac:dyDescent="0.25">
      <c r="H5188" s="116"/>
      <c r="I5188" s="116"/>
    </row>
    <row r="5189" spans="8:9" x14ac:dyDescent="0.25">
      <c r="H5189" s="116"/>
      <c r="I5189" s="116"/>
    </row>
    <row r="5190" spans="8:9" x14ac:dyDescent="0.25">
      <c r="H5190" s="116"/>
      <c r="I5190" s="116"/>
    </row>
    <row r="5191" spans="8:9" x14ac:dyDescent="0.25">
      <c r="H5191" s="116"/>
      <c r="I5191" s="116"/>
    </row>
    <row r="5192" spans="8:9" x14ac:dyDescent="0.25">
      <c r="H5192" s="116"/>
      <c r="I5192" s="116"/>
    </row>
    <row r="5193" spans="8:9" x14ac:dyDescent="0.25">
      <c r="H5193" s="116"/>
      <c r="I5193" s="116"/>
    </row>
    <row r="5194" spans="8:9" x14ac:dyDescent="0.25">
      <c r="H5194" s="116"/>
      <c r="I5194" s="116"/>
    </row>
    <row r="5195" spans="8:9" x14ac:dyDescent="0.25">
      <c r="H5195" s="116"/>
      <c r="I5195" s="116"/>
    </row>
    <row r="5196" spans="8:9" x14ac:dyDescent="0.25">
      <c r="H5196" s="116"/>
      <c r="I5196" s="116"/>
    </row>
    <row r="5197" spans="8:9" x14ac:dyDescent="0.25">
      <c r="H5197" s="116"/>
      <c r="I5197" s="116"/>
    </row>
    <row r="5198" spans="8:9" x14ac:dyDescent="0.25">
      <c r="H5198" s="116"/>
      <c r="I5198" s="116"/>
    </row>
    <row r="5199" spans="8:9" x14ac:dyDescent="0.25">
      <c r="H5199" s="116"/>
      <c r="I5199" s="116"/>
    </row>
    <row r="5200" spans="8:9" x14ac:dyDescent="0.25">
      <c r="H5200" s="116"/>
      <c r="I5200" s="116"/>
    </row>
    <row r="5201" spans="8:9" x14ac:dyDescent="0.25">
      <c r="H5201" s="116"/>
      <c r="I5201" s="116"/>
    </row>
    <row r="5202" spans="8:9" x14ac:dyDescent="0.25">
      <c r="H5202" s="116"/>
      <c r="I5202" s="116"/>
    </row>
    <row r="5203" spans="8:9" x14ac:dyDescent="0.25">
      <c r="H5203" s="116"/>
      <c r="I5203" s="116"/>
    </row>
    <row r="5204" spans="8:9" x14ac:dyDescent="0.25">
      <c r="H5204" s="116"/>
      <c r="I5204" s="116"/>
    </row>
    <row r="5205" spans="8:9" x14ac:dyDescent="0.25">
      <c r="H5205" s="116"/>
      <c r="I5205" s="116"/>
    </row>
    <row r="5206" spans="8:9" x14ac:dyDescent="0.25">
      <c r="H5206" s="116"/>
      <c r="I5206" s="116"/>
    </row>
    <row r="5207" spans="8:9" x14ac:dyDescent="0.25">
      <c r="H5207" s="116"/>
      <c r="I5207" s="116"/>
    </row>
    <row r="5208" spans="8:9" x14ac:dyDescent="0.25">
      <c r="H5208" s="116"/>
      <c r="I5208" s="116"/>
    </row>
    <row r="5209" spans="8:9" x14ac:dyDescent="0.25">
      <c r="H5209" s="116"/>
      <c r="I5209" s="116"/>
    </row>
    <row r="5210" spans="8:9" x14ac:dyDescent="0.25">
      <c r="H5210" s="116"/>
      <c r="I5210" s="116"/>
    </row>
    <row r="5211" spans="8:9" x14ac:dyDescent="0.25">
      <c r="H5211" s="116"/>
      <c r="I5211" s="116"/>
    </row>
    <row r="5212" spans="8:9" x14ac:dyDescent="0.25">
      <c r="H5212" s="116"/>
      <c r="I5212" s="116"/>
    </row>
    <row r="5213" spans="8:9" x14ac:dyDescent="0.25">
      <c r="H5213" s="116"/>
      <c r="I5213" s="116"/>
    </row>
    <row r="5214" spans="8:9" x14ac:dyDescent="0.25">
      <c r="H5214" s="116"/>
      <c r="I5214" s="116"/>
    </row>
    <row r="5215" spans="8:9" x14ac:dyDescent="0.25">
      <c r="H5215" s="116"/>
      <c r="I5215" s="116"/>
    </row>
    <row r="5216" spans="8:9" x14ac:dyDescent="0.25">
      <c r="H5216" s="116"/>
      <c r="I5216" s="116"/>
    </row>
    <row r="5217" spans="8:9" x14ac:dyDescent="0.25">
      <c r="H5217" s="116"/>
      <c r="I5217" s="116"/>
    </row>
    <row r="5218" spans="8:9" x14ac:dyDescent="0.25">
      <c r="H5218" s="116"/>
      <c r="I5218" s="116"/>
    </row>
    <row r="5219" spans="8:9" x14ac:dyDescent="0.25">
      <c r="H5219" s="116"/>
      <c r="I5219" s="116"/>
    </row>
    <row r="5220" spans="8:9" x14ac:dyDescent="0.25">
      <c r="H5220" s="116"/>
      <c r="I5220" s="116"/>
    </row>
    <row r="5221" spans="8:9" x14ac:dyDescent="0.25">
      <c r="H5221" s="116"/>
      <c r="I5221" s="116"/>
    </row>
    <row r="5222" spans="8:9" x14ac:dyDescent="0.25">
      <c r="H5222" s="116"/>
      <c r="I5222" s="116"/>
    </row>
    <row r="5223" spans="8:9" x14ac:dyDescent="0.25">
      <c r="H5223" s="116"/>
      <c r="I5223" s="116"/>
    </row>
    <row r="5224" spans="8:9" x14ac:dyDescent="0.25">
      <c r="H5224" s="116"/>
      <c r="I5224" s="116"/>
    </row>
    <row r="5225" spans="8:9" x14ac:dyDescent="0.25">
      <c r="H5225" s="116"/>
      <c r="I5225" s="116"/>
    </row>
    <row r="5226" spans="8:9" x14ac:dyDescent="0.25">
      <c r="H5226" s="116"/>
      <c r="I5226" s="116"/>
    </row>
    <row r="5227" spans="8:9" x14ac:dyDescent="0.25">
      <c r="H5227" s="116"/>
      <c r="I5227" s="116"/>
    </row>
    <row r="5228" spans="8:9" x14ac:dyDescent="0.25">
      <c r="H5228" s="116"/>
      <c r="I5228" s="116"/>
    </row>
    <row r="5229" spans="8:9" x14ac:dyDescent="0.25">
      <c r="H5229" s="116"/>
      <c r="I5229" s="116"/>
    </row>
    <row r="5230" spans="8:9" x14ac:dyDescent="0.25">
      <c r="H5230" s="116"/>
      <c r="I5230" s="116"/>
    </row>
    <row r="5231" spans="8:9" x14ac:dyDescent="0.25">
      <c r="H5231" s="116"/>
      <c r="I5231" s="116"/>
    </row>
    <row r="5232" spans="8:9" x14ac:dyDescent="0.25">
      <c r="H5232" s="116"/>
      <c r="I5232" s="116"/>
    </row>
    <row r="5233" spans="8:9" x14ac:dyDescent="0.25">
      <c r="H5233" s="116"/>
      <c r="I5233" s="116"/>
    </row>
    <row r="5234" spans="8:9" x14ac:dyDescent="0.25">
      <c r="H5234" s="116"/>
      <c r="I5234" s="116"/>
    </row>
    <row r="5235" spans="8:9" x14ac:dyDescent="0.25">
      <c r="H5235" s="116"/>
      <c r="I5235" s="116"/>
    </row>
    <row r="5236" spans="8:9" x14ac:dyDescent="0.25">
      <c r="H5236" s="116"/>
      <c r="I5236" s="116"/>
    </row>
    <row r="5237" spans="8:9" x14ac:dyDescent="0.25">
      <c r="H5237" s="116"/>
      <c r="I5237" s="116"/>
    </row>
    <row r="5238" spans="8:9" x14ac:dyDescent="0.25">
      <c r="H5238" s="116"/>
      <c r="I5238" s="116"/>
    </row>
    <row r="5239" spans="8:9" x14ac:dyDescent="0.25">
      <c r="H5239" s="116"/>
      <c r="I5239" s="116"/>
    </row>
    <row r="5240" spans="8:9" x14ac:dyDescent="0.25">
      <c r="H5240" s="116"/>
      <c r="I5240" s="116"/>
    </row>
    <row r="5241" spans="8:9" x14ac:dyDescent="0.25">
      <c r="H5241" s="116"/>
      <c r="I5241" s="116"/>
    </row>
    <row r="5242" spans="8:9" x14ac:dyDescent="0.25">
      <c r="H5242" s="116"/>
      <c r="I5242" s="116"/>
    </row>
    <row r="5243" spans="8:9" x14ac:dyDescent="0.25">
      <c r="H5243" s="116"/>
      <c r="I5243" s="116"/>
    </row>
    <row r="5244" spans="8:9" x14ac:dyDescent="0.25">
      <c r="H5244" s="116"/>
      <c r="I5244" s="116"/>
    </row>
    <row r="5245" spans="8:9" x14ac:dyDescent="0.25">
      <c r="H5245" s="116"/>
      <c r="I5245" s="116"/>
    </row>
    <row r="5246" spans="8:9" x14ac:dyDescent="0.25">
      <c r="H5246" s="116"/>
      <c r="I5246" s="116"/>
    </row>
    <row r="5247" spans="8:9" x14ac:dyDescent="0.25">
      <c r="H5247" s="116"/>
      <c r="I5247" s="116"/>
    </row>
    <row r="5248" spans="8:9" x14ac:dyDescent="0.25">
      <c r="H5248" s="116"/>
      <c r="I5248" s="116"/>
    </row>
    <row r="5249" spans="8:9" x14ac:dyDescent="0.25">
      <c r="H5249" s="116"/>
      <c r="I5249" s="116"/>
    </row>
    <row r="5250" spans="8:9" x14ac:dyDescent="0.25">
      <c r="H5250" s="116"/>
      <c r="I5250" s="116"/>
    </row>
    <row r="5251" spans="8:9" x14ac:dyDescent="0.25">
      <c r="H5251" s="116"/>
      <c r="I5251" s="116"/>
    </row>
    <row r="5252" spans="8:9" x14ac:dyDescent="0.25">
      <c r="H5252" s="116"/>
      <c r="I5252" s="116"/>
    </row>
    <row r="5253" spans="8:9" x14ac:dyDescent="0.25">
      <c r="H5253" s="116"/>
      <c r="I5253" s="116"/>
    </row>
    <row r="5254" spans="8:9" x14ac:dyDescent="0.25">
      <c r="H5254" s="116"/>
      <c r="I5254" s="116"/>
    </row>
    <row r="5255" spans="8:9" x14ac:dyDescent="0.25">
      <c r="H5255" s="116"/>
      <c r="I5255" s="116"/>
    </row>
    <row r="5256" spans="8:9" x14ac:dyDescent="0.25">
      <c r="H5256" s="116"/>
      <c r="I5256" s="116"/>
    </row>
    <row r="5257" spans="8:9" x14ac:dyDescent="0.25">
      <c r="H5257" s="116"/>
      <c r="I5257" s="116"/>
    </row>
    <row r="5258" spans="8:9" x14ac:dyDescent="0.25">
      <c r="H5258" s="116"/>
      <c r="I5258" s="116"/>
    </row>
    <row r="5259" spans="8:9" x14ac:dyDescent="0.25">
      <c r="H5259" s="116"/>
      <c r="I5259" s="116"/>
    </row>
    <row r="5260" spans="8:9" x14ac:dyDescent="0.25">
      <c r="H5260" s="116"/>
      <c r="I5260" s="116"/>
    </row>
    <row r="5261" spans="8:9" x14ac:dyDescent="0.25">
      <c r="H5261" s="116"/>
      <c r="I5261" s="116"/>
    </row>
    <row r="5262" spans="8:9" x14ac:dyDescent="0.25">
      <c r="H5262" s="116"/>
      <c r="I5262" s="116"/>
    </row>
    <row r="5263" spans="8:9" x14ac:dyDescent="0.25">
      <c r="H5263" s="116"/>
      <c r="I5263" s="116"/>
    </row>
    <row r="5264" spans="8:9" x14ac:dyDescent="0.25">
      <c r="H5264" s="116"/>
      <c r="I5264" s="116"/>
    </row>
    <row r="5265" spans="8:9" x14ac:dyDescent="0.25">
      <c r="H5265" s="116"/>
      <c r="I5265" s="116"/>
    </row>
    <row r="5266" spans="8:9" x14ac:dyDescent="0.25">
      <c r="H5266" s="116"/>
      <c r="I5266" s="116"/>
    </row>
    <row r="5267" spans="8:9" x14ac:dyDescent="0.25">
      <c r="H5267" s="116"/>
      <c r="I5267" s="116"/>
    </row>
    <row r="5268" spans="8:9" x14ac:dyDescent="0.25">
      <c r="H5268" s="116"/>
      <c r="I5268" s="116"/>
    </row>
    <row r="5269" spans="8:9" x14ac:dyDescent="0.25">
      <c r="H5269" s="116"/>
      <c r="I5269" s="116"/>
    </row>
    <row r="5270" spans="8:9" x14ac:dyDescent="0.25">
      <c r="H5270" s="116"/>
      <c r="I5270" s="116"/>
    </row>
    <row r="5271" spans="8:9" x14ac:dyDescent="0.25">
      <c r="H5271" s="116"/>
      <c r="I5271" s="116"/>
    </row>
    <row r="5272" spans="8:9" x14ac:dyDescent="0.25">
      <c r="H5272" s="116"/>
      <c r="I5272" s="116"/>
    </row>
    <row r="5273" spans="8:9" x14ac:dyDescent="0.25">
      <c r="H5273" s="116"/>
      <c r="I5273" s="116"/>
    </row>
    <row r="5274" spans="8:9" x14ac:dyDescent="0.25">
      <c r="H5274" s="116"/>
      <c r="I5274" s="116"/>
    </row>
    <row r="5275" spans="8:9" x14ac:dyDescent="0.25">
      <c r="H5275" s="116"/>
      <c r="I5275" s="116"/>
    </row>
    <row r="5276" spans="8:9" x14ac:dyDescent="0.25">
      <c r="H5276" s="116"/>
      <c r="I5276" s="116"/>
    </row>
    <row r="5277" spans="8:9" x14ac:dyDescent="0.25">
      <c r="H5277" s="116"/>
      <c r="I5277" s="116"/>
    </row>
    <row r="5278" spans="8:9" x14ac:dyDescent="0.25">
      <c r="H5278" s="116"/>
      <c r="I5278" s="116"/>
    </row>
    <row r="5279" spans="8:9" x14ac:dyDescent="0.25">
      <c r="H5279" s="116"/>
      <c r="I5279" s="116"/>
    </row>
    <row r="5280" spans="8:9" x14ac:dyDescent="0.25">
      <c r="H5280" s="116"/>
      <c r="I5280" s="116"/>
    </row>
    <row r="5281" spans="8:9" x14ac:dyDescent="0.25">
      <c r="H5281" s="116"/>
      <c r="I5281" s="116"/>
    </row>
    <row r="5282" spans="8:9" x14ac:dyDescent="0.25">
      <c r="H5282" s="116"/>
      <c r="I5282" s="116"/>
    </row>
    <row r="5283" spans="8:9" x14ac:dyDescent="0.25">
      <c r="H5283" s="116"/>
      <c r="I5283" s="116"/>
    </row>
    <row r="5284" spans="8:9" x14ac:dyDescent="0.25">
      <c r="H5284" s="116"/>
      <c r="I5284" s="116"/>
    </row>
    <row r="5285" spans="8:9" x14ac:dyDescent="0.25">
      <c r="H5285" s="116"/>
      <c r="I5285" s="116"/>
    </row>
    <row r="5286" spans="8:9" x14ac:dyDescent="0.25">
      <c r="H5286" s="116"/>
      <c r="I5286" s="116"/>
    </row>
    <row r="5287" spans="8:9" x14ac:dyDescent="0.25">
      <c r="H5287" s="116"/>
      <c r="I5287" s="116"/>
    </row>
    <row r="5288" spans="8:9" x14ac:dyDescent="0.25">
      <c r="H5288" s="116"/>
      <c r="I5288" s="116"/>
    </row>
    <row r="5289" spans="8:9" x14ac:dyDescent="0.25">
      <c r="H5289" s="116"/>
      <c r="I5289" s="116"/>
    </row>
    <row r="5290" spans="8:9" x14ac:dyDescent="0.25">
      <c r="H5290" s="116"/>
      <c r="I5290" s="116"/>
    </row>
    <row r="5291" spans="8:9" x14ac:dyDescent="0.25">
      <c r="H5291" s="116"/>
      <c r="I5291" s="116"/>
    </row>
    <row r="5292" spans="8:9" x14ac:dyDescent="0.25">
      <c r="H5292" s="116"/>
      <c r="I5292" s="116"/>
    </row>
    <row r="5293" spans="8:9" x14ac:dyDescent="0.25">
      <c r="H5293" s="116"/>
      <c r="I5293" s="116"/>
    </row>
    <row r="5294" spans="8:9" x14ac:dyDescent="0.25">
      <c r="H5294" s="116"/>
      <c r="I5294" s="116"/>
    </row>
    <row r="5295" spans="8:9" x14ac:dyDescent="0.25">
      <c r="H5295" s="116"/>
      <c r="I5295" s="116"/>
    </row>
    <row r="5296" spans="8:9" x14ac:dyDescent="0.25">
      <c r="H5296" s="116"/>
      <c r="I5296" s="116"/>
    </row>
    <row r="5297" spans="8:9" x14ac:dyDescent="0.25">
      <c r="H5297" s="116"/>
      <c r="I5297" s="116"/>
    </row>
    <row r="5298" spans="8:9" x14ac:dyDescent="0.25">
      <c r="H5298" s="116"/>
      <c r="I5298" s="116"/>
    </row>
    <row r="5299" spans="8:9" x14ac:dyDescent="0.25">
      <c r="H5299" s="116"/>
      <c r="I5299" s="116"/>
    </row>
    <row r="5300" spans="8:9" x14ac:dyDescent="0.25">
      <c r="H5300" s="116"/>
      <c r="I5300" s="116"/>
    </row>
    <row r="5301" spans="8:9" x14ac:dyDescent="0.25">
      <c r="H5301" s="116"/>
      <c r="I5301" s="116"/>
    </row>
    <row r="5302" spans="8:9" x14ac:dyDescent="0.25">
      <c r="H5302" s="116"/>
      <c r="I5302" s="116"/>
    </row>
    <row r="5303" spans="8:9" x14ac:dyDescent="0.25">
      <c r="H5303" s="116"/>
      <c r="I5303" s="116"/>
    </row>
    <row r="5304" spans="8:9" x14ac:dyDescent="0.25">
      <c r="H5304" s="116"/>
      <c r="I5304" s="116"/>
    </row>
    <row r="5305" spans="8:9" x14ac:dyDescent="0.25">
      <c r="H5305" s="116"/>
      <c r="I5305" s="116"/>
    </row>
    <row r="5306" spans="8:9" x14ac:dyDescent="0.25">
      <c r="H5306" s="116"/>
      <c r="I5306" s="116"/>
    </row>
    <row r="5307" spans="8:9" x14ac:dyDescent="0.25">
      <c r="H5307" s="116"/>
      <c r="I5307" s="116"/>
    </row>
    <row r="5308" spans="8:9" x14ac:dyDescent="0.25">
      <c r="H5308" s="116"/>
      <c r="I5308" s="116"/>
    </row>
    <row r="5309" spans="8:9" x14ac:dyDescent="0.25">
      <c r="H5309" s="116"/>
      <c r="I5309" s="116"/>
    </row>
    <row r="5310" spans="8:9" x14ac:dyDescent="0.25">
      <c r="H5310" s="116"/>
      <c r="I5310" s="116"/>
    </row>
    <row r="5311" spans="8:9" x14ac:dyDescent="0.25">
      <c r="H5311" s="116"/>
      <c r="I5311" s="116"/>
    </row>
    <row r="5312" spans="8:9" x14ac:dyDescent="0.25">
      <c r="H5312" s="116"/>
      <c r="I5312" s="116"/>
    </row>
    <row r="5313" spans="8:9" x14ac:dyDescent="0.25">
      <c r="H5313" s="116"/>
      <c r="I5313" s="116"/>
    </row>
    <row r="5314" spans="8:9" x14ac:dyDescent="0.25">
      <c r="H5314" s="116"/>
      <c r="I5314" s="116"/>
    </row>
    <row r="5315" spans="8:9" x14ac:dyDescent="0.25">
      <c r="H5315" s="116"/>
      <c r="I5315" s="116"/>
    </row>
    <row r="5316" spans="8:9" x14ac:dyDescent="0.25">
      <c r="H5316" s="116"/>
      <c r="I5316" s="116"/>
    </row>
    <row r="5317" spans="8:9" x14ac:dyDescent="0.25">
      <c r="H5317" s="116"/>
      <c r="I5317" s="116"/>
    </row>
    <row r="5318" spans="8:9" x14ac:dyDescent="0.25">
      <c r="H5318" s="116"/>
      <c r="I5318" s="116"/>
    </row>
    <row r="5319" spans="8:9" x14ac:dyDescent="0.25">
      <c r="H5319" s="116"/>
      <c r="I5319" s="116"/>
    </row>
    <row r="5320" spans="8:9" x14ac:dyDescent="0.25">
      <c r="H5320" s="116"/>
      <c r="I5320" s="116"/>
    </row>
    <row r="5321" spans="8:9" x14ac:dyDescent="0.25">
      <c r="H5321" s="116"/>
      <c r="I5321" s="116"/>
    </row>
    <row r="5322" spans="8:9" x14ac:dyDescent="0.25">
      <c r="H5322" s="116"/>
      <c r="I5322" s="116"/>
    </row>
    <row r="5323" spans="8:9" x14ac:dyDescent="0.25">
      <c r="H5323" s="116"/>
      <c r="I5323" s="116"/>
    </row>
    <row r="5324" spans="8:9" x14ac:dyDescent="0.25">
      <c r="H5324" s="116"/>
      <c r="I5324" s="116"/>
    </row>
    <row r="5325" spans="8:9" x14ac:dyDescent="0.25">
      <c r="H5325" s="116"/>
      <c r="I5325" s="116"/>
    </row>
    <row r="5326" spans="8:9" x14ac:dyDescent="0.25">
      <c r="H5326" s="116"/>
      <c r="I5326" s="116"/>
    </row>
    <row r="5327" spans="8:9" x14ac:dyDescent="0.25">
      <c r="H5327" s="116"/>
      <c r="I5327" s="116"/>
    </row>
    <row r="5328" spans="8:9" x14ac:dyDescent="0.25">
      <c r="H5328" s="116"/>
      <c r="I5328" s="116"/>
    </row>
    <row r="5329" spans="8:9" x14ac:dyDescent="0.25">
      <c r="H5329" s="116"/>
      <c r="I5329" s="116"/>
    </row>
    <row r="5330" spans="8:9" x14ac:dyDescent="0.25">
      <c r="H5330" s="116"/>
      <c r="I5330" s="116"/>
    </row>
    <row r="5331" spans="8:9" x14ac:dyDescent="0.25">
      <c r="H5331" s="116"/>
      <c r="I5331" s="116"/>
    </row>
    <row r="5332" spans="8:9" x14ac:dyDescent="0.25">
      <c r="H5332" s="116"/>
      <c r="I5332" s="116"/>
    </row>
    <row r="5333" spans="8:9" x14ac:dyDescent="0.25">
      <c r="H5333" s="116"/>
      <c r="I5333" s="116"/>
    </row>
    <row r="5334" spans="8:9" x14ac:dyDescent="0.25">
      <c r="H5334" s="116"/>
      <c r="I5334" s="116"/>
    </row>
    <row r="5335" spans="8:9" x14ac:dyDescent="0.25">
      <c r="H5335" s="116"/>
      <c r="I5335" s="116"/>
    </row>
    <row r="5336" spans="8:9" x14ac:dyDescent="0.25">
      <c r="H5336" s="116"/>
      <c r="I5336" s="116"/>
    </row>
    <row r="5337" spans="8:9" x14ac:dyDescent="0.25">
      <c r="H5337" s="116"/>
      <c r="I5337" s="116"/>
    </row>
    <row r="5338" spans="8:9" x14ac:dyDescent="0.25">
      <c r="H5338" s="116"/>
      <c r="I5338" s="116"/>
    </row>
    <row r="5339" spans="8:9" x14ac:dyDescent="0.25">
      <c r="H5339" s="116"/>
      <c r="I5339" s="116"/>
    </row>
    <row r="5340" spans="8:9" x14ac:dyDescent="0.25">
      <c r="H5340" s="116"/>
      <c r="I5340" s="116"/>
    </row>
    <row r="5341" spans="8:9" x14ac:dyDescent="0.25">
      <c r="H5341" s="116"/>
      <c r="I5341" s="116"/>
    </row>
    <row r="5342" spans="8:9" x14ac:dyDescent="0.25">
      <c r="H5342" s="116"/>
      <c r="I5342" s="116"/>
    </row>
    <row r="5343" spans="8:9" x14ac:dyDescent="0.25">
      <c r="H5343" s="116"/>
      <c r="I5343" s="116"/>
    </row>
    <row r="5344" spans="8:9" x14ac:dyDescent="0.25">
      <c r="H5344" s="116"/>
      <c r="I5344" s="116"/>
    </row>
    <row r="5345" spans="8:9" x14ac:dyDescent="0.25">
      <c r="H5345" s="116"/>
      <c r="I5345" s="116"/>
    </row>
    <row r="5346" spans="8:9" x14ac:dyDescent="0.25">
      <c r="H5346" s="116"/>
      <c r="I5346" s="116"/>
    </row>
    <row r="5347" spans="8:9" x14ac:dyDescent="0.25">
      <c r="H5347" s="116"/>
      <c r="I5347" s="116"/>
    </row>
    <row r="5348" spans="8:9" x14ac:dyDescent="0.25">
      <c r="H5348" s="116"/>
      <c r="I5348" s="116"/>
    </row>
    <row r="5349" spans="8:9" x14ac:dyDescent="0.25">
      <c r="H5349" s="116"/>
      <c r="I5349" s="116"/>
    </row>
    <row r="5350" spans="8:9" x14ac:dyDescent="0.25">
      <c r="H5350" s="116"/>
      <c r="I5350" s="116"/>
    </row>
    <row r="5351" spans="8:9" x14ac:dyDescent="0.25">
      <c r="H5351" s="116"/>
      <c r="I5351" s="116"/>
    </row>
    <row r="5352" spans="8:9" x14ac:dyDescent="0.25">
      <c r="H5352" s="116"/>
      <c r="I5352" s="116"/>
    </row>
    <row r="5353" spans="8:9" x14ac:dyDescent="0.25">
      <c r="H5353" s="116"/>
      <c r="I5353" s="116"/>
    </row>
    <row r="5354" spans="8:9" x14ac:dyDescent="0.25">
      <c r="H5354" s="116"/>
      <c r="I5354" s="116"/>
    </row>
    <row r="5355" spans="8:9" x14ac:dyDescent="0.25">
      <c r="H5355" s="116"/>
      <c r="I5355" s="116"/>
    </row>
    <row r="5356" spans="8:9" x14ac:dyDescent="0.25">
      <c r="H5356" s="116"/>
      <c r="I5356" s="116"/>
    </row>
    <row r="5357" spans="8:9" x14ac:dyDescent="0.25">
      <c r="H5357" s="116"/>
      <c r="I5357" s="116"/>
    </row>
    <row r="5358" spans="8:9" x14ac:dyDescent="0.25">
      <c r="H5358" s="116"/>
      <c r="I5358" s="116"/>
    </row>
    <row r="5359" spans="8:9" x14ac:dyDescent="0.25">
      <c r="H5359" s="116"/>
      <c r="I5359" s="116"/>
    </row>
    <row r="5360" spans="8:9" x14ac:dyDescent="0.25">
      <c r="H5360" s="116"/>
      <c r="I5360" s="116"/>
    </row>
    <row r="5361" spans="8:9" x14ac:dyDescent="0.25">
      <c r="H5361" s="116"/>
      <c r="I5361" s="116"/>
    </row>
    <row r="5362" spans="8:9" x14ac:dyDescent="0.25">
      <c r="H5362" s="116"/>
      <c r="I5362" s="116"/>
    </row>
    <row r="5363" spans="8:9" x14ac:dyDescent="0.25">
      <c r="H5363" s="116"/>
      <c r="I5363" s="116"/>
    </row>
    <row r="5364" spans="8:9" x14ac:dyDescent="0.25">
      <c r="H5364" s="116"/>
      <c r="I5364" s="116"/>
    </row>
    <row r="5365" spans="8:9" x14ac:dyDescent="0.25">
      <c r="H5365" s="116"/>
      <c r="I5365" s="116"/>
    </row>
    <row r="5366" spans="8:9" x14ac:dyDescent="0.25">
      <c r="H5366" s="116"/>
      <c r="I5366" s="116"/>
    </row>
    <row r="5367" spans="8:9" x14ac:dyDescent="0.25">
      <c r="H5367" s="116"/>
      <c r="I5367" s="116"/>
    </row>
    <row r="5368" spans="8:9" x14ac:dyDescent="0.25">
      <c r="H5368" s="116"/>
      <c r="I5368" s="116"/>
    </row>
    <row r="5369" spans="8:9" x14ac:dyDescent="0.25">
      <c r="H5369" s="116"/>
      <c r="I5369" s="116"/>
    </row>
    <row r="5370" spans="8:9" x14ac:dyDescent="0.25">
      <c r="H5370" s="116"/>
      <c r="I5370" s="116"/>
    </row>
    <row r="5371" spans="8:9" x14ac:dyDescent="0.25">
      <c r="H5371" s="116"/>
      <c r="I5371" s="116"/>
    </row>
    <row r="5372" spans="8:9" x14ac:dyDescent="0.25">
      <c r="H5372" s="116"/>
      <c r="I5372" s="116"/>
    </row>
    <row r="5373" spans="8:9" x14ac:dyDescent="0.25">
      <c r="H5373" s="116"/>
      <c r="I5373" s="116"/>
    </row>
    <row r="5374" spans="8:9" x14ac:dyDescent="0.25">
      <c r="H5374" s="116"/>
      <c r="I5374" s="116"/>
    </row>
    <row r="5375" spans="8:9" x14ac:dyDescent="0.25">
      <c r="H5375" s="116"/>
      <c r="I5375" s="116"/>
    </row>
    <row r="5376" spans="8:9" x14ac:dyDescent="0.25">
      <c r="H5376" s="116"/>
      <c r="I5376" s="116"/>
    </row>
    <row r="5377" spans="8:9" x14ac:dyDescent="0.25">
      <c r="H5377" s="116"/>
      <c r="I5377" s="116"/>
    </row>
    <row r="5378" spans="8:9" x14ac:dyDescent="0.25">
      <c r="H5378" s="116"/>
      <c r="I5378" s="116"/>
    </row>
    <row r="5379" spans="8:9" x14ac:dyDescent="0.25">
      <c r="H5379" s="116"/>
      <c r="I5379" s="116"/>
    </row>
    <row r="5380" spans="8:9" x14ac:dyDescent="0.25">
      <c r="H5380" s="116"/>
      <c r="I5380" s="116"/>
    </row>
    <row r="5381" spans="8:9" x14ac:dyDescent="0.25">
      <c r="H5381" s="116"/>
      <c r="I5381" s="116"/>
    </row>
    <row r="5382" spans="8:9" x14ac:dyDescent="0.25">
      <c r="H5382" s="116"/>
      <c r="I5382" s="116"/>
    </row>
    <row r="5383" spans="8:9" x14ac:dyDescent="0.25">
      <c r="H5383" s="116"/>
      <c r="I5383" s="116"/>
    </row>
    <row r="5384" spans="8:9" x14ac:dyDescent="0.25">
      <c r="H5384" s="116"/>
      <c r="I5384" s="116"/>
    </row>
    <row r="5385" spans="8:9" x14ac:dyDescent="0.25">
      <c r="H5385" s="116"/>
      <c r="I5385" s="116"/>
    </row>
    <row r="5386" spans="8:9" x14ac:dyDescent="0.25">
      <c r="H5386" s="116"/>
      <c r="I5386" s="116"/>
    </row>
    <row r="5387" spans="8:9" x14ac:dyDescent="0.25">
      <c r="H5387" s="116"/>
      <c r="I5387" s="116"/>
    </row>
    <row r="5388" spans="8:9" x14ac:dyDescent="0.25">
      <c r="H5388" s="116"/>
      <c r="I5388" s="116"/>
    </row>
    <row r="5389" spans="8:9" x14ac:dyDescent="0.25">
      <c r="H5389" s="116"/>
      <c r="I5389" s="116"/>
    </row>
    <row r="5390" spans="8:9" x14ac:dyDescent="0.25">
      <c r="H5390" s="116"/>
      <c r="I5390" s="116"/>
    </row>
    <row r="5391" spans="8:9" x14ac:dyDescent="0.25">
      <c r="H5391" s="116"/>
      <c r="I5391" s="116"/>
    </row>
    <row r="5392" spans="8:9" x14ac:dyDescent="0.25">
      <c r="H5392" s="116"/>
      <c r="I5392" s="116"/>
    </row>
    <row r="5393" spans="8:9" x14ac:dyDescent="0.25">
      <c r="H5393" s="116"/>
      <c r="I5393" s="116"/>
    </row>
    <row r="5394" spans="8:9" x14ac:dyDescent="0.25">
      <c r="H5394" s="116"/>
      <c r="I5394" s="116"/>
    </row>
    <row r="5395" spans="8:9" x14ac:dyDescent="0.25">
      <c r="H5395" s="116"/>
      <c r="I5395" s="116"/>
    </row>
    <row r="5396" spans="8:9" x14ac:dyDescent="0.25">
      <c r="H5396" s="116"/>
      <c r="I5396" s="116"/>
    </row>
    <row r="5397" spans="8:9" x14ac:dyDescent="0.25">
      <c r="H5397" s="116"/>
      <c r="I5397" s="116"/>
    </row>
    <row r="5398" spans="8:9" x14ac:dyDescent="0.25">
      <c r="H5398" s="116"/>
      <c r="I5398" s="116"/>
    </row>
    <row r="5399" spans="8:9" x14ac:dyDescent="0.25">
      <c r="H5399" s="116"/>
      <c r="I5399" s="116"/>
    </row>
    <row r="5400" spans="8:9" x14ac:dyDescent="0.25">
      <c r="H5400" s="116"/>
      <c r="I5400" s="116"/>
    </row>
    <row r="5401" spans="8:9" x14ac:dyDescent="0.25">
      <c r="H5401" s="116"/>
      <c r="I5401" s="116"/>
    </row>
    <row r="5402" spans="8:9" x14ac:dyDescent="0.25">
      <c r="H5402" s="116"/>
      <c r="I5402" s="116"/>
    </row>
    <row r="5403" spans="8:9" x14ac:dyDescent="0.25">
      <c r="H5403" s="116"/>
      <c r="I5403" s="116"/>
    </row>
    <row r="5404" spans="8:9" x14ac:dyDescent="0.25">
      <c r="H5404" s="116"/>
      <c r="I5404" s="116"/>
    </row>
    <row r="5405" spans="8:9" x14ac:dyDescent="0.25">
      <c r="H5405" s="116"/>
      <c r="I5405" s="116"/>
    </row>
    <row r="5406" spans="8:9" x14ac:dyDescent="0.25">
      <c r="H5406" s="116"/>
      <c r="I5406" s="116"/>
    </row>
    <row r="5407" spans="8:9" x14ac:dyDescent="0.25">
      <c r="H5407" s="116"/>
      <c r="I5407" s="116"/>
    </row>
    <row r="5408" spans="8:9" x14ac:dyDescent="0.25">
      <c r="H5408" s="116"/>
      <c r="I5408" s="116"/>
    </row>
    <row r="5409" spans="8:9" x14ac:dyDescent="0.25">
      <c r="H5409" s="116"/>
      <c r="I5409" s="116"/>
    </row>
    <row r="5410" spans="8:9" x14ac:dyDescent="0.25">
      <c r="H5410" s="116"/>
      <c r="I5410" s="116"/>
    </row>
    <row r="5411" spans="8:9" x14ac:dyDescent="0.25">
      <c r="H5411" s="116"/>
      <c r="I5411" s="116"/>
    </row>
    <row r="5412" spans="8:9" x14ac:dyDescent="0.25">
      <c r="H5412" s="116"/>
      <c r="I5412" s="116"/>
    </row>
    <row r="5413" spans="8:9" x14ac:dyDescent="0.25">
      <c r="H5413" s="116"/>
      <c r="I5413" s="116"/>
    </row>
    <row r="5414" spans="8:9" x14ac:dyDescent="0.25">
      <c r="H5414" s="116"/>
      <c r="I5414" s="116"/>
    </row>
    <row r="5415" spans="8:9" x14ac:dyDescent="0.25">
      <c r="H5415" s="116"/>
      <c r="I5415" s="116"/>
    </row>
    <row r="5416" spans="8:9" x14ac:dyDescent="0.25">
      <c r="H5416" s="116"/>
      <c r="I5416" s="116"/>
    </row>
    <row r="5417" spans="8:9" x14ac:dyDescent="0.25">
      <c r="H5417" s="116"/>
      <c r="I5417" s="116"/>
    </row>
    <row r="5418" spans="8:9" x14ac:dyDescent="0.25">
      <c r="H5418" s="116"/>
      <c r="I5418" s="116"/>
    </row>
    <row r="5419" spans="8:9" x14ac:dyDescent="0.25">
      <c r="H5419" s="116"/>
      <c r="I5419" s="116"/>
    </row>
    <row r="5420" spans="8:9" x14ac:dyDescent="0.25">
      <c r="H5420" s="116"/>
      <c r="I5420" s="116"/>
    </row>
    <row r="5421" spans="8:9" x14ac:dyDescent="0.25">
      <c r="H5421" s="116"/>
      <c r="I5421" s="116"/>
    </row>
    <row r="5422" spans="8:9" x14ac:dyDescent="0.25">
      <c r="H5422" s="116"/>
      <c r="I5422" s="116"/>
    </row>
    <row r="5423" spans="8:9" x14ac:dyDescent="0.25">
      <c r="H5423" s="116"/>
      <c r="I5423" s="116"/>
    </row>
    <row r="5424" spans="8:9" x14ac:dyDescent="0.25">
      <c r="H5424" s="116"/>
      <c r="I5424" s="116"/>
    </row>
    <row r="5425" spans="8:9" x14ac:dyDescent="0.25">
      <c r="H5425" s="116"/>
      <c r="I5425" s="116"/>
    </row>
    <row r="5426" spans="8:9" x14ac:dyDescent="0.25">
      <c r="H5426" s="116"/>
      <c r="I5426" s="116"/>
    </row>
    <row r="5427" spans="8:9" x14ac:dyDescent="0.25">
      <c r="H5427" s="116"/>
      <c r="I5427" s="116"/>
    </row>
    <row r="5428" spans="8:9" x14ac:dyDescent="0.25">
      <c r="H5428" s="116"/>
      <c r="I5428" s="116"/>
    </row>
    <row r="5429" spans="8:9" x14ac:dyDescent="0.25">
      <c r="H5429" s="116"/>
      <c r="I5429" s="116"/>
    </row>
    <row r="5430" spans="8:9" x14ac:dyDescent="0.25">
      <c r="H5430" s="116"/>
      <c r="I5430" s="116"/>
    </row>
    <row r="5431" spans="8:9" x14ac:dyDescent="0.25">
      <c r="H5431" s="116"/>
      <c r="I5431" s="116"/>
    </row>
    <row r="5432" spans="8:9" x14ac:dyDescent="0.25">
      <c r="H5432" s="116"/>
      <c r="I5432" s="116"/>
    </row>
    <row r="5433" spans="8:9" x14ac:dyDescent="0.25">
      <c r="H5433" s="116"/>
      <c r="I5433" s="116"/>
    </row>
    <row r="5434" spans="8:9" x14ac:dyDescent="0.25">
      <c r="H5434" s="116"/>
      <c r="I5434" s="116"/>
    </row>
    <row r="5435" spans="8:9" x14ac:dyDescent="0.25">
      <c r="H5435" s="116"/>
      <c r="I5435" s="116"/>
    </row>
    <row r="5436" spans="8:9" x14ac:dyDescent="0.25">
      <c r="H5436" s="116"/>
      <c r="I5436" s="116"/>
    </row>
    <row r="5437" spans="8:9" x14ac:dyDescent="0.25">
      <c r="H5437" s="116"/>
      <c r="I5437" s="116"/>
    </row>
    <row r="5438" spans="8:9" x14ac:dyDescent="0.25">
      <c r="H5438" s="116"/>
      <c r="I5438" s="116"/>
    </row>
    <row r="5439" spans="8:9" x14ac:dyDescent="0.25">
      <c r="H5439" s="116"/>
      <c r="I5439" s="116"/>
    </row>
    <row r="5440" spans="8:9" x14ac:dyDescent="0.25">
      <c r="H5440" s="116"/>
      <c r="I5440" s="116"/>
    </row>
    <row r="5441" spans="8:9" x14ac:dyDescent="0.25">
      <c r="H5441" s="116"/>
      <c r="I5441" s="116"/>
    </row>
    <row r="5442" spans="8:9" x14ac:dyDescent="0.25">
      <c r="H5442" s="116"/>
      <c r="I5442" s="116"/>
    </row>
    <row r="5443" spans="8:9" x14ac:dyDescent="0.25">
      <c r="H5443" s="116"/>
      <c r="I5443" s="116"/>
    </row>
    <row r="5444" spans="8:9" x14ac:dyDescent="0.25">
      <c r="H5444" s="116"/>
      <c r="I5444" s="116"/>
    </row>
    <row r="5445" spans="8:9" x14ac:dyDescent="0.25">
      <c r="H5445" s="116"/>
      <c r="I5445" s="116"/>
    </row>
    <row r="5446" spans="8:9" x14ac:dyDescent="0.25">
      <c r="H5446" s="116"/>
      <c r="I5446" s="116"/>
    </row>
    <row r="5447" spans="8:9" x14ac:dyDescent="0.25">
      <c r="H5447" s="116"/>
      <c r="I5447" s="116"/>
    </row>
    <row r="5448" spans="8:9" x14ac:dyDescent="0.25">
      <c r="H5448" s="116"/>
      <c r="I5448" s="116"/>
    </row>
    <row r="5449" spans="8:9" x14ac:dyDescent="0.25">
      <c r="H5449" s="116"/>
      <c r="I5449" s="116"/>
    </row>
    <row r="5450" spans="8:9" x14ac:dyDescent="0.25">
      <c r="H5450" s="116"/>
      <c r="I5450" s="116"/>
    </row>
    <row r="5451" spans="8:9" x14ac:dyDescent="0.25">
      <c r="H5451" s="116"/>
      <c r="I5451" s="116"/>
    </row>
    <row r="5452" spans="8:9" x14ac:dyDescent="0.25">
      <c r="H5452" s="116"/>
      <c r="I5452" s="116"/>
    </row>
    <row r="5453" spans="8:9" x14ac:dyDescent="0.25">
      <c r="H5453" s="116"/>
      <c r="I5453" s="116"/>
    </row>
    <row r="5454" spans="8:9" x14ac:dyDescent="0.25">
      <c r="H5454" s="116"/>
      <c r="I5454" s="116"/>
    </row>
    <row r="5455" spans="8:9" x14ac:dyDescent="0.25">
      <c r="H5455" s="116"/>
      <c r="I5455" s="116"/>
    </row>
    <row r="5456" spans="8:9" x14ac:dyDescent="0.25">
      <c r="H5456" s="116"/>
      <c r="I5456" s="116"/>
    </row>
    <row r="5457" spans="8:9" x14ac:dyDescent="0.25">
      <c r="H5457" s="116"/>
      <c r="I5457" s="116"/>
    </row>
    <row r="5458" spans="8:9" x14ac:dyDescent="0.25">
      <c r="H5458" s="116"/>
      <c r="I5458" s="116"/>
    </row>
    <row r="5459" spans="8:9" x14ac:dyDescent="0.25">
      <c r="H5459" s="116"/>
      <c r="I5459" s="116"/>
    </row>
    <row r="5460" spans="8:9" x14ac:dyDescent="0.25">
      <c r="H5460" s="116"/>
      <c r="I5460" s="116"/>
    </row>
    <row r="5461" spans="8:9" x14ac:dyDescent="0.25">
      <c r="H5461" s="116"/>
      <c r="I5461" s="116"/>
    </row>
    <row r="5462" spans="8:9" x14ac:dyDescent="0.25">
      <c r="H5462" s="116"/>
      <c r="I5462" s="116"/>
    </row>
    <row r="5463" spans="8:9" x14ac:dyDescent="0.25">
      <c r="H5463" s="116"/>
      <c r="I5463" s="116"/>
    </row>
    <row r="5464" spans="8:9" x14ac:dyDescent="0.25">
      <c r="H5464" s="116"/>
      <c r="I5464" s="116"/>
    </row>
    <row r="5465" spans="8:9" x14ac:dyDescent="0.25">
      <c r="H5465" s="116"/>
      <c r="I5465" s="116"/>
    </row>
    <row r="5466" spans="8:9" x14ac:dyDescent="0.25">
      <c r="H5466" s="116"/>
      <c r="I5466" s="116"/>
    </row>
    <row r="5467" spans="8:9" x14ac:dyDescent="0.25">
      <c r="H5467" s="116"/>
      <c r="I5467" s="116"/>
    </row>
    <row r="5468" spans="8:9" x14ac:dyDescent="0.25">
      <c r="H5468" s="116"/>
      <c r="I5468" s="116"/>
    </row>
    <row r="5469" spans="8:9" x14ac:dyDescent="0.25">
      <c r="H5469" s="116"/>
      <c r="I5469" s="116"/>
    </row>
    <row r="5470" spans="8:9" x14ac:dyDescent="0.25">
      <c r="H5470" s="116"/>
      <c r="I5470" s="116"/>
    </row>
    <row r="5471" spans="8:9" x14ac:dyDescent="0.25">
      <c r="H5471" s="116"/>
      <c r="I5471" s="116"/>
    </row>
    <row r="5472" spans="8:9" x14ac:dyDescent="0.25">
      <c r="H5472" s="116"/>
      <c r="I5472" s="116"/>
    </row>
    <row r="5473" spans="8:9" x14ac:dyDescent="0.25">
      <c r="H5473" s="116"/>
      <c r="I5473" s="116"/>
    </row>
    <row r="5474" spans="8:9" x14ac:dyDescent="0.25">
      <c r="H5474" s="116"/>
      <c r="I5474" s="116"/>
    </row>
    <row r="5475" spans="8:9" x14ac:dyDescent="0.25">
      <c r="H5475" s="116"/>
      <c r="I5475" s="116"/>
    </row>
    <row r="5476" spans="8:9" x14ac:dyDescent="0.25">
      <c r="H5476" s="116"/>
      <c r="I5476" s="116"/>
    </row>
    <row r="5477" spans="8:9" x14ac:dyDescent="0.25">
      <c r="H5477" s="116"/>
      <c r="I5477" s="116"/>
    </row>
    <row r="5478" spans="8:9" x14ac:dyDescent="0.25">
      <c r="H5478" s="116"/>
      <c r="I5478" s="116"/>
    </row>
    <row r="5479" spans="8:9" x14ac:dyDescent="0.25">
      <c r="H5479" s="116"/>
      <c r="I5479" s="116"/>
    </row>
    <row r="5480" spans="8:9" x14ac:dyDescent="0.25">
      <c r="H5480" s="116"/>
      <c r="I5480" s="116"/>
    </row>
    <row r="5481" spans="8:9" x14ac:dyDescent="0.25">
      <c r="H5481" s="116"/>
      <c r="I5481" s="116"/>
    </row>
    <row r="5482" spans="8:9" x14ac:dyDescent="0.25">
      <c r="H5482" s="116"/>
      <c r="I5482" s="116"/>
    </row>
    <row r="5483" spans="8:9" x14ac:dyDescent="0.25">
      <c r="H5483" s="116"/>
      <c r="I5483" s="116"/>
    </row>
    <row r="5484" spans="8:9" x14ac:dyDescent="0.25">
      <c r="H5484" s="116"/>
      <c r="I5484" s="116"/>
    </row>
    <row r="5485" spans="8:9" x14ac:dyDescent="0.25">
      <c r="H5485" s="116"/>
      <c r="I5485" s="116"/>
    </row>
    <row r="5486" spans="8:9" x14ac:dyDescent="0.25">
      <c r="H5486" s="116"/>
      <c r="I5486" s="116"/>
    </row>
    <row r="5487" spans="8:9" x14ac:dyDescent="0.25">
      <c r="H5487" s="116"/>
      <c r="I5487" s="116"/>
    </row>
    <row r="5488" spans="8:9" x14ac:dyDescent="0.25">
      <c r="H5488" s="116"/>
      <c r="I5488" s="116"/>
    </row>
    <row r="5489" spans="8:9" x14ac:dyDescent="0.25">
      <c r="H5489" s="116"/>
      <c r="I5489" s="116"/>
    </row>
    <row r="5490" spans="8:9" x14ac:dyDescent="0.25">
      <c r="H5490" s="116"/>
      <c r="I5490" s="116"/>
    </row>
    <row r="5491" spans="8:9" x14ac:dyDescent="0.25">
      <c r="H5491" s="116"/>
      <c r="I5491" s="116"/>
    </row>
    <row r="5492" spans="8:9" x14ac:dyDescent="0.25">
      <c r="H5492" s="116"/>
      <c r="I5492" s="116"/>
    </row>
    <row r="5493" spans="8:9" x14ac:dyDescent="0.25">
      <c r="H5493" s="116"/>
      <c r="I5493" s="116"/>
    </row>
    <row r="5494" spans="8:9" x14ac:dyDescent="0.25">
      <c r="H5494" s="116"/>
      <c r="I5494" s="116"/>
    </row>
    <row r="5495" spans="8:9" x14ac:dyDescent="0.25">
      <c r="H5495" s="116"/>
      <c r="I5495" s="116"/>
    </row>
    <row r="5496" spans="8:9" x14ac:dyDescent="0.25">
      <c r="H5496" s="116"/>
      <c r="I5496" s="116"/>
    </row>
    <row r="5497" spans="8:9" x14ac:dyDescent="0.25">
      <c r="H5497" s="116"/>
      <c r="I5497" s="116"/>
    </row>
    <row r="5498" spans="8:9" x14ac:dyDescent="0.25">
      <c r="H5498" s="116"/>
      <c r="I5498" s="116"/>
    </row>
    <row r="5499" spans="8:9" x14ac:dyDescent="0.25">
      <c r="H5499" s="116"/>
      <c r="I5499" s="116"/>
    </row>
    <row r="5500" spans="8:9" x14ac:dyDescent="0.25">
      <c r="H5500" s="116"/>
      <c r="I5500" s="116"/>
    </row>
    <row r="5501" spans="8:9" x14ac:dyDescent="0.25">
      <c r="H5501" s="116"/>
      <c r="I5501" s="116"/>
    </row>
    <row r="5502" spans="8:9" x14ac:dyDescent="0.25">
      <c r="H5502" s="116"/>
      <c r="I5502" s="116"/>
    </row>
    <row r="5503" spans="8:9" x14ac:dyDescent="0.25">
      <c r="H5503" s="116"/>
      <c r="I5503" s="116"/>
    </row>
    <row r="5504" spans="8:9" x14ac:dyDescent="0.25">
      <c r="H5504" s="116"/>
      <c r="I5504" s="116"/>
    </row>
    <row r="5505" spans="8:9" x14ac:dyDescent="0.25">
      <c r="H5505" s="116"/>
      <c r="I5505" s="116"/>
    </row>
    <row r="5506" spans="8:9" x14ac:dyDescent="0.25">
      <c r="H5506" s="116"/>
      <c r="I5506" s="116"/>
    </row>
    <row r="5507" spans="8:9" x14ac:dyDescent="0.25">
      <c r="H5507" s="116"/>
      <c r="I5507" s="116"/>
    </row>
    <row r="5508" spans="8:9" x14ac:dyDescent="0.25">
      <c r="H5508" s="116"/>
      <c r="I5508" s="116"/>
    </row>
    <row r="5509" spans="8:9" x14ac:dyDescent="0.25">
      <c r="H5509" s="116"/>
      <c r="I5509" s="116"/>
    </row>
    <row r="5510" spans="8:9" x14ac:dyDescent="0.25">
      <c r="H5510" s="116"/>
      <c r="I5510" s="116"/>
    </row>
    <row r="5511" spans="8:9" x14ac:dyDescent="0.25">
      <c r="H5511" s="116"/>
      <c r="I5511" s="116"/>
    </row>
    <row r="5512" spans="8:9" x14ac:dyDescent="0.25">
      <c r="H5512" s="116"/>
      <c r="I5512" s="116"/>
    </row>
    <row r="5513" spans="8:9" x14ac:dyDescent="0.25">
      <c r="H5513" s="116"/>
      <c r="I5513" s="116"/>
    </row>
    <row r="5514" spans="8:9" x14ac:dyDescent="0.25">
      <c r="H5514" s="116"/>
      <c r="I5514" s="116"/>
    </row>
    <row r="5515" spans="8:9" x14ac:dyDescent="0.25">
      <c r="H5515" s="116"/>
      <c r="I5515" s="116"/>
    </row>
    <row r="5516" spans="8:9" x14ac:dyDescent="0.25">
      <c r="H5516" s="116"/>
      <c r="I5516" s="116"/>
    </row>
    <row r="5517" spans="8:9" x14ac:dyDescent="0.25">
      <c r="H5517" s="116"/>
      <c r="I5517" s="116"/>
    </row>
    <row r="5518" spans="8:9" x14ac:dyDescent="0.25">
      <c r="H5518" s="116"/>
      <c r="I5518" s="116"/>
    </row>
    <row r="5519" spans="8:9" x14ac:dyDescent="0.25">
      <c r="H5519" s="116"/>
      <c r="I5519" s="116"/>
    </row>
    <row r="5520" spans="8:9" x14ac:dyDescent="0.25">
      <c r="H5520" s="116"/>
      <c r="I5520" s="116"/>
    </row>
    <row r="5521" spans="8:9" x14ac:dyDescent="0.25">
      <c r="H5521" s="116"/>
      <c r="I5521" s="116"/>
    </row>
    <row r="5522" spans="8:9" x14ac:dyDescent="0.25">
      <c r="H5522" s="116"/>
      <c r="I5522" s="116"/>
    </row>
    <row r="5523" spans="8:9" x14ac:dyDescent="0.25">
      <c r="H5523" s="116"/>
      <c r="I5523" s="116"/>
    </row>
    <row r="5524" spans="8:9" x14ac:dyDescent="0.25">
      <c r="H5524" s="116"/>
      <c r="I5524" s="116"/>
    </row>
    <row r="5525" spans="8:9" x14ac:dyDescent="0.25">
      <c r="H5525" s="116"/>
      <c r="I5525" s="116"/>
    </row>
    <row r="5526" spans="8:9" x14ac:dyDescent="0.25">
      <c r="H5526" s="116"/>
      <c r="I5526" s="116"/>
    </row>
    <row r="5527" spans="8:9" x14ac:dyDescent="0.25">
      <c r="H5527" s="116"/>
      <c r="I5527" s="116"/>
    </row>
    <row r="5528" spans="8:9" x14ac:dyDescent="0.25">
      <c r="H5528" s="116"/>
      <c r="I5528" s="116"/>
    </row>
    <row r="5529" spans="8:9" x14ac:dyDescent="0.25">
      <c r="H5529" s="116"/>
      <c r="I5529" s="116"/>
    </row>
    <row r="5530" spans="8:9" x14ac:dyDescent="0.25">
      <c r="H5530" s="116"/>
      <c r="I5530" s="116"/>
    </row>
    <row r="5531" spans="8:9" x14ac:dyDescent="0.25">
      <c r="H5531" s="116"/>
      <c r="I5531" s="116"/>
    </row>
    <row r="5532" spans="8:9" x14ac:dyDescent="0.25">
      <c r="H5532" s="116"/>
      <c r="I5532" s="116"/>
    </row>
    <row r="5533" spans="8:9" x14ac:dyDescent="0.25">
      <c r="H5533" s="116"/>
      <c r="I5533" s="116"/>
    </row>
    <row r="5534" spans="8:9" x14ac:dyDescent="0.25">
      <c r="H5534" s="116"/>
      <c r="I5534" s="116"/>
    </row>
    <row r="5535" spans="8:9" x14ac:dyDescent="0.25">
      <c r="H5535" s="116"/>
      <c r="I5535" s="116"/>
    </row>
    <row r="5536" spans="8:9" x14ac:dyDescent="0.25">
      <c r="H5536" s="116"/>
      <c r="I5536" s="116"/>
    </row>
    <row r="5537" spans="8:9" x14ac:dyDescent="0.25">
      <c r="H5537" s="116"/>
      <c r="I5537" s="116"/>
    </row>
    <row r="5538" spans="8:9" x14ac:dyDescent="0.25">
      <c r="H5538" s="116"/>
      <c r="I5538" s="116"/>
    </row>
    <row r="5539" spans="8:9" x14ac:dyDescent="0.25">
      <c r="H5539" s="116"/>
      <c r="I5539" s="116"/>
    </row>
    <row r="5540" spans="8:9" x14ac:dyDescent="0.25">
      <c r="H5540" s="116"/>
      <c r="I5540" s="116"/>
    </row>
    <row r="5541" spans="8:9" x14ac:dyDescent="0.25">
      <c r="H5541" s="116"/>
      <c r="I5541" s="116"/>
    </row>
    <row r="5542" spans="8:9" x14ac:dyDescent="0.25">
      <c r="H5542" s="116"/>
      <c r="I5542" s="116"/>
    </row>
    <row r="5543" spans="8:9" x14ac:dyDescent="0.25">
      <c r="H5543" s="116"/>
      <c r="I5543" s="116"/>
    </row>
    <row r="5544" spans="8:9" x14ac:dyDescent="0.25">
      <c r="H5544" s="116"/>
      <c r="I5544" s="116"/>
    </row>
    <row r="5545" spans="8:9" x14ac:dyDescent="0.25">
      <c r="H5545" s="116"/>
      <c r="I5545" s="116"/>
    </row>
    <row r="5546" spans="8:9" x14ac:dyDescent="0.25">
      <c r="H5546" s="116"/>
      <c r="I5546" s="116"/>
    </row>
    <row r="5547" spans="8:9" x14ac:dyDescent="0.25">
      <c r="H5547" s="116"/>
      <c r="I5547" s="116"/>
    </row>
    <row r="5548" spans="8:9" x14ac:dyDescent="0.25">
      <c r="H5548" s="116"/>
      <c r="I5548" s="116"/>
    </row>
    <row r="5549" spans="8:9" x14ac:dyDescent="0.25">
      <c r="H5549" s="116"/>
      <c r="I5549" s="116"/>
    </row>
    <row r="5550" spans="8:9" x14ac:dyDescent="0.25">
      <c r="H5550" s="116"/>
      <c r="I5550" s="116"/>
    </row>
    <row r="5551" spans="8:9" x14ac:dyDescent="0.25">
      <c r="H5551" s="116"/>
      <c r="I5551" s="116"/>
    </row>
    <row r="5552" spans="8:9" x14ac:dyDescent="0.25">
      <c r="H5552" s="116"/>
      <c r="I5552" s="116"/>
    </row>
    <row r="5553" spans="8:9" x14ac:dyDescent="0.25">
      <c r="H5553" s="116"/>
      <c r="I5553" s="116"/>
    </row>
    <row r="5554" spans="8:9" x14ac:dyDescent="0.25">
      <c r="H5554" s="116"/>
      <c r="I5554" s="116"/>
    </row>
    <row r="5555" spans="8:9" x14ac:dyDescent="0.25">
      <c r="H5555" s="116"/>
      <c r="I5555" s="116"/>
    </row>
    <row r="5556" spans="8:9" x14ac:dyDescent="0.25">
      <c r="H5556" s="116"/>
      <c r="I5556" s="116"/>
    </row>
    <row r="5557" spans="8:9" x14ac:dyDescent="0.25">
      <c r="H5557" s="116"/>
      <c r="I5557" s="116"/>
    </row>
    <row r="5558" spans="8:9" x14ac:dyDescent="0.25">
      <c r="H5558" s="116"/>
      <c r="I5558" s="116"/>
    </row>
    <row r="5559" spans="8:9" x14ac:dyDescent="0.25">
      <c r="H5559" s="116"/>
      <c r="I5559" s="116"/>
    </row>
    <row r="5560" spans="8:9" x14ac:dyDescent="0.25">
      <c r="H5560" s="116"/>
      <c r="I5560" s="116"/>
    </row>
    <row r="5561" spans="8:9" x14ac:dyDescent="0.25">
      <c r="H5561" s="116"/>
      <c r="I5561" s="116"/>
    </row>
    <row r="5562" spans="8:9" x14ac:dyDescent="0.25">
      <c r="H5562" s="116"/>
      <c r="I5562" s="116"/>
    </row>
    <row r="5563" spans="8:9" x14ac:dyDescent="0.25">
      <c r="H5563" s="116"/>
      <c r="I5563" s="116"/>
    </row>
    <row r="5564" spans="8:9" x14ac:dyDescent="0.25">
      <c r="H5564" s="116"/>
      <c r="I5564" s="116"/>
    </row>
    <row r="5565" spans="8:9" x14ac:dyDescent="0.25">
      <c r="H5565" s="116"/>
      <c r="I5565" s="116"/>
    </row>
    <row r="5566" spans="8:9" x14ac:dyDescent="0.25">
      <c r="H5566" s="116"/>
      <c r="I5566" s="116"/>
    </row>
    <row r="5567" spans="8:9" x14ac:dyDescent="0.25">
      <c r="H5567" s="116"/>
      <c r="I5567" s="116"/>
    </row>
    <row r="5568" spans="8:9" x14ac:dyDescent="0.25">
      <c r="H5568" s="116"/>
      <c r="I5568" s="116"/>
    </row>
    <row r="5569" spans="8:9" x14ac:dyDescent="0.25">
      <c r="H5569" s="116"/>
      <c r="I5569" s="116"/>
    </row>
    <row r="5570" spans="8:9" x14ac:dyDescent="0.25">
      <c r="H5570" s="116"/>
      <c r="I5570" s="116"/>
    </row>
    <row r="5571" spans="8:9" x14ac:dyDescent="0.25">
      <c r="H5571" s="116"/>
      <c r="I5571" s="116"/>
    </row>
    <row r="5572" spans="8:9" x14ac:dyDescent="0.25">
      <c r="H5572" s="116"/>
      <c r="I5572" s="116"/>
    </row>
    <row r="5573" spans="8:9" x14ac:dyDescent="0.25">
      <c r="H5573" s="116"/>
      <c r="I5573" s="116"/>
    </row>
    <row r="5574" spans="8:9" x14ac:dyDescent="0.25">
      <c r="H5574" s="116"/>
      <c r="I5574" s="116"/>
    </row>
    <row r="5575" spans="8:9" x14ac:dyDescent="0.25">
      <c r="H5575" s="116"/>
      <c r="I5575" s="116"/>
    </row>
    <row r="5576" spans="8:9" x14ac:dyDescent="0.25">
      <c r="H5576" s="116"/>
      <c r="I5576" s="116"/>
    </row>
    <row r="5577" spans="8:9" x14ac:dyDescent="0.25">
      <c r="H5577" s="116"/>
      <c r="I5577" s="116"/>
    </row>
    <row r="5578" spans="8:9" x14ac:dyDescent="0.25">
      <c r="H5578" s="116"/>
      <c r="I5578" s="116"/>
    </row>
    <row r="5579" spans="8:9" x14ac:dyDescent="0.25">
      <c r="H5579" s="116"/>
      <c r="I5579" s="116"/>
    </row>
    <row r="5580" spans="8:9" x14ac:dyDescent="0.25">
      <c r="H5580" s="116"/>
      <c r="I5580" s="116"/>
    </row>
    <row r="5581" spans="8:9" x14ac:dyDescent="0.25">
      <c r="H5581" s="116"/>
      <c r="I5581" s="116"/>
    </row>
    <row r="5582" spans="8:9" x14ac:dyDescent="0.25">
      <c r="H5582" s="116"/>
      <c r="I5582" s="116"/>
    </row>
    <row r="5583" spans="8:9" x14ac:dyDescent="0.25">
      <c r="H5583" s="116"/>
      <c r="I5583" s="116"/>
    </row>
    <row r="5584" spans="8:9" x14ac:dyDescent="0.25">
      <c r="H5584" s="116"/>
      <c r="I5584" s="116"/>
    </row>
    <row r="5585" spans="8:9" x14ac:dyDescent="0.25">
      <c r="H5585" s="116"/>
      <c r="I5585" s="116"/>
    </row>
    <row r="5586" spans="8:9" x14ac:dyDescent="0.25">
      <c r="H5586" s="116"/>
      <c r="I5586" s="116"/>
    </row>
    <row r="5587" spans="8:9" x14ac:dyDescent="0.25">
      <c r="H5587" s="116"/>
      <c r="I5587" s="116"/>
    </row>
    <row r="5588" spans="8:9" x14ac:dyDescent="0.25">
      <c r="H5588" s="116"/>
      <c r="I5588" s="116"/>
    </row>
    <row r="5589" spans="8:9" x14ac:dyDescent="0.25">
      <c r="H5589" s="116"/>
      <c r="I5589" s="116"/>
    </row>
    <row r="5590" spans="8:9" x14ac:dyDescent="0.25">
      <c r="H5590" s="116"/>
      <c r="I5590" s="116"/>
    </row>
    <row r="5591" spans="8:9" x14ac:dyDescent="0.25">
      <c r="H5591" s="116"/>
      <c r="I5591" s="116"/>
    </row>
    <row r="5592" spans="8:9" x14ac:dyDescent="0.25">
      <c r="H5592" s="116"/>
      <c r="I5592" s="116"/>
    </row>
    <row r="5593" spans="8:9" x14ac:dyDescent="0.25">
      <c r="H5593" s="116"/>
      <c r="I5593" s="116"/>
    </row>
    <row r="5594" spans="8:9" x14ac:dyDescent="0.25">
      <c r="H5594" s="116"/>
      <c r="I5594" s="116"/>
    </row>
    <row r="5595" spans="8:9" x14ac:dyDescent="0.25">
      <c r="H5595" s="116"/>
      <c r="I5595" s="116"/>
    </row>
    <row r="5596" spans="8:9" x14ac:dyDescent="0.25">
      <c r="H5596" s="116"/>
      <c r="I5596" s="116"/>
    </row>
    <row r="5597" spans="8:9" x14ac:dyDescent="0.25">
      <c r="H5597" s="116"/>
      <c r="I5597" s="116"/>
    </row>
    <row r="5598" spans="8:9" x14ac:dyDescent="0.25">
      <c r="H5598" s="116"/>
      <c r="I5598" s="116"/>
    </row>
    <row r="5599" spans="8:9" x14ac:dyDescent="0.25">
      <c r="H5599" s="116"/>
      <c r="I5599" s="116"/>
    </row>
    <row r="5600" spans="8:9" x14ac:dyDescent="0.25">
      <c r="H5600" s="116"/>
      <c r="I5600" s="116"/>
    </row>
    <row r="5601" spans="8:9" x14ac:dyDescent="0.25">
      <c r="H5601" s="116"/>
      <c r="I5601" s="116"/>
    </row>
    <row r="5602" spans="8:9" x14ac:dyDescent="0.25">
      <c r="H5602" s="116"/>
      <c r="I5602" s="116"/>
    </row>
    <row r="5603" spans="8:9" x14ac:dyDescent="0.25">
      <c r="H5603" s="116"/>
      <c r="I5603" s="116"/>
    </row>
    <row r="5604" spans="8:9" x14ac:dyDescent="0.25">
      <c r="H5604" s="116"/>
      <c r="I5604" s="116"/>
    </row>
    <row r="5605" spans="8:9" x14ac:dyDescent="0.25">
      <c r="H5605" s="116"/>
      <c r="I5605" s="116"/>
    </row>
    <row r="5606" spans="8:9" x14ac:dyDescent="0.25">
      <c r="H5606" s="116"/>
      <c r="I5606" s="116"/>
    </row>
    <row r="5607" spans="8:9" x14ac:dyDescent="0.25">
      <c r="H5607" s="116"/>
      <c r="I5607" s="116"/>
    </row>
    <row r="5608" spans="8:9" x14ac:dyDescent="0.25">
      <c r="H5608" s="116"/>
      <c r="I5608" s="116"/>
    </row>
    <row r="5609" spans="8:9" x14ac:dyDescent="0.25">
      <c r="H5609" s="116"/>
      <c r="I5609" s="116"/>
    </row>
    <row r="5610" spans="8:9" x14ac:dyDescent="0.25">
      <c r="H5610" s="116"/>
      <c r="I5610" s="116"/>
    </row>
    <row r="5611" spans="8:9" x14ac:dyDescent="0.25">
      <c r="H5611" s="116"/>
      <c r="I5611" s="116"/>
    </row>
    <row r="5612" spans="8:9" x14ac:dyDescent="0.25">
      <c r="H5612" s="116"/>
      <c r="I5612" s="116"/>
    </row>
    <row r="5613" spans="8:9" x14ac:dyDescent="0.25">
      <c r="H5613" s="116"/>
      <c r="I5613" s="116"/>
    </row>
    <row r="5614" spans="8:9" x14ac:dyDescent="0.25">
      <c r="H5614" s="116"/>
      <c r="I5614" s="116"/>
    </row>
    <row r="5615" spans="8:9" x14ac:dyDescent="0.25">
      <c r="H5615" s="116"/>
      <c r="I5615" s="116"/>
    </row>
    <row r="5616" spans="8:9" x14ac:dyDescent="0.25">
      <c r="H5616" s="116"/>
      <c r="I5616" s="116"/>
    </row>
    <row r="5617" spans="8:9" x14ac:dyDescent="0.25">
      <c r="H5617" s="116"/>
      <c r="I5617" s="116"/>
    </row>
    <row r="5618" spans="8:9" x14ac:dyDescent="0.25">
      <c r="H5618" s="116"/>
      <c r="I5618" s="116"/>
    </row>
    <row r="5619" spans="8:9" x14ac:dyDescent="0.25">
      <c r="H5619" s="116"/>
      <c r="I5619" s="116"/>
    </row>
    <row r="5620" spans="8:9" x14ac:dyDescent="0.25">
      <c r="H5620" s="116"/>
      <c r="I5620" s="116"/>
    </row>
    <row r="5621" spans="8:9" x14ac:dyDescent="0.25">
      <c r="H5621" s="116"/>
      <c r="I5621" s="116"/>
    </row>
    <row r="5622" spans="8:9" x14ac:dyDescent="0.25">
      <c r="H5622" s="116"/>
      <c r="I5622" s="116"/>
    </row>
    <row r="5623" spans="8:9" x14ac:dyDescent="0.25">
      <c r="H5623" s="116"/>
      <c r="I5623" s="116"/>
    </row>
    <row r="5624" spans="8:9" x14ac:dyDescent="0.25">
      <c r="H5624" s="116"/>
      <c r="I5624" s="116"/>
    </row>
    <row r="5625" spans="8:9" x14ac:dyDescent="0.25">
      <c r="H5625" s="116"/>
      <c r="I5625" s="116"/>
    </row>
    <row r="5626" spans="8:9" x14ac:dyDescent="0.25">
      <c r="H5626" s="116"/>
      <c r="I5626" s="116"/>
    </row>
    <row r="5627" spans="8:9" x14ac:dyDescent="0.25">
      <c r="H5627" s="116"/>
      <c r="I5627" s="116"/>
    </row>
    <row r="5628" spans="8:9" x14ac:dyDescent="0.25">
      <c r="H5628" s="116"/>
      <c r="I5628" s="116"/>
    </row>
    <row r="5629" spans="8:9" x14ac:dyDescent="0.25">
      <c r="H5629" s="116"/>
      <c r="I5629" s="116"/>
    </row>
    <row r="5630" spans="8:9" x14ac:dyDescent="0.25">
      <c r="H5630" s="116"/>
      <c r="I5630" s="116"/>
    </row>
    <row r="5631" spans="8:9" x14ac:dyDescent="0.25">
      <c r="H5631" s="116"/>
      <c r="I5631" s="116"/>
    </row>
    <row r="5632" spans="8:9" x14ac:dyDescent="0.25">
      <c r="H5632" s="116"/>
      <c r="I5632" s="116"/>
    </row>
    <row r="5633" spans="8:9" x14ac:dyDescent="0.25">
      <c r="H5633" s="116"/>
      <c r="I5633" s="116"/>
    </row>
    <row r="5634" spans="8:9" x14ac:dyDescent="0.25">
      <c r="H5634" s="116"/>
      <c r="I5634" s="116"/>
    </row>
    <row r="5635" spans="8:9" x14ac:dyDescent="0.25">
      <c r="H5635" s="116"/>
      <c r="I5635" s="116"/>
    </row>
    <row r="5636" spans="8:9" x14ac:dyDescent="0.25">
      <c r="H5636" s="116"/>
      <c r="I5636" s="116"/>
    </row>
    <row r="5637" spans="8:9" x14ac:dyDescent="0.25">
      <c r="H5637" s="116"/>
      <c r="I5637" s="116"/>
    </row>
    <row r="5638" spans="8:9" x14ac:dyDescent="0.25">
      <c r="H5638" s="116"/>
      <c r="I5638" s="116"/>
    </row>
    <row r="5639" spans="8:9" x14ac:dyDescent="0.25">
      <c r="H5639" s="116"/>
      <c r="I5639" s="116"/>
    </row>
    <row r="5640" spans="8:9" x14ac:dyDescent="0.25">
      <c r="H5640" s="116"/>
      <c r="I5640" s="116"/>
    </row>
    <row r="5641" spans="8:9" x14ac:dyDescent="0.25">
      <c r="H5641" s="116"/>
      <c r="I5641" s="116"/>
    </row>
    <row r="5642" spans="8:9" x14ac:dyDescent="0.25">
      <c r="H5642" s="116"/>
      <c r="I5642" s="116"/>
    </row>
    <row r="5643" spans="8:9" x14ac:dyDescent="0.25">
      <c r="H5643" s="116"/>
      <c r="I5643" s="116"/>
    </row>
    <row r="5644" spans="8:9" x14ac:dyDescent="0.25">
      <c r="H5644" s="116"/>
      <c r="I5644" s="116"/>
    </row>
    <row r="5645" spans="8:9" x14ac:dyDescent="0.25">
      <c r="H5645" s="116"/>
      <c r="I5645" s="116"/>
    </row>
    <row r="5646" spans="8:9" x14ac:dyDescent="0.25">
      <c r="H5646" s="116"/>
      <c r="I5646" s="116"/>
    </row>
    <row r="5647" spans="8:9" x14ac:dyDescent="0.25">
      <c r="H5647" s="116"/>
      <c r="I5647" s="116"/>
    </row>
    <row r="5648" spans="8:9" x14ac:dyDescent="0.25">
      <c r="H5648" s="116"/>
      <c r="I5648" s="116"/>
    </row>
    <row r="5649" spans="8:9" x14ac:dyDescent="0.25">
      <c r="H5649" s="116"/>
      <c r="I5649" s="116"/>
    </row>
    <row r="5650" spans="8:9" x14ac:dyDescent="0.25">
      <c r="H5650" s="116"/>
      <c r="I5650" s="116"/>
    </row>
    <row r="5651" spans="8:9" x14ac:dyDescent="0.25">
      <c r="H5651" s="116"/>
      <c r="I5651" s="116"/>
    </row>
    <row r="5652" spans="8:9" x14ac:dyDescent="0.25">
      <c r="H5652" s="116"/>
      <c r="I5652" s="116"/>
    </row>
    <row r="5653" spans="8:9" x14ac:dyDescent="0.25">
      <c r="H5653" s="116"/>
      <c r="I5653" s="116"/>
    </row>
    <row r="5654" spans="8:9" x14ac:dyDescent="0.25">
      <c r="H5654" s="116"/>
      <c r="I5654" s="116"/>
    </row>
    <row r="5655" spans="8:9" x14ac:dyDescent="0.25">
      <c r="H5655" s="116"/>
      <c r="I5655" s="116"/>
    </row>
    <row r="5656" spans="8:9" x14ac:dyDescent="0.25">
      <c r="H5656" s="116"/>
      <c r="I5656" s="116"/>
    </row>
    <row r="5657" spans="8:9" x14ac:dyDescent="0.25">
      <c r="H5657" s="116"/>
      <c r="I5657" s="116"/>
    </row>
    <row r="5658" spans="8:9" x14ac:dyDescent="0.25">
      <c r="H5658" s="116"/>
      <c r="I5658" s="116"/>
    </row>
    <row r="5659" spans="8:9" x14ac:dyDescent="0.25">
      <c r="H5659" s="116"/>
      <c r="I5659" s="116"/>
    </row>
    <row r="5660" spans="8:9" x14ac:dyDescent="0.25">
      <c r="H5660" s="116"/>
      <c r="I5660" s="116"/>
    </row>
    <row r="5661" spans="8:9" x14ac:dyDescent="0.25">
      <c r="H5661" s="116"/>
      <c r="I5661" s="116"/>
    </row>
    <row r="5662" spans="8:9" x14ac:dyDescent="0.25">
      <c r="H5662" s="116"/>
      <c r="I5662" s="116"/>
    </row>
    <row r="5663" spans="8:9" x14ac:dyDescent="0.25">
      <c r="H5663" s="116"/>
      <c r="I5663" s="116"/>
    </row>
    <row r="5664" spans="8:9" x14ac:dyDescent="0.25">
      <c r="H5664" s="116"/>
      <c r="I5664" s="116"/>
    </row>
    <row r="5665" spans="8:9" x14ac:dyDescent="0.25">
      <c r="H5665" s="116"/>
      <c r="I5665" s="116"/>
    </row>
    <row r="5666" spans="8:9" x14ac:dyDescent="0.25">
      <c r="H5666" s="116"/>
      <c r="I5666" s="116"/>
    </row>
    <row r="5667" spans="8:9" x14ac:dyDescent="0.25">
      <c r="H5667" s="116"/>
      <c r="I5667" s="116"/>
    </row>
    <row r="5668" spans="8:9" x14ac:dyDescent="0.25">
      <c r="H5668" s="116"/>
      <c r="I5668" s="116"/>
    </row>
    <row r="5669" spans="8:9" x14ac:dyDescent="0.25">
      <c r="H5669" s="116"/>
      <c r="I5669" s="116"/>
    </row>
    <row r="5670" spans="8:9" x14ac:dyDescent="0.25">
      <c r="H5670" s="116"/>
      <c r="I5670" s="116"/>
    </row>
    <row r="5671" spans="8:9" x14ac:dyDescent="0.25">
      <c r="H5671" s="116"/>
      <c r="I5671" s="116"/>
    </row>
    <row r="5672" spans="8:9" x14ac:dyDescent="0.25">
      <c r="H5672" s="116"/>
      <c r="I5672" s="116"/>
    </row>
    <row r="5673" spans="8:9" x14ac:dyDescent="0.25">
      <c r="H5673" s="116"/>
      <c r="I5673" s="116"/>
    </row>
    <row r="5674" spans="8:9" x14ac:dyDescent="0.25">
      <c r="H5674" s="116"/>
      <c r="I5674" s="116"/>
    </row>
    <row r="5675" spans="8:9" x14ac:dyDescent="0.25">
      <c r="H5675" s="116"/>
      <c r="I5675" s="116"/>
    </row>
    <row r="5676" spans="8:9" x14ac:dyDescent="0.25">
      <c r="H5676" s="116"/>
      <c r="I5676" s="116"/>
    </row>
    <row r="5677" spans="8:9" x14ac:dyDescent="0.25">
      <c r="H5677" s="116"/>
      <c r="I5677" s="116"/>
    </row>
    <row r="5678" spans="8:9" x14ac:dyDescent="0.25">
      <c r="H5678" s="116"/>
      <c r="I5678" s="116"/>
    </row>
    <row r="5679" spans="8:9" x14ac:dyDescent="0.25">
      <c r="H5679" s="116"/>
      <c r="I5679" s="116"/>
    </row>
    <row r="5680" spans="8:9" x14ac:dyDescent="0.25">
      <c r="H5680" s="116"/>
      <c r="I5680" s="116"/>
    </row>
    <row r="5681" spans="8:9" x14ac:dyDescent="0.25">
      <c r="H5681" s="116"/>
      <c r="I5681" s="116"/>
    </row>
    <row r="5682" spans="8:9" x14ac:dyDescent="0.25">
      <c r="H5682" s="116"/>
      <c r="I5682" s="116"/>
    </row>
    <row r="5683" spans="8:9" x14ac:dyDescent="0.25">
      <c r="H5683" s="116"/>
      <c r="I5683" s="116"/>
    </row>
    <row r="5684" spans="8:9" x14ac:dyDescent="0.25">
      <c r="H5684" s="116"/>
      <c r="I5684" s="116"/>
    </row>
    <row r="5685" spans="8:9" x14ac:dyDescent="0.25">
      <c r="H5685" s="116"/>
      <c r="I5685" s="116"/>
    </row>
    <row r="5686" spans="8:9" x14ac:dyDescent="0.25">
      <c r="H5686" s="116"/>
      <c r="I5686" s="116"/>
    </row>
    <row r="5687" spans="8:9" x14ac:dyDescent="0.25">
      <c r="H5687" s="116"/>
      <c r="I5687" s="116"/>
    </row>
    <row r="5688" spans="8:9" x14ac:dyDescent="0.25">
      <c r="H5688" s="116"/>
      <c r="I5688" s="116"/>
    </row>
    <row r="5689" spans="8:9" x14ac:dyDescent="0.25">
      <c r="H5689" s="116"/>
      <c r="I5689" s="116"/>
    </row>
    <row r="5690" spans="8:9" x14ac:dyDescent="0.25">
      <c r="H5690" s="116"/>
      <c r="I5690" s="116"/>
    </row>
    <row r="5691" spans="8:9" x14ac:dyDescent="0.25">
      <c r="H5691" s="116"/>
      <c r="I5691" s="116"/>
    </row>
    <row r="5692" spans="8:9" x14ac:dyDescent="0.25">
      <c r="H5692" s="116"/>
      <c r="I5692" s="116"/>
    </row>
    <row r="5693" spans="8:9" x14ac:dyDescent="0.25">
      <c r="H5693" s="116"/>
      <c r="I5693" s="116"/>
    </row>
    <row r="5694" spans="8:9" x14ac:dyDescent="0.25">
      <c r="H5694" s="116"/>
      <c r="I5694" s="116"/>
    </row>
    <row r="5695" spans="8:9" x14ac:dyDescent="0.25">
      <c r="H5695" s="116"/>
      <c r="I5695" s="116"/>
    </row>
    <row r="5696" spans="8:9" x14ac:dyDescent="0.25">
      <c r="H5696" s="116"/>
      <c r="I5696" s="116"/>
    </row>
    <row r="5697" spans="8:9" x14ac:dyDescent="0.25">
      <c r="H5697" s="116"/>
      <c r="I5697" s="116"/>
    </row>
    <row r="5698" spans="8:9" x14ac:dyDescent="0.25">
      <c r="H5698" s="116"/>
      <c r="I5698" s="116"/>
    </row>
    <row r="5699" spans="8:9" x14ac:dyDescent="0.25">
      <c r="H5699" s="116"/>
      <c r="I5699" s="116"/>
    </row>
    <row r="5700" spans="8:9" x14ac:dyDescent="0.25">
      <c r="H5700" s="116"/>
      <c r="I5700" s="116"/>
    </row>
    <row r="5701" spans="8:9" x14ac:dyDescent="0.25">
      <c r="H5701" s="116"/>
      <c r="I5701" s="116"/>
    </row>
    <row r="5702" spans="8:9" x14ac:dyDescent="0.25">
      <c r="H5702" s="116"/>
      <c r="I5702" s="116"/>
    </row>
    <row r="5703" spans="8:9" x14ac:dyDescent="0.25">
      <c r="H5703" s="116"/>
      <c r="I5703" s="116"/>
    </row>
    <row r="5704" spans="8:9" x14ac:dyDescent="0.25">
      <c r="H5704" s="116"/>
      <c r="I5704" s="116"/>
    </row>
    <row r="5705" spans="8:9" x14ac:dyDescent="0.25">
      <c r="H5705" s="116"/>
      <c r="I5705" s="116"/>
    </row>
    <row r="5706" spans="8:9" x14ac:dyDescent="0.25">
      <c r="H5706" s="116"/>
      <c r="I5706" s="116"/>
    </row>
    <row r="5707" spans="8:9" x14ac:dyDescent="0.25">
      <c r="H5707" s="116"/>
      <c r="I5707" s="116"/>
    </row>
    <row r="5708" spans="8:9" x14ac:dyDescent="0.25">
      <c r="H5708" s="116"/>
      <c r="I5708" s="116"/>
    </row>
    <row r="5709" spans="8:9" x14ac:dyDescent="0.25">
      <c r="H5709" s="116"/>
      <c r="I5709" s="116"/>
    </row>
    <row r="5710" spans="8:9" x14ac:dyDescent="0.25">
      <c r="H5710" s="116"/>
      <c r="I5710" s="116"/>
    </row>
    <row r="5711" spans="8:9" x14ac:dyDescent="0.25">
      <c r="H5711" s="116"/>
      <c r="I5711" s="116"/>
    </row>
    <row r="5712" spans="8:9" x14ac:dyDescent="0.25">
      <c r="H5712" s="116"/>
      <c r="I5712" s="116"/>
    </row>
    <row r="5713" spans="8:9" x14ac:dyDescent="0.25">
      <c r="H5713" s="116"/>
      <c r="I5713" s="116"/>
    </row>
    <row r="5714" spans="8:9" x14ac:dyDescent="0.25">
      <c r="H5714" s="116"/>
      <c r="I5714" s="116"/>
    </row>
    <row r="5715" spans="8:9" x14ac:dyDescent="0.25">
      <c r="H5715" s="116"/>
      <c r="I5715" s="116"/>
    </row>
    <row r="5716" spans="8:9" x14ac:dyDescent="0.25">
      <c r="H5716" s="116"/>
      <c r="I5716" s="116"/>
    </row>
    <row r="5717" spans="8:9" x14ac:dyDescent="0.25">
      <c r="H5717" s="116"/>
      <c r="I5717" s="116"/>
    </row>
    <row r="5718" spans="8:9" x14ac:dyDescent="0.25">
      <c r="H5718" s="116"/>
      <c r="I5718" s="116"/>
    </row>
    <row r="5719" spans="8:9" x14ac:dyDescent="0.25">
      <c r="H5719" s="116"/>
      <c r="I5719" s="116"/>
    </row>
    <row r="5720" spans="8:9" x14ac:dyDescent="0.25">
      <c r="H5720" s="116"/>
      <c r="I5720" s="116"/>
    </row>
    <row r="5721" spans="8:9" x14ac:dyDescent="0.25">
      <c r="H5721" s="116"/>
      <c r="I5721" s="116"/>
    </row>
    <row r="5722" spans="8:9" x14ac:dyDescent="0.25">
      <c r="H5722" s="116"/>
      <c r="I5722" s="116"/>
    </row>
    <row r="5723" spans="8:9" x14ac:dyDescent="0.25">
      <c r="H5723" s="116"/>
      <c r="I5723" s="116"/>
    </row>
    <row r="5724" spans="8:9" x14ac:dyDescent="0.25">
      <c r="H5724" s="116"/>
      <c r="I5724" s="116"/>
    </row>
    <row r="5725" spans="8:9" x14ac:dyDescent="0.25">
      <c r="H5725" s="116"/>
      <c r="I5725" s="116"/>
    </row>
    <row r="5726" spans="8:9" x14ac:dyDescent="0.25">
      <c r="H5726" s="116"/>
      <c r="I5726" s="116"/>
    </row>
    <row r="5727" spans="8:9" x14ac:dyDescent="0.25">
      <c r="H5727" s="116"/>
      <c r="I5727" s="116"/>
    </row>
    <row r="5728" spans="8:9" x14ac:dyDescent="0.25">
      <c r="H5728" s="116"/>
      <c r="I5728" s="116"/>
    </row>
    <row r="5729" spans="8:9" x14ac:dyDescent="0.25">
      <c r="H5729" s="116"/>
      <c r="I5729" s="116"/>
    </row>
    <row r="5730" spans="8:9" x14ac:dyDescent="0.25">
      <c r="H5730" s="116"/>
      <c r="I5730" s="116"/>
    </row>
    <row r="5731" spans="8:9" x14ac:dyDescent="0.25">
      <c r="H5731" s="116"/>
      <c r="I5731" s="116"/>
    </row>
    <row r="5732" spans="8:9" x14ac:dyDescent="0.25">
      <c r="H5732" s="116"/>
      <c r="I5732" s="116"/>
    </row>
    <row r="5733" spans="8:9" x14ac:dyDescent="0.25">
      <c r="H5733" s="116"/>
      <c r="I5733" s="116"/>
    </row>
    <row r="5734" spans="8:9" x14ac:dyDescent="0.25">
      <c r="H5734" s="116"/>
      <c r="I5734" s="116"/>
    </row>
    <row r="5735" spans="8:9" x14ac:dyDescent="0.25">
      <c r="H5735" s="116"/>
      <c r="I5735" s="116"/>
    </row>
    <row r="5736" spans="8:9" x14ac:dyDescent="0.25">
      <c r="H5736" s="116"/>
      <c r="I5736" s="116"/>
    </row>
    <row r="5737" spans="8:9" x14ac:dyDescent="0.25">
      <c r="H5737" s="116"/>
      <c r="I5737" s="116"/>
    </row>
    <row r="5738" spans="8:9" x14ac:dyDescent="0.25">
      <c r="H5738" s="116"/>
      <c r="I5738" s="116"/>
    </row>
    <row r="5739" spans="8:9" x14ac:dyDescent="0.25">
      <c r="H5739" s="116"/>
      <c r="I5739" s="116"/>
    </row>
    <row r="5740" spans="8:9" x14ac:dyDescent="0.25">
      <c r="H5740" s="116"/>
      <c r="I5740" s="116"/>
    </row>
    <row r="5741" spans="8:9" x14ac:dyDescent="0.25">
      <c r="H5741" s="116"/>
      <c r="I5741" s="116"/>
    </row>
    <row r="5742" spans="8:9" x14ac:dyDescent="0.25">
      <c r="H5742" s="116"/>
      <c r="I5742" s="116"/>
    </row>
    <row r="5743" spans="8:9" x14ac:dyDescent="0.25">
      <c r="H5743" s="116"/>
      <c r="I5743" s="116"/>
    </row>
    <row r="5744" spans="8:9" x14ac:dyDescent="0.25">
      <c r="H5744" s="116"/>
      <c r="I5744" s="116"/>
    </row>
    <row r="5745" spans="8:9" x14ac:dyDescent="0.25">
      <c r="H5745" s="116"/>
      <c r="I5745" s="116"/>
    </row>
    <row r="5746" spans="8:9" x14ac:dyDescent="0.25">
      <c r="H5746" s="116"/>
      <c r="I5746" s="116"/>
    </row>
    <row r="5747" spans="8:9" x14ac:dyDescent="0.25">
      <c r="H5747" s="116"/>
      <c r="I5747" s="116"/>
    </row>
    <row r="5748" spans="8:9" x14ac:dyDescent="0.25">
      <c r="H5748" s="116"/>
      <c r="I5748" s="116"/>
    </row>
    <row r="5749" spans="8:9" x14ac:dyDescent="0.25">
      <c r="H5749" s="116"/>
      <c r="I5749" s="116"/>
    </row>
    <row r="5750" spans="8:9" x14ac:dyDescent="0.25">
      <c r="H5750" s="116"/>
      <c r="I5750" s="116"/>
    </row>
    <row r="5751" spans="8:9" x14ac:dyDescent="0.25">
      <c r="H5751" s="116"/>
      <c r="I5751" s="116"/>
    </row>
    <row r="5752" spans="8:9" x14ac:dyDescent="0.25">
      <c r="H5752" s="116"/>
      <c r="I5752" s="116"/>
    </row>
    <row r="5753" spans="8:9" x14ac:dyDescent="0.25">
      <c r="H5753" s="116"/>
      <c r="I5753" s="116"/>
    </row>
    <row r="5754" spans="8:9" x14ac:dyDescent="0.25">
      <c r="H5754" s="116"/>
      <c r="I5754" s="116"/>
    </row>
    <row r="5755" spans="8:9" x14ac:dyDescent="0.25">
      <c r="H5755" s="116"/>
      <c r="I5755" s="116"/>
    </row>
    <row r="5756" spans="8:9" x14ac:dyDescent="0.25">
      <c r="H5756" s="116"/>
      <c r="I5756" s="116"/>
    </row>
    <row r="5757" spans="8:9" x14ac:dyDescent="0.25">
      <c r="H5757" s="116"/>
      <c r="I5757" s="116"/>
    </row>
    <row r="5758" spans="8:9" x14ac:dyDescent="0.25">
      <c r="H5758" s="116"/>
      <c r="I5758" s="116"/>
    </row>
    <row r="5759" spans="8:9" x14ac:dyDescent="0.25">
      <c r="H5759" s="116"/>
      <c r="I5759" s="116"/>
    </row>
    <row r="5760" spans="8:9" x14ac:dyDescent="0.25">
      <c r="H5760" s="116"/>
      <c r="I5760" s="116"/>
    </row>
    <row r="5761" spans="8:9" x14ac:dyDescent="0.25">
      <c r="H5761" s="116"/>
      <c r="I5761" s="116"/>
    </row>
    <row r="5762" spans="8:9" x14ac:dyDescent="0.25">
      <c r="H5762" s="116"/>
      <c r="I5762" s="116"/>
    </row>
    <row r="5763" spans="8:9" x14ac:dyDescent="0.25">
      <c r="H5763" s="116"/>
      <c r="I5763" s="116"/>
    </row>
    <row r="5764" spans="8:9" x14ac:dyDescent="0.25">
      <c r="H5764" s="116"/>
      <c r="I5764" s="116"/>
    </row>
    <row r="5765" spans="8:9" x14ac:dyDescent="0.25">
      <c r="H5765" s="116"/>
      <c r="I5765" s="116"/>
    </row>
    <row r="5766" spans="8:9" x14ac:dyDescent="0.25">
      <c r="H5766" s="116"/>
      <c r="I5766" s="116"/>
    </row>
    <row r="5767" spans="8:9" x14ac:dyDescent="0.25">
      <c r="H5767" s="116"/>
      <c r="I5767" s="116"/>
    </row>
    <row r="5768" spans="8:9" x14ac:dyDescent="0.25">
      <c r="H5768" s="116"/>
      <c r="I5768" s="116"/>
    </row>
    <row r="5769" spans="8:9" x14ac:dyDescent="0.25">
      <c r="H5769" s="116"/>
      <c r="I5769" s="116"/>
    </row>
    <row r="5770" spans="8:9" x14ac:dyDescent="0.25">
      <c r="H5770" s="116"/>
      <c r="I5770" s="116"/>
    </row>
    <row r="5771" spans="8:9" x14ac:dyDescent="0.25">
      <c r="H5771" s="116"/>
      <c r="I5771" s="116"/>
    </row>
    <row r="5772" spans="8:9" x14ac:dyDescent="0.25">
      <c r="H5772" s="116"/>
      <c r="I5772" s="116"/>
    </row>
    <row r="5773" spans="8:9" x14ac:dyDescent="0.25">
      <c r="H5773" s="116"/>
      <c r="I5773" s="116"/>
    </row>
    <row r="5774" spans="8:9" x14ac:dyDescent="0.25">
      <c r="H5774" s="116"/>
      <c r="I5774" s="116"/>
    </row>
    <row r="5775" spans="8:9" x14ac:dyDescent="0.25">
      <c r="H5775" s="116"/>
      <c r="I5775" s="116"/>
    </row>
    <row r="5776" spans="8:9" x14ac:dyDescent="0.25">
      <c r="H5776" s="116"/>
      <c r="I5776" s="116"/>
    </row>
    <row r="5777" spans="8:9" x14ac:dyDescent="0.25">
      <c r="H5777" s="116"/>
      <c r="I5777" s="116"/>
    </row>
    <row r="5778" spans="8:9" x14ac:dyDescent="0.25">
      <c r="H5778" s="116"/>
      <c r="I5778" s="116"/>
    </row>
    <row r="5779" spans="8:9" x14ac:dyDescent="0.25">
      <c r="H5779" s="116"/>
      <c r="I5779" s="116"/>
    </row>
    <row r="5780" spans="8:9" x14ac:dyDescent="0.25">
      <c r="H5780" s="116"/>
      <c r="I5780" s="116"/>
    </row>
    <row r="5781" spans="8:9" x14ac:dyDescent="0.25">
      <c r="H5781" s="116"/>
      <c r="I5781" s="116"/>
    </row>
    <row r="5782" spans="8:9" x14ac:dyDescent="0.25">
      <c r="H5782" s="116"/>
      <c r="I5782" s="116"/>
    </row>
    <row r="5783" spans="8:9" x14ac:dyDescent="0.25">
      <c r="H5783" s="116"/>
      <c r="I5783" s="116"/>
    </row>
    <row r="5784" spans="8:9" x14ac:dyDescent="0.25">
      <c r="H5784" s="116"/>
      <c r="I5784" s="116"/>
    </row>
    <row r="5785" spans="8:9" x14ac:dyDescent="0.25">
      <c r="H5785" s="116"/>
      <c r="I5785" s="116"/>
    </row>
    <row r="5786" spans="8:9" x14ac:dyDescent="0.25">
      <c r="H5786" s="116"/>
      <c r="I5786" s="116"/>
    </row>
    <row r="5787" spans="8:9" x14ac:dyDescent="0.25">
      <c r="H5787" s="116"/>
      <c r="I5787" s="116"/>
    </row>
    <row r="5788" spans="8:9" x14ac:dyDescent="0.25">
      <c r="H5788" s="116"/>
      <c r="I5788" s="116"/>
    </row>
    <row r="5789" spans="8:9" x14ac:dyDescent="0.25">
      <c r="H5789" s="116"/>
      <c r="I5789" s="116"/>
    </row>
    <row r="5790" spans="8:9" x14ac:dyDescent="0.25">
      <c r="H5790" s="116"/>
      <c r="I5790" s="116"/>
    </row>
    <row r="5791" spans="8:9" x14ac:dyDescent="0.25">
      <c r="H5791" s="116"/>
      <c r="I5791" s="116"/>
    </row>
    <row r="5792" spans="8:9" x14ac:dyDescent="0.25">
      <c r="H5792" s="116"/>
      <c r="I5792" s="116"/>
    </row>
    <row r="5793" spans="8:9" x14ac:dyDescent="0.25">
      <c r="H5793" s="116"/>
      <c r="I5793" s="116"/>
    </row>
    <row r="5794" spans="8:9" x14ac:dyDescent="0.25">
      <c r="H5794" s="116"/>
      <c r="I5794" s="116"/>
    </row>
    <row r="5795" spans="8:9" x14ac:dyDescent="0.25">
      <c r="H5795" s="116"/>
      <c r="I5795" s="116"/>
    </row>
    <row r="5796" spans="8:9" x14ac:dyDescent="0.25">
      <c r="H5796" s="116"/>
      <c r="I5796" s="116"/>
    </row>
    <row r="5797" spans="8:9" x14ac:dyDescent="0.25">
      <c r="H5797" s="116"/>
      <c r="I5797" s="116"/>
    </row>
    <row r="5798" spans="8:9" x14ac:dyDescent="0.25">
      <c r="H5798" s="116"/>
      <c r="I5798" s="116"/>
    </row>
    <row r="5799" spans="8:9" x14ac:dyDescent="0.25">
      <c r="H5799" s="116"/>
      <c r="I5799" s="116"/>
    </row>
    <row r="5800" spans="8:9" x14ac:dyDescent="0.25">
      <c r="H5800" s="116"/>
      <c r="I5800" s="116"/>
    </row>
    <row r="5801" spans="8:9" x14ac:dyDescent="0.25">
      <c r="H5801" s="116"/>
      <c r="I5801" s="116"/>
    </row>
    <row r="5802" spans="8:9" x14ac:dyDescent="0.25">
      <c r="H5802" s="116"/>
      <c r="I5802" s="116"/>
    </row>
    <row r="5803" spans="8:9" x14ac:dyDescent="0.25">
      <c r="H5803" s="116"/>
      <c r="I5803" s="116"/>
    </row>
    <row r="5804" spans="8:9" x14ac:dyDescent="0.25">
      <c r="H5804" s="116"/>
      <c r="I5804" s="116"/>
    </row>
    <row r="5805" spans="8:9" x14ac:dyDescent="0.25">
      <c r="H5805" s="116"/>
      <c r="I5805" s="116"/>
    </row>
    <row r="5806" spans="8:9" x14ac:dyDescent="0.25">
      <c r="H5806" s="116"/>
      <c r="I5806" s="116"/>
    </row>
    <row r="5807" spans="8:9" x14ac:dyDescent="0.25">
      <c r="H5807" s="116"/>
      <c r="I5807" s="116"/>
    </row>
    <row r="5808" spans="8:9" x14ac:dyDescent="0.25">
      <c r="H5808" s="116"/>
      <c r="I5808" s="116"/>
    </row>
    <row r="5809" spans="8:9" x14ac:dyDescent="0.25">
      <c r="H5809" s="116"/>
      <c r="I5809" s="116"/>
    </row>
    <row r="5810" spans="8:9" x14ac:dyDescent="0.25">
      <c r="H5810" s="116"/>
      <c r="I5810" s="116"/>
    </row>
    <row r="5811" spans="8:9" x14ac:dyDescent="0.25">
      <c r="H5811" s="116"/>
      <c r="I5811" s="116"/>
    </row>
    <row r="5812" spans="8:9" x14ac:dyDescent="0.25">
      <c r="H5812" s="116"/>
      <c r="I5812" s="116"/>
    </row>
    <row r="5813" spans="8:9" x14ac:dyDescent="0.25">
      <c r="H5813" s="116"/>
      <c r="I5813" s="116"/>
    </row>
    <row r="5814" spans="8:9" x14ac:dyDescent="0.25">
      <c r="H5814" s="116"/>
      <c r="I5814" s="116"/>
    </row>
    <row r="5815" spans="8:9" x14ac:dyDescent="0.25">
      <c r="H5815" s="116"/>
      <c r="I5815" s="116"/>
    </row>
    <row r="5816" spans="8:9" x14ac:dyDescent="0.25">
      <c r="H5816" s="116"/>
      <c r="I5816" s="116"/>
    </row>
    <row r="5817" spans="8:9" x14ac:dyDescent="0.25">
      <c r="H5817" s="116"/>
      <c r="I5817" s="116"/>
    </row>
    <row r="5818" spans="8:9" x14ac:dyDescent="0.25">
      <c r="H5818" s="116"/>
      <c r="I5818" s="116"/>
    </row>
    <row r="5819" spans="8:9" x14ac:dyDescent="0.25">
      <c r="H5819" s="116"/>
      <c r="I5819" s="116"/>
    </row>
    <row r="5820" spans="8:9" x14ac:dyDescent="0.25">
      <c r="H5820" s="116"/>
      <c r="I5820" s="116"/>
    </row>
    <row r="5821" spans="8:9" x14ac:dyDescent="0.25">
      <c r="H5821" s="116"/>
      <c r="I5821" s="116"/>
    </row>
    <row r="5822" spans="8:9" x14ac:dyDescent="0.25">
      <c r="H5822" s="116"/>
      <c r="I5822" s="116"/>
    </row>
    <row r="5823" spans="8:9" x14ac:dyDescent="0.25">
      <c r="H5823" s="116"/>
      <c r="I5823" s="116"/>
    </row>
    <row r="5824" spans="8:9" x14ac:dyDescent="0.25">
      <c r="H5824" s="116"/>
      <c r="I5824" s="116"/>
    </row>
    <row r="5825" spans="8:9" x14ac:dyDescent="0.25">
      <c r="H5825" s="116"/>
      <c r="I5825" s="116"/>
    </row>
    <row r="5826" spans="8:9" x14ac:dyDescent="0.25">
      <c r="H5826" s="116"/>
      <c r="I5826" s="116"/>
    </row>
    <row r="5827" spans="8:9" x14ac:dyDescent="0.25">
      <c r="H5827" s="116"/>
      <c r="I5827" s="116"/>
    </row>
    <row r="5828" spans="8:9" x14ac:dyDescent="0.25">
      <c r="H5828" s="116"/>
      <c r="I5828" s="116"/>
    </row>
    <row r="5829" spans="8:9" x14ac:dyDescent="0.25">
      <c r="H5829" s="116"/>
      <c r="I5829" s="116"/>
    </row>
    <row r="5830" spans="8:9" x14ac:dyDescent="0.25">
      <c r="H5830" s="116"/>
      <c r="I5830" s="116"/>
    </row>
    <row r="5831" spans="8:9" x14ac:dyDescent="0.25">
      <c r="H5831" s="116"/>
      <c r="I5831" s="116"/>
    </row>
    <row r="5832" spans="8:9" x14ac:dyDescent="0.25">
      <c r="H5832" s="116"/>
      <c r="I5832" s="116"/>
    </row>
    <row r="5833" spans="8:9" x14ac:dyDescent="0.25">
      <c r="H5833" s="116"/>
      <c r="I5833" s="116"/>
    </row>
    <row r="5834" spans="8:9" x14ac:dyDescent="0.25">
      <c r="H5834" s="116"/>
      <c r="I5834" s="116"/>
    </row>
    <row r="5835" spans="8:9" x14ac:dyDescent="0.25">
      <c r="H5835" s="116"/>
      <c r="I5835" s="116"/>
    </row>
    <row r="5836" spans="8:9" x14ac:dyDescent="0.25">
      <c r="H5836" s="116"/>
      <c r="I5836" s="116"/>
    </row>
    <row r="5837" spans="8:9" x14ac:dyDescent="0.25">
      <c r="H5837" s="116"/>
      <c r="I5837" s="116"/>
    </row>
    <row r="5838" spans="8:9" x14ac:dyDescent="0.25">
      <c r="H5838" s="116"/>
      <c r="I5838" s="116"/>
    </row>
    <row r="5839" spans="8:9" x14ac:dyDescent="0.25">
      <c r="H5839" s="116"/>
      <c r="I5839" s="116"/>
    </row>
    <row r="5840" spans="8:9" x14ac:dyDescent="0.25">
      <c r="H5840" s="116"/>
      <c r="I5840" s="116"/>
    </row>
    <row r="5841" spans="8:9" x14ac:dyDescent="0.25">
      <c r="H5841" s="116"/>
      <c r="I5841" s="116"/>
    </row>
    <row r="5842" spans="8:9" x14ac:dyDescent="0.25">
      <c r="H5842" s="116"/>
      <c r="I5842" s="116"/>
    </row>
    <row r="5843" spans="8:9" x14ac:dyDescent="0.25">
      <c r="H5843" s="116"/>
      <c r="I5843" s="116"/>
    </row>
    <row r="5844" spans="8:9" x14ac:dyDescent="0.25">
      <c r="H5844" s="116"/>
      <c r="I5844" s="116"/>
    </row>
    <row r="5845" spans="8:9" x14ac:dyDescent="0.25">
      <c r="H5845" s="116"/>
      <c r="I5845" s="116"/>
    </row>
    <row r="5846" spans="8:9" x14ac:dyDescent="0.25">
      <c r="H5846" s="116"/>
      <c r="I5846" s="116"/>
    </row>
    <row r="5847" spans="8:9" x14ac:dyDescent="0.25">
      <c r="H5847" s="116"/>
      <c r="I5847" s="116"/>
    </row>
    <row r="5848" spans="8:9" x14ac:dyDescent="0.25">
      <c r="H5848" s="116"/>
      <c r="I5848" s="116"/>
    </row>
    <row r="5849" spans="8:9" x14ac:dyDescent="0.25">
      <c r="H5849" s="116"/>
      <c r="I5849" s="116"/>
    </row>
    <row r="5850" spans="8:9" x14ac:dyDescent="0.25">
      <c r="H5850" s="116"/>
      <c r="I5850" s="116"/>
    </row>
    <row r="5851" spans="8:9" x14ac:dyDescent="0.25">
      <c r="H5851" s="116"/>
      <c r="I5851" s="116"/>
    </row>
    <row r="5852" spans="8:9" x14ac:dyDescent="0.25">
      <c r="H5852" s="116"/>
      <c r="I5852" s="116"/>
    </row>
    <row r="5853" spans="8:9" x14ac:dyDescent="0.25">
      <c r="H5853" s="116"/>
      <c r="I5853" s="116"/>
    </row>
    <row r="5854" spans="8:9" x14ac:dyDescent="0.25">
      <c r="H5854" s="116"/>
      <c r="I5854" s="116"/>
    </row>
    <row r="5855" spans="8:9" x14ac:dyDescent="0.25">
      <c r="H5855" s="116"/>
      <c r="I5855" s="116"/>
    </row>
    <row r="5856" spans="8:9" x14ac:dyDescent="0.25">
      <c r="H5856" s="116"/>
      <c r="I5856" s="116"/>
    </row>
    <row r="5857" spans="8:9" x14ac:dyDescent="0.25">
      <c r="H5857" s="116"/>
      <c r="I5857" s="116"/>
    </row>
    <row r="5858" spans="8:9" x14ac:dyDescent="0.25">
      <c r="H5858" s="116"/>
      <c r="I5858" s="116"/>
    </row>
    <row r="5859" spans="8:9" x14ac:dyDescent="0.25">
      <c r="H5859" s="116"/>
      <c r="I5859" s="116"/>
    </row>
    <row r="5860" spans="8:9" x14ac:dyDescent="0.25">
      <c r="H5860" s="116"/>
      <c r="I5860" s="116"/>
    </row>
    <row r="5861" spans="8:9" x14ac:dyDescent="0.25">
      <c r="H5861" s="116"/>
      <c r="I5861" s="116"/>
    </row>
    <row r="5862" spans="8:9" x14ac:dyDescent="0.25">
      <c r="H5862" s="116"/>
      <c r="I5862" s="116"/>
    </row>
    <row r="5863" spans="8:9" x14ac:dyDescent="0.25">
      <c r="H5863" s="116"/>
      <c r="I5863" s="116"/>
    </row>
    <row r="5864" spans="8:9" x14ac:dyDescent="0.25">
      <c r="H5864" s="116"/>
      <c r="I5864" s="116"/>
    </row>
    <row r="5865" spans="8:9" x14ac:dyDescent="0.25">
      <c r="H5865" s="116"/>
      <c r="I5865" s="116"/>
    </row>
    <row r="5866" spans="8:9" x14ac:dyDescent="0.25">
      <c r="H5866" s="116"/>
      <c r="I5866" s="116"/>
    </row>
    <row r="5867" spans="8:9" x14ac:dyDescent="0.25">
      <c r="H5867" s="116"/>
      <c r="I5867" s="116"/>
    </row>
    <row r="5868" spans="8:9" x14ac:dyDescent="0.25">
      <c r="H5868" s="116"/>
      <c r="I5868" s="116"/>
    </row>
    <row r="5869" spans="8:9" x14ac:dyDescent="0.25">
      <c r="H5869" s="116"/>
      <c r="I5869" s="116"/>
    </row>
    <row r="5870" spans="8:9" x14ac:dyDescent="0.25">
      <c r="H5870" s="116"/>
      <c r="I5870" s="116"/>
    </row>
    <row r="5871" spans="8:9" x14ac:dyDescent="0.25">
      <c r="H5871" s="116"/>
      <c r="I5871" s="116"/>
    </row>
    <row r="5872" spans="8:9" x14ac:dyDescent="0.25">
      <c r="H5872" s="116"/>
      <c r="I5872" s="116"/>
    </row>
    <row r="5873" spans="8:9" x14ac:dyDescent="0.25">
      <c r="H5873" s="116"/>
      <c r="I5873" s="116"/>
    </row>
    <row r="5874" spans="8:9" x14ac:dyDescent="0.25">
      <c r="H5874" s="116"/>
      <c r="I5874" s="116"/>
    </row>
    <row r="5875" spans="8:9" x14ac:dyDescent="0.25">
      <c r="H5875" s="116"/>
      <c r="I5875" s="116"/>
    </row>
    <row r="5876" spans="8:9" x14ac:dyDescent="0.25">
      <c r="H5876" s="116"/>
      <c r="I5876" s="116"/>
    </row>
    <row r="5877" spans="8:9" x14ac:dyDescent="0.25">
      <c r="H5877" s="116"/>
      <c r="I5877" s="116"/>
    </row>
    <row r="5878" spans="8:9" x14ac:dyDescent="0.25">
      <c r="H5878" s="116"/>
      <c r="I5878" s="116"/>
    </row>
    <row r="5879" spans="8:9" x14ac:dyDescent="0.25">
      <c r="H5879" s="116"/>
      <c r="I5879" s="116"/>
    </row>
    <row r="5880" spans="8:9" x14ac:dyDescent="0.25">
      <c r="H5880" s="116"/>
      <c r="I5880" s="116"/>
    </row>
    <row r="5881" spans="8:9" x14ac:dyDescent="0.25">
      <c r="H5881" s="116"/>
      <c r="I5881" s="116"/>
    </row>
    <row r="5882" spans="8:9" x14ac:dyDescent="0.25">
      <c r="H5882" s="116"/>
      <c r="I5882" s="116"/>
    </row>
    <row r="5883" spans="8:9" x14ac:dyDescent="0.25">
      <c r="H5883" s="116"/>
      <c r="I5883" s="116"/>
    </row>
    <row r="5884" spans="8:9" x14ac:dyDescent="0.25">
      <c r="H5884" s="116"/>
      <c r="I5884" s="116"/>
    </row>
    <row r="5885" spans="8:9" x14ac:dyDescent="0.25">
      <c r="H5885" s="116"/>
      <c r="I5885" s="116"/>
    </row>
    <row r="5886" spans="8:9" x14ac:dyDescent="0.25">
      <c r="H5886" s="116"/>
      <c r="I5886" s="116"/>
    </row>
    <row r="5887" spans="8:9" x14ac:dyDescent="0.25">
      <c r="H5887" s="116"/>
      <c r="I5887" s="116"/>
    </row>
    <row r="5888" spans="8:9" x14ac:dyDescent="0.25">
      <c r="H5888" s="116"/>
      <c r="I5888" s="116"/>
    </row>
    <row r="5889" spans="8:9" x14ac:dyDescent="0.25">
      <c r="H5889" s="116"/>
      <c r="I5889" s="116"/>
    </row>
    <row r="5890" spans="8:9" x14ac:dyDescent="0.25">
      <c r="H5890" s="116"/>
      <c r="I5890" s="116"/>
    </row>
    <row r="5891" spans="8:9" x14ac:dyDescent="0.25">
      <c r="H5891" s="116"/>
      <c r="I5891" s="116"/>
    </row>
    <row r="5892" spans="8:9" x14ac:dyDescent="0.25">
      <c r="H5892" s="116"/>
      <c r="I5892" s="116"/>
    </row>
    <row r="5893" spans="8:9" x14ac:dyDescent="0.25">
      <c r="H5893" s="116"/>
      <c r="I5893" s="116"/>
    </row>
    <row r="5894" spans="8:9" x14ac:dyDescent="0.25">
      <c r="H5894" s="116"/>
      <c r="I5894" s="116"/>
    </row>
    <row r="5895" spans="8:9" x14ac:dyDescent="0.25">
      <c r="H5895" s="116"/>
      <c r="I5895" s="116"/>
    </row>
    <row r="5896" spans="8:9" x14ac:dyDescent="0.25">
      <c r="H5896" s="116"/>
      <c r="I5896" s="116"/>
    </row>
    <row r="5897" spans="8:9" x14ac:dyDescent="0.25">
      <c r="H5897" s="116"/>
      <c r="I5897" s="116"/>
    </row>
    <row r="5898" spans="8:9" x14ac:dyDescent="0.25">
      <c r="H5898" s="116"/>
      <c r="I5898" s="116"/>
    </row>
    <row r="5899" spans="8:9" x14ac:dyDescent="0.25">
      <c r="H5899" s="116"/>
      <c r="I5899" s="116"/>
    </row>
    <row r="5900" spans="8:9" x14ac:dyDescent="0.25">
      <c r="H5900" s="116"/>
      <c r="I5900" s="116"/>
    </row>
    <row r="5901" spans="8:9" x14ac:dyDescent="0.25">
      <c r="H5901" s="116"/>
      <c r="I5901" s="116"/>
    </row>
    <row r="5902" spans="8:9" x14ac:dyDescent="0.25">
      <c r="H5902" s="116"/>
      <c r="I5902" s="116"/>
    </row>
    <row r="5903" spans="8:9" x14ac:dyDescent="0.25">
      <c r="H5903" s="116"/>
      <c r="I5903" s="116"/>
    </row>
    <row r="5904" spans="8:9" x14ac:dyDescent="0.25">
      <c r="H5904" s="116"/>
      <c r="I5904" s="116"/>
    </row>
    <row r="5905" spans="8:9" x14ac:dyDescent="0.25">
      <c r="H5905" s="116"/>
      <c r="I5905" s="116"/>
    </row>
    <row r="5906" spans="8:9" x14ac:dyDescent="0.25">
      <c r="H5906" s="116"/>
      <c r="I5906" s="116"/>
    </row>
    <row r="5907" spans="8:9" x14ac:dyDescent="0.25">
      <c r="H5907" s="116"/>
      <c r="I5907" s="116"/>
    </row>
    <row r="5908" spans="8:9" x14ac:dyDescent="0.25">
      <c r="H5908" s="116"/>
      <c r="I5908" s="116"/>
    </row>
    <row r="5909" spans="8:9" x14ac:dyDescent="0.25">
      <c r="H5909" s="116"/>
      <c r="I5909" s="116"/>
    </row>
    <row r="5910" spans="8:9" x14ac:dyDescent="0.25">
      <c r="H5910" s="116"/>
      <c r="I5910" s="116"/>
    </row>
    <row r="5911" spans="8:9" x14ac:dyDescent="0.25">
      <c r="H5911" s="116"/>
      <c r="I5911" s="116"/>
    </row>
    <row r="5912" spans="8:9" x14ac:dyDescent="0.25">
      <c r="H5912" s="116"/>
      <c r="I5912" s="116"/>
    </row>
    <row r="5913" spans="8:9" x14ac:dyDescent="0.25">
      <c r="H5913" s="116"/>
      <c r="I5913" s="116"/>
    </row>
    <row r="5914" spans="8:9" x14ac:dyDescent="0.25">
      <c r="H5914" s="116"/>
      <c r="I5914" s="116"/>
    </row>
    <row r="5915" spans="8:9" x14ac:dyDescent="0.25">
      <c r="H5915" s="116"/>
      <c r="I5915" s="116"/>
    </row>
    <row r="5916" spans="8:9" x14ac:dyDescent="0.25">
      <c r="H5916" s="116"/>
      <c r="I5916" s="116"/>
    </row>
    <row r="5917" spans="8:9" x14ac:dyDescent="0.25">
      <c r="H5917" s="116"/>
      <c r="I5917" s="116"/>
    </row>
    <row r="5918" spans="8:9" x14ac:dyDescent="0.25">
      <c r="H5918" s="116"/>
      <c r="I5918" s="116"/>
    </row>
    <row r="5919" spans="8:9" x14ac:dyDescent="0.25">
      <c r="H5919" s="116"/>
      <c r="I5919" s="116"/>
    </row>
    <row r="5920" spans="8:9" x14ac:dyDescent="0.25">
      <c r="H5920" s="116"/>
      <c r="I5920" s="116"/>
    </row>
    <row r="5921" spans="8:9" x14ac:dyDescent="0.25">
      <c r="H5921" s="116"/>
      <c r="I5921" s="116"/>
    </row>
    <row r="5922" spans="8:9" x14ac:dyDescent="0.25">
      <c r="H5922" s="116"/>
      <c r="I5922" s="116"/>
    </row>
    <row r="5923" spans="8:9" x14ac:dyDescent="0.25">
      <c r="H5923" s="116"/>
      <c r="I5923" s="116"/>
    </row>
    <row r="5924" spans="8:9" x14ac:dyDescent="0.25">
      <c r="H5924" s="116"/>
      <c r="I5924" s="116"/>
    </row>
    <row r="5925" spans="8:9" x14ac:dyDescent="0.25">
      <c r="H5925" s="116"/>
      <c r="I5925" s="116"/>
    </row>
    <row r="5926" spans="8:9" x14ac:dyDescent="0.25">
      <c r="H5926" s="116"/>
      <c r="I5926" s="116"/>
    </row>
    <row r="5927" spans="8:9" x14ac:dyDescent="0.25">
      <c r="H5927" s="116"/>
      <c r="I5927" s="116"/>
    </row>
    <row r="5928" spans="8:9" x14ac:dyDescent="0.25">
      <c r="H5928" s="116"/>
      <c r="I5928" s="116"/>
    </row>
    <row r="5929" spans="8:9" x14ac:dyDescent="0.25">
      <c r="H5929" s="116"/>
      <c r="I5929" s="116"/>
    </row>
    <row r="5930" spans="8:9" x14ac:dyDescent="0.25">
      <c r="H5930" s="116"/>
      <c r="I5930" s="116"/>
    </row>
    <row r="5931" spans="8:9" x14ac:dyDescent="0.25">
      <c r="H5931" s="116"/>
      <c r="I5931" s="116"/>
    </row>
    <row r="5932" spans="8:9" x14ac:dyDescent="0.25">
      <c r="H5932" s="116"/>
      <c r="I5932" s="116"/>
    </row>
    <row r="5933" spans="8:9" x14ac:dyDescent="0.25">
      <c r="H5933" s="116"/>
      <c r="I5933" s="116"/>
    </row>
    <row r="5934" spans="8:9" x14ac:dyDescent="0.25">
      <c r="H5934" s="116"/>
      <c r="I5934" s="116"/>
    </row>
    <row r="5935" spans="8:9" x14ac:dyDescent="0.25">
      <c r="H5935" s="116"/>
      <c r="I5935" s="116"/>
    </row>
    <row r="5936" spans="8:9" x14ac:dyDescent="0.25">
      <c r="H5936" s="116"/>
      <c r="I5936" s="116"/>
    </row>
    <row r="5937" spans="8:9" x14ac:dyDescent="0.25">
      <c r="H5937" s="116"/>
      <c r="I5937" s="116"/>
    </row>
    <row r="5938" spans="8:9" x14ac:dyDescent="0.25">
      <c r="H5938" s="116"/>
      <c r="I5938" s="116"/>
    </row>
    <row r="5939" spans="8:9" x14ac:dyDescent="0.25">
      <c r="H5939" s="116"/>
      <c r="I5939" s="116"/>
    </row>
    <row r="5940" spans="8:9" x14ac:dyDescent="0.25">
      <c r="H5940" s="116"/>
      <c r="I5940" s="116"/>
    </row>
    <row r="5941" spans="8:9" x14ac:dyDescent="0.25">
      <c r="H5941" s="116"/>
      <c r="I5941" s="116"/>
    </row>
    <row r="5942" spans="8:9" x14ac:dyDescent="0.25">
      <c r="H5942" s="116"/>
      <c r="I5942" s="116"/>
    </row>
    <row r="5943" spans="8:9" x14ac:dyDescent="0.25">
      <c r="H5943" s="116"/>
      <c r="I5943" s="116"/>
    </row>
    <row r="5944" spans="8:9" x14ac:dyDescent="0.25">
      <c r="H5944" s="116"/>
      <c r="I5944" s="116"/>
    </row>
    <row r="5945" spans="8:9" x14ac:dyDescent="0.25">
      <c r="H5945" s="116"/>
      <c r="I5945" s="116"/>
    </row>
    <row r="5946" spans="8:9" x14ac:dyDescent="0.25">
      <c r="H5946" s="116"/>
      <c r="I5946" s="116"/>
    </row>
    <row r="5947" spans="8:9" x14ac:dyDescent="0.25">
      <c r="H5947" s="116"/>
      <c r="I5947" s="116"/>
    </row>
    <row r="5948" spans="8:9" x14ac:dyDescent="0.25">
      <c r="H5948" s="116"/>
      <c r="I5948" s="116"/>
    </row>
    <row r="5949" spans="8:9" x14ac:dyDescent="0.25">
      <c r="H5949" s="116"/>
      <c r="I5949" s="116"/>
    </row>
    <row r="5950" spans="8:9" x14ac:dyDescent="0.25">
      <c r="H5950" s="116"/>
      <c r="I5950" s="116"/>
    </row>
    <row r="5951" spans="8:9" x14ac:dyDescent="0.25">
      <c r="H5951" s="116"/>
      <c r="I5951" s="116"/>
    </row>
    <row r="5952" spans="8:9" x14ac:dyDescent="0.25">
      <c r="H5952" s="116"/>
      <c r="I5952" s="116"/>
    </row>
    <row r="5953" spans="8:9" x14ac:dyDescent="0.25">
      <c r="H5953" s="116"/>
      <c r="I5953" s="116"/>
    </row>
    <row r="5954" spans="8:9" x14ac:dyDescent="0.25">
      <c r="H5954" s="116"/>
      <c r="I5954" s="116"/>
    </row>
    <row r="5955" spans="8:9" x14ac:dyDescent="0.25">
      <c r="H5955" s="116"/>
      <c r="I5955" s="116"/>
    </row>
    <row r="5956" spans="8:9" x14ac:dyDescent="0.25">
      <c r="H5956" s="116"/>
      <c r="I5956" s="116"/>
    </row>
    <row r="5957" spans="8:9" x14ac:dyDescent="0.25">
      <c r="H5957" s="116"/>
      <c r="I5957" s="116"/>
    </row>
    <row r="5958" spans="8:9" x14ac:dyDescent="0.25">
      <c r="H5958" s="116"/>
      <c r="I5958" s="116"/>
    </row>
    <row r="5959" spans="8:9" x14ac:dyDescent="0.25">
      <c r="H5959" s="116"/>
      <c r="I5959" s="116"/>
    </row>
    <row r="5960" spans="8:9" x14ac:dyDescent="0.25">
      <c r="H5960" s="116"/>
      <c r="I5960" s="116"/>
    </row>
    <row r="5961" spans="8:9" x14ac:dyDescent="0.25">
      <c r="H5961" s="116"/>
      <c r="I5961" s="116"/>
    </row>
    <row r="5962" spans="8:9" x14ac:dyDescent="0.25">
      <c r="H5962" s="116"/>
      <c r="I5962" s="116"/>
    </row>
    <row r="5963" spans="8:9" x14ac:dyDescent="0.25">
      <c r="H5963" s="116"/>
      <c r="I5963" s="116"/>
    </row>
    <row r="5964" spans="8:9" x14ac:dyDescent="0.25">
      <c r="H5964" s="116"/>
      <c r="I5964" s="116"/>
    </row>
    <row r="5965" spans="8:9" x14ac:dyDescent="0.25">
      <c r="H5965" s="116"/>
      <c r="I5965" s="116"/>
    </row>
    <row r="5966" spans="8:9" x14ac:dyDescent="0.25">
      <c r="H5966" s="116"/>
      <c r="I5966" s="116"/>
    </row>
    <row r="5967" spans="8:9" x14ac:dyDescent="0.25">
      <c r="H5967" s="116"/>
      <c r="I5967" s="116"/>
    </row>
    <row r="5968" spans="8:9" x14ac:dyDescent="0.25">
      <c r="H5968" s="116"/>
      <c r="I5968" s="116"/>
    </row>
    <row r="5969" spans="8:9" x14ac:dyDescent="0.25">
      <c r="H5969" s="116"/>
      <c r="I5969" s="116"/>
    </row>
    <row r="5970" spans="8:9" x14ac:dyDescent="0.25">
      <c r="H5970" s="116"/>
      <c r="I5970" s="116"/>
    </row>
    <row r="5971" spans="8:9" x14ac:dyDescent="0.25">
      <c r="H5971" s="116"/>
      <c r="I5971" s="116"/>
    </row>
    <row r="5972" spans="8:9" x14ac:dyDescent="0.25">
      <c r="H5972" s="116"/>
      <c r="I5972" s="116"/>
    </row>
    <row r="5973" spans="8:9" x14ac:dyDescent="0.25">
      <c r="H5973" s="116"/>
      <c r="I5973" s="116"/>
    </row>
    <row r="5974" spans="8:9" x14ac:dyDescent="0.25">
      <c r="H5974" s="116"/>
      <c r="I5974" s="116"/>
    </row>
    <row r="5975" spans="8:9" x14ac:dyDescent="0.25">
      <c r="H5975" s="116"/>
      <c r="I5975" s="116"/>
    </row>
    <row r="5976" spans="8:9" x14ac:dyDescent="0.25">
      <c r="H5976" s="116"/>
      <c r="I5976" s="116"/>
    </row>
    <row r="5977" spans="8:9" x14ac:dyDescent="0.25">
      <c r="H5977" s="116"/>
      <c r="I5977" s="116"/>
    </row>
    <row r="5978" spans="8:9" x14ac:dyDescent="0.25">
      <c r="H5978" s="116"/>
      <c r="I5978" s="116"/>
    </row>
    <row r="5979" spans="8:9" x14ac:dyDescent="0.25">
      <c r="H5979" s="116"/>
      <c r="I5979" s="116"/>
    </row>
    <row r="5980" spans="8:9" x14ac:dyDescent="0.25">
      <c r="H5980" s="116"/>
      <c r="I5980" s="116"/>
    </row>
    <row r="5981" spans="8:9" x14ac:dyDescent="0.25">
      <c r="H5981" s="116"/>
      <c r="I5981" s="116"/>
    </row>
    <row r="5982" spans="8:9" x14ac:dyDescent="0.25">
      <c r="H5982" s="116"/>
      <c r="I5982" s="116"/>
    </row>
    <row r="5983" spans="8:9" x14ac:dyDescent="0.25">
      <c r="H5983" s="116"/>
      <c r="I5983" s="116"/>
    </row>
    <row r="5984" spans="8:9" x14ac:dyDescent="0.25">
      <c r="H5984" s="116"/>
      <c r="I5984" s="116"/>
    </row>
    <row r="5985" spans="8:9" x14ac:dyDescent="0.25">
      <c r="H5985" s="116"/>
      <c r="I5985" s="116"/>
    </row>
    <row r="5986" spans="8:9" x14ac:dyDescent="0.25">
      <c r="H5986" s="116"/>
      <c r="I5986" s="116"/>
    </row>
    <row r="5987" spans="8:9" x14ac:dyDescent="0.25">
      <c r="H5987" s="116"/>
      <c r="I5987" s="116"/>
    </row>
    <row r="5988" spans="8:9" x14ac:dyDescent="0.25">
      <c r="H5988" s="116"/>
      <c r="I5988" s="116"/>
    </row>
    <row r="5989" spans="8:9" x14ac:dyDescent="0.25">
      <c r="H5989" s="116"/>
      <c r="I5989" s="116"/>
    </row>
    <row r="5990" spans="8:9" x14ac:dyDescent="0.25">
      <c r="H5990" s="116"/>
      <c r="I5990" s="116"/>
    </row>
    <row r="5991" spans="8:9" x14ac:dyDescent="0.25">
      <c r="H5991" s="116"/>
      <c r="I5991" s="116"/>
    </row>
    <row r="5992" spans="8:9" x14ac:dyDescent="0.25">
      <c r="H5992" s="116"/>
      <c r="I5992" s="116"/>
    </row>
    <row r="5993" spans="8:9" x14ac:dyDescent="0.25">
      <c r="H5993" s="116"/>
      <c r="I5993" s="116"/>
    </row>
    <row r="5994" spans="8:9" x14ac:dyDescent="0.25">
      <c r="H5994" s="116"/>
      <c r="I5994" s="116"/>
    </row>
    <row r="5995" spans="8:9" x14ac:dyDescent="0.25">
      <c r="H5995" s="116"/>
      <c r="I5995" s="116"/>
    </row>
    <row r="5996" spans="8:9" x14ac:dyDescent="0.25">
      <c r="H5996" s="116"/>
      <c r="I5996" s="116"/>
    </row>
    <row r="5997" spans="8:9" x14ac:dyDescent="0.25">
      <c r="H5997" s="116"/>
      <c r="I5997" s="116"/>
    </row>
    <row r="5998" spans="8:9" x14ac:dyDescent="0.25">
      <c r="H5998" s="116"/>
      <c r="I5998" s="116"/>
    </row>
    <row r="5999" spans="8:9" x14ac:dyDescent="0.25">
      <c r="H5999" s="116"/>
      <c r="I5999" s="116"/>
    </row>
    <row r="6000" spans="8:9" x14ac:dyDescent="0.25">
      <c r="H6000" s="116"/>
      <c r="I6000" s="116"/>
    </row>
    <row r="6001" spans="8:9" x14ac:dyDescent="0.25">
      <c r="H6001" s="116"/>
      <c r="I6001" s="116"/>
    </row>
    <row r="6002" spans="8:9" x14ac:dyDescent="0.25">
      <c r="H6002" s="116"/>
      <c r="I6002" s="116"/>
    </row>
    <row r="6003" spans="8:9" x14ac:dyDescent="0.25">
      <c r="H6003" s="116"/>
      <c r="I6003" s="116"/>
    </row>
    <row r="6004" spans="8:9" x14ac:dyDescent="0.25">
      <c r="H6004" s="116"/>
      <c r="I6004" s="116"/>
    </row>
    <row r="6005" spans="8:9" x14ac:dyDescent="0.25">
      <c r="H6005" s="116"/>
      <c r="I6005" s="116"/>
    </row>
    <row r="6006" spans="8:9" x14ac:dyDescent="0.25">
      <c r="H6006" s="116"/>
      <c r="I6006" s="116"/>
    </row>
    <row r="6007" spans="8:9" x14ac:dyDescent="0.25">
      <c r="H6007" s="116"/>
      <c r="I6007" s="116"/>
    </row>
    <row r="6008" spans="8:9" x14ac:dyDescent="0.25">
      <c r="H6008" s="116"/>
      <c r="I6008" s="116"/>
    </row>
    <row r="6009" spans="8:9" x14ac:dyDescent="0.25">
      <c r="H6009" s="116"/>
      <c r="I6009" s="116"/>
    </row>
    <row r="6010" spans="8:9" x14ac:dyDescent="0.25">
      <c r="H6010" s="116"/>
      <c r="I6010" s="116"/>
    </row>
    <row r="6011" spans="8:9" x14ac:dyDescent="0.25">
      <c r="H6011" s="116"/>
      <c r="I6011" s="116"/>
    </row>
    <row r="6012" spans="8:9" x14ac:dyDescent="0.25">
      <c r="H6012" s="116"/>
      <c r="I6012" s="116"/>
    </row>
    <row r="6013" spans="8:9" x14ac:dyDescent="0.25">
      <c r="H6013" s="116"/>
      <c r="I6013" s="116"/>
    </row>
    <row r="6014" spans="8:9" x14ac:dyDescent="0.25">
      <c r="H6014" s="116"/>
      <c r="I6014" s="116"/>
    </row>
    <row r="6015" spans="8:9" x14ac:dyDescent="0.25">
      <c r="H6015" s="116"/>
      <c r="I6015" s="116"/>
    </row>
    <row r="6016" spans="8:9" x14ac:dyDescent="0.25">
      <c r="H6016" s="116"/>
      <c r="I6016" s="116"/>
    </row>
    <row r="6017" spans="8:9" x14ac:dyDescent="0.25">
      <c r="H6017" s="116"/>
      <c r="I6017" s="116"/>
    </row>
    <row r="6018" spans="8:9" x14ac:dyDescent="0.25">
      <c r="H6018" s="116"/>
      <c r="I6018" s="116"/>
    </row>
    <row r="6019" spans="8:9" x14ac:dyDescent="0.25">
      <c r="H6019" s="116"/>
      <c r="I6019" s="116"/>
    </row>
    <row r="6020" spans="8:9" x14ac:dyDescent="0.25">
      <c r="H6020" s="116"/>
      <c r="I6020" s="116"/>
    </row>
    <row r="6021" spans="8:9" x14ac:dyDescent="0.25">
      <c r="H6021" s="116"/>
      <c r="I6021" s="116"/>
    </row>
    <row r="6022" spans="8:9" x14ac:dyDescent="0.25">
      <c r="H6022" s="116"/>
      <c r="I6022" s="116"/>
    </row>
    <row r="6023" spans="8:9" x14ac:dyDescent="0.25">
      <c r="H6023" s="116"/>
      <c r="I6023" s="116"/>
    </row>
    <row r="6024" spans="8:9" x14ac:dyDescent="0.25">
      <c r="H6024" s="116"/>
      <c r="I6024" s="116"/>
    </row>
    <row r="6025" spans="8:9" x14ac:dyDescent="0.25">
      <c r="H6025" s="116"/>
      <c r="I6025" s="116"/>
    </row>
    <row r="6026" spans="8:9" x14ac:dyDescent="0.25">
      <c r="H6026" s="116"/>
      <c r="I6026" s="116"/>
    </row>
    <row r="6027" spans="8:9" x14ac:dyDescent="0.25">
      <c r="H6027" s="116"/>
      <c r="I6027" s="116"/>
    </row>
    <row r="6028" spans="8:9" x14ac:dyDescent="0.25">
      <c r="H6028" s="116"/>
      <c r="I6028" s="116"/>
    </row>
    <row r="6029" spans="8:9" x14ac:dyDescent="0.25">
      <c r="H6029" s="116"/>
      <c r="I6029" s="116"/>
    </row>
    <row r="6030" spans="8:9" x14ac:dyDescent="0.25">
      <c r="H6030" s="116"/>
      <c r="I6030" s="116"/>
    </row>
    <row r="6031" spans="8:9" x14ac:dyDescent="0.25">
      <c r="H6031" s="116"/>
      <c r="I6031" s="116"/>
    </row>
    <row r="6032" spans="8:9" x14ac:dyDescent="0.25">
      <c r="H6032" s="116"/>
      <c r="I6032" s="116"/>
    </row>
    <row r="6033" spans="8:9" x14ac:dyDescent="0.25">
      <c r="H6033" s="116"/>
      <c r="I6033" s="116"/>
    </row>
    <row r="6034" spans="8:9" x14ac:dyDescent="0.25">
      <c r="H6034" s="116"/>
      <c r="I6034" s="116"/>
    </row>
    <row r="6035" spans="8:9" x14ac:dyDescent="0.25">
      <c r="H6035" s="116"/>
      <c r="I6035" s="116"/>
    </row>
    <row r="6036" spans="8:9" x14ac:dyDescent="0.25">
      <c r="H6036" s="116"/>
      <c r="I6036" s="116"/>
    </row>
    <row r="6037" spans="8:9" x14ac:dyDescent="0.25">
      <c r="H6037" s="116"/>
      <c r="I6037" s="116"/>
    </row>
    <row r="6038" spans="8:9" x14ac:dyDescent="0.25">
      <c r="H6038" s="116"/>
      <c r="I6038" s="116"/>
    </row>
    <row r="6039" spans="8:9" x14ac:dyDescent="0.25">
      <c r="H6039" s="116"/>
      <c r="I6039" s="116"/>
    </row>
    <row r="6040" spans="8:9" x14ac:dyDescent="0.25">
      <c r="H6040" s="116"/>
      <c r="I6040" s="116"/>
    </row>
    <row r="6041" spans="8:9" x14ac:dyDescent="0.25">
      <c r="H6041" s="116"/>
      <c r="I6041" s="116"/>
    </row>
    <row r="6042" spans="8:9" x14ac:dyDescent="0.25">
      <c r="H6042" s="116"/>
      <c r="I6042" s="116"/>
    </row>
    <row r="6043" spans="8:9" x14ac:dyDescent="0.25">
      <c r="H6043" s="116"/>
      <c r="I6043" s="116"/>
    </row>
    <row r="6044" spans="8:9" x14ac:dyDescent="0.25">
      <c r="H6044" s="116"/>
      <c r="I6044" s="116"/>
    </row>
    <row r="6045" spans="8:9" x14ac:dyDescent="0.25">
      <c r="H6045" s="116"/>
      <c r="I6045" s="116"/>
    </row>
    <row r="6046" spans="8:9" x14ac:dyDescent="0.25">
      <c r="H6046" s="116"/>
      <c r="I6046" s="116"/>
    </row>
    <row r="6047" spans="8:9" x14ac:dyDescent="0.25">
      <c r="H6047" s="116"/>
      <c r="I6047" s="116"/>
    </row>
    <row r="6048" spans="8:9" x14ac:dyDescent="0.25">
      <c r="H6048" s="116"/>
      <c r="I6048" s="116"/>
    </row>
    <row r="6049" spans="8:9" x14ac:dyDescent="0.25">
      <c r="H6049" s="116"/>
      <c r="I6049" s="116"/>
    </row>
    <row r="6050" spans="8:9" x14ac:dyDescent="0.25">
      <c r="H6050" s="116"/>
      <c r="I6050" s="116"/>
    </row>
    <row r="6051" spans="8:9" x14ac:dyDescent="0.25">
      <c r="H6051" s="116"/>
      <c r="I6051" s="116"/>
    </row>
    <row r="6052" spans="8:9" x14ac:dyDescent="0.25">
      <c r="H6052" s="116"/>
      <c r="I6052" s="116"/>
    </row>
    <row r="6053" spans="8:9" x14ac:dyDescent="0.25">
      <c r="H6053" s="116"/>
      <c r="I6053" s="116"/>
    </row>
    <row r="6054" spans="8:9" x14ac:dyDescent="0.25">
      <c r="H6054" s="116"/>
      <c r="I6054" s="116"/>
    </row>
    <row r="6055" spans="8:9" x14ac:dyDescent="0.25">
      <c r="H6055" s="116"/>
      <c r="I6055" s="116"/>
    </row>
    <row r="6056" spans="8:9" x14ac:dyDescent="0.25">
      <c r="H6056" s="116"/>
      <c r="I6056" s="116"/>
    </row>
    <row r="6057" spans="8:9" x14ac:dyDescent="0.25">
      <c r="H6057" s="116"/>
      <c r="I6057" s="116"/>
    </row>
    <row r="6058" spans="8:9" x14ac:dyDescent="0.25">
      <c r="H6058" s="116"/>
      <c r="I6058" s="116"/>
    </row>
    <row r="6059" spans="8:9" x14ac:dyDescent="0.25">
      <c r="H6059" s="116"/>
      <c r="I6059" s="116"/>
    </row>
    <row r="6060" spans="8:9" x14ac:dyDescent="0.25">
      <c r="H6060" s="116"/>
      <c r="I6060" s="116"/>
    </row>
    <row r="6061" spans="8:9" x14ac:dyDescent="0.25">
      <c r="H6061" s="116"/>
      <c r="I6061" s="116"/>
    </row>
    <row r="6062" spans="8:9" x14ac:dyDescent="0.25">
      <c r="H6062" s="116"/>
      <c r="I6062" s="116"/>
    </row>
    <row r="6063" spans="8:9" x14ac:dyDescent="0.25">
      <c r="H6063" s="116"/>
      <c r="I6063" s="116"/>
    </row>
    <row r="6064" spans="8:9" x14ac:dyDescent="0.25">
      <c r="H6064" s="116"/>
      <c r="I6064" s="116"/>
    </row>
    <row r="6065" spans="8:9" x14ac:dyDescent="0.25">
      <c r="H6065" s="116"/>
      <c r="I6065" s="116"/>
    </row>
    <row r="6066" spans="8:9" x14ac:dyDescent="0.25">
      <c r="H6066" s="116"/>
      <c r="I6066" s="116"/>
    </row>
    <row r="6067" spans="8:9" x14ac:dyDescent="0.25">
      <c r="H6067" s="116"/>
      <c r="I6067" s="116"/>
    </row>
    <row r="6068" spans="8:9" x14ac:dyDescent="0.25">
      <c r="H6068" s="116"/>
      <c r="I6068" s="116"/>
    </row>
    <row r="6069" spans="8:9" x14ac:dyDescent="0.25">
      <c r="H6069" s="116"/>
      <c r="I6069" s="116"/>
    </row>
    <row r="6070" spans="8:9" x14ac:dyDescent="0.25">
      <c r="H6070" s="116"/>
      <c r="I6070" s="116"/>
    </row>
    <row r="6071" spans="8:9" x14ac:dyDescent="0.25">
      <c r="H6071" s="116"/>
      <c r="I6071" s="116"/>
    </row>
    <row r="6072" spans="8:9" x14ac:dyDescent="0.25">
      <c r="H6072" s="116"/>
      <c r="I6072" s="116"/>
    </row>
    <row r="6073" spans="8:9" x14ac:dyDescent="0.25">
      <c r="H6073" s="116"/>
      <c r="I6073" s="116"/>
    </row>
    <row r="6074" spans="8:9" x14ac:dyDescent="0.25">
      <c r="H6074" s="116"/>
      <c r="I6074" s="116"/>
    </row>
    <row r="6075" spans="8:9" x14ac:dyDescent="0.25">
      <c r="H6075" s="116"/>
      <c r="I6075" s="116"/>
    </row>
    <row r="6076" spans="8:9" x14ac:dyDescent="0.25">
      <c r="H6076" s="116"/>
      <c r="I6076" s="116"/>
    </row>
    <row r="6077" spans="8:9" x14ac:dyDescent="0.25">
      <c r="H6077" s="116"/>
      <c r="I6077" s="116"/>
    </row>
    <row r="6078" spans="8:9" x14ac:dyDescent="0.25">
      <c r="H6078" s="116"/>
      <c r="I6078" s="116"/>
    </row>
    <row r="6079" spans="8:9" x14ac:dyDescent="0.25">
      <c r="H6079" s="116"/>
      <c r="I6079" s="116"/>
    </row>
    <row r="6080" spans="8:9" x14ac:dyDescent="0.25">
      <c r="H6080" s="116"/>
      <c r="I6080" s="116"/>
    </row>
    <row r="6081" spans="8:9" x14ac:dyDescent="0.25">
      <c r="H6081" s="116"/>
      <c r="I6081" s="116"/>
    </row>
    <row r="6082" spans="8:9" x14ac:dyDescent="0.25">
      <c r="H6082" s="116"/>
      <c r="I6082" s="116"/>
    </row>
    <row r="6083" spans="8:9" x14ac:dyDescent="0.25">
      <c r="H6083" s="116"/>
      <c r="I6083" s="116"/>
    </row>
    <row r="6084" spans="8:9" x14ac:dyDescent="0.25">
      <c r="H6084" s="116"/>
      <c r="I6084" s="116"/>
    </row>
    <row r="6085" spans="8:9" x14ac:dyDescent="0.25">
      <c r="H6085" s="116"/>
      <c r="I6085" s="116"/>
    </row>
    <row r="6086" spans="8:9" x14ac:dyDescent="0.25">
      <c r="H6086" s="116"/>
      <c r="I6086" s="116"/>
    </row>
    <row r="6087" spans="8:9" x14ac:dyDescent="0.25">
      <c r="H6087" s="116"/>
      <c r="I6087" s="116"/>
    </row>
    <row r="6088" spans="8:9" x14ac:dyDescent="0.25">
      <c r="H6088" s="116"/>
      <c r="I6088" s="116"/>
    </row>
    <row r="6089" spans="8:9" x14ac:dyDescent="0.25">
      <c r="H6089" s="116"/>
      <c r="I6089" s="116"/>
    </row>
    <row r="6090" spans="8:9" x14ac:dyDescent="0.25">
      <c r="H6090" s="116"/>
      <c r="I6090" s="116"/>
    </row>
    <row r="6091" spans="8:9" x14ac:dyDescent="0.25">
      <c r="H6091" s="116"/>
      <c r="I6091" s="116"/>
    </row>
    <row r="6092" spans="8:9" x14ac:dyDescent="0.25">
      <c r="H6092" s="116"/>
      <c r="I6092" s="116"/>
    </row>
    <row r="6093" spans="8:9" x14ac:dyDescent="0.25">
      <c r="H6093" s="116"/>
      <c r="I6093" s="116"/>
    </row>
    <row r="6094" spans="8:9" x14ac:dyDescent="0.25">
      <c r="H6094" s="116"/>
      <c r="I6094" s="116"/>
    </row>
    <row r="6095" spans="8:9" x14ac:dyDescent="0.25">
      <c r="H6095" s="116"/>
      <c r="I6095" s="116"/>
    </row>
    <row r="6096" spans="8:9" x14ac:dyDescent="0.25">
      <c r="H6096" s="116"/>
      <c r="I6096" s="116"/>
    </row>
    <row r="6097" spans="8:9" x14ac:dyDescent="0.25">
      <c r="H6097" s="116"/>
      <c r="I6097" s="116"/>
    </row>
    <row r="6098" spans="8:9" x14ac:dyDescent="0.25">
      <c r="H6098" s="116"/>
      <c r="I6098" s="116"/>
    </row>
    <row r="6099" spans="8:9" x14ac:dyDescent="0.25">
      <c r="H6099" s="116"/>
      <c r="I6099" s="116"/>
    </row>
    <row r="6100" spans="8:9" x14ac:dyDescent="0.25">
      <c r="H6100" s="116"/>
      <c r="I6100" s="116"/>
    </row>
    <row r="6101" spans="8:9" x14ac:dyDescent="0.25">
      <c r="H6101" s="116"/>
      <c r="I6101" s="116"/>
    </row>
    <row r="6102" spans="8:9" x14ac:dyDescent="0.25">
      <c r="H6102" s="116"/>
      <c r="I6102" s="116"/>
    </row>
    <row r="6103" spans="8:9" x14ac:dyDescent="0.25">
      <c r="H6103" s="116"/>
      <c r="I6103" s="116"/>
    </row>
    <row r="6104" spans="8:9" x14ac:dyDescent="0.25">
      <c r="H6104" s="116"/>
      <c r="I6104" s="116"/>
    </row>
    <row r="6105" spans="8:9" x14ac:dyDescent="0.25">
      <c r="H6105" s="116"/>
      <c r="I6105" s="116"/>
    </row>
    <row r="6106" spans="8:9" x14ac:dyDescent="0.25">
      <c r="H6106" s="116"/>
      <c r="I6106" s="116"/>
    </row>
    <row r="6107" spans="8:9" x14ac:dyDescent="0.25">
      <c r="H6107" s="116"/>
      <c r="I6107" s="116"/>
    </row>
    <row r="6108" spans="8:9" x14ac:dyDescent="0.25">
      <c r="H6108" s="116"/>
      <c r="I6108" s="116"/>
    </row>
    <row r="6109" spans="8:9" x14ac:dyDescent="0.25">
      <c r="H6109" s="116"/>
      <c r="I6109" s="116"/>
    </row>
    <row r="6110" spans="8:9" x14ac:dyDescent="0.25">
      <c r="H6110" s="116"/>
      <c r="I6110" s="116"/>
    </row>
    <row r="6111" spans="8:9" x14ac:dyDescent="0.25">
      <c r="H6111" s="116"/>
      <c r="I6111" s="116"/>
    </row>
    <row r="6112" spans="8:9" x14ac:dyDescent="0.25">
      <c r="H6112" s="116"/>
      <c r="I6112" s="116"/>
    </row>
    <row r="6113" spans="8:9" x14ac:dyDescent="0.25">
      <c r="H6113" s="116"/>
      <c r="I6113" s="116"/>
    </row>
    <row r="6114" spans="8:9" x14ac:dyDescent="0.25">
      <c r="H6114" s="116"/>
      <c r="I6114" s="116"/>
    </row>
    <row r="6115" spans="8:9" x14ac:dyDescent="0.25">
      <c r="H6115" s="116"/>
      <c r="I6115" s="116"/>
    </row>
    <row r="6116" spans="8:9" x14ac:dyDescent="0.25">
      <c r="H6116" s="116"/>
      <c r="I6116" s="116"/>
    </row>
    <row r="6117" spans="8:9" x14ac:dyDescent="0.25">
      <c r="H6117" s="116"/>
      <c r="I6117" s="116"/>
    </row>
    <row r="6118" spans="8:9" x14ac:dyDescent="0.25">
      <c r="H6118" s="116"/>
      <c r="I6118" s="116"/>
    </row>
    <row r="6119" spans="8:9" x14ac:dyDescent="0.25">
      <c r="H6119" s="116"/>
      <c r="I6119" s="116"/>
    </row>
    <row r="6120" spans="8:9" x14ac:dyDescent="0.25">
      <c r="H6120" s="116"/>
      <c r="I6120" s="116"/>
    </row>
    <row r="6121" spans="8:9" x14ac:dyDescent="0.25">
      <c r="H6121" s="116"/>
      <c r="I6121" s="116"/>
    </row>
    <row r="6122" spans="8:9" x14ac:dyDescent="0.25">
      <c r="H6122" s="116"/>
      <c r="I6122" s="116"/>
    </row>
    <row r="6123" spans="8:9" x14ac:dyDescent="0.25">
      <c r="H6123" s="116"/>
      <c r="I6123" s="116"/>
    </row>
    <row r="6124" spans="8:9" x14ac:dyDescent="0.25">
      <c r="H6124" s="116"/>
      <c r="I6124" s="116"/>
    </row>
    <row r="6125" spans="8:9" x14ac:dyDescent="0.25">
      <c r="H6125" s="116"/>
      <c r="I6125" s="116"/>
    </row>
    <row r="6126" spans="8:9" x14ac:dyDescent="0.25">
      <c r="H6126" s="116"/>
      <c r="I6126" s="116"/>
    </row>
    <row r="6127" spans="8:9" x14ac:dyDescent="0.25">
      <c r="H6127" s="116"/>
      <c r="I6127" s="116"/>
    </row>
    <row r="6128" spans="8:9" x14ac:dyDescent="0.25">
      <c r="H6128" s="116"/>
      <c r="I6128" s="116"/>
    </row>
    <row r="6129" spans="8:9" x14ac:dyDescent="0.25">
      <c r="H6129" s="116"/>
      <c r="I6129" s="116"/>
    </row>
    <row r="6130" spans="8:9" x14ac:dyDescent="0.25">
      <c r="H6130" s="116"/>
      <c r="I6130" s="116"/>
    </row>
    <row r="6131" spans="8:9" x14ac:dyDescent="0.25">
      <c r="H6131" s="116"/>
      <c r="I6131" s="116"/>
    </row>
    <row r="6132" spans="8:9" x14ac:dyDescent="0.25">
      <c r="H6132" s="116"/>
      <c r="I6132" s="116"/>
    </row>
    <row r="6133" spans="8:9" x14ac:dyDescent="0.25">
      <c r="H6133" s="116"/>
      <c r="I6133" s="116"/>
    </row>
    <row r="6134" spans="8:9" x14ac:dyDescent="0.25">
      <c r="H6134" s="116"/>
      <c r="I6134" s="116"/>
    </row>
    <row r="6135" spans="8:9" x14ac:dyDescent="0.25">
      <c r="H6135" s="116"/>
      <c r="I6135" s="116"/>
    </row>
    <row r="6136" spans="8:9" x14ac:dyDescent="0.25">
      <c r="H6136" s="116"/>
      <c r="I6136" s="116"/>
    </row>
    <row r="6137" spans="8:9" x14ac:dyDescent="0.25">
      <c r="H6137" s="116"/>
      <c r="I6137" s="116"/>
    </row>
    <row r="6138" spans="8:9" x14ac:dyDescent="0.25">
      <c r="H6138" s="116"/>
      <c r="I6138" s="116"/>
    </row>
    <row r="6139" spans="8:9" x14ac:dyDescent="0.25">
      <c r="H6139" s="116"/>
      <c r="I6139" s="116"/>
    </row>
    <row r="6140" spans="8:9" x14ac:dyDescent="0.25">
      <c r="H6140" s="116"/>
      <c r="I6140" s="116"/>
    </row>
    <row r="6141" spans="8:9" x14ac:dyDescent="0.25">
      <c r="H6141" s="116"/>
      <c r="I6141" s="116"/>
    </row>
    <row r="6142" spans="8:9" x14ac:dyDescent="0.25">
      <c r="H6142" s="116"/>
      <c r="I6142" s="116"/>
    </row>
    <row r="6143" spans="8:9" x14ac:dyDescent="0.25">
      <c r="H6143" s="116"/>
      <c r="I6143" s="116"/>
    </row>
    <row r="6144" spans="8:9" x14ac:dyDescent="0.25">
      <c r="H6144" s="116"/>
      <c r="I6144" s="116"/>
    </row>
    <row r="6145" spans="8:9" x14ac:dyDescent="0.25">
      <c r="H6145" s="116"/>
      <c r="I6145" s="116"/>
    </row>
    <row r="6146" spans="8:9" x14ac:dyDescent="0.25">
      <c r="H6146" s="116"/>
      <c r="I6146" s="116"/>
    </row>
    <row r="6147" spans="8:9" x14ac:dyDescent="0.25">
      <c r="H6147" s="116"/>
      <c r="I6147" s="116"/>
    </row>
    <row r="6148" spans="8:9" x14ac:dyDescent="0.25">
      <c r="H6148" s="116"/>
      <c r="I6148" s="116"/>
    </row>
    <row r="6149" spans="8:9" x14ac:dyDescent="0.25">
      <c r="H6149" s="116"/>
      <c r="I6149" s="116"/>
    </row>
    <row r="6150" spans="8:9" x14ac:dyDescent="0.25">
      <c r="H6150" s="116"/>
      <c r="I6150" s="116"/>
    </row>
    <row r="6151" spans="8:9" x14ac:dyDescent="0.25">
      <c r="H6151" s="116"/>
      <c r="I6151" s="116"/>
    </row>
    <row r="6152" spans="8:9" x14ac:dyDescent="0.25">
      <c r="H6152" s="116"/>
      <c r="I6152" s="116"/>
    </row>
    <row r="6153" spans="8:9" x14ac:dyDescent="0.25">
      <c r="H6153" s="116"/>
      <c r="I6153" s="116"/>
    </row>
    <row r="6154" spans="8:9" x14ac:dyDescent="0.25">
      <c r="H6154" s="116"/>
      <c r="I6154" s="116"/>
    </row>
    <row r="6155" spans="8:9" x14ac:dyDescent="0.25">
      <c r="H6155" s="116"/>
      <c r="I6155" s="116"/>
    </row>
    <row r="6156" spans="8:9" x14ac:dyDescent="0.25">
      <c r="H6156" s="116"/>
      <c r="I6156" s="116"/>
    </row>
    <row r="6157" spans="8:9" x14ac:dyDescent="0.25">
      <c r="H6157" s="116"/>
      <c r="I6157" s="116"/>
    </row>
    <row r="6158" spans="8:9" x14ac:dyDescent="0.25">
      <c r="H6158" s="116"/>
      <c r="I6158" s="116"/>
    </row>
    <row r="6159" spans="8:9" x14ac:dyDescent="0.25">
      <c r="H6159" s="116"/>
      <c r="I6159" s="116"/>
    </row>
    <row r="6160" spans="8:9" x14ac:dyDescent="0.25">
      <c r="H6160" s="116"/>
      <c r="I6160" s="116"/>
    </row>
    <row r="6161" spans="8:9" x14ac:dyDescent="0.25">
      <c r="H6161" s="116"/>
      <c r="I6161" s="116"/>
    </row>
    <row r="6162" spans="8:9" x14ac:dyDescent="0.25">
      <c r="H6162" s="116"/>
      <c r="I6162" s="116"/>
    </row>
    <row r="6163" spans="8:9" x14ac:dyDescent="0.25">
      <c r="H6163" s="116"/>
      <c r="I6163" s="116"/>
    </row>
    <row r="6164" spans="8:9" x14ac:dyDescent="0.25">
      <c r="H6164" s="116"/>
      <c r="I6164" s="116"/>
    </row>
    <row r="6165" spans="8:9" x14ac:dyDescent="0.25">
      <c r="H6165" s="116"/>
      <c r="I6165" s="116"/>
    </row>
    <row r="6166" spans="8:9" x14ac:dyDescent="0.25">
      <c r="H6166" s="116"/>
      <c r="I6166" s="116"/>
    </row>
    <row r="6167" spans="8:9" x14ac:dyDescent="0.25">
      <c r="H6167" s="116"/>
      <c r="I6167" s="116"/>
    </row>
    <row r="6168" spans="8:9" x14ac:dyDescent="0.25">
      <c r="H6168" s="116"/>
      <c r="I6168" s="116"/>
    </row>
    <row r="6169" spans="8:9" x14ac:dyDescent="0.25">
      <c r="H6169" s="116"/>
      <c r="I6169" s="116"/>
    </row>
    <row r="6170" spans="8:9" x14ac:dyDescent="0.25">
      <c r="H6170" s="116"/>
      <c r="I6170" s="116"/>
    </row>
    <row r="6171" spans="8:9" x14ac:dyDescent="0.25">
      <c r="H6171" s="116"/>
      <c r="I6171" s="116"/>
    </row>
    <row r="6172" spans="8:9" x14ac:dyDescent="0.25">
      <c r="H6172" s="116"/>
      <c r="I6172" s="116"/>
    </row>
    <row r="6173" spans="8:9" x14ac:dyDescent="0.25">
      <c r="H6173" s="116"/>
      <c r="I6173" s="116"/>
    </row>
    <row r="6174" spans="8:9" x14ac:dyDescent="0.25">
      <c r="H6174" s="116"/>
      <c r="I6174" s="116"/>
    </row>
    <row r="6175" spans="8:9" x14ac:dyDescent="0.25">
      <c r="H6175" s="116"/>
      <c r="I6175" s="116"/>
    </row>
    <row r="6176" spans="8:9" x14ac:dyDescent="0.25">
      <c r="H6176" s="116"/>
      <c r="I6176" s="116"/>
    </row>
    <row r="6177" spans="8:9" x14ac:dyDescent="0.25">
      <c r="H6177" s="116"/>
      <c r="I6177" s="116"/>
    </row>
    <row r="6178" spans="8:9" x14ac:dyDescent="0.25">
      <c r="H6178" s="116"/>
      <c r="I6178" s="116"/>
    </row>
    <row r="6179" spans="8:9" x14ac:dyDescent="0.25">
      <c r="H6179" s="116"/>
      <c r="I6179" s="116"/>
    </row>
    <row r="6180" spans="8:9" x14ac:dyDescent="0.25">
      <c r="H6180" s="116"/>
      <c r="I6180" s="116"/>
    </row>
    <row r="6181" spans="8:9" x14ac:dyDescent="0.25">
      <c r="H6181" s="116"/>
      <c r="I6181" s="116"/>
    </row>
    <row r="6182" spans="8:9" x14ac:dyDescent="0.25">
      <c r="H6182" s="116"/>
      <c r="I6182" s="116"/>
    </row>
    <row r="6183" spans="8:9" x14ac:dyDescent="0.25">
      <c r="H6183" s="116"/>
      <c r="I6183" s="116"/>
    </row>
    <row r="6184" spans="8:9" x14ac:dyDescent="0.25">
      <c r="H6184" s="116"/>
      <c r="I6184" s="116"/>
    </row>
    <row r="6185" spans="8:9" x14ac:dyDescent="0.25">
      <c r="H6185" s="116"/>
      <c r="I6185" s="116"/>
    </row>
    <row r="6186" spans="8:9" x14ac:dyDescent="0.25">
      <c r="H6186" s="116"/>
      <c r="I6186" s="116"/>
    </row>
    <row r="6187" spans="8:9" x14ac:dyDescent="0.25">
      <c r="H6187" s="116"/>
      <c r="I6187" s="116"/>
    </row>
    <row r="6188" spans="8:9" x14ac:dyDescent="0.25">
      <c r="H6188" s="116"/>
      <c r="I6188" s="116"/>
    </row>
    <row r="6189" spans="8:9" x14ac:dyDescent="0.25">
      <c r="H6189" s="116"/>
      <c r="I6189" s="116"/>
    </row>
    <row r="6190" spans="8:9" x14ac:dyDescent="0.25">
      <c r="H6190" s="116"/>
      <c r="I6190" s="116"/>
    </row>
    <row r="6191" spans="8:9" x14ac:dyDescent="0.25">
      <c r="H6191" s="116"/>
      <c r="I6191" s="116"/>
    </row>
    <row r="6192" spans="8:9" x14ac:dyDescent="0.25">
      <c r="H6192" s="116"/>
      <c r="I6192" s="116"/>
    </row>
    <row r="6193" spans="8:9" x14ac:dyDescent="0.25">
      <c r="H6193" s="116"/>
      <c r="I6193" s="116"/>
    </row>
    <row r="6194" spans="8:9" x14ac:dyDescent="0.25">
      <c r="H6194" s="116"/>
      <c r="I6194" s="116"/>
    </row>
    <row r="6195" spans="8:9" x14ac:dyDescent="0.25">
      <c r="H6195" s="116"/>
      <c r="I6195" s="116"/>
    </row>
    <row r="6196" spans="8:9" x14ac:dyDescent="0.25">
      <c r="H6196" s="116"/>
      <c r="I6196" s="116"/>
    </row>
    <row r="6197" spans="8:9" x14ac:dyDescent="0.25">
      <c r="H6197" s="116"/>
      <c r="I6197" s="116"/>
    </row>
    <row r="6198" spans="8:9" x14ac:dyDescent="0.25">
      <c r="H6198" s="116"/>
      <c r="I6198" s="116"/>
    </row>
    <row r="6199" spans="8:9" x14ac:dyDescent="0.25">
      <c r="H6199" s="116"/>
      <c r="I6199" s="116"/>
    </row>
    <row r="6200" spans="8:9" x14ac:dyDescent="0.25">
      <c r="H6200" s="116"/>
      <c r="I6200" s="116"/>
    </row>
    <row r="6201" spans="8:9" x14ac:dyDescent="0.25">
      <c r="H6201" s="116"/>
      <c r="I6201" s="116"/>
    </row>
    <row r="6202" spans="8:9" x14ac:dyDescent="0.25">
      <c r="H6202" s="116"/>
      <c r="I6202" s="116"/>
    </row>
    <row r="6203" spans="8:9" x14ac:dyDescent="0.25">
      <c r="H6203" s="116"/>
      <c r="I6203" s="116"/>
    </row>
    <row r="6204" spans="8:9" x14ac:dyDescent="0.25">
      <c r="H6204" s="116"/>
      <c r="I6204" s="116"/>
    </row>
    <row r="6205" spans="8:9" x14ac:dyDescent="0.25">
      <c r="H6205" s="116"/>
      <c r="I6205" s="116"/>
    </row>
    <row r="6206" spans="8:9" x14ac:dyDescent="0.25">
      <c r="H6206" s="116"/>
      <c r="I6206" s="116"/>
    </row>
    <row r="6207" spans="8:9" x14ac:dyDescent="0.25">
      <c r="H6207" s="116"/>
      <c r="I6207" s="116"/>
    </row>
    <row r="6208" spans="8:9" x14ac:dyDescent="0.25">
      <c r="H6208" s="116"/>
      <c r="I6208" s="116"/>
    </row>
    <row r="6209" spans="8:9" x14ac:dyDescent="0.25">
      <c r="H6209" s="116"/>
      <c r="I6209" s="116"/>
    </row>
    <row r="6210" spans="8:9" x14ac:dyDescent="0.25">
      <c r="H6210" s="116"/>
      <c r="I6210" s="116"/>
    </row>
    <row r="6211" spans="8:9" x14ac:dyDescent="0.25">
      <c r="H6211" s="116"/>
      <c r="I6211" s="116"/>
    </row>
    <row r="6212" spans="8:9" x14ac:dyDescent="0.25">
      <c r="H6212" s="116"/>
      <c r="I6212" s="116"/>
    </row>
    <row r="6213" spans="8:9" x14ac:dyDescent="0.25">
      <c r="H6213" s="116"/>
      <c r="I6213" s="116"/>
    </row>
    <row r="6214" spans="8:9" x14ac:dyDescent="0.25">
      <c r="H6214" s="116"/>
      <c r="I6214" s="116"/>
    </row>
    <row r="6215" spans="8:9" x14ac:dyDescent="0.25">
      <c r="H6215" s="116"/>
      <c r="I6215" s="116"/>
    </row>
    <row r="6216" spans="8:9" x14ac:dyDescent="0.25">
      <c r="H6216" s="116"/>
      <c r="I6216" s="116"/>
    </row>
    <row r="6217" spans="8:9" x14ac:dyDescent="0.25">
      <c r="H6217" s="116"/>
      <c r="I6217" s="116"/>
    </row>
    <row r="6218" spans="8:9" x14ac:dyDescent="0.25">
      <c r="H6218" s="116"/>
      <c r="I6218" s="116"/>
    </row>
    <row r="6219" spans="8:9" x14ac:dyDescent="0.25">
      <c r="H6219" s="116"/>
      <c r="I6219" s="116"/>
    </row>
    <row r="6220" spans="8:9" x14ac:dyDescent="0.25">
      <c r="H6220" s="116"/>
      <c r="I6220" s="116"/>
    </row>
    <row r="6221" spans="8:9" x14ac:dyDescent="0.25">
      <c r="H6221" s="116"/>
      <c r="I6221" s="116"/>
    </row>
    <row r="6222" spans="8:9" x14ac:dyDescent="0.25">
      <c r="H6222" s="116"/>
      <c r="I6222" s="116"/>
    </row>
    <row r="6223" spans="8:9" x14ac:dyDescent="0.25">
      <c r="H6223" s="116"/>
      <c r="I6223" s="116"/>
    </row>
    <row r="6224" spans="8:9" x14ac:dyDescent="0.25">
      <c r="H6224" s="116"/>
      <c r="I6224" s="116"/>
    </row>
    <row r="6225" spans="8:9" x14ac:dyDescent="0.25">
      <c r="H6225" s="116"/>
      <c r="I6225" s="116"/>
    </row>
    <row r="6226" spans="8:9" x14ac:dyDescent="0.25">
      <c r="H6226" s="116"/>
      <c r="I6226" s="116"/>
    </row>
    <row r="6227" spans="8:9" x14ac:dyDescent="0.25">
      <c r="H6227" s="116"/>
      <c r="I6227" s="116"/>
    </row>
    <row r="6228" spans="8:9" x14ac:dyDescent="0.25">
      <c r="H6228" s="116"/>
      <c r="I6228" s="116"/>
    </row>
    <row r="6229" spans="8:9" x14ac:dyDescent="0.25">
      <c r="H6229" s="116"/>
      <c r="I6229" s="116"/>
    </row>
    <row r="6230" spans="8:9" x14ac:dyDescent="0.25">
      <c r="H6230" s="116"/>
      <c r="I6230" s="116"/>
    </row>
    <row r="6231" spans="8:9" x14ac:dyDescent="0.25">
      <c r="H6231" s="116"/>
      <c r="I6231" s="116"/>
    </row>
    <row r="6232" spans="8:9" x14ac:dyDescent="0.25">
      <c r="H6232" s="116"/>
      <c r="I6232" s="116"/>
    </row>
    <row r="6233" spans="8:9" x14ac:dyDescent="0.25">
      <c r="H6233" s="116"/>
      <c r="I6233" s="116"/>
    </row>
    <row r="6234" spans="8:9" x14ac:dyDescent="0.25">
      <c r="H6234" s="116"/>
      <c r="I6234" s="116"/>
    </row>
    <row r="6235" spans="8:9" x14ac:dyDescent="0.25">
      <c r="H6235" s="116"/>
      <c r="I6235" s="116"/>
    </row>
    <row r="6236" spans="8:9" x14ac:dyDescent="0.25">
      <c r="H6236" s="116"/>
      <c r="I6236" s="116"/>
    </row>
    <row r="6237" spans="8:9" x14ac:dyDescent="0.25">
      <c r="H6237" s="116"/>
      <c r="I6237" s="116"/>
    </row>
    <row r="6238" spans="8:9" x14ac:dyDescent="0.25">
      <c r="H6238" s="116"/>
      <c r="I6238" s="116"/>
    </row>
    <row r="6239" spans="8:9" x14ac:dyDescent="0.25">
      <c r="H6239" s="116"/>
      <c r="I6239" s="116"/>
    </row>
    <row r="6240" spans="8:9" x14ac:dyDescent="0.25">
      <c r="H6240" s="116"/>
      <c r="I6240" s="116"/>
    </row>
    <row r="6241" spans="8:9" x14ac:dyDescent="0.25">
      <c r="H6241" s="116"/>
      <c r="I6241" s="116"/>
    </row>
    <row r="6242" spans="8:9" x14ac:dyDescent="0.25">
      <c r="H6242" s="116"/>
      <c r="I6242" s="116"/>
    </row>
    <row r="6243" spans="8:9" x14ac:dyDescent="0.25">
      <c r="H6243" s="116"/>
      <c r="I6243" s="116"/>
    </row>
    <row r="6244" spans="8:9" x14ac:dyDescent="0.25">
      <c r="H6244" s="116"/>
      <c r="I6244" s="116"/>
    </row>
    <row r="6245" spans="8:9" x14ac:dyDescent="0.25">
      <c r="H6245" s="116"/>
      <c r="I6245" s="116"/>
    </row>
    <row r="6246" spans="8:9" x14ac:dyDescent="0.25">
      <c r="H6246" s="116"/>
      <c r="I6246" s="116"/>
    </row>
    <row r="6247" spans="8:9" x14ac:dyDescent="0.25">
      <c r="H6247" s="116"/>
      <c r="I6247" s="116"/>
    </row>
    <row r="6248" spans="8:9" x14ac:dyDescent="0.25">
      <c r="H6248" s="116"/>
      <c r="I6248" s="116"/>
    </row>
    <row r="6249" spans="8:9" x14ac:dyDescent="0.25">
      <c r="H6249" s="116"/>
      <c r="I6249" s="116"/>
    </row>
    <row r="6250" spans="8:9" x14ac:dyDescent="0.25">
      <c r="H6250" s="116"/>
      <c r="I6250" s="116"/>
    </row>
    <row r="6251" spans="8:9" x14ac:dyDescent="0.25">
      <c r="H6251" s="116"/>
      <c r="I6251" s="116"/>
    </row>
    <row r="6252" spans="8:9" x14ac:dyDescent="0.25">
      <c r="H6252" s="116"/>
      <c r="I6252" s="116"/>
    </row>
    <row r="6253" spans="8:9" x14ac:dyDescent="0.25">
      <c r="H6253" s="116"/>
      <c r="I6253" s="116"/>
    </row>
    <row r="6254" spans="8:9" x14ac:dyDescent="0.25">
      <c r="H6254" s="116"/>
      <c r="I6254" s="116"/>
    </row>
    <row r="6255" spans="8:9" x14ac:dyDescent="0.25">
      <c r="H6255" s="116"/>
      <c r="I6255" s="116"/>
    </row>
    <row r="6256" spans="8:9" x14ac:dyDescent="0.25">
      <c r="H6256" s="116"/>
      <c r="I6256" s="116"/>
    </row>
    <row r="6257" spans="8:9" x14ac:dyDescent="0.25">
      <c r="H6257" s="116"/>
      <c r="I6257" s="116"/>
    </row>
    <row r="6258" spans="8:9" x14ac:dyDescent="0.25">
      <c r="H6258" s="116"/>
      <c r="I6258" s="116"/>
    </row>
    <row r="6259" spans="8:9" x14ac:dyDescent="0.25">
      <c r="H6259" s="116"/>
      <c r="I6259" s="116"/>
    </row>
    <row r="6260" spans="8:9" x14ac:dyDescent="0.25">
      <c r="H6260" s="116"/>
      <c r="I6260" s="116"/>
    </row>
    <row r="6261" spans="8:9" x14ac:dyDescent="0.25">
      <c r="H6261" s="116"/>
      <c r="I6261" s="116"/>
    </row>
    <row r="6262" spans="8:9" x14ac:dyDescent="0.25">
      <c r="H6262" s="116"/>
      <c r="I6262" s="116"/>
    </row>
    <row r="6263" spans="8:9" x14ac:dyDescent="0.25">
      <c r="H6263" s="116"/>
      <c r="I6263" s="116"/>
    </row>
    <row r="6264" spans="8:9" x14ac:dyDescent="0.25">
      <c r="H6264" s="116"/>
      <c r="I6264" s="116"/>
    </row>
    <row r="6265" spans="8:9" x14ac:dyDescent="0.25">
      <c r="H6265" s="116"/>
      <c r="I6265" s="116"/>
    </row>
    <row r="6266" spans="8:9" x14ac:dyDescent="0.25">
      <c r="H6266" s="116"/>
      <c r="I6266" s="116"/>
    </row>
    <row r="6267" spans="8:9" x14ac:dyDescent="0.25">
      <c r="H6267" s="116"/>
      <c r="I6267" s="116"/>
    </row>
    <row r="6268" spans="8:9" x14ac:dyDescent="0.25">
      <c r="H6268" s="116"/>
      <c r="I6268" s="116"/>
    </row>
    <row r="6269" spans="8:9" x14ac:dyDescent="0.25">
      <c r="H6269" s="116"/>
      <c r="I6269" s="116"/>
    </row>
    <row r="6270" spans="8:9" x14ac:dyDescent="0.25">
      <c r="H6270" s="116"/>
      <c r="I6270" s="116"/>
    </row>
    <row r="6271" spans="8:9" x14ac:dyDescent="0.25">
      <c r="H6271" s="116"/>
      <c r="I6271" s="116"/>
    </row>
    <row r="6272" spans="8:9" x14ac:dyDescent="0.25">
      <c r="H6272" s="116"/>
      <c r="I6272" s="116"/>
    </row>
    <row r="6273" spans="8:9" x14ac:dyDescent="0.25">
      <c r="H6273" s="116"/>
      <c r="I6273" s="116"/>
    </row>
    <row r="6274" spans="8:9" x14ac:dyDescent="0.25">
      <c r="H6274" s="116"/>
      <c r="I6274" s="116"/>
    </row>
    <row r="6275" spans="8:9" x14ac:dyDescent="0.25">
      <c r="H6275" s="116"/>
      <c r="I6275" s="116"/>
    </row>
    <row r="6276" spans="8:9" x14ac:dyDescent="0.25">
      <c r="H6276" s="116"/>
      <c r="I6276" s="116"/>
    </row>
    <row r="6277" spans="8:9" x14ac:dyDescent="0.25">
      <c r="H6277" s="116"/>
      <c r="I6277" s="116"/>
    </row>
    <row r="6278" spans="8:9" x14ac:dyDescent="0.25">
      <c r="H6278" s="116"/>
      <c r="I6278" s="116"/>
    </row>
    <row r="6279" spans="8:9" x14ac:dyDescent="0.25">
      <c r="H6279" s="116"/>
      <c r="I6279" s="116"/>
    </row>
    <row r="6280" spans="8:9" x14ac:dyDescent="0.25">
      <c r="H6280" s="116"/>
      <c r="I6280" s="116"/>
    </row>
    <row r="6281" spans="8:9" x14ac:dyDescent="0.25">
      <c r="H6281" s="116"/>
      <c r="I6281" s="116"/>
    </row>
    <row r="6282" spans="8:9" x14ac:dyDescent="0.25">
      <c r="H6282" s="116"/>
      <c r="I6282" s="116"/>
    </row>
    <row r="6283" spans="8:9" x14ac:dyDescent="0.25">
      <c r="H6283" s="116"/>
      <c r="I6283" s="116"/>
    </row>
    <row r="6284" spans="8:9" x14ac:dyDescent="0.25">
      <c r="H6284" s="116"/>
      <c r="I6284" s="116"/>
    </row>
    <row r="6285" spans="8:9" x14ac:dyDescent="0.25">
      <c r="H6285" s="116"/>
      <c r="I6285" s="116"/>
    </row>
    <row r="6286" spans="8:9" x14ac:dyDescent="0.25">
      <c r="H6286" s="116"/>
      <c r="I6286" s="116"/>
    </row>
    <row r="6287" spans="8:9" x14ac:dyDescent="0.25">
      <c r="H6287" s="116"/>
      <c r="I6287" s="116"/>
    </row>
    <row r="6288" spans="8:9" x14ac:dyDescent="0.25">
      <c r="H6288" s="116"/>
      <c r="I6288" s="116"/>
    </row>
    <row r="6289" spans="8:9" x14ac:dyDescent="0.25">
      <c r="H6289" s="116"/>
      <c r="I6289" s="116"/>
    </row>
    <row r="6290" spans="8:9" x14ac:dyDescent="0.25">
      <c r="H6290" s="116"/>
      <c r="I6290" s="116"/>
    </row>
    <row r="6291" spans="8:9" x14ac:dyDescent="0.25">
      <c r="H6291" s="116"/>
      <c r="I6291" s="116"/>
    </row>
    <row r="6292" spans="8:9" x14ac:dyDescent="0.25">
      <c r="H6292" s="116"/>
      <c r="I6292" s="116"/>
    </row>
    <row r="6293" spans="8:9" x14ac:dyDescent="0.25">
      <c r="H6293" s="116"/>
      <c r="I6293" s="116"/>
    </row>
    <row r="6294" spans="8:9" x14ac:dyDescent="0.25">
      <c r="H6294" s="116"/>
      <c r="I6294" s="116"/>
    </row>
    <row r="6295" spans="8:9" x14ac:dyDescent="0.25">
      <c r="H6295" s="116"/>
      <c r="I6295" s="116"/>
    </row>
    <row r="6296" spans="8:9" x14ac:dyDescent="0.25">
      <c r="H6296" s="116"/>
      <c r="I6296" s="116"/>
    </row>
    <row r="6297" spans="8:9" x14ac:dyDescent="0.25">
      <c r="H6297" s="116"/>
      <c r="I6297" s="116"/>
    </row>
    <row r="6298" spans="8:9" x14ac:dyDescent="0.25">
      <c r="H6298" s="116"/>
      <c r="I6298" s="116"/>
    </row>
    <row r="6299" spans="8:9" x14ac:dyDescent="0.25">
      <c r="H6299" s="116"/>
      <c r="I6299" s="116"/>
    </row>
    <row r="6300" spans="8:9" x14ac:dyDescent="0.25">
      <c r="H6300" s="116"/>
      <c r="I6300" s="116"/>
    </row>
    <row r="6301" spans="8:9" x14ac:dyDescent="0.25">
      <c r="H6301" s="116"/>
      <c r="I6301" s="116"/>
    </row>
    <row r="6302" spans="8:9" x14ac:dyDescent="0.25">
      <c r="H6302" s="116"/>
      <c r="I6302" s="116"/>
    </row>
    <row r="6303" spans="8:9" x14ac:dyDescent="0.25">
      <c r="H6303" s="116"/>
      <c r="I6303" s="116"/>
    </row>
    <row r="6304" spans="8:9" x14ac:dyDescent="0.25">
      <c r="H6304" s="116"/>
      <c r="I6304" s="116"/>
    </row>
    <row r="6305" spans="8:9" x14ac:dyDescent="0.25">
      <c r="H6305" s="116"/>
      <c r="I6305" s="116"/>
    </row>
    <row r="6306" spans="8:9" x14ac:dyDescent="0.25">
      <c r="H6306" s="116"/>
      <c r="I6306" s="116"/>
    </row>
    <row r="6307" spans="8:9" x14ac:dyDescent="0.25">
      <c r="H6307" s="116"/>
      <c r="I6307" s="116"/>
    </row>
    <row r="6308" spans="8:9" x14ac:dyDescent="0.25">
      <c r="H6308" s="116"/>
      <c r="I6308" s="116"/>
    </row>
    <row r="6309" spans="8:9" x14ac:dyDescent="0.25">
      <c r="H6309" s="116"/>
      <c r="I6309" s="116"/>
    </row>
    <row r="6310" spans="8:9" x14ac:dyDescent="0.25">
      <c r="H6310" s="116"/>
      <c r="I6310" s="116"/>
    </row>
    <row r="6311" spans="8:9" x14ac:dyDescent="0.25">
      <c r="H6311" s="116"/>
      <c r="I6311" s="116"/>
    </row>
    <row r="6312" spans="8:9" x14ac:dyDescent="0.25">
      <c r="H6312" s="116"/>
      <c r="I6312" s="116"/>
    </row>
    <row r="6313" spans="8:9" x14ac:dyDescent="0.25">
      <c r="H6313" s="116"/>
      <c r="I6313" s="116"/>
    </row>
    <row r="6314" spans="8:9" x14ac:dyDescent="0.25">
      <c r="H6314" s="116"/>
      <c r="I6314" s="116"/>
    </row>
    <row r="6315" spans="8:9" x14ac:dyDescent="0.25">
      <c r="H6315" s="116"/>
      <c r="I6315" s="116"/>
    </row>
    <row r="6316" spans="8:9" x14ac:dyDescent="0.25">
      <c r="H6316" s="116"/>
      <c r="I6316" s="116"/>
    </row>
    <row r="6317" spans="8:9" x14ac:dyDescent="0.25">
      <c r="H6317" s="116"/>
      <c r="I6317" s="116"/>
    </row>
    <row r="6318" spans="8:9" x14ac:dyDescent="0.25">
      <c r="H6318" s="116"/>
      <c r="I6318" s="116"/>
    </row>
    <row r="6319" spans="8:9" x14ac:dyDescent="0.25">
      <c r="H6319" s="116"/>
      <c r="I6319" s="116"/>
    </row>
    <row r="6320" spans="8:9" x14ac:dyDescent="0.25">
      <c r="H6320" s="116"/>
      <c r="I6320" s="116"/>
    </row>
    <row r="6321" spans="8:9" x14ac:dyDescent="0.25">
      <c r="H6321" s="116"/>
      <c r="I6321" s="116"/>
    </row>
    <row r="6322" spans="8:9" x14ac:dyDescent="0.25">
      <c r="H6322" s="116"/>
      <c r="I6322" s="116"/>
    </row>
    <row r="6323" spans="8:9" x14ac:dyDescent="0.25">
      <c r="H6323" s="116"/>
      <c r="I6323" s="116"/>
    </row>
    <row r="6324" spans="8:9" x14ac:dyDescent="0.25">
      <c r="H6324" s="116"/>
      <c r="I6324" s="116"/>
    </row>
    <row r="6325" spans="8:9" x14ac:dyDescent="0.25">
      <c r="H6325" s="116"/>
      <c r="I6325" s="116"/>
    </row>
    <row r="6326" spans="8:9" x14ac:dyDescent="0.25">
      <c r="H6326" s="116"/>
      <c r="I6326" s="116"/>
    </row>
    <row r="6327" spans="8:9" x14ac:dyDescent="0.25">
      <c r="H6327" s="116"/>
      <c r="I6327" s="116"/>
    </row>
    <row r="6328" spans="8:9" x14ac:dyDescent="0.25">
      <c r="H6328" s="116"/>
      <c r="I6328" s="116"/>
    </row>
    <row r="6329" spans="8:9" x14ac:dyDescent="0.25">
      <c r="H6329" s="116"/>
      <c r="I6329" s="116"/>
    </row>
    <row r="6330" spans="8:9" x14ac:dyDescent="0.25">
      <c r="H6330" s="116"/>
      <c r="I6330" s="116"/>
    </row>
    <row r="6331" spans="8:9" x14ac:dyDescent="0.25">
      <c r="H6331" s="116"/>
      <c r="I6331" s="116"/>
    </row>
    <row r="6332" spans="8:9" x14ac:dyDescent="0.25">
      <c r="H6332" s="116"/>
      <c r="I6332" s="116"/>
    </row>
    <row r="6333" spans="8:9" x14ac:dyDescent="0.25">
      <c r="H6333" s="116"/>
      <c r="I6333" s="116"/>
    </row>
    <row r="6334" spans="8:9" x14ac:dyDescent="0.25">
      <c r="H6334" s="116"/>
      <c r="I6334" s="116"/>
    </row>
    <row r="6335" spans="8:9" x14ac:dyDescent="0.25">
      <c r="H6335" s="116"/>
      <c r="I6335" s="116"/>
    </row>
    <row r="6336" spans="8:9" x14ac:dyDescent="0.25">
      <c r="H6336" s="116"/>
      <c r="I6336" s="116"/>
    </row>
    <row r="6337" spans="8:9" x14ac:dyDescent="0.25">
      <c r="H6337" s="116"/>
      <c r="I6337" s="116"/>
    </row>
    <row r="6338" spans="8:9" x14ac:dyDescent="0.25">
      <c r="H6338" s="116"/>
      <c r="I6338" s="116"/>
    </row>
    <row r="6339" spans="8:9" x14ac:dyDescent="0.25">
      <c r="H6339" s="116"/>
      <c r="I6339" s="116"/>
    </row>
    <row r="6340" spans="8:9" x14ac:dyDescent="0.25">
      <c r="H6340" s="116"/>
      <c r="I6340" s="116"/>
    </row>
    <row r="6341" spans="8:9" x14ac:dyDescent="0.25">
      <c r="H6341" s="116"/>
      <c r="I6341" s="116"/>
    </row>
    <row r="6342" spans="8:9" x14ac:dyDescent="0.25">
      <c r="H6342" s="116"/>
      <c r="I6342" s="116"/>
    </row>
    <row r="6343" spans="8:9" x14ac:dyDescent="0.25">
      <c r="H6343" s="116"/>
      <c r="I6343" s="116"/>
    </row>
    <row r="6344" spans="8:9" x14ac:dyDescent="0.25">
      <c r="H6344" s="116"/>
      <c r="I6344" s="116"/>
    </row>
    <row r="6345" spans="8:9" x14ac:dyDescent="0.25">
      <c r="H6345" s="116"/>
      <c r="I6345" s="116"/>
    </row>
    <row r="6346" spans="8:9" x14ac:dyDescent="0.25">
      <c r="H6346" s="116"/>
      <c r="I6346" s="116"/>
    </row>
    <row r="6347" spans="8:9" x14ac:dyDescent="0.25">
      <c r="H6347" s="116"/>
      <c r="I6347" s="116"/>
    </row>
    <row r="6348" spans="8:9" x14ac:dyDescent="0.25">
      <c r="H6348" s="116"/>
      <c r="I6348" s="116"/>
    </row>
    <row r="6349" spans="8:9" x14ac:dyDescent="0.25">
      <c r="H6349" s="116"/>
      <c r="I6349" s="116"/>
    </row>
    <row r="6350" spans="8:9" x14ac:dyDescent="0.25">
      <c r="H6350" s="116"/>
      <c r="I6350" s="116"/>
    </row>
    <row r="6351" spans="8:9" x14ac:dyDescent="0.25">
      <c r="H6351" s="116"/>
      <c r="I6351" s="116"/>
    </row>
    <row r="6352" spans="8:9" x14ac:dyDescent="0.25">
      <c r="H6352" s="116"/>
      <c r="I6352" s="116"/>
    </row>
    <row r="6353" spans="8:9" x14ac:dyDescent="0.25">
      <c r="H6353" s="116"/>
      <c r="I6353" s="116"/>
    </row>
    <row r="6354" spans="8:9" x14ac:dyDescent="0.25">
      <c r="H6354" s="116"/>
      <c r="I6354" s="116"/>
    </row>
    <row r="6355" spans="8:9" x14ac:dyDescent="0.25">
      <c r="H6355" s="116"/>
      <c r="I6355" s="116"/>
    </row>
    <row r="6356" spans="8:9" x14ac:dyDescent="0.25">
      <c r="H6356" s="116"/>
      <c r="I6356" s="116"/>
    </row>
    <row r="6357" spans="8:9" x14ac:dyDescent="0.25">
      <c r="H6357" s="116"/>
      <c r="I6357" s="116"/>
    </row>
    <row r="6358" spans="8:9" x14ac:dyDescent="0.25">
      <c r="H6358" s="116"/>
      <c r="I6358" s="116"/>
    </row>
    <row r="6359" spans="8:9" x14ac:dyDescent="0.25">
      <c r="H6359" s="116"/>
      <c r="I6359" s="116"/>
    </row>
    <row r="6360" spans="8:9" x14ac:dyDescent="0.25">
      <c r="H6360" s="116"/>
      <c r="I6360" s="116"/>
    </row>
    <row r="6361" spans="8:9" x14ac:dyDescent="0.25">
      <c r="H6361" s="116"/>
      <c r="I6361" s="116"/>
    </row>
    <row r="6362" spans="8:9" x14ac:dyDescent="0.25">
      <c r="H6362" s="116"/>
      <c r="I6362" s="116"/>
    </row>
    <row r="6363" spans="8:9" x14ac:dyDescent="0.25">
      <c r="H6363" s="116"/>
      <c r="I6363" s="116"/>
    </row>
    <row r="6364" spans="8:9" x14ac:dyDescent="0.25">
      <c r="H6364" s="116"/>
      <c r="I6364" s="116"/>
    </row>
    <row r="6365" spans="8:9" x14ac:dyDescent="0.25">
      <c r="H6365" s="116"/>
      <c r="I6365" s="116"/>
    </row>
    <row r="6366" spans="8:9" x14ac:dyDescent="0.25">
      <c r="H6366" s="116"/>
      <c r="I6366" s="116"/>
    </row>
    <row r="6367" spans="8:9" x14ac:dyDescent="0.25">
      <c r="H6367" s="116"/>
      <c r="I6367" s="116"/>
    </row>
    <row r="6368" spans="8:9" x14ac:dyDescent="0.25">
      <c r="H6368" s="116"/>
      <c r="I6368" s="116"/>
    </row>
    <row r="6369" spans="8:9" x14ac:dyDescent="0.25">
      <c r="H6369" s="116"/>
      <c r="I6369" s="116"/>
    </row>
    <row r="6370" spans="8:9" x14ac:dyDescent="0.25">
      <c r="H6370" s="116"/>
      <c r="I6370" s="116"/>
    </row>
    <row r="6371" spans="8:9" x14ac:dyDescent="0.25">
      <c r="H6371" s="116"/>
      <c r="I6371" s="116"/>
    </row>
    <row r="6372" spans="8:9" x14ac:dyDescent="0.25">
      <c r="H6372" s="116"/>
      <c r="I6372" s="116"/>
    </row>
    <row r="6373" spans="8:9" x14ac:dyDescent="0.25">
      <c r="H6373" s="116"/>
      <c r="I6373" s="116"/>
    </row>
    <row r="6374" spans="8:9" x14ac:dyDescent="0.25">
      <c r="H6374" s="116"/>
      <c r="I6374" s="116"/>
    </row>
    <row r="6375" spans="8:9" x14ac:dyDescent="0.25">
      <c r="H6375" s="116"/>
      <c r="I6375" s="116"/>
    </row>
    <row r="6376" spans="8:9" x14ac:dyDescent="0.25">
      <c r="H6376" s="116"/>
      <c r="I6376" s="116"/>
    </row>
    <row r="6377" spans="8:9" x14ac:dyDescent="0.25">
      <c r="H6377" s="116"/>
      <c r="I6377" s="116"/>
    </row>
    <row r="6378" spans="8:9" x14ac:dyDescent="0.25">
      <c r="H6378" s="116"/>
      <c r="I6378" s="116"/>
    </row>
    <row r="6379" spans="8:9" x14ac:dyDescent="0.25">
      <c r="H6379" s="116"/>
      <c r="I6379" s="116"/>
    </row>
    <row r="6380" spans="8:9" x14ac:dyDescent="0.25">
      <c r="H6380" s="116"/>
      <c r="I6380" s="116"/>
    </row>
    <row r="6381" spans="8:9" x14ac:dyDescent="0.25">
      <c r="H6381" s="116"/>
      <c r="I6381" s="116"/>
    </row>
    <row r="6382" spans="8:9" x14ac:dyDescent="0.25">
      <c r="H6382" s="116"/>
      <c r="I6382" s="116"/>
    </row>
    <row r="6383" spans="8:9" x14ac:dyDescent="0.25">
      <c r="H6383" s="116"/>
      <c r="I6383" s="116"/>
    </row>
    <row r="6384" spans="8:9" x14ac:dyDescent="0.25">
      <c r="H6384" s="116"/>
      <c r="I6384" s="116"/>
    </row>
    <row r="6385" spans="8:9" x14ac:dyDescent="0.25">
      <c r="H6385" s="116"/>
      <c r="I6385" s="116"/>
    </row>
    <row r="6386" spans="8:9" x14ac:dyDescent="0.25">
      <c r="H6386" s="116"/>
      <c r="I6386" s="116"/>
    </row>
    <row r="6387" spans="8:9" x14ac:dyDescent="0.25">
      <c r="H6387" s="116"/>
      <c r="I6387" s="116"/>
    </row>
    <row r="6388" spans="8:9" x14ac:dyDescent="0.25">
      <c r="H6388" s="116"/>
      <c r="I6388" s="116"/>
    </row>
    <row r="6389" spans="8:9" x14ac:dyDescent="0.25">
      <c r="H6389" s="116"/>
      <c r="I6389" s="116"/>
    </row>
    <row r="6390" spans="8:9" x14ac:dyDescent="0.25">
      <c r="H6390" s="116"/>
      <c r="I6390" s="116"/>
    </row>
    <row r="6391" spans="8:9" x14ac:dyDescent="0.25">
      <c r="H6391" s="116"/>
      <c r="I6391" s="116"/>
    </row>
    <row r="6392" spans="8:9" x14ac:dyDescent="0.25">
      <c r="H6392" s="116"/>
      <c r="I6392" s="116"/>
    </row>
    <row r="6393" spans="8:9" x14ac:dyDescent="0.25">
      <c r="H6393" s="116"/>
      <c r="I6393" s="116"/>
    </row>
    <row r="6394" spans="8:9" x14ac:dyDescent="0.25">
      <c r="H6394" s="116"/>
      <c r="I6394" s="116"/>
    </row>
    <row r="6395" spans="8:9" x14ac:dyDescent="0.25">
      <c r="H6395" s="116"/>
      <c r="I6395" s="116"/>
    </row>
    <row r="6396" spans="8:9" x14ac:dyDescent="0.25">
      <c r="H6396" s="116"/>
      <c r="I6396" s="116"/>
    </row>
    <row r="6397" spans="8:9" x14ac:dyDescent="0.25">
      <c r="H6397" s="116"/>
      <c r="I6397" s="116"/>
    </row>
    <row r="6398" spans="8:9" x14ac:dyDescent="0.25">
      <c r="H6398" s="116"/>
      <c r="I6398" s="116"/>
    </row>
    <row r="6399" spans="8:9" x14ac:dyDescent="0.25">
      <c r="H6399" s="116"/>
      <c r="I6399" s="116"/>
    </row>
    <row r="6400" spans="8:9" x14ac:dyDescent="0.25">
      <c r="H6400" s="116"/>
      <c r="I6400" s="116"/>
    </row>
    <row r="6401" spans="8:9" x14ac:dyDescent="0.25">
      <c r="H6401" s="116"/>
      <c r="I6401" s="116"/>
    </row>
    <row r="6402" spans="8:9" x14ac:dyDescent="0.25">
      <c r="H6402" s="116"/>
      <c r="I6402" s="116"/>
    </row>
    <row r="6403" spans="8:9" x14ac:dyDescent="0.25">
      <c r="H6403" s="116"/>
      <c r="I6403" s="116"/>
    </row>
    <row r="6404" spans="8:9" x14ac:dyDescent="0.25">
      <c r="H6404" s="116"/>
      <c r="I6404" s="116"/>
    </row>
    <row r="6405" spans="8:9" x14ac:dyDescent="0.25">
      <c r="H6405" s="116"/>
      <c r="I6405" s="116"/>
    </row>
    <row r="6406" spans="8:9" x14ac:dyDescent="0.25">
      <c r="H6406" s="116"/>
      <c r="I6406" s="116"/>
    </row>
    <row r="6407" spans="8:9" x14ac:dyDescent="0.25">
      <c r="H6407" s="116"/>
      <c r="I6407" s="116"/>
    </row>
    <row r="6408" spans="8:9" x14ac:dyDescent="0.25">
      <c r="H6408" s="116"/>
      <c r="I6408" s="116"/>
    </row>
    <row r="6409" spans="8:9" x14ac:dyDescent="0.25">
      <c r="H6409" s="116"/>
      <c r="I6409" s="116"/>
    </row>
    <row r="6410" spans="8:9" x14ac:dyDescent="0.25">
      <c r="H6410" s="116"/>
      <c r="I6410" s="116"/>
    </row>
    <row r="6411" spans="8:9" x14ac:dyDescent="0.25">
      <c r="H6411" s="116"/>
      <c r="I6411" s="116"/>
    </row>
    <row r="6412" spans="8:9" x14ac:dyDescent="0.25">
      <c r="H6412" s="116"/>
      <c r="I6412" s="116"/>
    </row>
    <row r="6413" spans="8:9" x14ac:dyDescent="0.25">
      <c r="H6413" s="116"/>
      <c r="I6413" s="116"/>
    </row>
    <row r="6414" spans="8:9" x14ac:dyDescent="0.25">
      <c r="H6414" s="116"/>
      <c r="I6414" s="116"/>
    </row>
    <row r="6415" spans="8:9" x14ac:dyDescent="0.25">
      <c r="H6415" s="116"/>
      <c r="I6415" s="116"/>
    </row>
    <row r="6416" spans="8:9" x14ac:dyDescent="0.25">
      <c r="H6416" s="116"/>
      <c r="I6416" s="116"/>
    </row>
    <row r="6417" spans="8:9" x14ac:dyDescent="0.25">
      <c r="H6417" s="116"/>
      <c r="I6417" s="116"/>
    </row>
    <row r="6418" spans="8:9" x14ac:dyDescent="0.25">
      <c r="H6418" s="116"/>
      <c r="I6418" s="116"/>
    </row>
    <row r="6419" spans="8:9" x14ac:dyDescent="0.25">
      <c r="H6419" s="116"/>
      <c r="I6419" s="116"/>
    </row>
    <row r="6420" spans="8:9" x14ac:dyDescent="0.25">
      <c r="H6420" s="116"/>
      <c r="I6420" s="116"/>
    </row>
    <row r="6421" spans="8:9" x14ac:dyDescent="0.25">
      <c r="H6421" s="116"/>
      <c r="I6421" s="116"/>
    </row>
    <row r="6422" spans="8:9" x14ac:dyDescent="0.25">
      <c r="H6422" s="116"/>
      <c r="I6422" s="116"/>
    </row>
    <row r="6423" spans="8:9" x14ac:dyDescent="0.25">
      <c r="H6423" s="116"/>
      <c r="I6423" s="116"/>
    </row>
    <row r="6424" spans="8:9" x14ac:dyDescent="0.25">
      <c r="H6424" s="116"/>
      <c r="I6424" s="116"/>
    </row>
    <row r="6425" spans="8:9" x14ac:dyDescent="0.25">
      <c r="H6425" s="116"/>
      <c r="I6425" s="116"/>
    </row>
    <row r="6426" spans="8:9" x14ac:dyDescent="0.25">
      <c r="H6426" s="116"/>
      <c r="I6426" s="116"/>
    </row>
    <row r="6427" spans="8:9" x14ac:dyDescent="0.25">
      <c r="H6427" s="116"/>
      <c r="I6427" s="116"/>
    </row>
    <row r="6428" spans="8:9" x14ac:dyDescent="0.25">
      <c r="H6428" s="116"/>
      <c r="I6428" s="116"/>
    </row>
    <row r="6429" spans="8:9" x14ac:dyDescent="0.25">
      <c r="H6429" s="116"/>
      <c r="I6429" s="116"/>
    </row>
    <row r="6430" spans="8:9" x14ac:dyDescent="0.25">
      <c r="H6430" s="116"/>
      <c r="I6430" s="116"/>
    </row>
    <row r="6431" spans="8:9" x14ac:dyDescent="0.25">
      <c r="H6431" s="116"/>
      <c r="I6431" s="116"/>
    </row>
    <row r="6432" spans="8:9" x14ac:dyDescent="0.25">
      <c r="H6432" s="116"/>
      <c r="I6432" s="116"/>
    </row>
    <row r="6433" spans="8:9" x14ac:dyDescent="0.25">
      <c r="H6433" s="116"/>
      <c r="I6433" s="116"/>
    </row>
    <row r="6434" spans="8:9" x14ac:dyDescent="0.25">
      <c r="H6434" s="116"/>
      <c r="I6434" s="116"/>
    </row>
    <row r="6435" spans="8:9" x14ac:dyDescent="0.25">
      <c r="H6435" s="116"/>
      <c r="I6435" s="116"/>
    </row>
    <row r="6436" spans="8:9" x14ac:dyDescent="0.25">
      <c r="H6436" s="116"/>
      <c r="I6436" s="116"/>
    </row>
    <row r="6437" spans="8:9" x14ac:dyDescent="0.25">
      <c r="H6437" s="116"/>
      <c r="I6437" s="116"/>
    </row>
    <row r="6438" spans="8:9" x14ac:dyDescent="0.25">
      <c r="H6438" s="116"/>
      <c r="I6438" s="116"/>
    </row>
    <row r="6439" spans="8:9" x14ac:dyDescent="0.25">
      <c r="H6439" s="116"/>
      <c r="I6439" s="116"/>
    </row>
    <row r="6440" spans="8:9" x14ac:dyDescent="0.25">
      <c r="H6440" s="116"/>
      <c r="I6440" s="116"/>
    </row>
    <row r="6441" spans="8:9" x14ac:dyDescent="0.25">
      <c r="H6441" s="116"/>
      <c r="I6441" s="11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05124-8F62-4063-8860-182C1A9FE938}">
  <dimension ref="J19:BF63"/>
  <sheetViews>
    <sheetView topLeftCell="A5" workbookViewId="0">
      <selection activeCell="C20" sqref="C20"/>
    </sheetView>
  </sheetViews>
  <sheetFormatPr defaultRowHeight="15" x14ac:dyDescent="0.25"/>
  <sheetData>
    <row r="19" spans="10:58" x14ac:dyDescent="0.25">
      <c r="J19">
        <v>219.3</v>
      </c>
      <c r="K19">
        <v>186.25</v>
      </c>
      <c r="L19">
        <v>186.75</v>
      </c>
    </row>
    <row r="20" spans="10:58" x14ac:dyDescent="0.25">
      <c r="J20">
        <v>192.9</v>
      </c>
      <c r="K20">
        <v>135.5</v>
      </c>
      <c r="L20">
        <v>146.9</v>
      </c>
      <c r="N20">
        <v>219.3</v>
      </c>
      <c r="O20">
        <v>192.9</v>
      </c>
      <c r="P20">
        <v>186</v>
      </c>
      <c r="Q20">
        <v>178.7</v>
      </c>
      <c r="R20">
        <v>207</v>
      </c>
      <c r="S20">
        <v>255.15</v>
      </c>
      <c r="T20">
        <v>348.25</v>
      </c>
      <c r="U20">
        <v>374</v>
      </c>
      <c r="V20">
        <v>495.9</v>
      </c>
      <c r="W20">
        <v>659.9</v>
      </c>
      <c r="X20">
        <v>613.4</v>
      </c>
      <c r="Y20">
        <v>607.9</v>
      </c>
      <c r="Z20">
        <v>555.95000000000005</v>
      </c>
      <c r="AA20">
        <v>497.8</v>
      </c>
      <c r="AB20">
        <v>459.9</v>
      </c>
      <c r="AC20">
        <v>374</v>
      </c>
      <c r="AD20">
        <v>362</v>
      </c>
      <c r="AE20">
        <v>341.5</v>
      </c>
      <c r="AF20">
        <v>384.2</v>
      </c>
      <c r="AG20">
        <v>433.8</v>
      </c>
      <c r="AH20">
        <v>460</v>
      </c>
      <c r="AI20">
        <v>474.4</v>
      </c>
      <c r="AJ20">
        <v>414.4</v>
      </c>
      <c r="AK20">
        <v>318.7</v>
      </c>
      <c r="AL20">
        <v>303.25</v>
      </c>
      <c r="AM20">
        <v>332.7</v>
      </c>
      <c r="AN20">
        <v>295</v>
      </c>
      <c r="AO20">
        <v>247</v>
      </c>
      <c r="AP20">
        <v>214.4</v>
      </c>
      <c r="AQ20">
        <v>179.5</v>
      </c>
      <c r="AR20">
        <v>97.9</v>
      </c>
      <c r="AS20">
        <v>119.1</v>
      </c>
      <c r="AT20">
        <v>130.65</v>
      </c>
      <c r="AU20">
        <v>148.55000000000001</v>
      </c>
      <c r="AV20">
        <v>153.80000000000001</v>
      </c>
      <c r="AW20">
        <v>152.9</v>
      </c>
      <c r="AX20">
        <v>136</v>
      </c>
      <c r="AY20">
        <v>141.15</v>
      </c>
      <c r="AZ20">
        <v>128.1</v>
      </c>
      <c r="BA20">
        <v>142.5</v>
      </c>
      <c r="BB20">
        <v>143.55000000000001</v>
      </c>
      <c r="BC20">
        <v>124.5</v>
      </c>
      <c r="BD20">
        <v>241</v>
      </c>
      <c r="BE20">
        <v>450</v>
      </c>
      <c r="BF20">
        <v>503.35</v>
      </c>
    </row>
    <row r="21" spans="10:58" x14ac:dyDescent="0.25">
      <c r="J21">
        <v>186</v>
      </c>
      <c r="K21">
        <v>145.4</v>
      </c>
      <c r="L21">
        <v>169.1</v>
      </c>
      <c r="N21">
        <v>186.25</v>
      </c>
      <c r="O21">
        <v>135.5</v>
      </c>
      <c r="P21">
        <v>145.4</v>
      </c>
      <c r="Q21">
        <v>108.95</v>
      </c>
      <c r="R21">
        <v>137</v>
      </c>
      <c r="S21">
        <v>170</v>
      </c>
      <c r="T21">
        <v>243.15</v>
      </c>
      <c r="U21">
        <v>307.5</v>
      </c>
      <c r="V21">
        <v>325.10000000000002</v>
      </c>
      <c r="W21">
        <v>463</v>
      </c>
      <c r="X21">
        <v>467.05</v>
      </c>
      <c r="Y21">
        <v>436.5</v>
      </c>
      <c r="Z21">
        <v>467</v>
      </c>
      <c r="AA21">
        <v>348.2</v>
      </c>
      <c r="AB21">
        <v>325</v>
      </c>
      <c r="AC21">
        <v>313.10000000000002</v>
      </c>
      <c r="AD21">
        <v>285</v>
      </c>
      <c r="AE21">
        <v>277.85000000000002</v>
      </c>
      <c r="AF21">
        <v>327</v>
      </c>
      <c r="AG21">
        <v>317</v>
      </c>
      <c r="AH21">
        <v>370.7</v>
      </c>
      <c r="AI21">
        <v>360</v>
      </c>
      <c r="AJ21">
        <v>271.14999999999998</v>
      </c>
      <c r="AK21">
        <v>233.15</v>
      </c>
      <c r="AL21">
        <v>218.8</v>
      </c>
      <c r="AM21">
        <v>262</v>
      </c>
      <c r="AN21">
        <v>223.6</v>
      </c>
      <c r="AO21">
        <v>137.6</v>
      </c>
      <c r="AP21">
        <v>142</v>
      </c>
      <c r="AQ21">
        <v>59.3</v>
      </c>
      <c r="AR21">
        <v>58</v>
      </c>
      <c r="AS21">
        <v>72.8</v>
      </c>
      <c r="AT21">
        <v>80</v>
      </c>
      <c r="AU21">
        <v>107.25</v>
      </c>
      <c r="AV21">
        <v>106</v>
      </c>
      <c r="AW21">
        <v>125.1</v>
      </c>
      <c r="AX21">
        <v>112.25</v>
      </c>
      <c r="AY21">
        <v>81.45</v>
      </c>
      <c r="AZ21">
        <v>88</v>
      </c>
      <c r="BA21">
        <v>90.35</v>
      </c>
      <c r="BB21">
        <v>106.05</v>
      </c>
      <c r="BC21">
        <v>98.55</v>
      </c>
      <c r="BD21">
        <v>119.25</v>
      </c>
      <c r="BE21">
        <v>210</v>
      </c>
      <c r="BF21">
        <v>349</v>
      </c>
    </row>
    <row r="22" spans="10:58" x14ac:dyDescent="0.25">
      <c r="J22">
        <v>178.7</v>
      </c>
      <c r="K22">
        <v>108.95</v>
      </c>
      <c r="L22">
        <v>139.75</v>
      </c>
      <c r="N22">
        <v>186.75</v>
      </c>
      <c r="O22">
        <v>146.9</v>
      </c>
      <c r="P22">
        <v>169.1</v>
      </c>
      <c r="Q22">
        <v>139.75</v>
      </c>
      <c r="R22">
        <v>202.15</v>
      </c>
      <c r="S22">
        <v>249.05</v>
      </c>
      <c r="T22">
        <v>346.4</v>
      </c>
      <c r="U22">
        <v>349.2</v>
      </c>
      <c r="V22">
        <v>469.9</v>
      </c>
      <c r="W22">
        <v>584.79999999999995</v>
      </c>
      <c r="X22">
        <v>536.15</v>
      </c>
      <c r="Y22">
        <v>513.35</v>
      </c>
      <c r="Z22">
        <v>474</v>
      </c>
      <c r="AA22">
        <v>438.55</v>
      </c>
      <c r="AB22">
        <v>355.4</v>
      </c>
      <c r="AC22">
        <v>334.95</v>
      </c>
      <c r="AD22">
        <v>298.8</v>
      </c>
      <c r="AE22">
        <v>328.35</v>
      </c>
      <c r="AF22">
        <v>343</v>
      </c>
      <c r="AG22">
        <v>389.9</v>
      </c>
      <c r="AH22">
        <v>443.05</v>
      </c>
      <c r="AI22">
        <v>407.5</v>
      </c>
      <c r="AJ22">
        <v>290.10000000000002</v>
      </c>
      <c r="AK22">
        <v>235.75</v>
      </c>
      <c r="AL22">
        <v>292.64999999999998</v>
      </c>
      <c r="AM22">
        <v>276.10000000000002</v>
      </c>
      <c r="AN22">
        <v>237.05</v>
      </c>
      <c r="AO22">
        <v>190.1</v>
      </c>
      <c r="AP22">
        <v>147.19999999999999</v>
      </c>
      <c r="AQ22">
        <v>71.900000000000006</v>
      </c>
      <c r="AR22">
        <v>75.2</v>
      </c>
      <c r="AS22">
        <v>90.1</v>
      </c>
      <c r="AT22">
        <v>117.2</v>
      </c>
      <c r="AU22">
        <v>116.3</v>
      </c>
      <c r="AV22">
        <v>140.5</v>
      </c>
      <c r="AW22">
        <v>128.6</v>
      </c>
      <c r="AX22">
        <v>133.65</v>
      </c>
      <c r="AY22">
        <v>91.65</v>
      </c>
      <c r="AZ22">
        <v>97.65</v>
      </c>
      <c r="BA22">
        <v>125</v>
      </c>
      <c r="BB22">
        <v>115.35</v>
      </c>
      <c r="BC22">
        <v>119.25</v>
      </c>
      <c r="BD22">
        <v>219.3</v>
      </c>
      <c r="BE22">
        <v>442.65</v>
      </c>
      <c r="BF22">
        <v>503.35</v>
      </c>
    </row>
    <row r="23" spans="10:58" x14ac:dyDescent="0.25">
      <c r="J23">
        <v>207</v>
      </c>
      <c r="K23">
        <v>137</v>
      </c>
      <c r="L23">
        <v>202.15</v>
      </c>
    </row>
    <row r="24" spans="10:58" x14ac:dyDescent="0.25">
      <c r="J24">
        <v>255.15</v>
      </c>
      <c r="K24">
        <v>170</v>
      </c>
      <c r="L24">
        <v>249.05</v>
      </c>
    </row>
    <row r="25" spans="10:58" x14ac:dyDescent="0.25">
      <c r="J25">
        <v>348.25</v>
      </c>
      <c r="K25">
        <v>243.15</v>
      </c>
      <c r="L25">
        <v>346.4</v>
      </c>
    </row>
    <row r="26" spans="10:58" x14ac:dyDescent="0.25">
      <c r="J26">
        <v>374</v>
      </c>
      <c r="K26">
        <v>307.5</v>
      </c>
      <c r="L26">
        <v>349.2</v>
      </c>
    </row>
    <row r="27" spans="10:58" x14ac:dyDescent="0.25">
      <c r="J27">
        <v>495.9</v>
      </c>
      <c r="K27">
        <v>325.10000000000002</v>
      </c>
      <c r="L27">
        <v>469.9</v>
      </c>
    </row>
    <row r="28" spans="10:58" x14ac:dyDescent="0.25">
      <c r="J28">
        <v>659.9</v>
      </c>
      <c r="K28">
        <v>463</v>
      </c>
      <c r="L28">
        <v>584.79999999999995</v>
      </c>
    </row>
    <row r="29" spans="10:58" x14ac:dyDescent="0.25">
      <c r="J29">
        <v>613.4</v>
      </c>
      <c r="K29">
        <v>467.05</v>
      </c>
      <c r="L29">
        <v>536.15</v>
      </c>
    </row>
    <row r="30" spans="10:58" x14ac:dyDescent="0.25">
      <c r="J30">
        <v>607.9</v>
      </c>
      <c r="K30">
        <v>436.5</v>
      </c>
      <c r="L30">
        <v>513.35</v>
      </c>
    </row>
    <row r="31" spans="10:58" x14ac:dyDescent="0.25">
      <c r="J31">
        <v>555.95000000000005</v>
      </c>
      <c r="K31">
        <v>467</v>
      </c>
      <c r="L31">
        <v>474</v>
      </c>
    </row>
    <row r="32" spans="10:58" x14ac:dyDescent="0.25">
      <c r="J32">
        <v>497.8</v>
      </c>
      <c r="K32">
        <v>348.2</v>
      </c>
      <c r="L32">
        <v>438.55</v>
      </c>
    </row>
    <row r="33" spans="10:12" x14ac:dyDescent="0.25">
      <c r="J33">
        <v>459.9</v>
      </c>
      <c r="K33">
        <v>325</v>
      </c>
      <c r="L33">
        <v>355.4</v>
      </c>
    </row>
    <row r="34" spans="10:12" x14ac:dyDescent="0.25">
      <c r="J34">
        <v>374</v>
      </c>
      <c r="K34">
        <v>313.10000000000002</v>
      </c>
      <c r="L34">
        <v>334.95</v>
      </c>
    </row>
    <row r="35" spans="10:12" x14ac:dyDescent="0.25">
      <c r="J35">
        <v>362</v>
      </c>
      <c r="K35">
        <v>285</v>
      </c>
      <c r="L35">
        <v>298.8</v>
      </c>
    </row>
    <row r="36" spans="10:12" x14ac:dyDescent="0.25">
      <c r="J36">
        <v>341.5</v>
      </c>
      <c r="K36">
        <v>277.85000000000002</v>
      </c>
      <c r="L36">
        <v>328.35</v>
      </c>
    </row>
    <row r="37" spans="10:12" x14ac:dyDescent="0.25">
      <c r="J37">
        <v>384.2</v>
      </c>
      <c r="K37">
        <v>327</v>
      </c>
      <c r="L37">
        <v>343</v>
      </c>
    </row>
    <row r="38" spans="10:12" x14ac:dyDescent="0.25">
      <c r="J38">
        <v>433.8</v>
      </c>
      <c r="K38">
        <v>317</v>
      </c>
      <c r="L38">
        <v>389.9</v>
      </c>
    </row>
    <row r="39" spans="10:12" x14ac:dyDescent="0.25">
      <c r="J39">
        <v>460</v>
      </c>
      <c r="K39">
        <v>370.7</v>
      </c>
      <c r="L39">
        <v>443.05</v>
      </c>
    </row>
    <row r="40" spans="10:12" x14ac:dyDescent="0.25">
      <c r="J40">
        <v>474.4</v>
      </c>
      <c r="K40">
        <v>360</v>
      </c>
      <c r="L40">
        <v>407.5</v>
      </c>
    </row>
    <row r="41" spans="10:12" x14ac:dyDescent="0.25">
      <c r="J41">
        <v>414.4</v>
      </c>
      <c r="K41">
        <v>271.14999999999998</v>
      </c>
      <c r="L41">
        <v>290.10000000000002</v>
      </c>
    </row>
    <row r="42" spans="10:12" x14ac:dyDescent="0.25">
      <c r="J42">
        <v>318.7</v>
      </c>
      <c r="K42">
        <v>233.15</v>
      </c>
      <c r="L42">
        <v>235.75</v>
      </c>
    </row>
    <row r="43" spans="10:12" x14ac:dyDescent="0.25">
      <c r="J43">
        <v>303.25</v>
      </c>
      <c r="K43">
        <v>218.8</v>
      </c>
      <c r="L43">
        <v>292.64999999999998</v>
      </c>
    </row>
    <row r="44" spans="10:12" x14ac:dyDescent="0.25">
      <c r="J44">
        <v>332.7</v>
      </c>
      <c r="K44">
        <v>262</v>
      </c>
      <c r="L44">
        <v>276.10000000000002</v>
      </c>
    </row>
    <row r="45" spans="10:12" x14ac:dyDescent="0.25">
      <c r="J45">
        <v>295</v>
      </c>
      <c r="K45">
        <v>223.6</v>
      </c>
      <c r="L45">
        <v>237.05</v>
      </c>
    </row>
    <row r="46" spans="10:12" x14ac:dyDescent="0.25">
      <c r="J46">
        <v>247</v>
      </c>
      <c r="K46">
        <v>137.6</v>
      </c>
      <c r="L46">
        <v>190.1</v>
      </c>
    </row>
    <row r="47" spans="10:12" x14ac:dyDescent="0.25">
      <c r="J47">
        <v>214.4</v>
      </c>
      <c r="K47">
        <v>142</v>
      </c>
      <c r="L47">
        <v>147.19999999999999</v>
      </c>
    </row>
    <row r="48" spans="10:12" x14ac:dyDescent="0.25">
      <c r="J48">
        <v>179.5</v>
      </c>
      <c r="K48">
        <v>59.3</v>
      </c>
      <c r="L48">
        <v>71.900000000000006</v>
      </c>
    </row>
    <row r="49" spans="10:12" x14ac:dyDescent="0.25">
      <c r="J49">
        <v>97.9</v>
      </c>
      <c r="K49">
        <v>58</v>
      </c>
      <c r="L49">
        <v>75.2</v>
      </c>
    </row>
    <row r="50" spans="10:12" x14ac:dyDescent="0.25">
      <c r="J50">
        <v>119.1</v>
      </c>
      <c r="K50">
        <v>72.8</v>
      </c>
      <c r="L50">
        <v>90.1</v>
      </c>
    </row>
    <row r="51" spans="10:12" x14ac:dyDescent="0.25">
      <c r="J51">
        <v>130.65</v>
      </c>
      <c r="K51">
        <v>80</v>
      </c>
      <c r="L51">
        <v>117.2</v>
      </c>
    </row>
    <row r="52" spans="10:12" x14ac:dyDescent="0.25">
      <c r="J52">
        <v>148.55000000000001</v>
      </c>
      <c r="K52">
        <v>107.25</v>
      </c>
      <c r="L52">
        <v>116.3</v>
      </c>
    </row>
    <row r="53" spans="10:12" x14ac:dyDescent="0.25">
      <c r="J53">
        <v>153.80000000000001</v>
      </c>
      <c r="K53">
        <v>106</v>
      </c>
      <c r="L53">
        <v>140.5</v>
      </c>
    </row>
    <row r="54" spans="10:12" x14ac:dyDescent="0.25">
      <c r="J54">
        <v>152.9</v>
      </c>
      <c r="K54">
        <v>125.1</v>
      </c>
      <c r="L54">
        <v>128.6</v>
      </c>
    </row>
    <row r="55" spans="10:12" x14ac:dyDescent="0.25">
      <c r="J55">
        <v>136</v>
      </c>
      <c r="K55">
        <v>112.25</v>
      </c>
      <c r="L55">
        <v>133.65</v>
      </c>
    </row>
    <row r="56" spans="10:12" x14ac:dyDescent="0.25">
      <c r="J56">
        <v>141.15</v>
      </c>
      <c r="K56">
        <v>81.45</v>
      </c>
      <c r="L56">
        <v>91.65</v>
      </c>
    </row>
    <row r="57" spans="10:12" x14ac:dyDescent="0.25">
      <c r="J57">
        <v>128.1</v>
      </c>
      <c r="K57">
        <v>88</v>
      </c>
      <c r="L57">
        <v>97.65</v>
      </c>
    </row>
    <row r="58" spans="10:12" x14ac:dyDescent="0.25">
      <c r="J58">
        <v>142.5</v>
      </c>
      <c r="K58">
        <v>90.35</v>
      </c>
      <c r="L58">
        <v>125</v>
      </c>
    </row>
    <row r="59" spans="10:12" x14ac:dyDescent="0.25">
      <c r="J59">
        <v>143.55000000000001</v>
      </c>
      <c r="K59">
        <v>106.05</v>
      </c>
      <c r="L59">
        <v>115.35</v>
      </c>
    </row>
    <row r="60" spans="10:12" x14ac:dyDescent="0.25">
      <c r="J60">
        <v>124.5</v>
      </c>
      <c r="K60">
        <v>98.55</v>
      </c>
      <c r="L60">
        <v>119.25</v>
      </c>
    </row>
    <row r="61" spans="10:12" x14ac:dyDescent="0.25">
      <c r="J61">
        <v>241</v>
      </c>
      <c r="K61">
        <v>119.25</v>
      </c>
      <c r="L61">
        <v>219.3</v>
      </c>
    </row>
    <row r="62" spans="10:12" x14ac:dyDescent="0.25">
      <c r="J62">
        <v>450</v>
      </c>
      <c r="K62">
        <v>210</v>
      </c>
      <c r="L62">
        <v>442.65</v>
      </c>
    </row>
    <row r="63" spans="10:12" x14ac:dyDescent="0.25">
      <c r="J63">
        <v>503.35</v>
      </c>
      <c r="K63">
        <v>349</v>
      </c>
      <c r="L63">
        <v>503.35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QTR Raw</vt:lpstr>
      <vt:lpstr>Annual Raw</vt:lpstr>
      <vt:lpstr>QTR Share Price</vt:lpstr>
      <vt:lpstr>QTR No. of Shares</vt:lpstr>
      <vt:lpstr>Share price Daily</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Bhavya</dc:creator>
  <cp:keywords/>
  <dc:description/>
  <cp:lastModifiedBy>admin</cp:lastModifiedBy>
  <cp:revision/>
  <cp:lastPrinted>2025-12-18T09:05:47Z</cp:lastPrinted>
  <dcterms:created xsi:type="dcterms:W3CDTF">2021-10-05T05:45:27Z</dcterms:created>
  <dcterms:modified xsi:type="dcterms:W3CDTF">2026-06-17T15:35:36Z</dcterms:modified>
  <cp:category/>
  <cp:contentStatus/>
</cp:coreProperties>
</file>